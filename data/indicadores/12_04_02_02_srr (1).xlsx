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0CF8BCB4-38C4-49C9-BB3C-960857860D7F}" xr6:coauthVersionLast="47" xr6:coauthVersionMax="47" xr10:uidLastSave="{00000000-0000-0000-0000-000000000000}"/>
  <bookViews>
    <workbookView xWindow="-120" yWindow="-120" windowWidth="20730" windowHeight="10545" firstSheet="2" activeTab="4" xr2:uid="{00000000-000D-0000-FFFF-FFFF00000000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</sheets>
  <definedNames>
    <definedName name="_xlnm._FilterDatabase" localSheetId="0" hidden="1">'Datos originales'!$A$6:$AS$1407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oKx0hUlbLXhXXyVEPurdpYBGb91MoNZ7tVK/s9ANQ1A="/>
    </ext>
  </extLst>
</workbook>
</file>

<file path=xl/calcChain.xml><?xml version="1.0" encoding="utf-8"?>
<calcChain xmlns="http://schemas.openxmlformats.org/spreadsheetml/2006/main">
  <c r="E347" i="2" l="1"/>
  <c r="E346" i="2"/>
  <c r="D349" i="2"/>
  <c r="D348" i="2"/>
  <c r="D347" i="2"/>
  <c r="D346" i="2"/>
  <c r="R12" i="2"/>
  <c r="S12" i="2" s="1"/>
  <c r="Q12" i="2"/>
  <c r="P12" i="2"/>
  <c r="N12" i="2"/>
  <c r="O12" i="2" s="1"/>
  <c r="M12" i="2"/>
  <c r="L12" i="2"/>
  <c r="G349" i="2"/>
  <c r="G348" i="2"/>
  <c r="G347" i="2"/>
  <c r="G346" i="2"/>
  <c r="AS1402" i="1"/>
  <c r="AR1402" i="1"/>
  <c r="AJ1402" i="1"/>
  <c r="AI1402" i="1"/>
  <c r="AA1402" i="1"/>
  <c r="Z1402" i="1"/>
  <c r="Q1402" i="1"/>
  <c r="P1402" i="1"/>
  <c r="AS1399" i="1"/>
  <c r="AR1399" i="1"/>
  <c r="AJ1399" i="1"/>
  <c r="AI1399" i="1"/>
  <c r="AA1399" i="1"/>
  <c r="Z1399" i="1"/>
  <c r="Q1399" i="1"/>
  <c r="P1399" i="1"/>
  <c r="AS1396" i="1"/>
  <c r="AR1396" i="1"/>
  <c r="AJ1396" i="1"/>
  <c r="AI1396" i="1"/>
  <c r="AA1396" i="1"/>
  <c r="Z1396" i="1"/>
  <c r="Q1396" i="1"/>
  <c r="P1396" i="1"/>
  <c r="AS1390" i="1"/>
  <c r="AR1390" i="1"/>
  <c r="AJ1390" i="1"/>
  <c r="AI1390" i="1"/>
  <c r="AA1390" i="1"/>
  <c r="Z1390" i="1"/>
  <c r="Q1390" i="1"/>
  <c r="P1390" i="1"/>
  <c r="AS1387" i="1"/>
  <c r="AR1387" i="1"/>
  <c r="AJ1387" i="1"/>
  <c r="AI1387" i="1"/>
  <c r="AA1387" i="1"/>
  <c r="Z1387" i="1"/>
  <c r="Q1387" i="1"/>
  <c r="P1387" i="1"/>
  <c r="AS1381" i="1"/>
  <c r="AR1381" i="1"/>
  <c r="AJ1381" i="1"/>
  <c r="AI1381" i="1"/>
  <c r="AA1381" i="1"/>
  <c r="Z1381" i="1"/>
  <c r="Q1381" i="1"/>
  <c r="P1381" i="1"/>
  <c r="AS1378" i="1"/>
  <c r="AR1378" i="1"/>
  <c r="AJ1378" i="1"/>
  <c r="AI1378" i="1"/>
  <c r="AA1378" i="1"/>
  <c r="Z1378" i="1"/>
  <c r="Q1378" i="1"/>
  <c r="P1378" i="1"/>
  <c r="AS1375" i="1"/>
  <c r="AR1375" i="1"/>
  <c r="AJ1375" i="1"/>
  <c r="AI1375" i="1"/>
  <c r="AA1375" i="1"/>
  <c r="Z1375" i="1"/>
  <c r="Q1375" i="1"/>
  <c r="P1375" i="1"/>
  <c r="AS1369" i="1"/>
  <c r="AR1369" i="1"/>
  <c r="AJ1369" i="1"/>
  <c r="AI1369" i="1"/>
  <c r="AA1369" i="1"/>
  <c r="Z1369" i="1"/>
  <c r="Q1369" i="1"/>
  <c r="P1369" i="1"/>
  <c r="AS1366" i="1"/>
  <c r="AR1366" i="1"/>
  <c r="AJ1366" i="1"/>
  <c r="AI1366" i="1"/>
  <c r="AA1366" i="1"/>
  <c r="Z1366" i="1"/>
  <c r="Q1366" i="1"/>
  <c r="P1366" i="1"/>
  <c r="AS1363" i="1"/>
  <c r="AR1363" i="1"/>
  <c r="AJ1363" i="1"/>
  <c r="AI1363" i="1"/>
  <c r="AA1363" i="1"/>
  <c r="Z1363" i="1"/>
  <c r="Q1363" i="1"/>
  <c r="P1363" i="1"/>
  <c r="AS1357" i="1"/>
  <c r="AR1357" i="1"/>
  <c r="AJ1357" i="1"/>
  <c r="AI1357" i="1"/>
  <c r="AA1357" i="1"/>
  <c r="Z1357" i="1"/>
  <c r="Q1357" i="1"/>
  <c r="P1357" i="1"/>
  <c r="AS1354" i="1"/>
  <c r="AR1354" i="1"/>
  <c r="AJ1354" i="1"/>
  <c r="AI1354" i="1"/>
  <c r="AA1354" i="1"/>
  <c r="Z1354" i="1"/>
  <c r="Q1354" i="1"/>
  <c r="P1354" i="1"/>
  <c r="AS1351" i="1"/>
  <c r="AR1351" i="1"/>
  <c r="AJ1351" i="1"/>
  <c r="AI1351" i="1"/>
  <c r="AA1351" i="1"/>
  <c r="Z1351" i="1"/>
  <c r="Q1351" i="1"/>
  <c r="P1351" i="1"/>
  <c r="AS1348" i="1"/>
  <c r="AR1348" i="1"/>
  <c r="AJ1348" i="1"/>
  <c r="AI1348" i="1"/>
  <c r="AA1348" i="1"/>
  <c r="Z1348" i="1"/>
  <c r="Q1348" i="1"/>
  <c r="P1348" i="1"/>
  <c r="AR1342" i="1"/>
  <c r="AI1342" i="1"/>
  <c r="AA1342" i="1"/>
  <c r="Z1342" i="1"/>
  <c r="Q1342" i="1"/>
  <c r="P1342" i="1"/>
  <c r="AS1339" i="1"/>
  <c r="AR1339" i="1"/>
  <c r="AJ1339" i="1"/>
  <c r="AI1339" i="1"/>
  <c r="AA1339" i="1"/>
  <c r="Z1339" i="1"/>
  <c r="Q1339" i="1"/>
  <c r="P1339" i="1"/>
  <c r="AS1333" i="1"/>
  <c r="AR1333" i="1"/>
  <c r="AJ1333" i="1"/>
  <c r="AI1333" i="1"/>
  <c r="AA1333" i="1"/>
  <c r="Z1333" i="1"/>
  <c r="Q1333" i="1"/>
  <c r="P1333" i="1"/>
  <c r="AS1330" i="1"/>
  <c r="AR1330" i="1"/>
  <c r="AJ1330" i="1"/>
  <c r="AI1330" i="1"/>
  <c r="AA1330" i="1"/>
  <c r="Z1330" i="1"/>
  <c r="Q1330" i="1"/>
  <c r="P1330" i="1"/>
  <c r="AS1327" i="1"/>
  <c r="AR1327" i="1"/>
  <c r="AJ1327" i="1"/>
  <c r="AI1327" i="1"/>
  <c r="AA1327" i="1"/>
  <c r="Z1327" i="1"/>
  <c r="Q1327" i="1"/>
  <c r="P1327" i="1"/>
  <c r="AS1321" i="1"/>
  <c r="AR1321" i="1"/>
  <c r="AJ1321" i="1"/>
  <c r="AI1321" i="1"/>
  <c r="AA1321" i="1"/>
  <c r="Z1321" i="1"/>
  <c r="Q1321" i="1"/>
  <c r="P1321" i="1"/>
  <c r="AS1318" i="1"/>
  <c r="AR1318" i="1"/>
  <c r="AJ1318" i="1"/>
  <c r="AI1318" i="1"/>
  <c r="AA1318" i="1"/>
  <c r="Z1318" i="1"/>
  <c r="Q1318" i="1"/>
  <c r="P1318" i="1"/>
  <c r="AS1315" i="1"/>
  <c r="AR1315" i="1"/>
  <c r="AJ1315" i="1"/>
  <c r="AI1315" i="1"/>
  <c r="AA1315" i="1"/>
  <c r="Z1315" i="1"/>
  <c r="Q1315" i="1"/>
  <c r="P1315" i="1"/>
  <c r="AS1309" i="1"/>
  <c r="AR1309" i="1"/>
  <c r="AJ1309" i="1"/>
  <c r="AI1309" i="1"/>
  <c r="AA1309" i="1"/>
  <c r="Z1309" i="1"/>
  <c r="Q1309" i="1"/>
  <c r="P1309" i="1"/>
  <c r="AS1306" i="1"/>
  <c r="AR1306" i="1"/>
  <c r="AJ1306" i="1"/>
  <c r="AI1306" i="1"/>
  <c r="AA1306" i="1"/>
  <c r="Z1306" i="1"/>
  <c r="Q1306" i="1"/>
  <c r="P1306" i="1"/>
  <c r="AS1300" i="1"/>
  <c r="AR1300" i="1"/>
  <c r="AJ1300" i="1"/>
  <c r="AI1300" i="1"/>
  <c r="AA1300" i="1"/>
  <c r="Z1300" i="1"/>
  <c r="Q1300" i="1"/>
  <c r="P1300" i="1"/>
  <c r="AS1294" i="1"/>
  <c r="AR1294" i="1"/>
  <c r="AJ1294" i="1"/>
  <c r="AI1294" i="1"/>
  <c r="AA1294" i="1"/>
  <c r="Z1294" i="1"/>
  <c r="Q1294" i="1"/>
  <c r="P1294" i="1"/>
  <c r="AS1291" i="1"/>
  <c r="AR1291" i="1"/>
  <c r="AJ1291" i="1"/>
  <c r="AI1291" i="1"/>
  <c r="AA1291" i="1"/>
  <c r="Z1291" i="1"/>
  <c r="Q1291" i="1"/>
  <c r="P1291" i="1"/>
  <c r="AS1285" i="1"/>
  <c r="AR1285" i="1"/>
  <c r="AJ1285" i="1"/>
  <c r="AI1285" i="1"/>
  <c r="AA1285" i="1"/>
  <c r="Z1285" i="1"/>
  <c r="Q1285" i="1"/>
  <c r="P1285" i="1"/>
  <c r="AS1282" i="1"/>
  <c r="AR1282" i="1"/>
  <c r="AJ1282" i="1"/>
  <c r="AI1282" i="1"/>
  <c r="AA1282" i="1"/>
  <c r="Z1282" i="1"/>
  <c r="Q1282" i="1"/>
  <c r="P1282" i="1"/>
  <c r="AS1279" i="1"/>
  <c r="AR1279" i="1"/>
  <c r="AJ1279" i="1"/>
  <c r="AI1279" i="1"/>
  <c r="AA1279" i="1"/>
  <c r="Z1279" i="1"/>
  <c r="Q1279" i="1"/>
  <c r="P1279" i="1"/>
  <c r="AS1276" i="1"/>
  <c r="AR1276" i="1"/>
  <c r="AJ1276" i="1"/>
  <c r="AI1276" i="1"/>
  <c r="AA1276" i="1"/>
  <c r="Z1276" i="1"/>
  <c r="Q1276" i="1"/>
  <c r="P1276" i="1"/>
  <c r="AS1270" i="1"/>
  <c r="AR1270" i="1"/>
  <c r="AJ1270" i="1"/>
  <c r="AI1270" i="1"/>
  <c r="AA1270" i="1"/>
  <c r="Z1270" i="1"/>
  <c r="Q1270" i="1"/>
  <c r="P1270" i="1"/>
  <c r="AS1267" i="1"/>
  <c r="AR1267" i="1"/>
  <c r="AJ1267" i="1"/>
  <c r="AI1267" i="1"/>
  <c r="AA1267" i="1"/>
  <c r="Z1267" i="1"/>
  <c r="Q1267" i="1"/>
  <c r="P1267" i="1"/>
  <c r="AS1261" i="1"/>
  <c r="AR1261" i="1"/>
  <c r="AJ1261" i="1"/>
  <c r="AI1261" i="1"/>
  <c r="AA1261" i="1"/>
  <c r="Z1261" i="1"/>
  <c r="Q1261" i="1"/>
  <c r="P1261" i="1"/>
  <c r="AS1258" i="1"/>
  <c r="AR1258" i="1"/>
  <c r="AJ1258" i="1"/>
  <c r="AI1258" i="1"/>
  <c r="AA1258" i="1"/>
  <c r="Z1258" i="1"/>
  <c r="Q1258" i="1"/>
  <c r="P1258" i="1"/>
  <c r="AR1252" i="1"/>
  <c r="AI1252" i="1"/>
  <c r="AA1252" i="1"/>
  <c r="Z1252" i="1"/>
  <c r="Q1252" i="1"/>
  <c r="P1252" i="1"/>
  <c r="AS1249" i="1"/>
  <c r="AR1249" i="1"/>
  <c r="AJ1249" i="1"/>
  <c r="AI1249" i="1"/>
  <c r="AA1249" i="1"/>
  <c r="Z1249" i="1"/>
  <c r="Q1249" i="1"/>
  <c r="P1249" i="1"/>
  <c r="AS1246" i="1"/>
  <c r="AR1246" i="1"/>
  <c r="AJ1246" i="1"/>
  <c r="AI1246" i="1"/>
  <c r="AA1246" i="1"/>
  <c r="Z1246" i="1"/>
  <c r="Q1246" i="1"/>
  <c r="P1246" i="1"/>
  <c r="AS1243" i="1"/>
  <c r="AR1243" i="1"/>
  <c r="AJ1243" i="1"/>
  <c r="AI1243" i="1"/>
  <c r="AA1243" i="1"/>
  <c r="Z1243" i="1"/>
  <c r="Q1243" i="1"/>
  <c r="P1243" i="1"/>
  <c r="AS1237" i="1"/>
  <c r="AR1237" i="1"/>
  <c r="AJ1237" i="1"/>
  <c r="AI1237" i="1"/>
  <c r="AA1237" i="1"/>
  <c r="Z1237" i="1"/>
  <c r="Q1237" i="1"/>
  <c r="P1237" i="1"/>
  <c r="AS1234" i="1"/>
  <c r="AR1234" i="1"/>
  <c r="AJ1234" i="1"/>
  <c r="AI1234" i="1"/>
  <c r="AA1234" i="1"/>
  <c r="Z1234" i="1"/>
  <c r="Q1234" i="1"/>
  <c r="P1234" i="1"/>
  <c r="AS1231" i="1"/>
  <c r="AR1231" i="1"/>
  <c r="AJ1231" i="1"/>
  <c r="AI1231" i="1"/>
  <c r="AA1231" i="1"/>
  <c r="Z1231" i="1"/>
  <c r="Q1231" i="1"/>
  <c r="P1231" i="1"/>
  <c r="AS1225" i="1"/>
  <c r="AR1225" i="1"/>
  <c r="AJ1225" i="1"/>
  <c r="AI1225" i="1"/>
  <c r="AA1225" i="1"/>
  <c r="Z1225" i="1"/>
  <c r="Q1225" i="1"/>
  <c r="P1225" i="1"/>
  <c r="AS1222" i="1"/>
  <c r="AR1222" i="1"/>
  <c r="AJ1222" i="1"/>
  <c r="AI1222" i="1"/>
  <c r="AA1222" i="1"/>
  <c r="Z1222" i="1"/>
  <c r="Q1222" i="1"/>
  <c r="P1222" i="1"/>
  <c r="AS1216" i="1"/>
  <c r="AR1216" i="1"/>
  <c r="AJ1216" i="1"/>
  <c r="AI1216" i="1"/>
  <c r="AA1216" i="1"/>
  <c r="Z1216" i="1"/>
  <c r="Q1216" i="1"/>
  <c r="P1216" i="1"/>
  <c r="AS1210" i="1"/>
  <c r="AR1210" i="1"/>
  <c r="AJ1210" i="1"/>
  <c r="AI1210" i="1"/>
  <c r="AA1210" i="1"/>
  <c r="Z1210" i="1"/>
  <c r="Q1210" i="1"/>
  <c r="P1210" i="1"/>
  <c r="AS1207" i="1"/>
  <c r="AR1207" i="1"/>
  <c r="AJ1207" i="1"/>
  <c r="AI1207" i="1"/>
  <c r="AA1207" i="1"/>
  <c r="Z1207" i="1"/>
  <c r="Q1207" i="1"/>
  <c r="P1207" i="1"/>
  <c r="AS1204" i="1"/>
  <c r="AR1204" i="1"/>
  <c r="AJ1204" i="1"/>
  <c r="AI1204" i="1"/>
  <c r="AA1204" i="1"/>
  <c r="Z1204" i="1"/>
  <c r="Q1204" i="1"/>
  <c r="P1204" i="1"/>
  <c r="AS1201" i="1"/>
  <c r="AR1201" i="1"/>
  <c r="AJ1201" i="1"/>
  <c r="AI1201" i="1"/>
  <c r="AA1201" i="1"/>
  <c r="Z1201" i="1"/>
  <c r="Q1201" i="1"/>
  <c r="P1201" i="1"/>
  <c r="AS1198" i="1"/>
  <c r="AR1198" i="1"/>
  <c r="AJ1198" i="1"/>
  <c r="AI1198" i="1"/>
  <c r="AA1198" i="1"/>
  <c r="Z1198" i="1"/>
  <c r="Q1198" i="1"/>
  <c r="P1198" i="1"/>
  <c r="AS1195" i="1"/>
  <c r="AR1195" i="1"/>
  <c r="AJ1195" i="1"/>
  <c r="AI1195" i="1"/>
  <c r="AA1195" i="1"/>
  <c r="Z1195" i="1"/>
  <c r="Q1195" i="1"/>
  <c r="P1195" i="1"/>
  <c r="AS1189" i="1"/>
  <c r="AR1189" i="1"/>
  <c r="AJ1189" i="1"/>
  <c r="AI1189" i="1"/>
  <c r="AA1189" i="1"/>
  <c r="Z1189" i="1"/>
  <c r="Q1189" i="1"/>
  <c r="P1189" i="1"/>
  <c r="AS1186" i="1"/>
  <c r="AR1186" i="1"/>
  <c r="AJ1186" i="1"/>
  <c r="AI1186" i="1"/>
  <c r="AA1186" i="1"/>
  <c r="Z1186" i="1"/>
  <c r="Q1186" i="1"/>
  <c r="P1186" i="1"/>
  <c r="AS1183" i="1"/>
  <c r="AR1183" i="1"/>
  <c r="AJ1183" i="1"/>
  <c r="AI1183" i="1"/>
  <c r="AA1183" i="1"/>
  <c r="Z1183" i="1"/>
  <c r="Q1183" i="1"/>
  <c r="P1183" i="1"/>
  <c r="AS1180" i="1"/>
  <c r="AR1180" i="1"/>
  <c r="AJ1180" i="1"/>
  <c r="AI1180" i="1"/>
  <c r="AA1180" i="1"/>
  <c r="Z1180" i="1"/>
  <c r="Q1180" i="1"/>
  <c r="P1180" i="1"/>
  <c r="AS1177" i="1"/>
  <c r="AR1177" i="1"/>
  <c r="AJ1177" i="1"/>
  <c r="AI1177" i="1"/>
  <c r="AA1177" i="1"/>
  <c r="Z1177" i="1"/>
  <c r="Q1177" i="1"/>
  <c r="P1177" i="1"/>
  <c r="AS1171" i="1"/>
  <c r="AR1171" i="1"/>
  <c r="AJ1171" i="1"/>
  <c r="AI1171" i="1"/>
  <c r="AA1171" i="1"/>
  <c r="Z1171" i="1"/>
  <c r="Q1171" i="1"/>
  <c r="P1171" i="1"/>
  <c r="AS1168" i="1"/>
  <c r="AR1168" i="1"/>
  <c r="AJ1168" i="1"/>
  <c r="AI1168" i="1"/>
  <c r="AA1168" i="1"/>
  <c r="Z1168" i="1"/>
  <c r="Q1168" i="1"/>
  <c r="P1168" i="1"/>
  <c r="AS1165" i="1"/>
  <c r="AR1165" i="1"/>
  <c r="AJ1165" i="1"/>
  <c r="AI1165" i="1"/>
  <c r="AA1165" i="1"/>
  <c r="Z1165" i="1"/>
  <c r="Q1165" i="1"/>
  <c r="P1165" i="1"/>
  <c r="AS1162" i="1"/>
  <c r="AR1162" i="1"/>
  <c r="AJ1162" i="1"/>
  <c r="AI1162" i="1"/>
  <c r="AA1162" i="1"/>
  <c r="Z1162" i="1"/>
  <c r="Q1162" i="1"/>
  <c r="P1162" i="1"/>
  <c r="AS1156" i="1"/>
  <c r="AR1156" i="1"/>
  <c r="AJ1156" i="1"/>
  <c r="AI1156" i="1"/>
  <c r="AA1156" i="1"/>
  <c r="Z1156" i="1"/>
  <c r="Q1156" i="1"/>
  <c r="P1156" i="1"/>
  <c r="AS1153" i="1"/>
  <c r="AR1153" i="1"/>
  <c r="AJ1153" i="1"/>
  <c r="AI1153" i="1"/>
  <c r="AA1153" i="1"/>
  <c r="Z1153" i="1"/>
  <c r="Q1153" i="1"/>
  <c r="P1153" i="1"/>
  <c r="AS1150" i="1"/>
  <c r="AR1150" i="1"/>
  <c r="AJ1150" i="1"/>
  <c r="AI1150" i="1"/>
  <c r="AA1150" i="1"/>
  <c r="Z1150" i="1"/>
  <c r="Q1150" i="1"/>
  <c r="P1150" i="1"/>
  <c r="AS1147" i="1"/>
  <c r="AR1147" i="1"/>
  <c r="AJ1147" i="1"/>
  <c r="AI1147" i="1"/>
  <c r="AA1147" i="1"/>
  <c r="Z1147" i="1"/>
  <c r="Q1147" i="1"/>
  <c r="P1147" i="1"/>
  <c r="AS1144" i="1"/>
  <c r="AR1144" i="1"/>
  <c r="AJ1144" i="1"/>
  <c r="AI1144" i="1"/>
  <c r="AA1144" i="1"/>
  <c r="Z1144" i="1"/>
  <c r="Q1144" i="1"/>
  <c r="P1144" i="1"/>
  <c r="AS1138" i="1"/>
  <c r="AR1138" i="1"/>
  <c r="AJ1138" i="1"/>
  <c r="AI1138" i="1"/>
  <c r="AA1138" i="1"/>
  <c r="Z1138" i="1"/>
  <c r="Q1138" i="1"/>
  <c r="P1138" i="1"/>
  <c r="AS1135" i="1"/>
  <c r="AR1135" i="1"/>
  <c r="AJ1135" i="1"/>
  <c r="AI1135" i="1"/>
  <c r="AA1135" i="1"/>
  <c r="Z1135" i="1"/>
  <c r="Q1135" i="1"/>
  <c r="P1135" i="1"/>
  <c r="AS1132" i="1"/>
  <c r="AR1132" i="1"/>
  <c r="AJ1132" i="1"/>
  <c r="AI1132" i="1"/>
  <c r="AA1132" i="1"/>
  <c r="Z1132" i="1"/>
  <c r="Q1132" i="1"/>
  <c r="P1132" i="1"/>
  <c r="AS1129" i="1"/>
  <c r="AR1129" i="1"/>
  <c r="AJ1129" i="1"/>
  <c r="AI1129" i="1"/>
  <c r="AA1129" i="1"/>
  <c r="Z1129" i="1"/>
  <c r="Q1129" i="1"/>
  <c r="P1129" i="1"/>
  <c r="AS1126" i="1"/>
  <c r="AR1126" i="1"/>
  <c r="AJ1126" i="1"/>
  <c r="AI1126" i="1"/>
  <c r="AA1126" i="1"/>
  <c r="Z1126" i="1"/>
  <c r="Q1126" i="1"/>
  <c r="P1126" i="1"/>
  <c r="AS1123" i="1"/>
  <c r="AR1123" i="1"/>
  <c r="AJ1123" i="1"/>
  <c r="AI1123" i="1"/>
  <c r="AA1123" i="1"/>
  <c r="Z1123" i="1"/>
  <c r="Q1123" i="1"/>
  <c r="P1123" i="1"/>
  <c r="AS1120" i="1"/>
  <c r="AR1120" i="1"/>
  <c r="AJ1120" i="1"/>
  <c r="AI1120" i="1"/>
  <c r="AA1120" i="1"/>
  <c r="Z1120" i="1"/>
  <c r="Q1120" i="1"/>
  <c r="P1120" i="1"/>
  <c r="AS1114" i="1"/>
  <c r="AR1114" i="1"/>
  <c r="AJ1114" i="1"/>
  <c r="AI1114" i="1"/>
  <c r="AA1114" i="1"/>
  <c r="Z1114" i="1"/>
  <c r="Q1114" i="1"/>
  <c r="P1114" i="1"/>
  <c r="AS1111" i="1"/>
  <c r="AR1111" i="1"/>
  <c r="AJ1111" i="1"/>
  <c r="AI1111" i="1"/>
  <c r="AA1111" i="1"/>
  <c r="Z1111" i="1"/>
  <c r="Q1111" i="1"/>
  <c r="P1111" i="1"/>
  <c r="AS1108" i="1"/>
  <c r="AR1108" i="1"/>
  <c r="AJ1108" i="1"/>
  <c r="AI1108" i="1"/>
  <c r="AA1108" i="1"/>
  <c r="Z1108" i="1"/>
  <c r="Q1108" i="1"/>
  <c r="P1108" i="1"/>
  <c r="AS1102" i="1"/>
  <c r="AR1102" i="1"/>
  <c r="AJ1102" i="1"/>
  <c r="AI1102" i="1"/>
  <c r="AA1102" i="1"/>
  <c r="Z1102" i="1"/>
  <c r="Q1102" i="1"/>
  <c r="P1102" i="1"/>
  <c r="AS1099" i="1"/>
  <c r="AR1099" i="1"/>
  <c r="AJ1099" i="1"/>
  <c r="AI1099" i="1"/>
  <c r="AA1099" i="1"/>
  <c r="Z1099" i="1"/>
  <c r="Q1099" i="1"/>
  <c r="P1099" i="1"/>
  <c r="AS1096" i="1"/>
  <c r="AR1096" i="1"/>
  <c r="AJ1096" i="1"/>
  <c r="AI1096" i="1"/>
  <c r="AA1096" i="1"/>
  <c r="Z1096" i="1"/>
  <c r="Q1096" i="1"/>
  <c r="P1096" i="1"/>
  <c r="AS1090" i="1"/>
  <c r="AR1090" i="1"/>
  <c r="AJ1090" i="1"/>
  <c r="AI1090" i="1"/>
  <c r="AA1090" i="1"/>
  <c r="Z1090" i="1"/>
  <c r="Q1090" i="1"/>
  <c r="P1090" i="1"/>
  <c r="AS1087" i="1"/>
  <c r="AR1087" i="1"/>
  <c r="AJ1087" i="1"/>
  <c r="AI1087" i="1"/>
  <c r="AA1087" i="1"/>
  <c r="Z1087" i="1"/>
  <c r="Q1087" i="1"/>
  <c r="P1087" i="1"/>
  <c r="AS1084" i="1"/>
  <c r="AR1084" i="1"/>
  <c r="AJ1084" i="1"/>
  <c r="AI1084" i="1"/>
  <c r="AA1084" i="1"/>
  <c r="Z1084" i="1"/>
  <c r="Q1084" i="1"/>
  <c r="P1084" i="1"/>
  <c r="AS1081" i="1"/>
  <c r="AR1081" i="1"/>
  <c r="AJ1081" i="1"/>
  <c r="AI1081" i="1"/>
  <c r="AA1081" i="1"/>
  <c r="Z1081" i="1"/>
  <c r="Q1081" i="1"/>
  <c r="P1081" i="1"/>
  <c r="AS1075" i="1"/>
  <c r="AR1075" i="1"/>
  <c r="AJ1075" i="1"/>
  <c r="AI1075" i="1"/>
  <c r="AA1075" i="1"/>
  <c r="Z1075" i="1"/>
  <c r="Q1075" i="1"/>
  <c r="P1075" i="1"/>
  <c r="AS1072" i="1"/>
  <c r="AR1072" i="1"/>
  <c r="AJ1072" i="1"/>
  <c r="AI1072" i="1"/>
  <c r="AA1072" i="1"/>
  <c r="Z1072" i="1"/>
  <c r="Q1072" i="1"/>
  <c r="P1072" i="1"/>
  <c r="AS1069" i="1"/>
  <c r="AR1069" i="1"/>
  <c r="AJ1069" i="1"/>
  <c r="AI1069" i="1"/>
  <c r="AA1069" i="1"/>
  <c r="Z1069" i="1"/>
  <c r="Q1069" i="1"/>
  <c r="P1069" i="1"/>
  <c r="AS1063" i="1"/>
  <c r="AR1063" i="1"/>
  <c r="AJ1063" i="1"/>
  <c r="AI1063" i="1"/>
  <c r="AA1063" i="1"/>
  <c r="Z1063" i="1"/>
  <c r="Q1063" i="1"/>
  <c r="P1063" i="1"/>
  <c r="AS1060" i="1"/>
  <c r="AR1060" i="1"/>
  <c r="AJ1060" i="1"/>
  <c r="AI1060" i="1"/>
  <c r="AA1060" i="1"/>
  <c r="Z1060" i="1"/>
  <c r="Q1060" i="1"/>
  <c r="P1060" i="1"/>
  <c r="AS1054" i="1"/>
  <c r="AR1054" i="1"/>
  <c r="AJ1054" i="1"/>
  <c r="AI1054" i="1"/>
  <c r="AA1054" i="1"/>
  <c r="Z1054" i="1"/>
  <c r="Q1054" i="1"/>
  <c r="P1054" i="1"/>
  <c r="AS1051" i="1"/>
  <c r="AR1051" i="1"/>
  <c r="AJ1051" i="1"/>
  <c r="AI1051" i="1"/>
  <c r="AA1051" i="1"/>
  <c r="Z1051" i="1"/>
  <c r="Q1051" i="1"/>
  <c r="P1051" i="1"/>
  <c r="AS1048" i="1"/>
  <c r="AR1048" i="1"/>
  <c r="AJ1048" i="1"/>
  <c r="AI1048" i="1"/>
  <c r="AA1048" i="1"/>
  <c r="Z1048" i="1"/>
  <c r="Q1048" i="1"/>
  <c r="P1048" i="1"/>
  <c r="AS1045" i="1"/>
  <c r="AR1045" i="1"/>
  <c r="AJ1045" i="1"/>
  <c r="AI1045" i="1"/>
  <c r="AA1045" i="1"/>
  <c r="Z1045" i="1"/>
  <c r="Q1045" i="1"/>
  <c r="P1045" i="1"/>
  <c r="AS1042" i="1"/>
  <c r="AR1042" i="1"/>
  <c r="AJ1042" i="1"/>
  <c r="AI1042" i="1"/>
  <c r="AA1042" i="1"/>
  <c r="Z1042" i="1"/>
  <c r="Q1042" i="1"/>
  <c r="P1042" i="1"/>
  <c r="AR1036" i="1"/>
  <c r="AI1036" i="1"/>
  <c r="AA1036" i="1"/>
  <c r="Z1036" i="1"/>
  <c r="Q1036" i="1"/>
  <c r="P1036" i="1"/>
  <c r="AS1033" i="1"/>
  <c r="AR1033" i="1"/>
  <c r="AJ1033" i="1"/>
  <c r="AI1033" i="1"/>
  <c r="AA1033" i="1"/>
  <c r="Z1033" i="1"/>
  <c r="Q1033" i="1"/>
  <c r="P1033" i="1"/>
  <c r="AS1027" i="1"/>
  <c r="AR1027" i="1"/>
  <c r="AJ1027" i="1"/>
  <c r="AI1027" i="1"/>
  <c r="AA1027" i="1"/>
  <c r="Z1027" i="1"/>
  <c r="Q1027" i="1"/>
  <c r="P1027" i="1"/>
  <c r="AS1024" i="1"/>
  <c r="AR1024" i="1"/>
  <c r="AJ1024" i="1"/>
  <c r="AI1024" i="1"/>
  <c r="AA1024" i="1"/>
  <c r="Z1024" i="1"/>
  <c r="Q1024" i="1"/>
  <c r="P1024" i="1"/>
  <c r="AS1018" i="1"/>
  <c r="AR1018" i="1"/>
  <c r="AJ1018" i="1"/>
  <c r="AI1018" i="1"/>
  <c r="AA1018" i="1"/>
  <c r="Z1018" i="1"/>
  <c r="Q1018" i="1"/>
  <c r="P1018" i="1"/>
  <c r="AS1015" i="1"/>
  <c r="AR1015" i="1"/>
  <c r="AJ1015" i="1"/>
  <c r="AI1015" i="1"/>
  <c r="AA1015" i="1"/>
  <c r="Z1015" i="1"/>
  <c r="Q1015" i="1"/>
  <c r="P1015" i="1"/>
  <c r="AS1009" i="1"/>
  <c r="AR1009" i="1"/>
  <c r="AJ1009" i="1"/>
  <c r="AI1009" i="1"/>
  <c r="AA1009" i="1"/>
  <c r="Z1009" i="1"/>
  <c r="Q1009" i="1"/>
  <c r="P1009" i="1"/>
  <c r="AS1006" i="1"/>
  <c r="AR1006" i="1"/>
  <c r="AJ1006" i="1"/>
  <c r="AI1006" i="1"/>
  <c r="AA1006" i="1"/>
  <c r="Z1006" i="1"/>
  <c r="Q1006" i="1"/>
  <c r="P1006" i="1"/>
  <c r="AS1003" i="1"/>
  <c r="AR1003" i="1"/>
  <c r="AJ1003" i="1"/>
  <c r="AI1003" i="1"/>
  <c r="AA1003" i="1"/>
  <c r="Z1003" i="1"/>
  <c r="Q1003" i="1"/>
  <c r="P1003" i="1"/>
  <c r="AS997" i="1"/>
  <c r="AR997" i="1"/>
  <c r="AJ997" i="1"/>
  <c r="AI997" i="1"/>
  <c r="AA997" i="1"/>
  <c r="Z997" i="1"/>
  <c r="Q997" i="1"/>
  <c r="P997" i="1"/>
  <c r="AS994" i="1"/>
  <c r="AR994" i="1"/>
  <c r="AJ994" i="1"/>
  <c r="AI994" i="1"/>
  <c r="AA994" i="1"/>
  <c r="Z994" i="1"/>
  <c r="Q994" i="1"/>
  <c r="P994" i="1"/>
  <c r="AS988" i="1"/>
  <c r="AR988" i="1"/>
  <c r="AJ988" i="1"/>
  <c r="AI988" i="1"/>
  <c r="AA988" i="1"/>
  <c r="Z988" i="1"/>
  <c r="Q988" i="1"/>
  <c r="P988" i="1"/>
  <c r="AR982" i="1"/>
  <c r="AI982" i="1"/>
  <c r="AA982" i="1"/>
  <c r="Z982" i="1"/>
  <c r="Q982" i="1"/>
  <c r="P982" i="1"/>
  <c r="AS979" i="1"/>
  <c r="AR979" i="1"/>
  <c r="AJ979" i="1"/>
  <c r="AI979" i="1"/>
  <c r="AA979" i="1"/>
  <c r="Z979" i="1"/>
  <c r="Q979" i="1"/>
  <c r="P979" i="1"/>
  <c r="AS973" i="1"/>
  <c r="AR973" i="1"/>
  <c r="AJ973" i="1"/>
  <c r="AI973" i="1"/>
  <c r="AA973" i="1"/>
  <c r="Z973" i="1"/>
  <c r="Q973" i="1"/>
  <c r="P973" i="1"/>
  <c r="AS967" i="1"/>
  <c r="AR967" i="1"/>
  <c r="AJ967" i="1"/>
  <c r="AI967" i="1"/>
  <c r="AA967" i="1"/>
  <c r="Z967" i="1"/>
  <c r="Q967" i="1"/>
  <c r="P967" i="1"/>
  <c r="AS964" i="1"/>
  <c r="AR964" i="1"/>
  <c r="AJ964" i="1"/>
  <c r="AI964" i="1"/>
  <c r="AA964" i="1"/>
  <c r="Z964" i="1"/>
  <c r="Q964" i="1"/>
  <c r="P964" i="1"/>
  <c r="AS958" i="1"/>
  <c r="AR958" i="1"/>
  <c r="AJ958" i="1"/>
  <c r="AI958" i="1"/>
  <c r="AA958" i="1"/>
  <c r="Z958" i="1"/>
  <c r="Q958" i="1"/>
  <c r="P958" i="1"/>
  <c r="AS955" i="1"/>
  <c r="AR955" i="1"/>
  <c r="AJ955" i="1"/>
  <c r="AI955" i="1"/>
  <c r="AA955" i="1"/>
  <c r="Z955" i="1"/>
  <c r="Q955" i="1"/>
  <c r="P955" i="1"/>
  <c r="AS949" i="1"/>
  <c r="AR949" i="1"/>
  <c r="AJ949" i="1"/>
  <c r="AI949" i="1"/>
  <c r="AA949" i="1"/>
  <c r="Z949" i="1"/>
  <c r="Q949" i="1"/>
  <c r="P949" i="1"/>
  <c r="AS946" i="1"/>
  <c r="AR946" i="1"/>
  <c r="AJ946" i="1"/>
  <c r="AI946" i="1"/>
  <c r="AA946" i="1"/>
  <c r="Z946" i="1"/>
  <c r="Q946" i="1"/>
  <c r="P946" i="1"/>
  <c r="AS943" i="1"/>
  <c r="AR943" i="1"/>
  <c r="AJ943" i="1"/>
  <c r="AI943" i="1"/>
  <c r="AA943" i="1"/>
  <c r="Z943" i="1"/>
  <c r="Q943" i="1"/>
  <c r="P943" i="1"/>
  <c r="AS940" i="1"/>
  <c r="AR940" i="1"/>
  <c r="AJ940" i="1"/>
  <c r="AI940" i="1"/>
  <c r="AA940" i="1"/>
  <c r="Z940" i="1"/>
  <c r="Q940" i="1"/>
  <c r="P940" i="1"/>
  <c r="AS934" i="1"/>
  <c r="AR934" i="1"/>
  <c r="AJ934" i="1"/>
  <c r="AI934" i="1"/>
  <c r="AA934" i="1"/>
  <c r="Z934" i="1"/>
  <c r="Q934" i="1"/>
  <c r="P934" i="1"/>
  <c r="AS931" i="1"/>
  <c r="AR931" i="1"/>
  <c r="AJ931" i="1"/>
  <c r="AI931" i="1"/>
  <c r="AA931" i="1"/>
  <c r="Z931" i="1"/>
  <c r="Q931" i="1"/>
  <c r="P931" i="1"/>
  <c r="AS928" i="1"/>
  <c r="AR928" i="1"/>
  <c r="AJ928" i="1"/>
  <c r="AI928" i="1"/>
  <c r="AA928" i="1"/>
  <c r="Z928" i="1"/>
  <c r="Q928" i="1"/>
  <c r="P928" i="1"/>
  <c r="AS922" i="1"/>
  <c r="AR922" i="1"/>
  <c r="AJ922" i="1"/>
  <c r="AI922" i="1"/>
  <c r="AA922" i="1"/>
  <c r="Z922" i="1"/>
  <c r="Q922" i="1"/>
  <c r="P922" i="1"/>
  <c r="AS919" i="1"/>
  <c r="AR919" i="1"/>
  <c r="AJ919" i="1"/>
  <c r="AI919" i="1"/>
  <c r="AA919" i="1"/>
  <c r="Z919" i="1"/>
  <c r="Q919" i="1"/>
  <c r="P919" i="1"/>
  <c r="AS916" i="1"/>
  <c r="AR916" i="1"/>
  <c r="AJ916" i="1"/>
  <c r="AI916" i="1"/>
  <c r="AA916" i="1"/>
  <c r="Z916" i="1"/>
  <c r="Q916" i="1"/>
  <c r="P916" i="1"/>
  <c r="AS910" i="1"/>
  <c r="AR910" i="1"/>
  <c r="AJ910" i="1"/>
  <c r="AI910" i="1"/>
  <c r="AA910" i="1"/>
  <c r="Z910" i="1"/>
  <c r="Q910" i="1"/>
  <c r="P910" i="1"/>
  <c r="AS907" i="1"/>
  <c r="AR907" i="1"/>
  <c r="AJ907" i="1"/>
  <c r="AI907" i="1"/>
  <c r="AA907" i="1"/>
  <c r="Z907" i="1"/>
  <c r="Q907" i="1"/>
  <c r="P907" i="1"/>
  <c r="AS901" i="1"/>
  <c r="AR901" i="1"/>
  <c r="AJ901" i="1"/>
  <c r="AI901" i="1"/>
  <c r="AA901" i="1"/>
  <c r="Z901" i="1"/>
  <c r="Q901" i="1"/>
  <c r="P901" i="1"/>
  <c r="AS898" i="1"/>
  <c r="AR898" i="1"/>
  <c r="AJ898" i="1"/>
  <c r="AI898" i="1"/>
  <c r="AA898" i="1"/>
  <c r="Z898" i="1"/>
  <c r="Q898" i="1"/>
  <c r="P898" i="1"/>
  <c r="AS892" i="1"/>
  <c r="AR892" i="1"/>
  <c r="AJ892" i="1"/>
  <c r="AI892" i="1"/>
  <c r="AA892" i="1"/>
  <c r="Z892" i="1"/>
  <c r="Q892" i="1"/>
  <c r="P892" i="1"/>
  <c r="AS889" i="1"/>
  <c r="AR889" i="1"/>
  <c r="AJ889" i="1"/>
  <c r="AI889" i="1"/>
  <c r="AA889" i="1"/>
  <c r="Z889" i="1"/>
  <c r="Q889" i="1"/>
  <c r="P889" i="1"/>
  <c r="AS883" i="1"/>
  <c r="AR883" i="1"/>
  <c r="AJ883" i="1"/>
  <c r="AI883" i="1"/>
  <c r="AA883" i="1"/>
  <c r="Z883" i="1"/>
  <c r="Q883" i="1"/>
  <c r="P883" i="1"/>
  <c r="AS880" i="1"/>
  <c r="AR880" i="1"/>
  <c r="AJ880" i="1"/>
  <c r="AI880" i="1"/>
  <c r="AA880" i="1"/>
  <c r="Z880" i="1"/>
  <c r="Q880" i="1"/>
  <c r="P880" i="1"/>
  <c r="AS874" i="1"/>
  <c r="AR874" i="1"/>
  <c r="AJ874" i="1"/>
  <c r="AI874" i="1"/>
  <c r="AA874" i="1"/>
  <c r="Z874" i="1"/>
  <c r="Q874" i="1"/>
  <c r="P874" i="1"/>
  <c r="AS871" i="1"/>
  <c r="AR871" i="1"/>
  <c r="AJ871" i="1"/>
  <c r="AI871" i="1"/>
  <c r="AA871" i="1"/>
  <c r="Z871" i="1"/>
  <c r="Q871" i="1"/>
  <c r="P871" i="1"/>
  <c r="AS865" i="1"/>
  <c r="AR865" i="1"/>
  <c r="AJ865" i="1"/>
  <c r="AI865" i="1"/>
  <c r="AA865" i="1"/>
  <c r="Z865" i="1"/>
  <c r="Q865" i="1"/>
  <c r="P865" i="1"/>
  <c r="AS862" i="1"/>
  <c r="AR862" i="1"/>
  <c r="AJ862" i="1"/>
  <c r="AI862" i="1"/>
  <c r="AA862" i="1"/>
  <c r="Z862" i="1"/>
  <c r="Q862" i="1"/>
  <c r="P862" i="1"/>
  <c r="AS859" i="1"/>
  <c r="AR859" i="1"/>
  <c r="AJ859" i="1"/>
  <c r="AI859" i="1"/>
  <c r="AA859" i="1"/>
  <c r="Z859" i="1"/>
  <c r="Q859" i="1"/>
  <c r="P859" i="1"/>
  <c r="AS856" i="1"/>
  <c r="AR856" i="1"/>
  <c r="AJ856" i="1"/>
  <c r="AI856" i="1"/>
  <c r="AA856" i="1"/>
  <c r="Z856" i="1"/>
  <c r="Q856" i="1"/>
  <c r="P856" i="1"/>
  <c r="AS853" i="1"/>
  <c r="AR853" i="1"/>
  <c r="AJ853" i="1"/>
  <c r="AI853" i="1"/>
  <c r="AA853" i="1"/>
  <c r="Z853" i="1"/>
  <c r="Q853" i="1"/>
  <c r="P853" i="1"/>
  <c r="AS847" i="1"/>
  <c r="AR847" i="1"/>
  <c r="AJ847" i="1"/>
  <c r="AI847" i="1"/>
  <c r="AA847" i="1"/>
  <c r="Z847" i="1"/>
  <c r="Q847" i="1"/>
  <c r="P847" i="1"/>
  <c r="AS844" i="1"/>
  <c r="AR844" i="1"/>
  <c r="AJ844" i="1"/>
  <c r="AI844" i="1"/>
  <c r="AA844" i="1"/>
  <c r="Z844" i="1"/>
  <c r="Q844" i="1"/>
  <c r="P844" i="1"/>
  <c r="AS841" i="1"/>
  <c r="AR841" i="1"/>
  <c r="AJ841" i="1"/>
  <c r="AI841" i="1"/>
  <c r="AA841" i="1"/>
  <c r="Z841" i="1"/>
  <c r="Q841" i="1"/>
  <c r="P841" i="1"/>
  <c r="AS835" i="1"/>
  <c r="AR835" i="1"/>
  <c r="AJ835" i="1"/>
  <c r="AI835" i="1"/>
  <c r="AA835" i="1"/>
  <c r="Z835" i="1"/>
  <c r="Q835" i="1"/>
  <c r="P835" i="1"/>
  <c r="AS832" i="1"/>
  <c r="AR832" i="1"/>
  <c r="AJ832" i="1"/>
  <c r="AI832" i="1"/>
  <c r="AA832" i="1"/>
  <c r="Z832" i="1"/>
  <c r="Q832" i="1"/>
  <c r="P832" i="1"/>
  <c r="AS829" i="1"/>
  <c r="AR829" i="1"/>
  <c r="AJ829" i="1"/>
  <c r="AI829" i="1"/>
  <c r="AA829" i="1"/>
  <c r="Z829" i="1"/>
  <c r="Q829" i="1"/>
  <c r="P829" i="1"/>
  <c r="AS826" i="1"/>
  <c r="AR826" i="1"/>
  <c r="AJ826" i="1"/>
  <c r="AI826" i="1"/>
  <c r="AA826" i="1"/>
  <c r="Z826" i="1"/>
  <c r="Q826" i="1"/>
  <c r="P826" i="1"/>
  <c r="AS820" i="1"/>
  <c r="AR820" i="1"/>
  <c r="AJ820" i="1"/>
  <c r="AI820" i="1"/>
  <c r="AA820" i="1"/>
  <c r="Z820" i="1"/>
  <c r="Q820" i="1"/>
  <c r="P820" i="1"/>
  <c r="AS817" i="1"/>
  <c r="AR817" i="1"/>
  <c r="AJ817" i="1"/>
  <c r="AI817" i="1"/>
  <c r="AA817" i="1"/>
  <c r="Z817" i="1"/>
  <c r="Q817" i="1"/>
  <c r="P817" i="1"/>
  <c r="AS814" i="1"/>
  <c r="AR814" i="1"/>
  <c r="AJ814" i="1"/>
  <c r="AI814" i="1"/>
  <c r="AA814" i="1"/>
  <c r="Z814" i="1"/>
  <c r="Q814" i="1"/>
  <c r="P814" i="1"/>
  <c r="AS811" i="1"/>
  <c r="AR811" i="1"/>
  <c r="AJ811" i="1"/>
  <c r="AI811" i="1"/>
  <c r="AA811" i="1"/>
  <c r="Z811" i="1"/>
  <c r="Q811" i="1"/>
  <c r="P811" i="1"/>
  <c r="AR805" i="1"/>
  <c r="AI805" i="1"/>
  <c r="AA805" i="1"/>
  <c r="Z805" i="1"/>
  <c r="Q805" i="1"/>
  <c r="P805" i="1"/>
  <c r="AS802" i="1"/>
  <c r="AR802" i="1"/>
  <c r="AJ802" i="1"/>
  <c r="AI802" i="1"/>
  <c r="AA802" i="1"/>
  <c r="Z802" i="1"/>
  <c r="Q802" i="1"/>
  <c r="P802" i="1"/>
  <c r="AS796" i="1"/>
  <c r="AR796" i="1"/>
  <c r="AJ796" i="1"/>
  <c r="AI796" i="1"/>
  <c r="AA796" i="1"/>
  <c r="Z796" i="1"/>
  <c r="Q796" i="1"/>
  <c r="P796" i="1"/>
  <c r="AS793" i="1"/>
  <c r="AR793" i="1"/>
  <c r="AJ793" i="1"/>
  <c r="AI793" i="1"/>
  <c r="AA793" i="1"/>
  <c r="Z793" i="1"/>
  <c r="Q793" i="1"/>
  <c r="P793" i="1"/>
  <c r="AS790" i="1"/>
  <c r="AR790" i="1"/>
  <c r="AJ790" i="1"/>
  <c r="AI790" i="1"/>
  <c r="AA790" i="1"/>
  <c r="Z790" i="1"/>
  <c r="Q790" i="1"/>
  <c r="P790" i="1"/>
  <c r="AS784" i="1"/>
  <c r="AR784" i="1"/>
  <c r="AJ784" i="1"/>
  <c r="AI784" i="1"/>
  <c r="AA784" i="1"/>
  <c r="Z784" i="1"/>
  <c r="Q784" i="1"/>
  <c r="P784" i="1"/>
  <c r="AS778" i="1"/>
  <c r="AR778" i="1"/>
  <c r="AJ778" i="1"/>
  <c r="AI778" i="1"/>
  <c r="AA778" i="1"/>
  <c r="Z778" i="1"/>
  <c r="Q778" i="1"/>
  <c r="P778" i="1"/>
  <c r="AS772" i="1"/>
  <c r="AR772" i="1"/>
  <c r="AJ772" i="1"/>
  <c r="AI772" i="1"/>
  <c r="AA772" i="1"/>
  <c r="Z772" i="1"/>
  <c r="Q772" i="1"/>
  <c r="P772" i="1"/>
  <c r="AS769" i="1"/>
  <c r="AR769" i="1"/>
  <c r="AJ769" i="1"/>
  <c r="AI769" i="1"/>
  <c r="AA769" i="1"/>
  <c r="Z769" i="1"/>
  <c r="Q769" i="1"/>
  <c r="P769" i="1"/>
  <c r="AS763" i="1"/>
  <c r="AR763" i="1"/>
  <c r="AJ763" i="1"/>
  <c r="AI763" i="1"/>
  <c r="AA763" i="1"/>
  <c r="Z763" i="1"/>
  <c r="Q763" i="1"/>
  <c r="P763" i="1"/>
  <c r="AS757" i="1"/>
  <c r="AR757" i="1"/>
  <c r="AJ757" i="1"/>
  <c r="AI757" i="1"/>
  <c r="AA757" i="1"/>
  <c r="Z757" i="1"/>
  <c r="Q757" i="1"/>
  <c r="P757" i="1"/>
  <c r="AS751" i="1"/>
  <c r="AR751" i="1"/>
  <c r="AJ751" i="1"/>
  <c r="AI751" i="1"/>
  <c r="AA751" i="1"/>
  <c r="Z751" i="1"/>
  <c r="Q751" i="1"/>
  <c r="P751" i="1"/>
  <c r="AS748" i="1"/>
  <c r="AR748" i="1"/>
  <c r="AJ748" i="1"/>
  <c r="AI748" i="1"/>
  <c r="AA748" i="1"/>
  <c r="Z748" i="1"/>
  <c r="Q748" i="1"/>
  <c r="P748" i="1"/>
  <c r="AS745" i="1"/>
  <c r="AR745" i="1"/>
  <c r="AJ745" i="1"/>
  <c r="AI745" i="1"/>
  <c r="AA745" i="1"/>
  <c r="Z745" i="1"/>
  <c r="Q745" i="1"/>
  <c r="P745" i="1"/>
  <c r="AS739" i="1"/>
  <c r="AR739" i="1"/>
  <c r="AJ739" i="1"/>
  <c r="AI739" i="1"/>
  <c r="AA739" i="1"/>
  <c r="Z739" i="1"/>
  <c r="Q739" i="1"/>
  <c r="P739" i="1"/>
  <c r="AS736" i="1"/>
  <c r="AR736" i="1"/>
  <c r="AJ736" i="1"/>
  <c r="AI736" i="1"/>
  <c r="AA736" i="1"/>
  <c r="Z736" i="1"/>
  <c r="Q736" i="1"/>
  <c r="P736" i="1"/>
  <c r="AS730" i="1"/>
  <c r="AR730" i="1"/>
  <c r="AJ730" i="1"/>
  <c r="AI730" i="1"/>
  <c r="AA730" i="1"/>
  <c r="Z730" i="1"/>
  <c r="Q730" i="1"/>
  <c r="P730" i="1"/>
  <c r="AS727" i="1"/>
  <c r="AR727" i="1"/>
  <c r="AJ727" i="1"/>
  <c r="AI727" i="1"/>
  <c r="AA727" i="1"/>
  <c r="Z727" i="1"/>
  <c r="Q727" i="1"/>
  <c r="P727" i="1"/>
  <c r="AS721" i="1"/>
  <c r="AR721" i="1"/>
  <c r="AJ721" i="1"/>
  <c r="AI721" i="1"/>
  <c r="AA721" i="1"/>
  <c r="Z721" i="1"/>
  <c r="Q721" i="1"/>
  <c r="P721" i="1"/>
  <c r="AS718" i="1"/>
  <c r="AR718" i="1"/>
  <c r="AJ718" i="1"/>
  <c r="AI718" i="1"/>
  <c r="AA718" i="1"/>
  <c r="Z718" i="1"/>
  <c r="Q718" i="1"/>
  <c r="P718" i="1"/>
  <c r="AS715" i="1"/>
  <c r="AR715" i="1"/>
  <c r="AJ715" i="1"/>
  <c r="AI715" i="1"/>
  <c r="AA715" i="1"/>
  <c r="Z715" i="1"/>
  <c r="Q715" i="1"/>
  <c r="P715" i="1"/>
  <c r="AS709" i="1"/>
  <c r="AR709" i="1"/>
  <c r="AJ709" i="1"/>
  <c r="AI709" i="1"/>
  <c r="AA709" i="1"/>
  <c r="Z709" i="1"/>
  <c r="Q709" i="1"/>
  <c r="P709" i="1"/>
  <c r="AS706" i="1"/>
  <c r="AR706" i="1"/>
  <c r="AJ706" i="1"/>
  <c r="AI706" i="1"/>
  <c r="AA706" i="1"/>
  <c r="Z706" i="1"/>
  <c r="Q706" i="1"/>
  <c r="P706" i="1"/>
  <c r="AS703" i="1"/>
  <c r="AR703" i="1"/>
  <c r="AJ703" i="1"/>
  <c r="AI703" i="1"/>
  <c r="AA703" i="1"/>
  <c r="Z703" i="1"/>
  <c r="Q703" i="1"/>
  <c r="P703" i="1"/>
  <c r="AS700" i="1"/>
  <c r="AR700" i="1"/>
  <c r="AJ700" i="1"/>
  <c r="AI700" i="1"/>
  <c r="AA700" i="1"/>
  <c r="Z700" i="1"/>
  <c r="Q700" i="1"/>
  <c r="P700" i="1"/>
  <c r="AS697" i="1"/>
  <c r="AR697" i="1"/>
  <c r="AJ697" i="1"/>
  <c r="AI697" i="1"/>
  <c r="AA697" i="1"/>
  <c r="Z697" i="1"/>
  <c r="Q697" i="1"/>
  <c r="P697" i="1"/>
  <c r="AS691" i="1"/>
  <c r="AR691" i="1"/>
  <c r="AJ691" i="1"/>
  <c r="AI691" i="1"/>
  <c r="AA691" i="1"/>
  <c r="Z691" i="1"/>
  <c r="Q691" i="1"/>
  <c r="P691" i="1"/>
  <c r="AS688" i="1"/>
  <c r="AR688" i="1"/>
  <c r="AJ688" i="1"/>
  <c r="AI688" i="1"/>
  <c r="AA688" i="1"/>
  <c r="Z688" i="1"/>
  <c r="Q688" i="1"/>
  <c r="P688" i="1"/>
  <c r="AS682" i="1"/>
  <c r="AR682" i="1"/>
  <c r="AJ682" i="1"/>
  <c r="AI682" i="1"/>
  <c r="AA682" i="1"/>
  <c r="Z682" i="1"/>
  <c r="Q682" i="1"/>
  <c r="P682" i="1"/>
  <c r="AS679" i="1"/>
  <c r="AR679" i="1"/>
  <c r="AJ679" i="1"/>
  <c r="AI679" i="1"/>
  <c r="AA679" i="1"/>
  <c r="Z679" i="1"/>
  <c r="Q679" i="1"/>
  <c r="P679" i="1"/>
  <c r="AS673" i="1"/>
  <c r="AR673" i="1"/>
  <c r="AJ673" i="1"/>
  <c r="AI673" i="1"/>
  <c r="AA673" i="1"/>
  <c r="Z673" i="1"/>
  <c r="Q673" i="1"/>
  <c r="P673" i="1"/>
  <c r="AS670" i="1"/>
  <c r="AR670" i="1"/>
  <c r="AJ670" i="1"/>
  <c r="AI670" i="1"/>
  <c r="AA670" i="1"/>
  <c r="Z670" i="1"/>
  <c r="Q670" i="1"/>
  <c r="P670" i="1"/>
  <c r="AS664" i="1"/>
  <c r="AR664" i="1"/>
  <c r="AJ664" i="1"/>
  <c r="AI664" i="1"/>
  <c r="AA664" i="1"/>
  <c r="Z664" i="1"/>
  <c r="Q664" i="1"/>
  <c r="P664" i="1"/>
  <c r="AS661" i="1"/>
  <c r="AR661" i="1"/>
  <c r="AJ661" i="1"/>
  <c r="AI661" i="1"/>
  <c r="AA661" i="1"/>
  <c r="Z661" i="1"/>
  <c r="Q661" i="1"/>
  <c r="P661" i="1"/>
  <c r="AS658" i="1"/>
  <c r="AR658" i="1"/>
  <c r="AJ658" i="1"/>
  <c r="AI658" i="1"/>
  <c r="AA658" i="1"/>
  <c r="Z658" i="1"/>
  <c r="Q658" i="1"/>
  <c r="P658" i="1"/>
  <c r="AS655" i="1"/>
  <c r="AR655" i="1"/>
  <c r="AJ655" i="1"/>
  <c r="AI655" i="1"/>
  <c r="AA655" i="1"/>
  <c r="Z655" i="1"/>
  <c r="Q655" i="1"/>
  <c r="P655" i="1"/>
  <c r="AR649" i="1"/>
  <c r="AI649" i="1"/>
  <c r="AA649" i="1"/>
  <c r="Z649" i="1"/>
  <c r="Q649" i="1"/>
  <c r="P649" i="1"/>
  <c r="AS646" i="1"/>
  <c r="AR646" i="1"/>
  <c r="AJ646" i="1"/>
  <c r="AI646" i="1"/>
  <c r="AA646" i="1"/>
  <c r="Z646" i="1"/>
  <c r="Q646" i="1"/>
  <c r="P646" i="1"/>
  <c r="AS643" i="1"/>
  <c r="AR643" i="1"/>
  <c r="AJ643" i="1"/>
  <c r="AI643" i="1"/>
  <c r="AA643" i="1"/>
  <c r="Z643" i="1"/>
  <c r="Q643" i="1"/>
  <c r="P643" i="1"/>
  <c r="AS637" i="1"/>
  <c r="AR637" i="1"/>
  <c r="AJ637" i="1"/>
  <c r="AI637" i="1"/>
  <c r="AA637" i="1"/>
  <c r="Z637" i="1"/>
  <c r="Q637" i="1"/>
  <c r="P637" i="1"/>
  <c r="AS631" i="1"/>
  <c r="AR631" i="1"/>
  <c r="AJ631" i="1"/>
  <c r="AI631" i="1"/>
  <c r="AA631" i="1"/>
  <c r="Z631" i="1"/>
  <c r="Q631" i="1"/>
  <c r="P631" i="1"/>
  <c r="AS628" i="1"/>
  <c r="AR628" i="1"/>
  <c r="AJ628" i="1"/>
  <c r="AI628" i="1"/>
  <c r="AA628" i="1"/>
  <c r="Z628" i="1"/>
  <c r="Q628" i="1"/>
  <c r="P628" i="1"/>
  <c r="AS625" i="1"/>
  <c r="AR625" i="1"/>
  <c r="AJ625" i="1"/>
  <c r="AI625" i="1"/>
  <c r="AA625" i="1"/>
  <c r="Z625" i="1"/>
  <c r="Q625" i="1"/>
  <c r="P625" i="1"/>
  <c r="AS622" i="1"/>
  <c r="AR622" i="1"/>
  <c r="AJ622" i="1"/>
  <c r="AI622" i="1"/>
  <c r="AA622" i="1"/>
  <c r="Z622" i="1"/>
  <c r="Q622" i="1"/>
  <c r="P622" i="1"/>
  <c r="AS619" i="1"/>
  <c r="AR619" i="1"/>
  <c r="AJ619" i="1"/>
  <c r="AI619" i="1"/>
  <c r="AA619" i="1"/>
  <c r="Z619" i="1"/>
  <c r="Q619" i="1"/>
  <c r="P619" i="1"/>
  <c r="AS613" i="1"/>
  <c r="AR613" i="1"/>
  <c r="AJ613" i="1"/>
  <c r="AI613" i="1"/>
  <c r="AA613" i="1"/>
  <c r="Z613" i="1"/>
  <c r="Q613" i="1"/>
  <c r="P613" i="1"/>
  <c r="AS610" i="1"/>
  <c r="AR610" i="1"/>
  <c r="AJ610" i="1"/>
  <c r="AI610" i="1"/>
  <c r="AA610" i="1"/>
  <c r="Z610" i="1"/>
  <c r="Q610" i="1"/>
  <c r="P610" i="1"/>
  <c r="AS607" i="1"/>
  <c r="AR607" i="1"/>
  <c r="AJ607" i="1"/>
  <c r="AI607" i="1"/>
  <c r="AA607" i="1"/>
  <c r="Z607" i="1"/>
  <c r="Q607" i="1"/>
  <c r="P607" i="1"/>
  <c r="AS604" i="1"/>
  <c r="AR604" i="1"/>
  <c r="AJ604" i="1"/>
  <c r="AI604" i="1"/>
  <c r="AA604" i="1"/>
  <c r="Z604" i="1"/>
  <c r="Q604" i="1"/>
  <c r="P604" i="1"/>
  <c r="AS598" i="1"/>
  <c r="AR598" i="1"/>
  <c r="AJ598" i="1"/>
  <c r="AI598" i="1"/>
  <c r="AA598" i="1"/>
  <c r="Z598" i="1"/>
  <c r="Q598" i="1"/>
  <c r="P598" i="1"/>
  <c r="AS595" i="1"/>
  <c r="AR595" i="1"/>
  <c r="AJ595" i="1"/>
  <c r="AI595" i="1"/>
  <c r="AA595" i="1"/>
  <c r="Z595" i="1"/>
  <c r="Q595" i="1"/>
  <c r="P595" i="1"/>
  <c r="AS592" i="1"/>
  <c r="AR592" i="1"/>
  <c r="AJ592" i="1"/>
  <c r="AI592" i="1"/>
  <c r="AA592" i="1"/>
  <c r="Z592" i="1"/>
  <c r="Q592" i="1"/>
  <c r="P592" i="1"/>
  <c r="AS589" i="1"/>
  <c r="AR589" i="1"/>
  <c r="AJ589" i="1"/>
  <c r="AI589" i="1"/>
  <c r="AA589" i="1"/>
  <c r="Z589" i="1"/>
  <c r="Q589" i="1"/>
  <c r="P589" i="1"/>
  <c r="AS586" i="1"/>
  <c r="AR586" i="1"/>
  <c r="AJ586" i="1"/>
  <c r="AI586" i="1"/>
  <c r="AA586" i="1"/>
  <c r="Z586" i="1"/>
  <c r="Q586" i="1"/>
  <c r="P586" i="1"/>
  <c r="AS583" i="1"/>
  <c r="AR583" i="1"/>
  <c r="AJ583" i="1"/>
  <c r="AI583" i="1"/>
  <c r="AA583" i="1"/>
  <c r="Z583" i="1"/>
  <c r="Q583" i="1"/>
  <c r="P583" i="1"/>
  <c r="AS577" i="1"/>
  <c r="AR577" i="1"/>
  <c r="AJ577" i="1"/>
  <c r="AI577" i="1"/>
  <c r="AA577" i="1"/>
  <c r="Z577" i="1"/>
  <c r="Q577" i="1"/>
  <c r="P577" i="1"/>
  <c r="AS571" i="1"/>
  <c r="AR571" i="1"/>
  <c r="AJ571" i="1"/>
  <c r="AI571" i="1"/>
  <c r="AA571" i="1"/>
  <c r="Z571" i="1"/>
  <c r="Q571" i="1"/>
  <c r="P571" i="1"/>
  <c r="AS568" i="1"/>
  <c r="AR568" i="1"/>
  <c r="AJ568" i="1"/>
  <c r="AI568" i="1"/>
  <c r="AA568" i="1"/>
  <c r="Z568" i="1"/>
  <c r="Q568" i="1"/>
  <c r="P568" i="1"/>
  <c r="AS565" i="1"/>
  <c r="AR565" i="1"/>
  <c r="AJ565" i="1"/>
  <c r="AI565" i="1"/>
  <c r="AA565" i="1"/>
  <c r="Z565" i="1"/>
  <c r="Q565" i="1"/>
  <c r="P565" i="1"/>
  <c r="AS559" i="1"/>
  <c r="AR559" i="1"/>
  <c r="AJ559" i="1"/>
  <c r="AI559" i="1"/>
  <c r="AA559" i="1"/>
  <c r="Z559" i="1"/>
  <c r="Q559" i="1"/>
  <c r="P559" i="1"/>
  <c r="AS556" i="1"/>
  <c r="AR556" i="1"/>
  <c r="AJ556" i="1"/>
  <c r="AI556" i="1"/>
  <c r="AA556" i="1"/>
  <c r="Z556" i="1"/>
  <c r="Q556" i="1"/>
  <c r="P556" i="1"/>
  <c r="AS553" i="1"/>
  <c r="AR553" i="1"/>
  <c r="AJ553" i="1"/>
  <c r="AI553" i="1"/>
  <c r="AA553" i="1"/>
  <c r="Z553" i="1"/>
  <c r="Q553" i="1"/>
  <c r="P553" i="1"/>
  <c r="AS550" i="1"/>
  <c r="AR550" i="1"/>
  <c r="AJ550" i="1"/>
  <c r="AI550" i="1"/>
  <c r="AA550" i="1"/>
  <c r="Z550" i="1"/>
  <c r="Q550" i="1"/>
  <c r="P550" i="1"/>
  <c r="AS547" i="1"/>
  <c r="AR547" i="1"/>
  <c r="AJ547" i="1"/>
  <c r="AI547" i="1"/>
  <c r="AA547" i="1"/>
  <c r="Z547" i="1"/>
  <c r="Q547" i="1"/>
  <c r="P547" i="1"/>
  <c r="AS541" i="1"/>
  <c r="AR541" i="1"/>
  <c r="AJ541" i="1"/>
  <c r="AI541" i="1"/>
  <c r="AA541" i="1"/>
  <c r="Z541" i="1"/>
  <c r="Q541" i="1"/>
  <c r="P541" i="1"/>
  <c r="AS538" i="1"/>
  <c r="AR538" i="1"/>
  <c r="AJ538" i="1"/>
  <c r="AI538" i="1"/>
  <c r="AA538" i="1"/>
  <c r="Z538" i="1"/>
  <c r="Q538" i="1"/>
  <c r="P538" i="1"/>
  <c r="AS535" i="1"/>
  <c r="AR535" i="1"/>
  <c r="AJ535" i="1"/>
  <c r="AI535" i="1"/>
  <c r="AA535" i="1"/>
  <c r="Z535" i="1"/>
  <c r="Q535" i="1"/>
  <c r="P535" i="1"/>
  <c r="AS529" i="1"/>
  <c r="AR529" i="1"/>
  <c r="AJ529" i="1"/>
  <c r="AI529" i="1"/>
  <c r="AA529" i="1"/>
  <c r="Z529" i="1"/>
  <c r="Q529" i="1"/>
  <c r="P529" i="1"/>
  <c r="AS526" i="1"/>
  <c r="AR526" i="1"/>
  <c r="AJ526" i="1"/>
  <c r="AI526" i="1"/>
  <c r="AA526" i="1"/>
  <c r="Z526" i="1"/>
  <c r="Q526" i="1"/>
  <c r="P526" i="1"/>
  <c r="AS523" i="1"/>
  <c r="AR523" i="1"/>
  <c r="AJ523" i="1"/>
  <c r="AI523" i="1"/>
  <c r="AA523" i="1"/>
  <c r="Z523" i="1"/>
  <c r="Q523" i="1"/>
  <c r="P523" i="1"/>
  <c r="AS517" i="1"/>
  <c r="AR517" i="1"/>
  <c r="AJ517" i="1"/>
  <c r="AI517" i="1"/>
  <c r="AA517" i="1"/>
  <c r="Z517" i="1"/>
  <c r="Q517" i="1"/>
  <c r="P517" i="1"/>
  <c r="AS514" i="1"/>
  <c r="AR514" i="1"/>
  <c r="AJ514" i="1"/>
  <c r="AI514" i="1"/>
  <c r="AA514" i="1"/>
  <c r="Z514" i="1"/>
  <c r="Q514" i="1"/>
  <c r="P514" i="1"/>
  <c r="AS508" i="1"/>
  <c r="AR508" i="1"/>
  <c r="AJ508" i="1"/>
  <c r="AI508" i="1"/>
  <c r="AA508" i="1"/>
  <c r="Z508" i="1"/>
  <c r="Q508" i="1"/>
  <c r="P508" i="1"/>
  <c r="AS505" i="1"/>
  <c r="AR505" i="1"/>
  <c r="AJ505" i="1"/>
  <c r="AI505" i="1"/>
  <c r="AA505" i="1"/>
  <c r="Z505" i="1"/>
  <c r="Q505" i="1"/>
  <c r="P505" i="1"/>
  <c r="AS499" i="1"/>
  <c r="AR499" i="1"/>
  <c r="AJ499" i="1"/>
  <c r="AI499" i="1"/>
  <c r="AA499" i="1"/>
  <c r="Z499" i="1"/>
  <c r="Q499" i="1"/>
  <c r="P499" i="1"/>
  <c r="AS496" i="1"/>
  <c r="AR496" i="1"/>
  <c r="AJ496" i="1"/>
  <c r="AI496" i="1"/>
  <c r="AA496" i="1"/>
  <c r="Z496" i="1"/>
  <c r="Q496" i="1"/>
  <c r="P496" i="1"/>
  <c r="AS493" i="1"/>
  <c r="AR493" i="1"/>
  <c r="AJ493" i="1"/>
  <c r="AI493" i="1"/>
  <c r="AA493" i="1"/>
  <c r="Z493" i="1"/>
  <c r="Q493" i="1"/>
  <c r="P493" i="1"/>
  <c r="AS490" i="1"/>
  <c r="AR490" i="1"/>
  <c r="AJ490" i="1"/>
  <c r="AI490" i="1"/>
  <c r="AA490" i="1"/>
  <c r="Z490" i="1"/>
  <c r="Q490" i="1"/>
  <c r="P490" i="1"/>
  <c r="AS484" i="1"/>
  <c r="AR484" i="1"/>
  <c r="AJ484" i="1"/>
  <c r="AI484" i="1"/>
  <c r="AA484" i="1"/>
  <c r="Z484" i="1"/>
  <c r="Q484" i="1"/>
  <c r="P484" i="1"/>
  <c r="AS481" i="1"/>
  <c r="AR481" i="1"/>
  <c r="AJ481" i="1"/>
  <c r="AI481" i="1"/>
  <c r="AA481" i="1"/>
  <c r="Z481" i="1"/>
  <c r="Q481" i="1"/>
  <c r="P481" i="1"/>
  <c r="AS478" i="1"/>
  <c r="AR478" i="1"/>
  <c r="AJ478" i="1"/>
  <c r="AI478" i="1"/>
  <c r="AA478" i="1"/>
  <c r="Z478" i="1"/>
  <c r="Q478" i="1"/>
  <c r="P478" i="1"/>
  <c r="AS472" i="1"/>
  <c r="AR472" i="1"/>
  <c r="AJ472" i="1"/>
  <c r="AI472" i="1"/>
  <c r="AA472" i="1"/>
  <c r="Z472" i="1"/>
  <c r="Q472" i="1"/>
  <c r="P472" i="1"/>
  <c r="AS469" i="1"/>
  <c r="AR469" i="1"/>
  <c r="AJ469" i="1"/>
  <c r="AI469" i="1"/>
  <c r="AA469" i="1"/>
  <c r="Z469" i="1"/>
  <c r="Q469" i="1"/>
  <c r="P469" i="1"/>
  <c r="AS466" i="1"/>
  <c r="AR466" i="1"/>
  <c r="AJ466" i="1"/>
  <c r="AI466" i="1"/>
  <c r="AA466" i="1"/>
  <c r="Z466" i="1"/>
  <c r="Q466" i="1"/>
  <c r="P466" i="1"/>
  <c r="AS460" i="1"/>
  <c r="AR460" i="1"/>
  <c r="AJ460" i="1"/>
  <c r="AI460" i="1"/>
  <c r="AA460" i="1"/>
  <c r="Z460" i="1"/>
  <c r="Q460" i="1"/>
  <c r="P460" i="1"/>
  <c r="AR454" i="1"/>
  <c r="AI454" i="1"/>
  <c r="AA454" i="1"/>
  <c r="Z454" i="1"/>
  <c r="Q454" i="1"/>
  <c r="P454" i="1"/>
  <c r="AS451" i="1"/>
  <c r="AR451" i="1"/>
  <c r="AJ451" i="1"/>
  <c r="AI451" i="1"/>
  <c r="AA451" i="1"/>
  <c r="Z451" i="1"/>
  <c r="Q451" i="1"/>
  <c r="P451" i="1"/>
  <c r="AS448" i="1"/>
  <c r="AR448" i="1"/>
  <c r="AJ448" i="1"/>
  <c r="AI448" i="1"/>
  <c r="AA448" i="1"/>
  <c r="Z448" i="1"/>
  <c r="Q448" i="1"/>
  <c r="P448" i="1"/>
  <c r="AS442" i="1"/>
  <c r="AR442" i="1"/>
  <c r="AJ442" i="1"/>
  <c r="AI442" i="1"/>
  <c r="AA442" i="1"/>
  <c r="Z442" i="1"/>
  <c r="Q442" i="1"/>
  <c r="P442" i="1"/>
  <c r="AS439" i="1"/>
  <c r="AR439" i="1"/>
  <c r="AJ439" i="1"/>
  <c r="AI439" i="1"/>
  <c r="AA439" i="1"/>
  <c r="Z439" i="1"/>
  <c r="Q439" i="1"/>
  <c r="P439" i="1"/>
  <c r="AS433" i="1"/>
  <c r="AR433" i="1"/>
  <c r="AJ433" i="1"/>
  <c r="AI433" i="1"/>
  <c r="AA433" i="1"/>
  <c r="Z433" i="1"/>
  <c r="Q433" i="1"/>
  <c r="P433" i="1"/>
  <c r="AS430" i="1"/>
  <c r="AR430" i="1"/>
  <c r="AJ430" i="1"/>
  <c r="AI430" i="1"/>
  <c r="AA430" i="1"/>
  <c r="Z430" i="1"/>
  <c r="Q430" i="1"/>
  <c r="P430" i="1"/>
  <c r="AS427" i="1"/>
  <c r="AR427" i="1"/>
  <c r="AJ427" i="1"/>
  <c r="AI427" i="1"/>
  <c r="AA427" i="1"/>
  <c r="Z427" i="1"/>
  <c r="Q427" i="1"/>
  <c r="P427" i="1"/>
  <c r="AR423" i="1"/>
  <c r="Q423" i="1"/>
  <c r="AR422" i="1"/>
  <c r="AA422" i="1"/>
  <c r="AS421" i="1"/>
  <c r="AR421" i="1"/>
  <c r="AJ421" i="1"/>
  <c r="AI421" i="1"/>
  <c r="AA421" i="1"/>
  <c r="Z421" i="1"/>
  <c r="Q421" i="1"/>
  <c r="P421" i="1"/>
  <c r="AR420" i="1"/>
  <c r="Q420" i="1"/>
  <c r="AR419" i="1"/>
  <c r="AA419" i="1"/>
  <c r="AS418" i="1"/>
  <c r="AR418" i="1"/>
  <c r="AJ418" i="1"/>
  <c r="AI418" i="1"/>
  <c r="AA418" i="1"/>
  <c r="Z418" i="1"/>
  <c r="Q418" i="1"/>
  <c r="P418" i="1"/>
  <c r="AR417" i="1"/>
  <c r="Q417" i="1"/>
  <c r="AR416" i="1"/>
  <c r="AA416" i="1"/>
  <c r="AS415" i="1"/>
  <c r="AR415" i="1"/>
  <c r="AJ415" i="1"/>
  <c r="AI415" i="1"/>
  <c r="AA415" i="1"/>
  <c r="Z415" i="1"/>
  <c r="Q415" i="1"/>
  <c r="P415" i="1"/>
  <c r="AR411" i="1"/>
  <c r="Q411" i="1"/>
  <c r="AR410" i="1"/>
  <c r="AA410" i="1"/>
  <c r="AS409" i="1"/>
  <c r="AR409" i="1"/>
  <c r="AJ409" i="1"/>
  <c r="AI409" i="1"/>
  <c r="AA409" i="1"/>
  <c r="Z409" i="1"/>
  <c r="Q409" i="1"/>
  <c r="P409" i="1"/>
  <c r="AR408" i="1"/>
  <c r="Q408" i="1"/>
  <c r="AR407" i="1"/>
  <c r="AA407" i="1"/>
  <c r="AS406" i="1"/>
  <c r="AR406" i="1"/>
  <c r="AJ406" i="1"/>
  <c r="AI406" i="1"/>
  <c r="AA406" i="1"/>
  <c r="Z406" i="1"/>
  <c r="Q406" i="1"/>
  <c r="P406" i="1"/>
  <c r="AS400" i="1"/>
  <c r="AR400" i="1"/>
  <c r="AJ400" i="1"/>
  <c r="AI400" i="1"/>
  <c r="AA400" i="1"/>
  <c r="Z400" i="1"/>
  <c r="Q400" i="1"/>
  <c r="P400" i="1"/>
  <c r="AS397" i="1"/>
  <c r="AR397" i="1"/>
  <c r="AJ397" i="1"/>
  <c r="AI397" i="1"/>
  <c r="AA397" i="1"/>
  <c r="Z397" i="1"/>
  <c r="Q397" i="1"/>
  <c r="P397" i="1"/>
  <c r="AS391" i="1"/>
  <c r="AR391" i="1"/>
  <c r="AJ391" i="1"/>
  <c r="AI391" i="1"/>
  <c r="AA391" i="1"/>
  <c r="Z391" i="1"/>
  <c r="Q391" i="1"/>
  <c r="P391" i="1"/>
  <c r="AS388" i="1"/>
  <c r="AR388" i="1"/>
  <c r="AJ388" i="1"/>
  <c r="AI388" i="1"/>
  <c r="AA388" i="1"/>
  <c r="Z388" i="1"/>
  <c r="Q388" i="1"/>
  <c r="P388" i="1"/>
  <c r="AR384" i="1"/>
  <c r="Q384" i="1"/>
  <c r="AR383" i="1"/>
  <c r="AA383" i="1"/>
  <c r="AS382" i="1"/>
  <c r="AR382" i="1"/>
  <c r="AJ382" i="1"/>
  <c r="AI382" i="1"/>
  <c r="AA382" i="1"/>
  <c r="Z382" i="1"/>
  <c r="Q382" i="1"/>
  <c r="P382" i="1"/>
  <c r="AR381" i="1"/>
  <c r="Q381" i="1"/>
  <c r="AR380" i="1"/>
  <c r="AA380" i="1"/>
  <c r="AS379" i="1"/>
  <c r="AR379" i="1"/>
  <c r="AJ379" i="1"/>
  <c r="AI379" i="1"/>
  <c r="AA379" i="1"/>
  <c r="Z379" i="1"/>
  <c r="Q379" i="1"/>
  <c r="P379" i="1"/>
  <c r="AS376" i="1"/>
  <c r="AR376" i="1"/>
  <c r="AJ376" i="1"/>
  <c r="AI376" i="1"/>
  <c r="AA376" i="1"/>
  <c r="Z376" i="1"/>
  <c r="Q376" i="1"/>
  <c r="P376" i="1"/>
  <c r="AR375" i="1"/>
  <c r="Q375" i="1"/>
  <c r="AR374" i="1"/>
  <c r="AA374" i="1"/>
  <c r="AS373" i="1"/>
  <c r="AR373" i="1"/>
  <c r="AJ373" i="1"/>
  <c r="AI373" i="1"/>
  <c r="AA373" i="1"/>
  <c r="Z373" i="1"/>
  <c r="Q373" i="1"/>
  <c r="P373" i="1"/>
  <c r="AS370" i="1"/>
  <c r="AR370" i="1"/>
  <c r="AJ370" i="1"/>
  <c r="AI370" i="1"/>
  <c r="AA370" i="1"/>
  <c r="Z370" i="1"/>
  <c r="Q370" i="1"/>
  <c r="P370" i="1"/>
  <c r="AS367" i="1"/>
  <c r="AR367" i="1"/>
  <c r="AJ367" i="1"/>
  <c r="AI367" i="1"/>
  <c r="AA367" i="1"/>
  <c r="Z367" i="1"/>
  <c r="Q367" i="1"/>
  <c r="P367" i="1"/>
  <c r="AS364" i="1"/>
  <c r="AR364" i="1"/>
  <c r="AJ364" i="1"/>
  <c r="AI364" i="1"/>
  <c r="AA364" i="1"/>
  <c r="Z364" i="1"/>
  <c r="Q364" i="1"/>
  <c r="P364" i="1"/>
  <c r="AR360" i="1"/>
  <c r="Q360" i="1"/>
  <c r="AR359" i="1"/>
  <c r="AA359" i="1"/>
  <c r="AS358" i="1"/>
  <c r="AR358" i="1"/>
  <c r="AJ358" i="1"/>
  <c r="AI358" i="1"/>
  <c r="AA358" i="1"/>
  <c r="Z358" i="1"/>
  <c r="Q358" i="1"/>
  <c r="P358" i="1"/>
  <c r="AR357" i="1"/>
  <c r="Q357" i="1"/>
  <c r="AR356" i="1"/>
  <c r="AA356" i="1"/>
  <c r="AS355" i="1"/>
  <c r="AR355" i="1"/>
  <c r="AJ355" i="1"/>
  <c r="AI355" i="1"/>
  <c r="AA355" i="1"/>
  <c r="Z355" i="1"/>
  <c r="Q355" i="1"/>
  <c r="P355" i="1"/>
  <c r="AR354" i="1"/>
  <c r="Q354" i="1"/>
  <c r="AR353" i="1"/>
  <c r="AA353" i="1"/>
  <c r="AS352" i="1"/>
  <c r="AR352" i="1"/>
  <c r="AJ352" i="1"/>
  <c r="AI352" i="1"/>
  <c r="AA352" i="1"/>
  <c r="Z352" i="1"/>
  <c r="Q352" i="1"/>
  <c r="P352" i="1"/>
  <c r="AR351" i="1"/>
  <c r="Q351" i="1"/>
  <c r="AR350" i="1"/>
  <c r="AA350" i="1"/>
  <c r="AS349" i="1"/>
  <c r="AR349" i="1"/>
  <c r="AJ349" i="1"/>
  <c r="AI349" i="1"/>
  <c r="AA349" i="1"/>
  <c r="Z349" i="1"/>
  <c r="Q349" i="1"/>
  <c r="P349" i="1"/>
  <c r="AS343" i="1"/>
  <c r="AR343" i="1"/>
  <c r="AJ343" i="1"/>
  <c r="AI343" i="1"/>
  <c r="AA343" i="1"/>
  <c r="Z343" i="1"/>
  <c r="Q343" i="1"/>
  <c r="P343" i="1"/>
  <c r="AS340" i="1"/>
  <c r="AR340" i="1"/>
  <c r="AJ340" i="1"/>
  <c r="AI340" i="1"/>
  <c r="AA340" i="1"/>
  <c r="Z340" i="1"/>
  <c r="Q340" i="1"/>
  <c r="P340" i="1"/>
  <c r="AS337" i="1"/>
  <c r="AR337" i="1"/>
  <c r="AJ337" i="1"/>
  <c r="AI337" i="1"/>
  <c r="AA337" i="1"/>
  <c r="Z337" i="1"/>
  <c r="Q337" i="1"/>
  <c r="P337" i="1"/>
  <c r="AS334" i="1"/>
  <c r="AR334" i="1"/>
  <c r="AJ334" i="1"/>
  <c r="AI334" i="1"/>
  <c r="AA334" i="1"/>
  <c r="Z334" i="1"/>
  <c r="Q334" i="1"/>
  <c r="P334" i="1"/>
  <c r="AS331" i="1"/>
  <c r="AR331" i="1"/>
  <c r="AJ331" i="1"/>
  <c r="AI331" i="1"/>
  <c r="AA331" i="1"/>
  <c r="Z331" i="1"/>
  <c r="Q331" i="1"/>
  <c r="P331" i="1"/>
  <c r="AS325" i="1"/>
  <c r="AR325" i="1"/>
  <c r="AJ325" i="1"/>
  <c r="AI325" i="1"/>
  <c r="AA325" i="1"/>
  <c r="Z325" i="1"/>
  <c r="Q325" i="1"/>
  <c r="P325" i="1"/>
  <c r="AS322" i="1"/>
  <c r="AR322" i="1"/>
  <c r="AJ322" i="1"/>
  <c r="AI322" i="1"/>
  <c r="AA322" i="1"/>
  <c r="Z322" i="1"/>
  <c r="Q322" i="1"/>
  <c r="P322" i="1"/>
  <c r="AS319" i="1"/>
  <c r="AR319" i="1"/>
  <c r="AJ319" i="1"/>
  <c r="AI319" i="1"/>
  <c r="AA319" i="1"/>
  <c r="Z319" i="1"/>
  <c r="Q319" i="1"/>
  <c r="P319" i="1"/>
  <c r="AS316" i="1"/>
  <c r="AR316" i="1"/>
  <c r="AJ316" i="1"/>
  <c r="AI316" i="1"/>
  <c r="AA316" i="1"/>
  <c r="Z316" i="1"/>
  <c r="Q316" i="1"/>
  <c r="P316" i="1"/>
  <c r="AS313" i="1"/>
  <c r="AR313" i="1"/>
  <c r="AJ313" i="1"/>
  <c r="AI313" i="1"/>
  <c r="AA313" i="1"/>
  <c r="Z313" i="1"/>
  <c r="Q313" i="1"/>
  <c r="P313" i="1"/>
  <c r="AS310" i="1"/>
  <c r="AR310" i="1"/>
  <c r="AJ310" i="1"/>
  <c r="AI310" i="1"/>
  <c r="AA310" i="1"/>
  <c r="Z310" i="1"/>
  <c r="Q310" i="1"/>
  <c r="P310" i="1"/>
  <c r="AS304" i="1"/>
  <c r="AR304" i="1"/>
  <c r="AJ304" i="1"/>
  <c r="AI304" i="1"/>
  <c r="AA304" i="1"/>
  <c r="Z304" i="1"/>
  <c r="Q304" i="1"/>
  <c r="P304" i="1"/>
  <c r="AS301" i="1"/>
  <c r="AR301" i="1"/>
  <c r="AJ301" i="1"/>
  <c r="AI301" i="1"/>
  <c r="AA301" i="1"/>
  <c r="Z301" i="1"/>
  <c r="Q301" i="1"/>
  <c r="P301" i="1"/>
  <c r="AS298" i="1"/>
  <c r="AR298" i="1"/>
  <c r="AJ298" i="1"/>
  <c r="AI298" i="1"/>
  <c r="AA298" i="1"/>
  <c r="Z298" i="1"/>
  <c r="Q298" i="1"/>
  <c r="P298" i="1"/>
  <c r="AS295" i="1"/>
  <c r="AR295" i="1"/>
  <c r="AJ295" i="1"/>
  <c r="AI295" i="1"/>
  <c r="AA295" i="1"/>
  <c r="Z295" i="1"/>
  <c r="Q295" i="1"/>
  <c r="P295" i="1"/>
  <c r="AS292" i="1"/>
  <c r="AR292" i="1"/>
  <c r="AJ292" i="1"/>
  <c r="AI292" i="1"/>
  <c r="AA292" i="1"/>
  <c r="Z292" i="1"/>
  <c r="Q292" i="1"/>
  <c r="P292" i="1"/>
  <c r="AR288" i="1"/>
  <c r="Q288" i="1"/>
  <c r="AR287" i="1"/>
  <c r="AA287" i="1"/>
  <c r="AS286" i="1"/>
  <c r="AR286" i="1"/>
  <c r="AJ286" i="1"/>
  <c r="AI286" i="1"/>
  <c r="AA286" i="1"/>
  <c r="Z286" i="1"/>
  <c r="Q286" i="1"/>
  <c r="P286" i="1"/>
  <c r="AR285" i="1"/>
  <c r="Q285" i="1"/>
  <c r="AR284" i="1"/>
  <c r="AA284" i="1"/>
  <c r="AS283" i="1"/>
  <c r="AR283" i="1"/>
  <c r="AJ283" i="1"/>
  <c r="AI283" i="1"/>
  <c r="AA283" i="1"/>
  <c r="Z283" i="1"/>
  <c r="Q283" i="1"/>
  <c r="P283" i="1"/>
  <c r="AR282" i="1"/>
  <c r="Q282" i="1"/>
  <c r="AR281" i="1"/>
  <c r="AA281" i="1"/>
  <c r="AS280" i="1"/>
  <c r="AR280" i="1"/>
  <c r="AJ280" i="1"/>
  <c r="AI280" i="1"/>
  <c r="AA280" i="1"/>
  <c r="Z280" i="1"/>
  <c r="Q280" i="1"/>
  <c r="P280" i="1"/>
  <c r="AR279" i="1"/>
  <c r="Q279" i="1"/>
  <c r="AR278" i="1"/>
  <c r="AA278" i="1"/>
  <c r="AS277" i="1"/>
  <c r="AR277" i="1"/>
  <c r="AJ277" i="1"/>
  <c r="AI277" i="1"/>
  <c r="AA277" i="1"/>
  <c r="Z277" i="1"/>
  <c r="Q277" i="1"/>
  <c r="P277" i="1"/>
  <c r="AR276" i="1"/>
  <c r="Q276" i="1"/>
  <c r="AR275" i="1"/>
  <c r="AA275" i="1"/>
  <c r="AS274" i="1"/>
  <c r="AR274" i="1"/>
  <c r="AJ274" i="1"/>
  <c r="AI274" i="1"/>
  <c r="AA274" i="1"/>
  <c r="Z274" i="1"/>
  <c r="Q274" i="1"/>
  <c r="P274" i="1"/>
  <c r="AR273" i="1"/>
  <c r="Q273" i="1"/>
  <c r="AR272" i="1"/>
  <c r="AA272" i="1"/>
  <c r="AS271" i="1"/>
  <c r="AR271" i="1"/>
  <c r="AJ271" i="1"/>
  <c r="AI271" i="1"/>
  <c r="AA271" i="1"/>
  <c r="Z271" i="1"/>
  <c r="Q271" i="1"/>
  <c r="P271" i="1"/>
  <c r="AR270" i="1"/>
  <c r="Q270" i="1"/>
  <c r="AR269" i="1"/>
  <c r="AA269" i="1"/>
  <c r="AS268" i="1"/>
  <c r="AR268" i="1"/>
  <c r="AJ268" i="1"/>
  <c r="AI268" i="1"/>
  <c r="AA268" i="1"/>
  <c r="Z268" i="1"/>
  <c r="Q268" i="1"/>
  <c r="P268" i="1"/>
  <c r="AR264" i="1"/>
  <c r="Q264" i="1"/>
  <c r="AR263" i="1"/>
  <c r="AA263" i="1"/>
  <c r="AS262" i="1"/>
  <c r="AR262" i="1"/>
  <c r="AJ262" i="1"/>
  <c r="AI262" i="1"/>
  <c r="AA262" i="1"/>
  <c r="Z262" i="1"/>
  <c r="Q262" i="1"/>
  <c r="P262" i="1"/>
  <c r="AS259" i="1"/>
  <c r="AR259" i="1"/>
  <c r="AJ259" i="1"/>
  <c r="AI259" i="1"/>
  <c r="AA259" i="1"/>
  <c r="Z259" i="1"/>
  <c r="Q259" i="1"/>
  <c r="P259" i="1"/>
  <c r="AS253" i="1"/>
  <c r="AR253" i="1"/>
  <c r="AJ253" i="1"/>
  <c r="AI253" i="1"/>
  <c r="AA253" i="1"/>
  <c r="Z253" i="1"/>
  <c r="Q253" i="1"/>
  <c r="P253" i="1"/>
  <c r="AS250" i="1"/>
  <c r="AR250" i="1"/>
  <c r="AJ250" i="1"/>
  <c r="AI250" i="1"/>
  <c r="AA250" i="1"/>
  <c r="Z250" i="1"/>
  <c r="Q250" i="1"/>
  <c r="P250" i="1"/>
  <c r="AS247" i="1"/>
  <c r="AR247" i="1"/>
  <c r="AJ247" i="1"/>
  <c r="AI247" i="1"/>
  <c r="AA247" i="1"/>
  <c r="Z247" i="1"/>
  <c r="Q247" i="1"/>
  <c r="P247" i="1"/>
  <c r="AS244" i="1"/>
  <c r="AR244" i="1"/>
  <c r="AJ244" i="1"/>
  <c r="AI244" i="1"/>
  <c r="AA244" i="1"/>
  <c r="Z244" i="1"/>
  <c r="Q244" i="1"/>
  <c r="P244" i="1"/>
  <c r="AS241" i="1"/>
  <c r="AR241" i="1"/>
  <c r="AJ241" i="1"/>
  <c r="AI241" i="1"/>
  <c r="AA241" i="1"/>
  <c r="Z241" i="1"/>
  <c r="Q241" i="1"/>
  <c r="P241" i="1"/>
  <c r="AS238" i="1"/>
  <c r="AR238" i="1"/>
  <c r="AJ238" i="1"/>
  <c r="AI238" i="1"/>
  <c r="AA238" i="1"/>
  <c r="Z238" i="1"/>
  <c r="Q238" i="1"/>
  <c r="P238" i="1"/>
  <c r="AR237" i="1"/>
  <c r="Q237" i="1"/>
  <c r="AR236" i="1"/>
  <c r="AA236" i="1"/>
  <c r="AS235" i="1"/>
  <c r="AR235" i="1"/>
  <c r="AJ235" i="1"/>
  <c r="AI235" i="1"/>
  <c r="AA235" i="1"/>
  <c r="Z235" i="1"/>
  <c r="Q235" i="1"/>
  <c r="P235" i="1"/>
  <c r="AR234" i="1"/>
  <c r="Q234" i="1"/>
  <c r="AR233" i="1"/>
  <c r="AA233" i="1"/>
  <c r="AS232" i="1"/>
  <c r="AR232" i="1"/>
  <c r="AJ232" i="1"/>
  <c r="AI232" i="1"/>
  <c r="AA232" i="1"/>
  <c r="Z232" i="1"/>
  <c r="Q232" i="1"/>
  <c r="P232" i="1"/>
  <c r="AS226" i="1"/>
  <c r="AR226" i="1"/>
  <c r="AJ226" i="1"/>
  <c r="AI226" i="1"/>
  <c r="AA226" i="1"/>
  <c r="Z226" i="1"/>
  <c r="Q226" i="1"/>
  <c r="P226" i="1"/>
  <c r="AS223" i="1"/>
  <c r="AR223" i="1"/>
  <c r="AJ223" i="1"/>
  <c r="AI223" i="1"/>
  <c r="AA223" i="1"/>
  <c r="Z223" i="1"/>
  <c r="Q223" i="1"/>
  <c r="P223" i="1"/>
  <c r="AR222" i="1"/>
  <c r="Q222" i="1"/>
  <c r="AR221" i="1"/>
  <c r="AA221" i="1"/>
  <c r="AS220" i="1"/>
  <c r="AR220" i="1"/>
  <c r="AJ220" i="1"/>
  <c r="AI220" i="1"/>
  <c r="AA220" i="1"/>
  <c r="Z220" i="1"/>
  <c r="Q220" i="1"/>
  <c r="P220" i="1"/>
  <c r="AR216" i="1"/>
  <c r="Q216" i="1"/>
  <c r="AR215" i="1"/>
  <c r="AA215" i="1"/>
  <c r="AS214" i="1"/>
  <c r="AR214" i="1"/>
  <c r="AJ214" i="1"/>
  <c r="AI214" i="1"/>
  <c r="AA214" i="1"/>
  <c r="Z214" i="1"/>
  <c r="Q214" i="1"/>
  <c r="P214" i="1"/>
  <c r="AR213" i="1"/>
  <c r="Q213" i="1"/>
  <c r="AR212" i="1"/>
  <c r="AA212" i="1"/>
  <c r="AS211" i="1"/>
  <c r="AR211" i="1"/>
  <c r="AJ211" i="1"/>
  <c r="AI211" i="1"/>
  <c r="AA211" i="1"/>
  <c r="Z211" i="1"/>
  <c r="Q211" i="1"/>
  <c r="P211" i="1"/>
  <c r="AR210" i="1"/>
  <c r="Q210" i="1"/>
  <c r="AR209" i="1"/>
  <c r="AA209" i="1"/>
  <c r="AS208" i="1"/>
  <c r="AR208" i="1"/>
  <c r="AJ208" i="1"/>
  <c r="AI208" i="1"/>
  <c r="AA208" i="1"/>
  <c r="Z208" i="1"/>
  <c r="Q208" i="1"/>
  <c r="P208" i="1"/>
  <c r="AR207" i="1"/>
  <c r="Q207" i="1"/>
  <c r="AR206" i="1"/>
  <c r="AA206" i="1"/>
  <c r="AS205" i="1"/>
  <c r="AR205" i="1"/>
  <c r="AJ205" i="1"/>
  <c r="AI205" i="1"/>
  <c r="AA205" i="1"/>
  <c r="Z205" i="1"/>
  <c r="Q205" i="1"/>
  <c r="P205" i="1"/>
  <c r="AR204" i="1"/>
  <c r="Q204" i="1"/>
  <c r="AR203" i="1"/>
  <c r="AA203" i="1"/>
  <c r="AS202" i="1"/>
  <c r="AR202" i="1"/>
  <c r="AJ202" i="1"/>
  <c r="AI202" i="1"/>
  <c r="AA202" i="1"/>
  <c r="Z202" i="1"/>
  <c r="Q202" i="1"/>
  <c r="P202" i="1"/>
  <c r="AS196" i="1"/>
  <c r="AR196" i="1"/>
  <c r="AJ196" i="1"/>
  <c r="AI196" i="1"/>
  <c r="AA196" i="1"/>
  <c r="Z196" i="1"/>
  <c r="Q196" i="1"/>
  <c r="P196" i="1"/>
  <c r="AS193" i="1"/>
  <c r="AR193" i="1"/>
  <c r="AJ193" i="1"/>
  <c r="AI193" i="1"/>
  <c r="AA193" i="1"/>
  <c r="Z193" i="1"/>
  <c r="Q193" i="1"/>
  <c r="P193" i="1"/>
  <c r="AS190" i="1"/>
  <c r="AR190" i="1"/>
  <c r="AJ190" i="1"/>
  <c r="AI190" i="1"/>
  <c r="AA190" i="1"/>
  <c r="Z190" i="1"/>
  <c r="Q190" i="1"/>
  <c r="P190" i="1"/>
  <c r="AS187" i="1"/>
  <c r="AR187" i="1"/>
  <c r="AJ187" i="1"/>
  <c r="AI187" i="1"/>
  <c r="AA187" i="1"/>
  <c r="Z187" i="1"/>
  <c r="Q187" i="1"/>
  <c r="P187" i="1"/>
  <c r="AR186" i="1"/>
  <c r="Q186" i="1"/>
  <c r="AR185" i="1"/>
  <c r="AA185" i="1"/>
  <c r="AS184" i="1"/>
  <c r="AR184" i="1"/>
  <c r="AJ184" i="1"/>
  <c r="AI184" i="1"/>
  <c r="AA184" i="1"/>
  <c r="Z184" i="1"/>
  <c r="Q184" i="1"/>
  <c r="P184" i="1"/>
  <c r="AS181" i="1"/>
  <c r="AR181" i="1"/>
  <c r="AJ181" i="1"/>
  <c r="AI181" i="1"/>
  <c r="AA181" i="1"/>
  <c r="Z181" i="1"/>
  <c r="Q181" i="1"/>
  <c r="P181" i="1"/>
  <c r="AS178" i="1"/>
  <c r="AR178" i="1"/>
  <c r="AJ178" i="1"/>
  <c r="AI178" i="1"/>
  <c r="AA178" i="1"/>
  <c r="Z178" i="1"/>
  <c r="Q178" i="1"/>
  <c r="P178" i="1"/>
  <c r="AS175" i="1"/>
  <c r="AR175" i="1"/>
  <c r="AJ175" i="1"/>
  <c r="AI175" i="1"/>
  <c r="AA175" i="1"/>
  <c r="Z175" i="1"/>
  <c r="Q175" i="1"/>
  <c r="P175" i="1"/>
  <c r="AR171" i="1"/>
  <c r="Q171" i="1"/>
  <c r="AR170" i="1"/>
  <c r="AA170" i="1"/>
  <c r="AS169" i="1"/>
  <c r="AR169" i="1"/>
  <c r="AJ169" i="1"/>
  <c r="AI169" i="1"/>
  <c r="AA169" i="1"/>
  <c r="Z169" i="1"/>
  <c r="Q169" i="1"/>
  <c r="P169" i="1"/>
  <c r="AR168" i="1"/>
  <c r="Q168" i="1"/>
  <c r="AR167" i="1"/>
  <c r="AA167" i="1"/>
  <c r="AS166" i="1"/>
  <c r="AR166" i="1"/>
  <c r="AJ166" i="1"/>
  <c r="AI166" i="1"/>
  <c r="AA166" i="1"/>
  <c r="Z166" i="1"/>
  <c r="Q166" i="1"/>
  <c r="P166" i="1"/>
  <c r="AR165" i="1"/>
  <c r="Q165" i="1"/>
  <c r="AR164" i="1"/>
  <c r="AA164" i="1"/>
  <c r="AS163" i="1"/>
  <c r="AR163" i="1"/>
  <c r="AJ163" i="1"/>
  <c r="AI163" i="1"/>
  <c r="AA163" i="1"/>
  <c r="Z163" i="1"/>
  <c r="Q163" i="1"/>
  <c r="P163" i="1"/>
  <c r="AR162" i="1"/>
  <c r="Q162" i="1"/>
  <c r="AR161" i="1"/>
  <c r="AA161" i="1"/>
  <c r="AS160" i="1"/>
  <c r="AR160" i="1"/>
  <c r="AJ160" i="1"/>
  <c r="AI160" i="1"/>
  <c r="AA160" i="1"/>
  <c r="Z160" i="1"/>
  <c r="Q160" i="1"/>
  <c r="P160" i="1"/>
  <c r="AR159" i="1"/>
  <c r="Q159" i="1"/>
  <c r="AR158" i="1"/>
  <c r="AA158" i="1"/>
  <c r="AS157" i="1"/>
  <c r="AR157" i="1"/>
  <c r="AJ157" i="1"/>
  <c r="AI157" i="1"/>
  <c r="AA157" i="1"/>
  <c r="Z157" i="1"/>
  <c r="Q157" i="1"/>
  <c r="P157" i="1"/>
  <c r="AR156" i="1"/>
  <c r="Q156" i="1"/>
  <c r="AR155" i="1"/>
  <c r="AA155" i="1"/>
  <c r="AS154" i="1"/>
  <c r="AR154" i="1"/>
  <c r="AJ154" i="1"/>
  <c r="AI154" i="1"/>
  <c r="AA154" i="1"/>
  <c r="Z154" i="1"/>
  <c r="Q154" i="1"/>
  <c r="P154" i="1"/>
  <c r="AR150" i="1"/>
  <c r="Q150" i="1"/>
  <c r="AR149" i="1"/>
  <c r="AA149" i="1"/>
  <c r="AS148" i="1"/>
  <c r="AR148" i="1"/>
  <c r="AJ148" i="1"/>
  <c r="AI148" i="1"/>
  <c r="AA148" i="1"/>
  <c r="Z148" i="1"/>
  <c r="Q148" i="1"/>
  <c r="P148" i="1"/>
  <c r="AS147" i="1"/>
  <c r="AR147" i="1"/>
  <c r="Q147" i="1"/>
  <c r="AR146" i="1"/>
  <c r="AA146" i="1"/>
  <c r="AS145" i="1"/>
  <c r="AR145" i="1"/>
  <c r="AJ145" i="1"/>
  <c r="AI145" i="1"/>
  <c r="AA145" i="1"/>
  <c r="Z145" i="1"/>
  <c r="Q145" i="1"/>
  <c r="P145" i="1"/>
  <c r="AS142" i="1"/>
  <c r="AR142" i="1"/>
  <c r="AJ142" i="1"/>
  <c r="AI142" i="1"/>
  <c r="AA142" i="1"/>
  <c r="Z142" i="1"/>
  <c r="Q142" i="1"/>
  <c r="P142" i="1"/>
  <c r="AS139" i="1"/>
  <c r="AR139" i="1"/>
  <c r="AJ139" i="1"/>
  <c r="AI139" i="1"/>
  <c r="AA139" i="1"/>
  <c r="Z139" i="1"/>
  <c r="Q139" i="1"/>
  <c r="P139" i="1"/>
  <c r="AS136" i="1"/>
  <c r="AR136" i="1"/>
  <c r="AJ136" i="1"/>
  <c r="AI136" i="1"/>
  <c r="AA136" i="1"/>
  <c r="Z136" i="1"/>
  <c r="Q136" i="1"/>
  <c r="P136" i="1"/>
  <c r="AR130" i="1"/>
  <c r="AI130" i="1"/>
  <c r="AA130" i="1"/>
  <c r="Z130" i="1"/>
  <c r="Q130" i="1"/>
  <c r="P130" i="1"/>
  <c r="AS127" i="1"/>
  <c r="AR127" i="1"/>
  <c r="AJ127" i="1"/>
  <c r="AI127" i="1"/>
  <c r="AA127" i="1"/>
  <c r="Z127" i="1"/>
  <c r="Q127" i="1"/>
  <c r="P127" i="1"/>
  <c r="AS124" i="1"/>
  <c r="AR124" i="1"/>
  <c r="AJ124" i="1"/>
  <c r="AI124" i="1"/>
  <c r="AA124" i="1"/>
  <c r="Z124" i="1"/>
  <c r="Q124" i="1"/>
  <c r="P124" i="1"/>
  <c r="AS121" i="1"/>
  <c r="AR121" i="1"/>
  <c r="AJ121" i="1"/>
  <c r="AI121" i="1"/>
  <c r="AA121" i="1"/>
  <c r="Z121" i="1"/>
  <c r="Q121" i="1"/>
  <c r="P121" i="1"/>
  <c r="AS115" i="1"/>
  <c r="AR115" i="1"/>
  <c r="AJ115" i="1"/>
  <c r="AI115" i="1"/>
  <c r="AA115" i="1"/>
  <c r="Z115" i="1"/>
  <c r="Q115" i="1"/>
  <c r="P115" i="1"/>
  <c r="AS112" i="1"/>
  <c r="AR112" i="1"/>
  <c r="AJ112" i="1"/>
  <c r="AI112" i="1"/>
  <c r="AA112" i="1"/>
  <c r="Z112" i="1"/>
  <c r="Q112" i="1"/>
  <c r="P112" i="1"/>
  <c r="AS109" i="1"/>
  <c r="AR109" i="1"/>
  <c r="AJ109" i="1"/>
  <c r="AI109" i="1"/>
  <c r="AA109" i="1"/>
  <c r="Z109" i="1"/>
  <c r="Q109" i="1"/>
  <c r="P109" i="1"/>
  <c r="AS103" i="1"/>
  <c r="AR103" i="1"/>
  <c r="AJ103" i="1"/>
  <c r="AI103" i="1"/>
  <c r="AA103" i="1"/>
  <c r="Z103" i="1"/>
  <c r="Q103" i="1"/>
  <c r="P103" i="1"/>
  <c r="AS97" i="1"/>
  <c r="AR97" i="1"/>
  <c r="AJ97" i="1"/>
  <c r="AI97" i="1"/>
  <c r="AA97" i="1"/>
  <c r="Z97" i="1"/>
  <c r="Q97" i="1"/>
  <c r="P97" i="1"/>
  <c r="AS94" i="1"/>
  <c r="AR94" i="1"/>
  <c r="AJ94" i="1"/>
  <c r="AI94" i="1"/>
  <c r="AA94" i="1"/>
  <c r="Z94" i="1"/>
  <c r="Q94" i="1"/>
  <c r="P94" i="1"/>
  <c r="AS91" i="1"/>
  <c r="AR91" i="1"/>
  <c r="AJ91" i="1"/>
  <c r="AI91" i="1"/>
  <c r="AA91" i="1"/>
  <c r="Z91" i="1"/>
  <c r="Q91" i="1"/>
  <c r="P91" i="1"/>
  <c r="AS88" i="1"/>
  <c r="AR88" i="1"/>
  <c r="AJ88" i="1"/>
  <c r="AI88" i="1"/>
  <c r="AA88" i="1"/>
  <c r="Z88" i="1"/>
  <c r="Q88" i="1"/>
  <c r="P88" i="1"/>
  <c r="AS82" i="1"/>
  <c r="AR82" i="1"/>
  <c r="AJ82" i="1"/>
  <c r="AI82" i="1"/>
  <c r="AA82" i="1"/>
  <c r="Z82" i="1"/>
  <c r="Q82" i="1"/>
  <c r="P82" i="1"/>
  <c r="AS79" i="1"/>
  <c r="AR79" i="1"/>
  <c r="AJ79" i="1"/>
  <c r="AI79" i="1"/>
  <c r="AA79" i="1"/>
  <c r="Z79" i="1"/>
  <c r="Q79" i="1"/>
  <c r="P79" i="1"/>
  <c r="AS73" i="1"/>
  <c r="AR73" i="1"/>
  <c r="AJ73" i="1"/>
  <c r="AI73" i="1"/>
  <c r="AA73" i="1"/>
  <c r="Z73" i="1"/>
  <c r="Q73" i="1"/>
  <c r="P73" i="1"/>
  <c r="AS70" i="1"/>
  <c r="AR70" i="1"/>
  <c r="AJ70" i="1"/>
  <c r="AI70" i="1"/>
  <c r="AA70" i="1"/>
  <c r="Z70" i="1"/>
  <c r="Q70" i="1"/>
  <c r="P70" i="1"/>
  <c r="AS64" i="1"/>
  <c r="AR64" i="1"/>
  <c r="AJ64" i="1"/>
  <c r="AI64" i="1"/>
  <c r="AA64" i="1"/>
  <c r="Z64" i="1"/>
  <c r="Q64" i="1"/>
  <c r="P64" i="1"/>
  <c r="AS61" i="1"/>
  <c r="AR61" i="1"/>
  <c r="AJ61" i="1"/>
  <c r="AI61" i="1"/>
  <c r="AA61" i="1"/>
  <c r="Z61" i="1"/>
  <c r="Q61" i="1"/>
  <c r="P61" i="1"/>
  <c r="AS58" i="1"/>
  <c r="AR58" i="1"/>
  <c r="AJ58" i="1"/>
  <c r="AI58" i="1"/>
  <c r="AA58" i="1"/>
  <c r="Z58" i="1"/>
  <c r="Q58" i="1"/>
  <c r="P58" i="1"/>
  <c r="AS55" i="1"/>
  <c r="AR55" i="1"/>
  <c r="AJ55" i="1"/>
  <c r="AI55" i="1"/>
  <c r="AA55" i="1"/>
  <c r="Z55" i="1"/>
  <c r="Q55" i="1"/>
  <c r="P55" i="1"/>
  <c r="AS52" i="1"/>
  <c r="AR52" i="1"/>
  <c r="AJ52" i="1"/>
  <c r="AI52" i="1"/>
  <c r="AA52" i="1"/>
  <c r="Z52" i="1"/>
  <c r="Q52" i="1"/>
  <c r="P52" i="1"/>
  <c r="AS46" i="1"/>
  <c r="AR46" i="1"/>
  <c r="AJ46" i="1"/>
  <c r="AI46" i="1"/>
  <c r="AA46" i="1"/>
  <c r="Z46" i="1"/>
  <c r="Q46" i="1"/>
  <c r="P46" i="1"/>
  <c r="AS43" i="1"/>
  <c r="AR43" i="1"/>
  <c r="AJ43" i="1"/>
  <c r="AI43" i="1"/>
  <c r="AA43" i="1"/>
  <c r="Z43" i="1"/>
  <c r="Q43" i="1"/>
  <c r="P43" i="1"/>
  <c r="AS40" i="1"/>
  <c r="AR40" i="1"/>
  <c r="AJ40" i="1"/>
  <c r="AI40" i="1"/>
  <c r="AA40" i="1"/>
  <c r="Z40" i="1"/>
  <c r="Q40" i="1"/>
  <c r="P40" i="1"/>
  <c r="AS37" i="1"/>
  <c r="AR37" i="1"/>
  <c r="AJ37" i="1"/>
  <c r="AI37" i="1"/>
  <c r="AA37" i="1"/>
  <c r="Z37" i="1"/>
  <c r="Q37" i="1"/>
  <c r="P37" i="1"/>
  <c r="AS31" i="1"/>
  <c r="AR31" i="1"/>
  <c r="AJ31" i="1"/>
  <c r="AI31" i="1"/>
  <c r="AA31" i="1"/>
  <c r="Z31" i="1"/>
  <c r="Q31" i="1"/>
  <c r="P31" i="1"/>
  <c r="AS28" i="1"/>
  <c r="AR28" i="1"/>
  <c r="AJ28" i="1"/>
  <c r="AI28" i="1"/>
  <c r="AA28" i="1"/>
  <c r="Z28" i="1"/>
  <c r="Q28" i="1"/>
  <c r="P28" i="1"/>
  <c r="AS22" i="1"/>
  <c r="AR22" i="1"/>
  <c r="AJ22" i="1"/>
  <c r="AI22" i="1"/>
  <c r="AA22" i="1"/>
  <c r="Z22" i="1"/>
  <c r="Q22" i="1"/>
  <c r="P22" i="1"/>
  <c r="AS19" i="1"/>
  <c r="AR19" i="1"/>
  <c r="AJ19" i="1"/>
  <c r="AI19" i="1"/>
  <c r="AA19" i="1"/>
  <c r="Z19" i="1"/>
  <c r="Q19" i="1"/>
  <c r="P19" i="1"/>
  <c r="AS16" i="1"/>
  <c r="AR16" i="1"/>
  <c r="AJ16" i="1"/>
  <c r="AI16" i="1"/>
  <c r="AA16" i="1"/>
  <c r="Z16" i="1"/>
  <c r="Q16" i="1"/>
  <c r="P16" i="1"/>
  <c r="AR10" i="1"/>
  <c r="AI10" i="1"/>
  <c r="AA10" i="1"/>
  <c r="Z10" i="1"/>
  <c r="Q10" i="1"/>
  <c r="P10" i="1"/>
  <c r="AR7" i="1"/>
  <c r="AI7" i="1"/>
  <c r="AA7" i="1"/>
  <c r="Z7" i="1"/>
  <c r="Q7" i="1"/>
  <c r="P7" i="1"/>
  <c r="H346" i="2" l="1"/>
  <c r="H347" i="2"/>
</calcChain>
</file>

<file path=xl/sharedStrings.xml><?xml version="1.0" encoding="utf-8"?>
<sst xmlns="http://schemas.openxmlformats.org/spreadsheetml/2006/main" count="8100" uniqueCount="493">
  <si>
    <t>Cuadro N° 13</t>
  </si>
  <si>
    <t>BOLIVIA: VIVIENDAS PARTICULARES OCUPADAS CON PERSONAS PRESENTES POR FORMAS DE ELIMINACIÓN DE LA BASURA, SEGÚN DEPARTAMENTO, PROVINCIA, MUNICIPIO O TERRITORIO INDÍGENA ORIGINARIO CAMPESINO (TIOC) Y ÁREA, CENSOS 2012 Y 2024</t>
  </si>
  <si>
    <t>(En número de viviendas y porcentaje)</t>
  </si>
  <si>
    <t>NÚMERO DE VIVIENDAS</t>
  </si>
  <si>
    <t>DISTRIBUCIÓN PORCENTUAL</t>
  </si>
  <si>
    <t>N°</t>
  </si>
  <si>
    <t>NIVEL</t>
  </si>
  <si>
    <t>DEPARTAMENTO</t>
  </si>
  <si>
    <t>PROVINCIA</t>
  </si>
  <si>
    <t>MUNICIPIO/TIOC</t>
  </si>
  <si>
    <t>ÁREA</t>
  </si>
  <si>
    <t>Total</t>
  </si>
  <si>
    <t>Basurero público o contenedor</t>
  </si>
  <si>
    <t>Carro basurero</t>
  </si>
  <si>
    <t>La botan a terreno baldío o calle</t>
  </si>
  <si>
    <t>La botan al río</t>
  </si>
  <si>
    <t>La queman</t>
  </si>
  <si>
    <t>La entierran</t>
  </si>
  <si>
    <t>Otra</t>
  </si>
  <si>
    <t>Hogares sin cobertura de servicio público de recojo de basura</t>
  </si>
  <si>
    <t>Hogares con cobertura de servicio público de recojo de basura</t>
  </si>
  <si>
    <t>Porcentaje de la población que cuenta con servicio de recolección de residuos</t>
  </si>
  <si>
    <t>Porcentaje de la población que NO cuenta con servicio de recolección de residuos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</si>
  <si>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</si>
  <si>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</si>
  <si>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</si>
  <si>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</si>
  <si>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</si>
  <si>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</si>
  <si>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</si>
  <si>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</si>
  <si>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</si>
  <si>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</si>
  <si>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</si>
  <si>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</si>
  <si>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</si>
  <si>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</si>
  <si>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</si>
  <si>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</si>
  <si>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</si>
  <si>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</si>
  <si>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</si>
  <si>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</si>
  <si>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</si>
  <si>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</si>
  <si>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</si>
  <si>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</si>
  <si>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</si>
  <si>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</si>
  <si>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</si>
  <si>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</si>
  <si>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</si>
  <si>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</si>
  <si>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</si>
  <si>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</si>
  <si>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</si>
  <si>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</si>
  <si>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</si>
  <si>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</si>
  <si>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</si>
  <si>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</si>
  <si>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</si>
  <si>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</si>
  <si>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</si>
  <si>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</si>
  <si>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</si>
  <si>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</si>
  <si>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</si>
  <si>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</si>
  <si>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</si>
  <si>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</si>
  <si>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</si>
  <si>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</si>
  <si>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</si>
  <si>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</si>
  <si>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</si>
  <si>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</si>
  <si>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</si>
  <si>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</si>
  <si>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</si>
  <si>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</si>
  <si>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</si>
  <si>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</si>
  <si>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</si>
  <si>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</si>
  <si>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</si>
  <si>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</si>
  <si>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</si>
  <si>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</si>
  <si>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</si>
  <si>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</si>
  <si>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</si>
  <si>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</si>
  <si>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</si>
  <si>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</si>
  <si>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</si>
  <si>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</si>
  <si>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</si>
  <si>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</si>
  <si>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</si>
  <si>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</si>
  <si>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</si>
  <si>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</si>
  <si>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</si>
  <si>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</si>
  <si>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</si>
  <si>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</si>
  <si>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</si>
  <si>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</si>
  <si>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</si>
  <si>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</si>
  <si>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</si>
  <si>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</si>
  <si>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</si>
  <si>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</si>
  <si>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</si>
  <si>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</si>
  <si>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</si>
  <si>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</si>
  <si>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</si>
  <si>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</si>
  <si>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</si>
  <si>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</si>
  <si>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</si>
  <si>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</si>
  <si>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</si>
  <si>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</si>
  <si>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</si>
  <si>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</si>
  <si>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</si>
  <si>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</si>
  <si>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</si>
  <si>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</si>
  <si>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</si>
  <si>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</si>
  <si>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</si>
  <si>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</si>
  <si>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</si>
  <si>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</si>
  <si>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</si>
  <si>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</si>
  <si>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</si>
  <si>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</si>
  <si>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</si>
  <si>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</si>
  <si>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</si>
  <si>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</si>
  <si>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</si>
  <si>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</si>
  <si>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</si>
  <si>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</si>
  <si>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</si>
  <si>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</si>
  <si>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</si>
  <si>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</si>
  <si>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</si>
  <si>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</si>
  <si>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</si>
  <si>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</si>
  <si>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</si>
  <si>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</si>
  <si>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</si>
  <si>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</si>
  <si>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</si>
  <si>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</si>
  <si>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</si>
  <si>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</si>
  <si>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</si>
  <si>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</si>
  <si>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</si>
  <si>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</si>
  <si>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</si>
  <si>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</si>
  <si>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</si>
  <si>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</si>
  <si>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</si>
  <si>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</si>
  <si>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</si>
  <si>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</si>
  <si>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</si>
  <si>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</si>
  <si>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</si>
  <si>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</si>
  <si>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</si>
  <si>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</si>
  <si>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</si>
  <si>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</si>
  <si>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</si>
  <si>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</si>
  <si>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</si>
  <si>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</si>
  <si>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</si>
  <si>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</si>
  <si>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</si>
  <si>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</si>
  <si>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</si>
  <si>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</si>
  <si>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</si>
  <si>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</si>
  <si>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</si>
  <si>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</si>
  <si>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</si>
  <si>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</si>
  <si>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</si>
  <si>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</si>
  <si>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</si>
  <si>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</si>
  <si>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</si>
  <si>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</si>
  <si>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</si>
  <si>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</si>
  <si>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</si>
  <si>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</si>
  <si>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</si>
  <si>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</si>
  <si>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</si>
  <si>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</si>
  <si>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</si>
  <si>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</si>
  <si>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</si>
  <si>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</si>
  <si>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</si>
  <si>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</si>
  <si>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</si>
  <si>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</si>
  <si>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</si>
  <si>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</si>
  <si>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</si>
  <si>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</si>
  <si>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</si>
  <si>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</si>
  <si>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</si>
  <si>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</si>
  <si>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</si>
  <si>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</si>
  <si>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</si>
  <si>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</si>
  <si>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</si>
  <si>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</si>
  <si>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</si>
  <si>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</si>
  <si>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</si>
  <si>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</si>
  <si>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</si>
  <si>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</si>
  <si>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</si>
  <si>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</si>
  <si>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</si>
  <si>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</si>
  <si>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</si>
  <si>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</si>
  <si>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</si>
  <si>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</si>
  <si>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</si>
  <si>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</si>
  <si>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</si>
  <si>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</si>
  <si>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</si>
  <si>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</si>
  <si>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</si>
  <si>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</si>
  <si>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</si>
  <si>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</si>
  <si>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</si>
  <si>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</si>
  <si>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</si>
  <si>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</si>
  <si>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</si>
  <si>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</si>
  <si>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</si>
  <si>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</si>
  <si>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</si>
  <si>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</si>
  <si>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</si>
  <si>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</si>
  <si>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</si>
  <si>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</si>
  <si>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</si>
  <si>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</si>
  <si>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</si>
  <si>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</si>
  <si>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</si>
  <si>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</si>
  <si>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</si>
  <si>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</si>
  <si>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</si>
  <si>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</si>
  <si>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</si>
  <si>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</si>
  <si>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</si>
  <si>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</si>
  <si>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</si>
  <si>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</si>
  <si>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</si>
  <si>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</si>
  <si>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</si>
  <si>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</si>
  <si>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</si>
  <si>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</si>
  <si>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</si>
  <si>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</si>
  <si>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</si>
  <si>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</si>
  <si>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</si>
  <si>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</si>
  <si>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</si>
  <si>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</si>
  <si>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</si>
  <si>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</si>
  <si>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</si>
  <si>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</si>
  <si>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</si>
  <si>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</si>
  <si>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</si>
  <si>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</si>
  <si>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</si>
  <si>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</si>
  <si>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</si>
  <si>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</si>
  <si>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</si>
  <si>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</si>
  <si>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</si>
  <si>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</si>
  <si>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</si>
  <si>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</si>
  <si>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</si>
  <si>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</si>
  <si>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</si>
  <si>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</si>
  <si>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</si>
  <si>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</si>
  <si>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</si>
  <si>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</si>
  <si>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</si>
  <si>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</si>
  <si>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</si>
  <si>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</si>
  <si>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</si>
  <si>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</si>
  <si>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</si>
  <si>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</si>
  <si>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</si>
  <si>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</si>
  <si>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</si>
  <si>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</si>
  <si>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</si>
  <si>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</si>
  <si>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</si>
  <si>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</si>
  <si>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</si>
  <si>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</si>
  <si>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</si>
  <si>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</si>
  <si>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</si>
  <si>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</si>
  <si>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</si>
  <si>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</si>
  <si>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</si>
  <si>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</si>
  <si>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</si>
  <si>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</si>
  <si>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</si>
  <si>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</si>
  <si>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</si>
  <si>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</si>
  <si>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</si>
  <si>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</si>
  <si>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</si>
  <si>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</si>
  <si>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</si>
  <si>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</si>
  <si>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</si>
  <si>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</si>
  <si>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</si>
  <si>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</si>
  <si>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</si>
  <si>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</si>
  <si>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</si>
  <si>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</si>
  <si>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</si>
  <si>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</si>
  <si>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</si>
  <si>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</si>
  <si>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</si>
  <si>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</si>
  <si>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</si>
  <si>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</si>
  <si>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</si>
  <si>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</si>
  <si>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</si>
  <si>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</si>
  <si>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</si>
  <si>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</si>
  <si>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</si>
  <si>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</si>
  <si>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</si>
  <si>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</si>
  <si>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</si>
  <si>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</si>
  <si>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</si>
  <si>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</si>
  <si>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</si>
  <si>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</si>
  <si>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</si>
  <si>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</si>
  <si>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</si>
  <si>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</si>
  <si>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</si>
  <si>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</si>
  <si>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</si>
  <si>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</si>
  <si>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</si>
  <si>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</si>
  <si>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</si>
  <si>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</si>
  <si>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</si>
  <si>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</si>
  <si>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</si>
  <si>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</si>
  <si>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</si>
  <si>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</si>
  <si>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</si>
  <si>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</si>
  <si>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</si>
  <si>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</si>
  <si>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</si>
  <si>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</si>
  <si>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</si>
  <si>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</si>
  <si>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</si>
  <si>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</si>
  <si>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</si>
  <si>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</si>
  <si>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</si>
  <si>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</si>
  <si>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</si>
  <si>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</si>
  <si>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</si>
  <si>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</si>
  <si>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</si>
  <si>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</si>
  <si>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</si>
  <si>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</si>
  <si>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</si>
  <si>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</si>
  <si>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</si>
  <si>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</si>
  <si>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</si>
  <si>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</si>
  <si>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</si>
  <si>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</si>
  <si>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</si>
  <si>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</si>
  <si>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</si>
  <si>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</si>
  <si>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</si>
  <si>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 xml:space="preserve">En el Censo 2001 se diferenció entre hogar y vivienda particular con personas presentes. </t>
  </si>
  <si>
    <t>En los censos 2012 y 2024 una vivienda particular con personas presentes es un hogar.</t>
  </si>
  <si>
    <t>Codigo_INE</t>
  </si>
  <si>
    <t>Municipio</t>
  </si>
  <si>
    <t>Cobertura de servicio público de recojo de basura, por municipio, 2012 (%)</t>
  </si>
  <si>
    <t># Viviendas CENSO 2012</t>
  </si>
  <si>
    <t>Viviendas sin cobertura de servicio público de recojo de basura, por municipio, 2012</t>
  </si>
  <si>
    <t>Cobertura de servicio público de recojo de basura, por municipio, 2024 (%)</t>
  </si>
  <si>
    <t># Viviendas CENSO 2024</t>
  </si>
  <si>
    <t>Viviendas sin cobertura de servicio público de recojo de basura, por municipio, 2024</t>
  </si>
  <si>
    <t>Viviendas CENSO 2012</t>
  </si>
  <si>
    <t>Viviendas con cobertura de servicio público de recojo de basura, por municipio, 2012</t>
  </si>
  <si>
    <t>Viviendas CENSO 2024</t>
  </si>
  <si>
    <t>Viviendas con cobertura de servicio público de recojo de basura, por municipio, 2024</t>
  </si>
  <si>
    <t>Potosi</t>
  </si>
  <si>
    <t>Promedio</t>
  </si>
  <si>
    <t>Desv. Est.</t>
  </si>
  <si>
    <t>Min</t>
  </si>
  <si>
    <t>Max</t>
  </si>
  <si>
    <t>Obs</t>
  </si>
  <si>
    <t>ID</t>
  </si>
  <si>
    <t>sdg12_4_cobertura_basura_2012</t>
  </si>
  <si>
    <t>sdg12_4_cobertura_basura_2024</t>
  </si>
  <si>
    <t>sdg12_4_cobertura_basura_abs_2012</t>
  </si>
  <si>
    <t>sdg12_4_cobertura_basura_abs_2024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</si>
  <si>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</si>
  <si>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</si>
  <si>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</si>
  <si>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</si>
  <si>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</si>
  <si>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</si>
  <si>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</si>
  <si>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</si>
  <si>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</si>
  <si>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</si>
  <si>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</si>
  <si>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Porcentaje de población con recolección de 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</si>
</sst>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Aptos Display"/>
      <family val="2"/>
    </font>
  </fonts>
  <fills count="15">
    <fill>
      <patternFill patternType="none"/>
    </fill>
    <fill>
      <patternFill patternType="gray125"/>
    </fill>
    <fill>
      <patternFill patternType="solid">
        <fgColor rgb="FF5D8CAF"/>
        <bgColor rgb="FF5D8CA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29CB7"/>
        <bgColor rgb="FF729CB7"/>
      </patternFill>
    </fill>
    <fill>
      <patternFill patternType="solid">
        <fgColor theme="0"/>
        <bgColor theme="0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6" fillId="5" borderId="7" xfId="0" applyFont="1" applyFill="1" applyBorder="1" applyAlignment="1">
      <alignment horizontal="right" vertical="center"/>
    </xf>
    <xf numFmtId="0" fontId="6" fillId="5" borderId="7" xfId="0" applyFont="1" applyFill="1" applyBorder="1" applyAlignment="1">
      <alignment horizontal="left" vertical="center"/>
    </xf>
    <xf numFmtId="3" fontId="6" fillId="5" borderId="7" xfId="0" applyNumberFormat="1" applyFont="1" applyFill="1" applyBorder="1" applyAlignment="1">
      <alignment horizontal="right" vertical="center"/>
    </xf>
    <xf numFmtId="164" fontId="6" fillId="5" borderId="7" xfId="0" applyNumberFormat="1" applyFont="1" applyFill="1" applyBorder="1" applyAlignment="1">
      <alignment horizontal="right" vertical="center"/>
    </xf>
    <xf numFmtId="164" fontId="6" fillId="5" borderId="0" xfId="0" applyNumberFormat="1" applyFont="1" applyFill="1" applyAlignment="1">
      <alignment horizontal="right" vertical="center"/>
    </xf>
    <xf numFmtId="0" fontId="6" fillId="6" borderId="8" xfId="0" applyFont="1" applyFill="1" applyBorder="1" applyAlignment="1">
      <alignment horizontal="right" vertical="center"/>
    </xf>
    <xf numFmtId="0" fontId="6" fillId="6" borderId="8" xfId="0" applyFont="1" applyFill="1" applyBorder="1" applyAlignment="1">
      <alignment horizontal="left" vertical="center"/>
    </xf>
    <xf numFmtId="3" fontId="6" fillId="6" borderId="8" xfId="0" applyNumberFormat="1" applyFont="1" applyFill="1" applyBorder="1" applyAlignment="1">
      <alignment horizontal="right" vertical="center"/>
    </xf>
    <xf numFmtId="164" fontId="6" fillId="6" borderId="8" xfId="0" applyNumberFormat="1" applyFont="1" applyFill="1" applyBorder="1" applyAlignment="1">
      <alignment horizontal="right" vertical="center"/>
    </xf>
    <xf numFmtId="164" fontId="6" fillId="6" borderId="0" xfId="0" applyNumberFormat="1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6" fillId="7" borderId="8" xfId="0" applyFont="1" applyFill="1" applyBorder="1" applyAlignment="1">
      <alignment horizontal="left" vertical="center"/>
    </xf>
    <xf numFmtId="3" fontId="6" fillId="7" borderId="8" xfId="0" applyNumberFormat="1" applyFont="1" applyFill="1" applyBorder="1" applyAlignment="1">
      <alignment horizontal="right" vertical="center"/>
    </xf>
    <xf numFmtId="164" fontId="6" fillId="7" borderId="8" xfId="0" applyNumberFormat="1" applyFont="1" applyFill="1" applyBorder="1" applyAlignment="1">
      <alignment horizontal="right" vertical="center"/>
    </xf>
    <xf numFmtId="164" fontId="6" fillId="7" borderId="0" xfId="0" applyNumberFormat="1" applyFont="1" applyFill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7" fillId="8" borderId="8" xfId="0" applyFont="1" applyFill="1" applyBorder="1" applyAlignment="1">
      <alignment horizontal="left" vertical="center"/>
    </xf>
    <xf numFmtId="3" fontId="7" fillId="8" borderId="8" xfId="0" applyNumberFormat="1" applyFont="1" applyFill="1" applyBorder="1" applyAlignment="1">
      <alignment horizontal="right" vertical="center"/>
    </xf>
    <xf numFmtId="164" fontId="7" fillId="8" borderId="8" xfId="0" applyNumberFormat="1" applyFont="1" applyFill="1" applyBorder="1" applyAlignment="1">
      <alignment horizontal="right" vertical="center"/>
    </xf>
    <xf numFmtId="164" fontId="7" fillId="8" borderId="0" xfId="0" applyNumberFormat="1" applyFont="1" applyFill="1" applyAlignment="1">
      <alignment horizontal="right" vertical="center"/>
    </xf>
    <xf numFmtId="0" fontId="7" fillId="9" borderId="8" xfId="0" applyFont="1" applyFill="1" applyBorder="1" applyAlignment="1">
      <alignment horizontal="right" vertical="center"/>
    </xf>
    <xf numFmtId="0" fontId="7" fillId="9" borderId="8" xfId="0" applyFont="1" applyFill="1" applyBorder="1" applyAlignment="1">
      <alignment horizontal="left" vertical="center"/>
    </xf>
    <xf numFmtId="3" fontId="7" fillId="9" borderId="8" xfId="0" applyNumberFormat="1" applyFont="1" applyFill="1" applyBorder="1" applyAlignment="1">
      <alignment horizontal="right" vertical="center"/>
    </xf>
    <xf numFmtId="3" fontId="7" fillId="4" borderId="8" xfId="0" applyNumberFormat="1" applyFont="1" applyFill="1" applyBorder="1" applyAlignment="1">
      <alignment horizontal="right" vertical="center"/>
    </xf>
    <xf numFmtId="3" fontId="7" fillId="3" borderId="8" xfId="0" applyNumberFormat="1" applyFont="1" applyFill="1" applyBorder="1" applyAlignment="1">
      <alignment horizontal="right" vertical="center"/>
    </xf>
    <xf numFmtId="164" fontId="7" fillId="9" borderId="8" xfId="0" applyNumberFormat="1" applyFont="1" applyFill="1" applyBorder="1" applyAlignment="1">
      <alignment horizontal="right" vertical="center"/>
    </xf>
    <xf numFmtId="164" fontId="7" fillId="4" borderId="8" xfId="0" applyNumberFormat="1" applyFont="1" applyFill="1" applyBorder="1" applyAlignment="1">
      <alignment horizontal="right" vertical="center"/>
    </xf>
    <xf numFmtId="164" fontId="7" fillId="3" borderId="0" xfId="0" applyNumberFormat="1" applyFont="1" applyFill="1" applyAlignment="1">
      <alignment horizontal="right" vertical="center"/>
    </xf>
    <xf numFmtId="0" fontId="6" fillId="6" borderId="8" xfId="0" applyFont="1" applyFill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1" fontId="7" fillId="9" borderId="8" xfId="0" applyNumberFormat="1" applyFont="1" applyFill="1" applyBorder="1" applyAlignment="1">
      <alignment vertical="center"/>
    </xf>
    <xf numFmtId="1" fontId="7" fillId="9" borderId="8" xfId="0" applyNumberFormat="1" applyFont="1" applyFill="1" applyBorder="1" applyAlignment="1">
      <alignment horizontal="left" vertical="center"/>
    </xf>
    <xf numFmtId="0" fontId="7" fillId="0" borderId="9" xfId="0" applyFont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0" fontId="7" fillId="8" borderId="10" xfId="0" applyFont="1" applyFill="1" applyBorder="1" applyAlignment="1">
      <alignment horizontal="left" vertical="center"/>
    </xf>
    <xf numFmtId="3" fontId="7" fillId="8" borderId="10" xfId="0" applyNumberFormat="1" applyFont="1" applyFill="1" applyBorder="1" applyAlignment="1">
      <alignment horizontal="right" vertical="center"/>
    </xf>
    <xf numFmtId="164" fontId="7" fillId="8" borderId="10" xfId="0" applyNumberFormat="1" applyFont="1" applyFill="1" applyBorder="1" applyAlignment="1">
      <alignment horizontal="right" vertical="center"/>
    </xf>
    <xf numFmtId="0" fontId="4" fillId="0" borderId="0" xfId="0" applyFont="1"/>
    <xf numFmtId="0" fontId="8" fillId="6" borderId="1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/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3" fontId="12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3" fontId="12" fillId="0" borderId="5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165" fontId="11" fillId="0" borderId="0" xfId="0" applyNumberFormat="1" applyFont="1" applyAlignment="1">
      <alignment horizontal="right"/>
    </xf>
    <xf numFmtId="165" fontId="11" fillId="0" borderId="0" xfId="0" applyNumberFormat="1" applyFont="1"/>
    <xf numFmtId="0" fontId="11" fillId="0" borderId="0" xfId="0" applyFont="1" applyAlignment="1">
      <alignment horizontal="right"/>
    </xf>
    <xf numFmtId="0" fontId="9" fillId="0" borderId="5" xfId="0" applyFont="1" applyBorder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3" fontId="12" fillId="0" borderId="5" xfId="0" applyNumberFormat="1" applyFont="1" applyBorder="1"/>
    <xf numFmtId="3" fontId="12" fillId="0" borderId="5" xfId="0" applyNumberFormat="1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2" fillId="0" borderId="5" xfId="0" applyFont="1" applyBorder="1"/>
    <xf numFmtId="164" fontId="12" fillId="0" borderId="5" xfId="0" applyNumberFormat="1" applyFont="1" applyBorder="1"/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9" fillId="10" borderId="5" xfId="0" applyFont="1" applyFill="1" applyBorder="1" applyAlignment="1">
      <alignment wrapText="1"/>
    </xf>
    <xf numFmtId="0" fontId="13" fillId="11" borderId="5" xfId="0" applyFont="1" applyFill="1" applyBorder="1" applyAlignment="1">
      <alignment horizontal="center" wrapText="1"/>
    </xf>
    <xf numFmtId="0" fontId="13" fillId="12" borderId="5" xfId="0" applyFont="1" applyFill="1" applyBorder="1" applyAlignment="1">
      <alignment horizontal="center" wrapText="1"/>
    </xf>
    <xf numFmtId="0" fontId="13" fillId="13" borderId="5" xfId="0" applyFont="1" applyFill="1" applyBorder="1" applyAlignment="1">
      <alignment horizontal="center" wrapText="1"/>
    </xf>
    <xf numFmtId="0" fontId="13" fillId="14" borderId="5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right" wrapText="1"/>
    </xf>
    <xf numFmtId="0" fontId="11" fillId="0" borderId="5" xfId="0" applyFont="1" applyBorder="1" applyAlignment="1">
      <alignment wrapText="1"/>
    </xf>
    <xf numFmtId="0" fontId="11" fillId="0" borderId="5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3" fontId="12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7" xfId="0" applyFont="1" applyBorder="1"/>
    <xf numFmtId="164" fontId="12" fillId="0" borderId="7" xfId="0" applyNumberFormat="1" applyFont="1" applyBorder="1"/>
    <xf numFmtId="0" fontId="1" fillId="0" borderId="12" xfId="0" applyFont="1" applyBorder="1"/>
    <xf numFmtId="165" fontId="0" fillId="0" borderId="0" xfId="0" applyNumberFormat="1"/>
    <xf numFmtId="3" fontId="0" fillId="0" borderId="12" xfId="0" applyNumberFormat="1" applyBorder="1"/>
    <xf numFmtId="165" fontId="0" fillId="0" borderId="12" xfId="0" applyNumberFormat="1" applyBorder="1"/>
    <xf numFmtId="164" fontId="0" fillId="0" borderId="12" xfId="0" applyNumberFormat="1" applyBorder="1"/>
    <xf numFmtId="3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16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1427"/>
  <sheetViews>
    <sheetView showGridLines="0" workbookViewId="0">
      <pane xSplit="6" ySplit="6" topLeftCell="AA1003" activePane="bottomRight" state="frozen"/>
      <selection pane="topRight" activeCell="G1" sqref="G1"/>
      <selection pane="bottomLeft" activeCell="A7" sqref="A7"/>
      <selection pane="bottomRight" activeCell="AA1009" sqref="AA1009"/>
    </sheetView>
  </sheetViews>
  <sheetFormatPr baseColWidth="10" defaultColWidth="14.42578125" defaultRowHeight="15" customHeight="1" x14ac:dyDescent="0.25"/>
  <cols>
    <col min="1" max="1" width="7" customWidth="1"/>
    <col min="2" max="2" width="6.7109375" customWidth="1"/>
    <col min="3" max="3" width="15.5703125" customWidth="1"/>
    <col min="4" max="4" width="17" customWidth="1"/>
    <col min="5" max="5" width="12.42578125" customWidth="1"/>
    <col min="6" max="6" width="18.85546875" customWidth="1"/>
    <col min="7" max="7" width="30.7109375" customWidth="1"/>
    <col min="8" max="45" width="15.7109375" customWidth="1"/>
  </cols>
  <sheetData>
    <row r="1" spans="1:45" ht="15" customHeight="1" x14ac:dyDescent="0.25">
      <c r="A1" s="1"/>
      <c r="B1" s="2" t="s">
        <v>0</v>
      </c>
      <c r="W1" s="3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15" customHeight="1" x14ac:dyDescent="0.25">
      <c r="B2" s="2" t="s">
        <v>1</v>
      </c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5"/>
      <c r="Y2" s="5"/>
      <c r="Z2" s="5"/>
      <c r="AA2" s="5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ht="15" customHeight="1" x14ac:dyDescent="0.25">
      <c r="B3" s="8" t="s">
        <v>2</v>
      </c>
      <c r="W3" s="3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ht="30" customHeight="1" x14ac:dyDescent="0.25">
      <c r="B4" s="9"/>
      <c r="C4" s="9"/>
      <c r="D4" s="9"/>
      <c r="E4" s="9"/>
      <c r="F4" s="9"/>
      <c r="G4" s="9"/>
      <c r="H4" s="111" t="s">
        <v>3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3"/>
      <c r="Z4" s="10"/>
      <c r="AA4" s="10"/>
      <c r="AB4" s="114" t="s">
        <v>4</v>
      </c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3"/>
      <c r="AR4" s="11"/>
      <c r="AS4" s="11"/>
    </row>
    <row r="5" spans="1:45" ht="30" customHeight="1" x14ac:dyDescent="0.25">
      <c r="B5" s="12"/>
      <c r="C5" s="12"/>
      <c r="D5" s="12"/>
      <c r="E5" s="12"/>
      <c r="F5" s="12"/>
      <c r="G5" s="12"/>
      <c r="H5" s="115">
        <v>2012</v>
      </c>
      <c r="I5" s="112"/>
      <c r="J5" s="112"/>
      <c r="K5" s="112"/>
      <c r="L5" s="112"/>
      <c r="M5" s="112"/>
      <c r="N5" s="112"/>
      <c r="O5" s="113"/>
      <c r="P5" s="13"/>
      <c r="Q5" s="13"/>
      <c r="R5" s="115">
        <v>2024</v>
      </c>
      <c r="S5" s="112"/>
      <c r="T5" s="112"/>
      <c r="U5" s="112"/>
      <c r="V5" s="112"/>
      <c r="W5" s="112"/>
      <c r="X5" s="112"/>
      <c r="Y5" s="113"/>
      <c r="Z5" s="13"/>
      <c r="AA5" s="13"/>
      <c r="AB5" s="115">
        <v>2012</v>
      </c>
      <c r="AC5" s="112"/>
      <c r="AD5" s="112"/>
      <c r="AE5" s="112"/>
      <c r="AF5" s="112"/>
      <c r="AG5" s="112"/>
      <c r="AH5" s="113"/>
      <c r="AI5" s="14"/>
      <c r="AJ5" s="14"/>
      <c r="AK5" s="115">
        <v>2024</v>
      </c>
      <c r="AL5" s="112"/>
      <c r="AM5" s="112"/>
      <c r="AN5" s="112"/>
      <c r="AO5" s="112"/>
      <c r="AP5" s="112"/>
      <c r="AQ5" s="113"/>
      <c r="AR5" s="15"/>
      <c r="AS5" s="15"/>
    </row>
    <row r="6" spans="1:45" ht="75" customHeight="1" x14ac:dyDescent="0.25"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3" t="s">
        <v>11</v>
      </c>
      <c r="I6" s="13" t="s">
        <v>12</v>
      </c>
      <c r="J6" s="13" t="s">
        <v>13</v>
      </c>
      <c r="K6" s="13" t="s">
        <v>14</v>
      </c>
      <c r="L6" s="13" t="s">
        <v>15</v>
      </c>
      <c r="M6" s="13" t="s">
        <v>16</v>
      </c>
      <c r="N6" s="13" t="s">
        <v>17</v>
      </c>
      <c r="O6" s="13" t="s">
        <v>18</v>
      </c>
      <c r="P6" s="14" t="s">
        <v>19</v>
      </c>
      <c r="Q6" s="14" t="s">
        <v>20</v>
      </c>
      <c r="R6" s="13" t="s">
        <v>11</v>
      </c>
      <c r="S6" s="13" t="s">
        <v>12</v>
      </c>
      <c r="T6" s="13" t="s">
        <v>13</v>
      </c>
      <c r="U6" s="13" t="s">
        <v>14</v>
      </c>
      <c r="V6" s="13" t="s">
        <v>15</v>
      </c>
      <c r="W6" s="13" t="s">
        <v>16</v>
      </c>
      <c r="X6" s="13" t="s">
        <v>17</v>
      </c>
      <c r="Y6" s="13" t="s">
        <v>18</v>
      </c>
      <c r="Z6" s="16" t="s">
        <v>19</v>
      </c>
      <c r="AA6" s="16" t="s">
        <v>20</v>
      </c>
      <c r="AB6" s="17" t="s">
        <v>12</v>
      </c>
      <c r="AC6" s="17" t="s">
        <v>13</v>
      </c>
      <c r="AD6" s="17" t="s">
        <v>14</v>
      </c>
      <c r="AE6" s="17" t="s">
        <v>15</v>
      </c>
      <c r="AF6" s="17" t="s">
        <v>16</v>
      </c>
      <c r="AG6" s="17" t="s">
        <v>17</v>
      </c>
      <c r="AH6" s="17" t="s">
        <v>18</v>
      </c>
      <c r="AI6" s="18" t="s">
        <v>21</v>
      </c>
      <c r="AJ6" s="18" t="s">
        <v>22</v>
      </c>
      <c r="AK6" s="17" t="s">
        <v>12</v>
      </c>
      <c r="AL6" s="17" t="s">
        <v>13</v>
      </c>
      <c r="AM6" s="17" t="s">
        <v>14</v>
      </c>
      <c r="AN6" s="17" t="s">
        <v>15</v>
      </c>
      <c r="AO6" s="17" t="s">
        <v>16</v>
      </c>
      <c r="AP6" s="17" t="s">
        <v>17</v>
      </c>
      <c r="AQ6" s="17" t="s">
        <v>18</v>
      </c>
      <c r="AR6" s="19" t="s">
        <v>21</v>
      </c>
      <c r="AS6" s="19" t="s">
        <v>22</v>
      </c>
    </row>
    <row r="7" spans="1:45" ht="15" hidden="1" customHeight="1" x14ac:dyDescent="0.25">
      <c r="B7" s="20">
        <v>1</v>
      </c>
      <c r="C7" s="21" t="s">
        <v>23</v>
      </c>
      <c r="D7" s="21"/>
      <c r="E7" s="21"/>
      <c r="F7" s="21"/>
      <c r="G7" s="21" t="s">
        <v>24</v>
      </c>
      <c r="H7" s="22">
        <v>2803982</v>
      </c>
      <c r="I7" s="22">
        <v>376688</v>
      </c>
      <c r="J7" s="22">
        <v>1239713</v>
      </c>
      <c r="K7" s="22">
        <v>196625</v>
      </c>
      <c r="L7" s="22">
        <v>195794</v>
      </c>
      <c r="M7" s="22">
        <v>640357</v>
      </c>
      <c r="N7" s="22">
        <v>112864</v>
      </c>
      <c r="O7" s="22">
        <v>41941</v>
      </c>
      <c r="P7" s="22">
        <f>K7+L7+M7+N7+O7</f>
        <v>1187581</v>
      </c>
      <c r="Q7" s="22">
        <f>I7+J7</f>
        <v>1616401</v>
      </c>
      <c r="R7" s="22">
        <v>3623711</v>
      </c>
      <c r="S7" s="22">
        <v>673955</v>
      </c>
      <c r="T7" s="22">
        <v>1647912</v>
      </c>
      <c r="U7" s="22">
        <v>82228</v>
      </c>
      <c r="V7" s="22">
        <v>61551</v>
      </c>
      <c r="W7" s="22">
        <v>999714</v>
      </c>
      <c r="X7" s="22">
        <v>124764</v>
      </c>
      <c r="Y7" s="22">
        <v>33587</v>
      </c>
      <c r="Z7" s="22">
        <f>U7+V7+W7+X7+Y7</f>
        <v>1301844</v>
      </c>
      <c r="AA7" s="22">
        <f>S7+T7</f>
        <v>2321867</v>
      </c>
      <c r="AB7" s="23">
        <v>13.434037699999999</v>
      </c>
      <c r="AC7" s="23">
        <v>44.2125877</v>
      </c>
      <c r="AD7" s="23">
        <v>7.0123489000000001</v>
      </c>
      <c r="AE7" s="23">
        <v>6.9827123999999996</v>
      </c>
      <c r="AF7" s="23">
        <v>22.837414800000001</v>
      </c>
      <c r="AG7" s="23">
        <v>4.0251327999999997</v>
      </c>
      <c r="AH7" s="23">
        <v>1.4957657</v>
      </c>
      <c r="AI7" s="23">
        <f>AB7+AC7</f>
        <v>57.646625399999998</v>
      </c>
      <c r="AJ7" s="23"/>
      <c r="AK7" s="23">
        <v>18.598475400000002</v>
      </c>
      <c r="AL7" s="23">
        <v>45.475811999999998</v>
      </c>
      <c r="AM7" s="23">
        <v>2.2691655000000002</v>
      </c>
      <c r="AN7" s="23">
        <v>1.6985626</v>
      </c>
      <c r="AO7" s="23">
        <v>27.588127199999999</v>
      </c>
      <c r="AP7" s="23">
        <v>3.4429897999999999</v>
      </c>
      <c r="AQ7" s="23">
        <v>0.92686749999999996</v>
      </c>
      <c r="AR7" s="24">
        <f>AK7+AL7</f>
        <v>64.074287400000003</v>
      </c>
      <c r="AS7" s="24"/>
    </row>
    <row r="8" spans="1:45" ht="15" hidden="1" customHeight="1" x14ac:dyDescent="0.25">
      <c r="B8" s="25">
        <v>2</v>
      </c>
      <c r="C8" s="26" t="s">
        <v>23</v>
      </c>
      <c r="D8" s="26"/>
      <c r="E8" s="26"/>
      <c r="F8" s="26"/>
      <c r="G8" s="26" t="s">
        <v>25</v>
      </c>
      <c r="H8" s="27">
        <v>1826480</v>
      </c>
      <c r="I8" s="27">
        <v>359528</v>
      </c>
      <c r="J8" s="27">
        <v>1200148</v>
      </c>
      <c r="K8" s="27">
        <v>57904</v>
      </c>
      <c r="L8" s="27">
        <v>39225</v>
      </c>
      <c r="M8" s="27">
        <v>145449</v>
      </c>
      <c r="N8" s="27">
        <v>15088</v>
      </c>
      <c r="O8" s="27">
        <v>9138</v>
      </c>
      <c r="P8" s="27"/>
      <c r="Q8" s="27"/>
      <c r="R8" s="27">
        <v>2386919</v>
      </c>
      <c r="S8" s="27">
        <v>617677</v>
      </c>
      <c r="T8" s="27">
        <v>1556938</v>
      </c>
      <c r="U8" s="27">
        <v>27284</v>
      </c>
      <c r="V8" s="27">
        <v>8381</v>
      </c>
      <c r="W8" s="27">
        <v>155522</v>
      </c>
      <c r="X8" s="27">
        <v>10089</v>
      </c>
      <c r="Y8" s="27">
        <v>11028</v>
      </c>
      <c r="Z8" s="27"/>
      <c r="AA8" s="27"/>
      <c r="AB8" s="28">
        <v>19.684201300000002</v>
      </c>
      <c r="AC8" s="28">
        <v>65.708247600000007</v>
      </c>
      <c r="AD8" s="28">
        <v>3.1702509999999999</v>
      </c>
      <c r="AE8" s="28">
        <v>2.1475735</v>
      </c>
      <c r="AF8" s="28">
        <v>7.9633503000000001</v>
      </c>
      <c r="AG8" s="28">
        <v>0.82606979999999997</v>
      </c>
      <c r="AH8" s="28">
        <v>0.50030660000000005</v>
      </c>
      <c r="AI8" s="28"/>
      <c r="AJ8" s="28"/>
      <c r="AK8" s="28">
        <v>25.8775853</v>
      </c>
      <c r="AL8" s="28">
        <v>65.227936099999994</v>
      </c>
      <c r="AM8" s="28">
        <v>1.1430635</v>
      </c>
      <c r="AN8" s="28">
        <v>0.35112209999999999</v>
      </c>
      <c r="AO8" s="28">
        <v>6.5155960000000004</v>
      </c>
      <c r="AP8" s="28">
        <v>0.42267880000000002</v>
      </c>
      <c r="AQ8" s="28">
        <v>0.46201819999999999</v>
      </c>
      <c r="AR8" s="29"/>
      <c r="AS8" s="29"/>
    </row>
    <row r="9" spans="1:45" ht="15" hidden="1" customHeight="1" x14ac:dyDescent="0.25">
      <c r="B9" s="25">
        <v>3</v>
      </c>
      <c r="C9" s="26" t="s">
        <v>23</v>
      </c>
      <c r="D9" s="26"/>
      <c r="E9" s="26"/>
      <c r="F9" s="26"/>
      <c r="G9" s="26" t="s">
        <v>26</v>
      </c>
      <c r="H9" s="27">
        <v>977502</v>
      </c>
      <c r="I9" s="27">
        <v>17160</v>
      </c>
      <c r="J9" s="27">
        <v>39565</v>
      </c>
      <c r="K9" s="27">
        <v>138721</v>
      </c>
      <c r="L9" s="27">
        <v>156569</v>
      </c>
      <c r="M9" s="27">
        <v>494908</v>
      </c>
      <c r="N9" s="27">
        <v>97776</v>
      </c>
      <c r="O9" s="27">
        <v>32803</v>
      </c>
      <c r="P9" s="27"/>
      <c r="Q9" s="27"/>
      <c r="R9" s="27">
        <v>1236792</v>
      </c>
      <c r="S9" s="27">
        <v>56278</v>
      </c>
      <c r="T9" s="27">
        <v>90974</v>
      </c>
      <c r="U9" s="27">
        <v>54944</v>
      </c>
      <c r="V9" s="27">
        <v>53170</v>
      </c>
      <c r="W9" s="27">
        <v>844192</v>
      </c>
      <c r="X9" s="27">
        <v>114675</v>
      </c>
      <c r="Y9" s="27">
        <v>22559</v>
      </c>
      <c r="Z9" s="27"/>
      <c r="AA9" s="27"/>
      <c r="AB9" s="28">
        <v>1.7554951000000001</v>
      </c>
      <c r="AC9" s="28">
        <v>4.0475621000000004</v>
      </c>
      <c r="AD9" s="28">
        <v>14.191377599999999</v>
      </c>
      <c r="AE9" s="28">
        <v>16.017256199999999</v>
      </c>
      <c r="AF9" s="28">
        <v>50.629870799999999</v>
      </c>
      <c r="AG9" s="28">
        <v>10.0026394</v>
      </c>
      <c r="AH9" s="28">
        <v>3.3557988000000001</v>
      </c>
      <c r="AI9" s="28"/>
      <c r="AJ9" s="28"/>
      <c r="AK9" s="28">
        <v>4.5503204999999998</v>
      </c>
      <c r="AL9" s="28">
        <v>7.3556426999999998</v>
      </c>
      <c r="AM9" s="28">
        <v>4.4424608000000001</v>
      </c>
      <c r="AN9" s="28">
        <v>4.2990252</v>
      </c>
      <c r="AO9" s="28">
        <v>68.256586400000003</v>
      </c>
      <c r="AP9" s="28">
        <v>9.2719714</v>
      </c>
      <c r="AQ9" s="28">
        <v>1.823993</v>
      </c>
      <c r="AR9" s="29"/>
      <c r="AS9" s="29"/>
    </row>
    <row r="10" spans="1:45" ht="15" hidden="1" customHeight="1" x14ac:dyDescent="0.25">
      <c r="B10" s="20">
        <v>4</v>
      </c>
      <c r="C10" s="21" t="s">
        <v>27</v>
      </c>
      <c r="D10" s="21" t="s">
        <v>28</v>
      </c>
      <c r="E10" s="21"/>
      <c r="F10" s="21"/>
      <c r="G10" s="21" t="s">
        <v>28</v>
      </c>
      <c r="H10" s="22">
        <v>150081</v>
      </c>
      <c r="I10" s="22">
        <v>9927</v>
      </c>
      <c r="J10" s="22">
        <v>55189</v>
      </c>
      <c r="K10" s="22">
        <v>32108</v>
      </c>
      <c r="L10" s="22">
        <v>15170</v>
      </c>
      <c r="M10" s="22">
        <v>27557</v>
      </c>
      <c r="N10" s="22">
        <v>6363</v>
      </c>
      <c r="O10" s="22">
        <v>3767</v>
      </c>
      <c r="P10" s="22">
        <f>K10+L10+M10+N10+O10</f>
        <v>84965</v>
      </c>
      <c r="Q10" s="22">
        <f>I10+J10</f>
        <v>65116</v>
      </c>
      <c r="R10" s="22">
        <v>184969</v>
      </c>
      <c r="S10" s="22">
        <v>41354</v>
      </c>
      <c r="T10" s="22">
        <v>61551</v>
      </c>
      <c r="U10" s="22">
        <v>11002</v>
      </c>
      <c r="V10" s="22">
        <v>5043</v>
      </c>
      <c r="W10" s="22">
        <v>57451</v>
      </c>
      <c r="X10" s="22">
        <v>7044</v>
      </c>
      <c r="Y10" s="22">
        <v>1524</v>
      </c>
      <c r="Z10" s="22">
        <f>U10+V10+W10+X10+Y10</f>
        <v>82064</v>
      </c>
      <c r="AA10" s="22">
        <f>S10+T10</f>
        <v>102905</v>
      </c>
      <c r="AB10" s="23">
        <v>6.6144281999999999</v>
      </c>
      <c r="AC10" s="23">
        <v>36.772809299999999</v>
      </c>
      <c r="AD10" s="23">
        <v>21.393780700000001</v>
      </c>
      <c r="AE10" s="23">
        <v>10.107875099999999</v>
      </c>
      <c r="AF10" s="23">
        <v>18.361418199999999</v>
      </c>
      <c r="AG10" s="23">
        <v>4.2397106000000004</v>
      </c>
      <c r="AH10" s="23">
        <v>2.5099779</v>
      </c>
      <c r="AI10" s="23">
        <f>AB10+AC10</f>
        <v>43.387237499999998</v>
      </c>
      <c r="AJ10" s="23"/>
      <c r="AK10" s="23">
        <v>22.357259899999999</v>
      </c>
      <c r="AL10" s="23">
        <v>33.276386899999999</v>
      </c>
      <c r="AM10" s="23">
        <v>5.9480237000000002</v>
      </c>
      <c r="AN10" s="23">
        <v>2.7264027999999998</v>
      </c>
      <c r="AO10" s="23">
        <v>31.0597992</v>
      </c>
      <c r="AP10" s="23">
        <v>3.8082056999999998</v>
      </c>
      <c r="AQ10" s="23">
        <v>0.82392180000000004</v>
      </c>
      <c r="AR10" s="24">
        <f>AK10+AL10</f>
        <v>55.633646799999994</v>
      </c>
      <c r="AS10" s="24"/>
    </row>
    <row r="11" spans="1:45" ht="15" hidden="1" customHeight="1" x14ac:dyDescent="0.25">
      <c r="B11" s="25">
        <v>5</v>
      </c>
      <c r="C11" s="26" t="s">
        <v>27</v>
      </c>
      <c r="D11" s="26" t="s">
        <v>28</v>
      </c>
      <c r="E11" s="26"/>
      <c r="F11" s="26"/>
      <c r="G11" s="26" t="s">
        <v>25</v>
      </c>
      <c r="H11" s="27">
        <v>74401</v>
      </c>
      <c r="I11" s="27">
        <v>9019</v>
      </c>
      <c r="J11" s="27">
        <v>50760</v>
      </c>
      <c r="K11" s="27">
        <v>4665</v>
      </c>
      <c r="L11" s="27">
        <v>4519</v>
      </c>
      <c r="M11" s="27">
        <v>4839</v>
      </c>
      <c r="N11" s="27">
        <v>307</v>
      </c>
      <c r="O11" s="27">
        <v>292</v>
      </c>
      <c r="P11" s="27"/>
      <c r="Q11" s="27"/>
      <c r="R11" s="27">
        <v>102961</v>
      </c>
      <c r="S11" s="27">
        <v>38581</v>
      </c>
      <c r="T11" s="27">
        <v>54443</v>
      </c>
      <c r="U11" s="27">
        <v>1649</v>
      </c>
      <c r="V11" s="27">
        <v>770</v>
      </c>
      <c r="W11" s="27">
        <v>6919</v>
      </c>
      <c r="X11" s="27">
        <v>324</v>
      </c>
      <c r="Y11" s="27">
        <v>275</v>
      </c>
      <c r="Z11" s="27"/>
      <c r="AA11" s="27"/>
      <c r="AB11" s="28">
        <v>12.122148899999999</v>
      </c>
      <c r="AC11" s="28">
        <v>68.224889500000003</v>
      </c>
      <c r="AD11" s="28">
        <v>6.2700769999999997</v>
      </c>
      <c r="AE11" s="28">
        <v>6.0738431000000004</v>
      </c>
      <c r="AF11" s="28">
        <v>6.5039448000000002</v>
      </c>
      <c r="AG11" s="28">
        <v>0.41262890000000002</v>
      </c>
      <c r="AH11" s="28">
        <v>0.39246779999999998</v>
      </c>
      <c r="AI11" s="28"/>
      <c r="AJ11" s="28"/>
      <c r="AK11" s="28">
        <v>37.471469800000001</v>
      </c>
      <c r="AL11" s="28">
        <v>52.877303099999999</v>
      </c>
      <c r="AM11" s="28">
        <v>1.6015773</v>
      </c>
      <c r="AN11" s="28">
        <v>0.74785599999999997</v>
      </c>
      <c r="AO11" s="28">
        <v>6.7200202000000004</v>
      </c>
      <c r="AP11" s="28">
        <v>0.31468230000000003</v>
      </c>
      <c r="AQ11" s="28">
        <v>0.26709139999999998</v>
      </c>
      <c r="AR11" s="29"/>
      <c r="AS11" s="29"/>
    </row>
    <row r="12" spans="1:45" ht="15" hidden="1" customHeight="1" x14ac:dyDescent="0.25">
      <c r="B12" s="25">
        <v>6</v>
      </c>
      <c r="C12" s="26" t="s">
        <v>27</v>
      </c>
      <c r="D12" s="26" t="s">
        <v>28</v>
      </c>
      <c r="E12" s="26"/>
      <c r="F12" s="26"/>
      <c r="G12" s="26" t="s">
        <v>26</v>
      </c>
      <c r="H12" s="27">
        <v>75680</v>
      </c>
      <c r="I12" s="27">
        <v>908</v>
      </c>
      <c r="J12" s="27">
        <v>4429</v>
      </c>
      <c r="K12" s="27">
        <v>27443</v>
      </c>
      <c r="L12" s="27">
        <v>10651</v>
      </c>
      <c r="M12" s="27">
        <v>22718</v>
      </c>
      <c r="N12" s="27">
        <v>6056</v>
      </c>
      <c r="O12" s="27">
        <v>3475</v>
      </c>
      <c r="P12" s="27"/>
      <c r="Q12" s="27"/>
      <c r="R12" s="27">
        <v>82008</v>
      </c>
      <c r="S12" s="27">
        <v>2773</v>
      </c>
      <c r="T12" s="27">
        <v>7108</v>
      </c>
      <c r="U12" s="27">
        <v>9353</v>
      </c>
      <c r="V12" s="27">
        <v>4273</v>
      </c>
      <c r="W12" s="27">
        <v>50532</v>
      </c>
      <c r="X12" s="27">
        <v>6720</v>
      </c>
      <c r="Y12" s="27">
        <v>1249</v>
      </c>
      <c r="Z12" s="27"/>
      <c r="AA12" s="27"/>
      <c r="AB12" s="28">
        <v>1.1997886</v>
      </c>
      <c r="AC12" s="28">
        <v>5.8522727000000003</v>
      </c>
      <c r="AD12" s="28">
        <v>36.261892199999998</v>
      </c>
      <c r="AE12" s="28">
        <v>14.073731499999999</v>
      </c>
      <c r="AF12" s="28">
        <v>30.018498900000001</v>
      </c>
      <c r="AG12" s="28">
        <v>8.0021141999999994</v>
      </c>
      <c r="AH12" s="28">
        <v>4.5917019000000003</v>
      </c>
      <c r="AI12" s="28"/>
      <c r="AJ12" s="28"/>
      <c r="AK12" s="28">
        <v>3.3813773999999999</v>
      </c>
      <c r="AL12" s="28">
        <v>8.6674471000000004</v>
      </c>
      <c r="AM12" s="28">
        <v>11.404984900000001</v>
      </c>
      <c r="AN12" s="28">
        <v>5.2104673000000004</v>
      </c>
      <c r="AO12" s="28">
        <v>61.618378700000001</v>
      </c>
      <c r="AP12" s="28">
        <v>8.1943225000000002</v>
      </c>
      <c r="AQ12" s="28">
        <v>1.5230220999999999</v>
      </c>
      <c r="AR12" s="29"/>
      <c r="AS12" s="29"/>
    </row>
    <row r="13" spans="1:45" ht="15" hidden="1" customHeight="1" x14ac:dyDescent="0.25">
      <c r="B13" s="30">
        <v>7</v>
      </c>
      <c r="C13" s="31" t="s">
        <v>29</v>
      </c>
      <c r="D13" s="31" t="s">
        <v>28</v>
      </c>
      <c r="E13" s="31" t="s">
        <v>30</v>
      </c>
      <c r="F13" s="31"/>
      <c r="G13" s="31" t="s">
        <v>30</v>
      </c>
      <c r="H13" s="32">
        <v>77255</v>
      </c>
      <c r="I13" s="32">
        <v>7711</v>
      </c>
      <c r="J13" s="32">
        <v>43094</v>
      </c>
      <c r="K13" s="32">
        <v>9598</v>
      </c>
      <c r="L13" s="32">
        <v>6702</v>
      </c>
      <c r="M13" s="32">
        <v>7810</v>
      </c>
      <c r="N13" s="32">
        <v>1676</v>
      </c>
      <c r="O13" s="32">
        <v>664</v>
      </c>
      <c r="P13" s="32"/>
      <c r="Q13" s="32"/>
      <c r="R13" s="32">
        <v>100241</v>
      </c>
      <c r="S13" s="32">
        <v>36824</v>
      </c>
      <c r="T13" s="32">
        <v>41771</v>
      </c>
      <c r="U13" s="32">
        <v>2545</v>
      </c>
      <c r="V13" s="32">
        <v>1641</v>
      </c>
      <c r="W13" s="32">
        <v>15269</v>
      </c>
      <c r="X13" s="32">
        <v>1714</v>
      </c>
      <c r="Y13" s="32">
        <v>477</v>
      </c>
      <c r="Z13" s="32"/>
      <c r="AA13" s="32"/>
      <c r="AB13" s="33">
        <v>9.9812309999999993</v>
      </c>
      <c r="AC13" s="33">
        <v>55.781502799999998</v>
      </c>
      <c r="AD13" s="33">
        <v>12.4237913</v>
      </c>
      <c r="AE13" s="33">
        <v>8.6751667000000001</v>
      </c>
      <c r="AF13" s="33">
        <v>10.109378</v>
      </c>
      <c r="AG13" s="33">
        <v>2.1694388999999998</v>
      </c>
      <c r="AH13" s="33">
        <v>0.85949129999999996</v>
      </c>
      <c r="AI13" s="33"/>
      <c r="AJ13" s="33"/>
      <c r="AK13" s="33">
        <v>36.735467499999999</v>
      </c>
      <c r="AL13" s="33">
        <v>41.670573900000001</v>
      </c>
      <c r="AM13" s="33">
        <v>2.5388812999999999</v>
      </c>
      <c r="AN13" s="33">
        <v>1.6370547</v>
      </c>
      <c r="AO13" s="33">
        <v>15.2322902</v>
      </c>
      <c r="AP13" s="33">
        <v>1.7098792</v>
      </c>
      <c r="AQ13" s="33">
        <v>0.47585319999999998</v>
      </c>
      <c r="AR13" s="34"/>
      <c r="AS13" s="34"/>
    </row>
    <row r="14" spans="1:45" ht="15" hidden="1" customHeight="1" x14ac:dyDescent="0.25">
      <c r="B14" s="35">
        <v>8</v>
      </c>
      <c r="C14" s="36" t="s">
        <v>29</v>
      </c>
      <c r="D14" s="36" t="s">
        <v>28</v>
      </c>
      <c r="E14" s="36" t="s">
        <v>30</v>
      </c>
      <c r="F14" s="36"/>
      <c r="G14" s="37" t="s">
        <v>25</v>
      </c>
      <c r="H14" s="38">
        <v>63108</v>
      </c>
      <c r="I14" s="38">
        <v>7564</v>
      </c>
      <c r="J14" s="38">
        <v>42635</v>
      </c>
      <c r="K14" s="38">
        <v>4218</v>
      </c>
      <c r="L14" s="38">
        <v>4074</v>
      </c>
      <c r="M14" s="38">
        <v>4136</v>
      </c>
      <c r="N14" s="38">
        <v>235</v>
      </c>
      <c r="O14" s="38">
        <v>246</v>
      </c>
      <c r="P14" s="38"/>
      <c r="Q14" s="38"/>
      <c r="R14" s="38">
        <v>84913</v>
      </c>
      <c r="S14" s="38">
        <v>35833</v>
      </c>
      <c r="T14" s="38">
        <v>40802</v>
      </c>
      <c r="U14" s="38">
        <v>1491</v>
      </c>
      <c r="V14" s="38">
        <v>703</v>
      </c>
      <c r="W14" s="38">
        <v>5653</v>
      </c>
      <c r="X14" s="38">
        <v>208</v>
      </c>
      <c r="Y14" s="38">
        <v>223</v>
      </c>
      <c r="Z14" s="38"/>
      <c r="AA14" s="38"/>
      <c r="AB14" s="39">
        <v>11.985802100000001</v>
      </c>
      <c r="AC14" s="39">
        <v>67.558788100000001</v>
      </c>
      <c r="AD14" s="39">
        <v>6.6837802000000002</v>
      </c>
      <c r="AE14" s="39">
        <v>6.4555999000000002</v>
      </c>
      <c r="AF14" s="39">
        <v>6.5538442000000003</v>
      </c>
      <c r="AG14" s="39">
        <v>0.37237749999999997</v>
      </c>
      <c r="AH14" s="39">
        <v>0.38980789999999998</v>
      </c>
      <c r="AI14" s="39"/>
      <c r="AJ14" s="39"/>
      <c r="AK14" s="39">
        <v>42.199663200000003</v>
      </c>
      <c r="AL14" s="39">
        <v>48.051535100000002</v>
      </c>
      <c r="AM14" s="39">
        <v>1.7559149000000001</v>
      </c>
      <c r="AN14" s="39">
        <v>0.82790620000000004</v>
      </c>
      <c r="AO14" s="39">
        <v>6.6574023000000002</v>
      </c>
      <c r="AP14" s="39">
        <v>0.2449566</v>
      </c>
      <c r="AQ14" s="39">
        <v>0.26262170000000001</v>
      </c>
      <c r="AR14" s="40"/>
      <c r="AS14" s="40"/>
    </row>
    <row r="15" spans="1:45" ht="15" hidden="1" customHeight="1" x14ac:dyDescent="0.25">
      <c r="B15" s="35">
        <v>9</v>
      </c>
      <c r="C15" s="36" t="s">
        <v>29</v>
      </c>
      <c r="D15" s="36" t="s">
        <v>28</v>
      </c>
      <c r="E15" s="36" t="s">
        <v>30</v>
      </c>
      <c r="F15" s="36"/>
      <c r="G15" s="37" t="s">
        <v>26</v>
      </c>
      <c r="H15" s="38">
        <v>14147</v>
      </c>
      <c r="I15" s="38">
        <v>147</v>
      </c>
      <c r="J15" s="38">
        <v>459</v>
      </c>
      <c r="K15" s="38">
        <v>5380</v>
      </c>
      <c r="L15" s="38">
        <v>2628</v>
      </c>
      <c r="M15" s="38">
        <v>3674</v>
      </c>
      <c r="N15" s="38">
        <v>1441</v>
      </c>
      <c r="O15" s="38">
        <v>418</v>
      </c>
      <c r="P15" s="38"/>
      <c r="Q15" s="38"/>
      <c r="R15" s="38">
        <v>15328</v>
      </c>
      <c r="S15" s="38">
        <v>991</v>
      </c>
      <c r="T15" s="38">
        <v>969</v>
      </c>
      <c r="U15" s="38">
        <v>1054</v>
      </c>
      <c r="V15" s="38">
        <v>938</v>
      </c>
      <c r="W15" s="38">
        <v>9616</v>
      </c>
      <c r="X15" s="38">
        <v>1506</v>
      </c>
      <c r="Y15" s="38">
        <v>254</v>
      </c>
      <c r="Z15" s="38"/>
      <c r="AA15" s="38"/>
      <c r="AB15" s="39">
        <v>1.0390896000000001</v>
      </c>
      <c r="AC15" s="39">
        <v>3.2445040999999999</v>
      </c>
      <c r="AD15" s="39">
        <v>38.0292642</v>
      </c>
      <c r="AE15" s="39">
        <v>18.5763766</v>
      </c>
      <c r="AF15" s="39">
        <v>25.970170400000001</v>
      </c>
      <c r="AG15" s="39">
        <v>10.185905099999999</v>
      </c>
      <c r="AH15" s="39">
        <v>2.9546899999999998</v>
      </c>
      <c r="AI15" s="39"/>
      <c r="AJ15" s="39"/>
      <c r="AK15" s="39">
        <v>6.4652922999999998</v>
      </c>
      <c r="AL15" s="39">
        <v>6.3217641000000002</v>
      </c>
      <c r="AM15" s="39">
        <v>6.8763047999999998</v>
      </c>
      <c r="AN15" s="39">
        <v>6.1195198</v>
      </c>
      <c r="AO15" s="39">
        <v>62.734864299999998</v>
      </c>
      <c r="AP15" s="39">
        <v>9.8251565999999997</v>
      </c>
      <c r="AQ15" s="39">
        <v>1.6570981</v>
      </c>
      <c r="AR15" s="40"/>
      <c r="AS15" s="40"/>
    </row>
    <row r="16" spans="1:45" ht="15" customHeight="1" x14ac:dyDescent="0.25">
      <c r="B16" s="41">
        <v>10</v>
      </c>
      <c r="C16" s="42" t="s">
        <v>31</v>
      </c>
      <c r="D16" s="42" t="s">
        <v>28</v>
      </c>
      <c r="E16" s="42" t="s">
        <v>30</v>
      </c>
      <c r="F16" s="42" t="s">
        <v>32</v>
      </c>
      <c r="G16" s="42" t="s">
        <v>32</v>
      </c>
      <c r="H16" s="43">
        <v>69949</v>
      </c>
      <c r="I16" s="43">
        <v>7607</v>
      </c>
      <c r="J16" s="43">
        <v>42675</v>
      </c>
      <c r="K16" s="43">
        <v>6563</v>
      </c>
      <c r="L16" s="43">
        <v>5160</v>
      </c>
      <c r="M16" s="43">
        <v>6307</v>
      </c>
      <c r="N16" s="43">
        <v>1161</v>
      </c>
      <c r="O16" s="43">
        <v>476</v>
      </c>
      <c r="P16" s="44">
        <f>K16+L16+M16+N16+O16</f>
        <v>19667</v>
      </c>
      <c r="Q16" s="44">
        <f>I16+J16</f>
        <v>50282</v>
      </c>
      <c r="R16" s="43">
        <v>92531</v>
      </c>
      <c r="S16" s="43">
        <v>36374</v>
      </c>
      <c r="T16" s="43">
        <v>41169</v>
      </c>
      <c r="U16" s="43">
        <v>1879</v>
      </c>
      <c r="V16" s="43">
        <v>884</v>
      </c>
      <c r="W16" s="43">
        <v>10716</v>
      </c>
      <c r="X16" s="43">
        <v>1186</v>
      </c>
      <c r="Y16" s="43">
        <v>323</v>
      </c>
      <c r="Z16" s="45">
        <f>U16+V16+W16+X16+Y16</f>
        <v>14988</v>
      </c>
      <c r="AA16" s="45">
        <f>S16+T16</f>
        <v>77543</v>
      </c>
      <c r="AB16" s="46">
        <v>10.8750661</v>
      </c>
      <c r="AC16" s="46">
        <v>61.0087349</v>
      </c>
      <c r="AD16" s="46">
        <v>9.3825500999999996</v>
      </c>
      <c r="AE16" s="46">
        <v>7.3768031000000001</v>
      </c>
      <c r="AF16" s="46">
        <v>9.0165691999999993</v>
      </c>
      <c r="AG16" s="46">
        <v>1.6597807</v>
      </c>
      <c r="AH16" s="46">
        <v>0.68049579999999998</v>
      </c>
      <c r="AI16" s="47">
        <f>AB16+AC16</f>
        <v>71.883801000000005</v>
      </c>
      <c r="AJ16" s="47">
        <f>AD16+AE16+AF16+AG16+AH16</f>
        <v>28.116198899999997</v>
      </c>
      <c r="AK16" s="46">
        <v>39.3100691</v>
      </c>
      <c r="AL16" s="46">
        <v>44.492116199999998</v>
      </c>
      <c r="AM16" s="46">
        <v>2.0306708000000002</v>
      </c>
      <c r="AN16" s="46">
        <v>0.95535550000000002</v>
      </c>
      <c r="AO16" s="46">
        <v>11.580983700000001</v>
      </c>
      <c r="AP16" s="46">
        <v>1.2817326</v>
      </c>
      <c r="AQ16" s="46">
        <v>0.3490722</v>
      </c>
      <c r="AR16" s="48">
        <f>AK16+AL16</f>
        <v>83.802185299999991</v>
      </c>
      <c r="AS16" s="48">
        <f>AM16+AN16+AO16+AP16+AQ16</f>
        <v>16.1978148</v>
      </c>
    </row>
    <row r="17" spans="2:45" ht="15" hidden="1" customHeight="1" x14ac:dyDescent="0.25">
      <c r="B17" s="35">
        <v>11</v>
      </c>
      <c r="C17" s="36" t="s">
        <v>31</v>
      </c>
      <c r="D17" s="36" t="s">
        <v>28</v>
      </c>
      <c r="E17" s="36" t="s">
        <v>30</v>
      </c>
      <c r="F17" s="36" t="s">
        <v>32</v>
      </c>
      <c r="G17" s="37" t="s">
        <v>25</v>
      </c>
      <c r="H17" s="38">
        <v>63108</v>
      </c>
      <c r="I17" s="38">
        <v>7564</v>
      </c>
      <c r="J17" s="38">
        <v>42635</v>
      </c>
      <c r="K17" s="38">
        <v>4218</v>
      </c>
      <c r="L17" s="38">
        <v>4074</v>
      </c>
      <c r="M17" s="38">
        <v>4136</v>
      </c>
      <c r="N17" s="38">
        <v>235</v>
      </c>
      <c r="O17" s="38">
        <v>246</v>
      </c>
      <c r="P17" s="38"/>
      <c r="Q17" s="38"/>
      <c r="R17" s="38">
        <v>84913</v>
      </c>
      <c r="S17" s="38">
        <v>35833</v>
      </c>
      <c r="T17" s="38">
        <v>40802</v>
      </c>
      <c r="U17" s="38">
        <v>1491</v>
      </c>
      <c r="V17" s="38">
        <v>703</v>
      </c>
      <c r="W17" s="38">
        <v>5653</v>
      </c>
      <c r="X17" s="38">
        <v>208</v>
      </c>
      <c r="Y17" s="38">
        <v>223</v>
      </c>
      <c r="Z17" s="38"/>
      <c r="AA17" s="38"/>
      <c r="AB17" s="39">
        <v>11.985802100000001</v>
      </c>
      <c r="AC17" s="39">
        <v>67.558788100000001</v>
      </c>
      <c r="AD17" s="39">
        <v>6.6837802000000002</v>
      </c>
      <c r="AE17" s="39">
        <v>6.4555999000000002</v>
      </c>
      <c r="AF17" s="39">
        <v>6.5538442000000003</v>
      </c>
      <c r="AG17" s="39">
        <v>0.37237749999999997</v>
      </c>
      <c r="AH17" s="39">
        <v>0.38980789999999998</v>
      </c>
      <c r="AI17" s="39"/>
      <c r="AJ17" s="39"/>
      <c r="AK17" s="39">
        <v>42.199663200000003</v>
      </c>
      <c r="AL17" s="39">
        <v>48.051535100000002</v>
      </c>
      <c r="AM17" s="39">
        <v>1.7559149000000001</v>
      </c>
      <c r="AN17" s="39">
        <v>0.82790620000000004</v>
      </c>
      <c r="AO17" s="39">
        <v>6.6574023000000002</v>
      </c>
      <c r="AP17" s="39">
        <v>0.2449566</v>
      </c>
      <c r="AQ17" s="39">
        <v>0.26262170000000001</v>
      </c>
      <c r="AR17" s="40"/>
      <c r="AS17" s="40"/>
    </row>
    <row r="18" spans="2:45" ht="15" hidden="1" customHeight="1" x14ac:dyDescent="0.25">
      <c r="B18" s="35">
        <v>12</v>
      </c>
      <c r="C18" s="36" t="s">
        <v>31</v>
      </c>
      <c r="D18" s="36" t="s">
        <v>28</v>
      </c>
      <c r="E18" s="36" t="s">
        <v>30</v>
      </c>
      <c r="F18" s="36" t="s">
        <v>32</v>
      </c>
      <c r="G18" s="37" t="s">
        <v>26</v>
      </c>
      <c r="H18" s="38">
        <v>6841</v>
      </c>
      <c r="I18" s="38">
        <v>43</v>
      </c>
      <c r="J18" s="38">
        <v>40</v>
      </c>
      <c r="K18" s="38">
        <v>2345</v>
      </c>
      <c r="L18" s="38">
        <v>1086</v>
      </c>
      <c r="M18" s="38">
        <v>2171</v>
      </c>
      <c r="N18" s="38">
        <v>926</v>
      </c>
      <c r="O18" s="38">
        <v>230</v>
      </c>
      <c r="P18" s="38"/>
      <c r="Q18" s="38"/>
      <c r="R18" s="38">
        <v>7618</v>
      </c>
      <c r="S18" s="38">
        <v>541</v>
      </c>
      <c r="T18" s="38">
        <v>367</v>
      </c>
      <c r="U18" s="38">
        <v>388</v>
      </c>
      <c r="V18" s="38">
        <v>181</v>
      </c>
      <c r="W18" s="38">
        <v>5063</v>
      </c>
      <c r="X18" s="38">
        <v>978</v>
      </c>
      <c r="Y18" s="38">
        <v>100</v>
      </c>
      <c r="Z18" s="38"/>
      <c r="AA18" s="38"/>
      <c r="AB18" s="39">
        <v>0.62856310000000004</v>
      </c>
      <c r="AC18" s="39">
        <v>0.58470979999999995</v>
      </c>
      <c r="AD18" s="39">
        <v>34.2786142</v>
      </c>
      <c r="AE18" s="39">
        <v>15.874872099999999</v>
      </c>
      <c r="AF18" s="39">
        <v>31.735126399999999</v>
      </c>
      <c r="AG18" s="39">
        <v>13.5360327</v>
      </c>
      <c r="AH18" s="39">
        <v>3.3620815999999998</v>
      </c>
      <c r="AI18" s="39"/>
      <c r="AJ18" s="39"/>
      <c r="AK18" s="39">
        <v>7.1016015000000001</v>
      </c>
      <c r="AL18" s="39">
        <v>4.8175374</v>
      </c>
      <c r="AM18" s="39">
        <v>5.0932003000000003</v>
      </c>
      <c r="AN18" s="39">
        <v>2.3759516999999999</v>
      </c>
      <c r="AO18" s="39">
        <v>66.461013399999999</v>
      </c>
      <c r="AP18" s="39">
        <v>12.838015199999999</v>
      </c>
      <c r="AQ18" s="39">
        <v>1.3126804999999999</v>
      </c>
      <c r="AR18" s="40"/>
      <c r="AS18" s="40"/>
    </row>
    <row r="19" spans="2:45" ht="15" customHeight="1" x14ac:dyDescent="0.25">
      <c r="B19" s="41">
        <v>13</v>
      </c>
      <c r="C19" s="42" t="s">
        <v>31</v>
      </c>
      <c r="D19" s="42" t="s">
        <v>28</v>
      </c>
      <c r="E19" s="42" t="s">
        <v>30</v>
      </c>
      <c r="F19" s="42" t="s">
        <v>33</v>
      </c>
      <c r="G19" s="42" t="s">
        <v>33</v>
      </c>
      <c r="H19" s="43">
        <v>2646</v>
      </c>
      <c r="I19" s="43">
        <v>97</v>
      </c>
      <c r="J19" s="43">
        <v>411</v>
      </c>
      <c r="K19" s="43">
        <v>537</v>
      </c>
      <c r="L19" s="43">
        <v>464</v>
      </c>
      <c r="M19" s="43">
        <v>879</v>
      </c>
      <c r="N19" s="43">
        <v>190</v>
      </c>
      <c r="O19" s="43">
        <v>68</v>
      </c>
      <c r="P19" s="44">
        <f>K19+L19+M19+N19+O19</f>
        <v>2138</v>
      </c>
      <c r="Q19" s="44">
        <f>I19+J19</f>
        <v>508</v>
      </c>
      <c r="R19" s="43">
        <v>3056</v>
      </c>
      <c r="S19" s="43">
        <v>272</v>
      </c>
      <c r="T19" s="43">
        <v>518</v>
      </c>
      <c r="U19" s="43">
        <v>131</v>
      </c>
      <c r="V19" s="43">
        <v>137</v>
      </c>
      <c r="W19" s="43">
        <v>1696</v>
      </c>
      <c r="X19" s="43">
        <v>245</v>
      </c>
      <c r="Y19" s="43">
        <v>57</v>
      </c>
      <c r="Z19" s="45">
        <f>U19+V19+W19+X19+Y19</f>
        <v>2266</v>
      </c>
      <c r="AA19" s="45">
        <f>S19+T19</f>
        <v>790</v>
      </c>
      <c r="AB19" s="46">
        <v>3.6659107999999998</v>
      </c>
      <c r="AC19" s="46">
        <v>15.5328798</v>
      </c>
      <c r="AD19" s="46">
        <v>20.2947846</v>
      </c>
      <c r="AE19" s="46">
        <v>17.535903300000001</v>
      </c>
      <c r="AF19" s="46">
        <v>33.219954600000001</v>
      </c>
      <c r="AG19" s="46">
        <v>7.18065</v>
      </c>
      <c r="AH19" s="46">
        <v>2.5699168999999999</v>
      </c>
      <c r="AI19" s="47">
        <f>AB19+AC19</f>
        <v>19.198790599999999</v>
      </c>
      <c r="AJ19" s="47">
        <f>AD19+AE19+AF19+AG19+AH19</f>
        <v>80.801209400000005</v>
      </c>
      <c r="AK19" s="46">
        <v>8.9005235999999996</v>
      </c>
      <c r="AL19" s="46">
        <v>16.9502618</v>
      </c>
      <c r="AM19" s="46">
        <v>4.2866492000000003</v>
      </c>
      <c r="AN19" s="46">
        <v>4.4829843</v>
      </c>
      <c r="AO19" s="46">
        <v>55.497382199999997</v>
      </c>
      <c r="AP19" s="46">
        <v>8.0170157</v>
      </c>
      <c r="AQ19" s="46">
        <v>1.8651831999999999</v>
      </c>
      <c r="AR19" s="48">
        <f>AK19+AL19</f>
        <v>25.850785399999999</v>
      </c>
      <c r="AS19" s="48">
        <f>AM19+AN19+AO19+AP19+AQ19</f>
        <v>74.149214600000008</v>
      </c>
    </row>
    <row r="20" spans="2:45" ht="15" hidden="1" customHeight="1" x14ac:dyDescent="0.25">
      <c r="B20" s="35">
        <v>14</v>
      </c>
      <c r="C20" s="36" t="s">
        <v>31</v>
      </c>
      <c r="D20" s="36" t="s">
        <v>28</v>
      </c>
      <c r="E20" s="36" t="s">
        <v>30</v>
      </c>
      <c r="F20" s="36" t="s">
        <v>33</v>
      </c>
      <c r="G20" s="37" t="s">
        <v>25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40"/>
      <c r="AS20" s="40"/>
    </row>
    <row r="21" spans="2:45" ht="15" hidden="1" customHeight="1" x14ac:dyDescent="0.25">
      <c r="B21" s="35">
        <v>15</v>
      </c>
      <c r="C21" s="36" t="s">
        <v>31</v>
      </c>
      <c r="D21" s="36" t="s">
        <v>28</v>
      </c>
      <c r="E21" s="36" t="s">
        <v>30</v>
      </c>
      <c r="F21" s="36" t="s">
        <v>33</v>
      </c>
      <c r="G21" s="37" t="s">
        <v>26</v>
      </c>
      <c r="H21" s="38">
        <v>2646</v>
      </c>
      <c r="I21" s="38">
        <v>97</v>
      </c>
      <c r="J21" s="38">
        <v>411</v>
      </c>
      <c r="K21" s="38">
        <v>537</v>
      </c>
      <c r="L21" s="38">
        <v>464</v>
      </c>
      <c r="M21" s="38">
        <v>879</v>
      </c>
      <c r="N21" s="38">
        <v>190</v>
      </c>
      <c r="O21" s="38">
        <v>68</v>
      </c>
      <c r="P21" s="38"/>
      <c r="Q21" s="38"/>
      <c r="R21" s="38">
        <v>3056</v>
      </c>
      <c r="S21" s="38">
        <v>272</v>
      </c>
      <c r="T21" s="38">
        <v>518</v>
      </c>
      <c r="U21" s="38">
        <v>131</v>
      </c>
      <c r="V21" s="38">
        <v>137</v>
      </c>
      <c r="W21" s="38">
        <v>1696</v>
      </c>
      <c r="X21" s="38">
        <v>245</v>
      </c>
      <c r="Y21" s="38">
        <v>57</v>
      </c>
      <c r="Z21" s="38"/>
      <c r="AA21" s="38"/>
      <c r="AB21" s="39">
        <v>3.6659107999999998</v>
      </c>
      <c r="AC21" s="39">
        <v>15.5328798</v>
      </c>
      <c r="AD21" s="39">
        <v>20.2947846</v>
      </c>
      <c r="AE21" s="39">
        <v>17.535903300000001</v>
      </c>
      <c r="AF21" s="39">
        <v>33.219954600000001</v>
      </c>
      <c r="AG21" s="39">
        <v>7.18065</v>
      </c>
      <c r="AH21" s="39">
        <v>2.5699168999999999</v>
      </c>
      <c r="AI21" s="39"/>
      <c r="AJ21" s="39"/>
      <c r="AK21" s="39">
        <v>8.9005235999999996</v>
      </c>
      <c r="AL21" s="39">
        <v>16.9502618</v>
      </c>
      <c r="AM21" s="39">
        <v>4.2866492000000003</v>
      </c>
      <c r="AN21" s="39">
        <v>4.4829843</v>
      </c>
      <c r="AO21" s="39">
        <v>55.497382199999997</v>
      </c>
      <c r="AP21" s="39">
        <v>8.0170157</v>
      </c>
      <c r="AQ21" s="39">
        <v>1.8651831999999999</v>
      </c>
      <c r="AR21" s="40"/>
      <c r="AS21" s="40"/>
    </row>
    <row r="22" spans="2:45" ht="15" customHeight="1" x14ac:dyDescent="0.25">
      <c r="B22" s="41">
        <v>16</v>
      </c>
      <c r="C22" s="42" t="s">
        <v>31</v>
      </c>
      <c r="D22" s="42" t="s">
        <v>28</v>
      </c>
      <c r="E22" s="42" t="s">
        <v>30</v>
      </c>
      <c r="F22" s="42" t="s">
        <v>34</v>
      </c>
      <c r="G22" s="42" t="s">
        <v>34</v>
      </c>
      <c r="H22" s="43">
        <v>4660</v>
      </c>
      <c r="I22" s="43">
        <v>7</v>
      </c>
      <c r="J22" s="43">
        <v>8</v>
      </c>
      <c r="K22" s="43">
        <v>2498</v>
      </c>
      <c r="L22" s="43">
        <v>1078</v>
      </c>
      <c r="M22" s="43">
        <v>624</v>
      </c>
      <c r="N22" s="43">
        <v>325</v>
      </c>
      <c r="O22" s="43">
        <v>120</v>
      </c>
      <c r="P22" s="44">
        <f>K22+L22+M22+N22+O22</f>
        <v>4645</v>
      </c>
      <c r="Q22" s="44">
        <f>I22+J22</f>
        <v>15</v>
      </c>
      <c r="R22" s="43">
        <v>4654</v>
      </c>
      <c r="S22" s="43">
        <v>178</v>
      </c>
      <c r="T22" s="43">
        <v>84</v>
      </c>
      <c r="U22" s="43">
        <v>535</v>
      </c>
      <c r="V22" s="43">
        <v>620</v>
      </c>
      <c r="W22" s="43">
        <v>2857</v>
      </c>
      <c r="X22" s="43">
        <v>283</v>
      </c>
      <c r="Y22" s="43">
        <v>97</v>
      </c>
      <c r="Z22" s="45">
        <f>U22+V22+W22+X22+Y22</f>
        <v>4392</v>
      </c>
      <c r="AA22" s="45">
        <f>S22+T22</f>
        <v>262</v>
      </c>
      <c r="AB22" s="46">
        <v>0.1502146</v>
      </c>
      <c r="AC22" s="46">
        <v>0.17167379999999999</v>
      </c>
      <c r="AD22" s="46">
        <v>53.605150199999997</v>
      </c>
      <c r="AE22" s="46">
        <v>23.1330472</v>
      </c>
      <c r="AF22" s="46">
        <v>13.390557899999999</v>
      </c>
      <c r="AG22" s="46">
        <v>6.9742489000000001</v>
      </c>
      <c r="AH22" s="46">
        <v>2.5751073</v>
      </c>
      <c r="AI22" s="47">
        <f>AB22+AC22</f>
        <v>0.32188839999999996</v>
      </c>
      <c r="AJ22" s="47">
        <f>AD22+AE22+AF22+AG22+AH22</f>
        <v>99.6781115</v>
      </c>
      <c r="AK22" s="46">
        <v>3.8246669999999998</v>
      </c>
      <c r="AL22" s="46">
        <v>1.804899</v>
      </c>
      <c r="AM22" s="46">
        <v>11.495487799999999</v>
      </c>
      <c r="AN22" s="46">
        <v>13.321873699999999</v>
      </c>
      <c r="AO22" s="46">
        <v>61.388053300000003</v>
      </c>
      <c r="AP22" s="46">
        <v>6.0807906999999997</v>
      </c>
      <c r="AQ22" s="46">
        <v>2.0842285999999999</v>
      </c>
      <c r="AR22" s="48">
        <f>AK22+AL22</f>
        <v>5.6295659999999996</v>
      </c>
      <c r="AS22" s="48">
        <f>AM22+AN22+AO22+AP22+AQ22</f>
        <v>94.370434099999997</v>
      </c>
    </row>
    <row r="23" spans="2:45" ht="15" hidden="1" customHeight="1" x14ac:dyDescent="0.25">
      <c r="B23" s="35">
        <v>17</v>
      </c>
      <c r="C23" s="36" t="s">
        <v>31</v>
      </c>
      <c r="D23" s="36" t="s">
        <v>28</v>
      </c>
      <c r="E23" s="36" t="s">
        <v>30</v>
      </c>
      <c r="F23" s="36" t="s">
        <v>34</v>
      </c>
      <c r="G23" s="37" t="s">
        <v>25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40"/>
      <c r="AS23" s="40"/>
    </row>
    <row r="24" spans="2:45" ht="15" hidden="1" customHeight="1" x14ac:dyDescent="0.25">
      <c r="B24" s="35">
        <v>18</v>
      </c>
      <c r="C24" s="36" t="s">
        <v>31</v>
      </c>
      <c r="D24" s="36" t="s">
        <v>28</v>
      </c>
      <c r="E24" s="36" t="s">
        <v>30</v>
      </c>
      <c r="F24" s="36" t="s">
        <v>34</v>
      </c>
      <c r="G24" s="37" t="s">
        <v>26</v>
      </c>
      <c r="H24" s="38">
        <v>4660</v>
      </c>
      <c r="I24" s="38">
        <v>7</v>
      </c>
      <c r="J24" s="38">
        <v>8</v>
      </c>
      <c r="K24" s="38">
        <v>2498</v>
      </c>
      <c r="L24" s="38">
        <v>1078</v>
      </c>
      <c r="M24" s="38">
        <v>624</v>
      </c>
      <c r="N24" s="38">
        <v>325</v>
      </c>
      <c r="O24" s="38">
        <v>120</v>
      </c>
      <c r="P24" s="38"/>
      <c r="Q24" s="38"/>
      <c r="R24" s="38">
        <v>4654</v>
      </c>
      <c r="S24" s="38">
        <v>178</v>
      </c>
      <c r="T24" s="38">
        <v>84</v>
      </c>
      <c r="U24" s="38">
        <v>535</v>
      </c>
      <c r="V24" s="38">
        <v>620</v>
      </c>
      <c r="W24" s="38">
        <v>2857</v>
      </c>
      <c r="X24" s="38">
        <v>283</v>
      </c>
      <c r="Y24" s="38">
        <v>97</v>
      </c>
      <c r="Z24" s="38"/>
      <c r="AA24" s="38"/>
      <c r="AB24" s="39">
        <v>0.1502146</v>
      </c>
      <c r="AC24" s="39">
        <v>0.17167379999999999</v>
      </c>
      <c r="AD24" s="39">
        <v>53.605150199999997</v>
      </c>
      <c r="AE24" s="39">
        <v>23.1330472</v>
      </c>
      <c r="AF24" s="39">
        <v>13.390557899999999</v>
      </c>
      <c r="AG24" s="39">
        <v>6.9742489000000001</v>
      </c>
      <c r="AH24" s="39">
        <v>2.5751073</v>
      </c>
      <c r="AI24" s="39"/>
      <c r="AJ24" s="39"/>
      <c r="AK24" s="39">
        <v>3.8246669999999998</v>
      </c>
      <c r="AL24" s="39">
        <v>1.804899</v>
      </c>
      <c r="AM24" s="39">
        <v>11.495487799999999</v>
      </c>
      <c r="AN24" s="39">
        <v>13.321873699999999</v>
      </c>
      <c r="AO24" s="39">
        <v>61.388053300000003</v>
      </c>
      <c r="AP24" s="39">
        <v>6.0807906999999997</v>
      </c>
      <c r="AQ24" s="39">
        <v>2.0842285999999999</v>
      </c>
      <c r="AR24" s="40"/>
      <c r="AS24" s="40"/>
    </row>
    <row r="25" spans="2:45" ht="15" hidden="1" customHeight="1" x14ac:dyDescent="0.25">
      <c r="B25" s="30">
        <v>19</v>
      </c>
      <c r="C25" s="31" t="s">
        <v>29</v>
      </c>
      <c r="D25" s="31" t="s">
        <v>28</v>
      </c>
      <c r="E25" s="31" t="s">
        <v>35</v>
      </c>
      <c r="F25" s="31"/>
      <c r="G25" s="31" t="s">
        <v>35</v>
      </c>
      <c r="H25" s="32">
        <v>5956</v>
      </c>
      <c r="I25" s="32">
        <v>110</v>
      </c>
      <c r="J25" s="32">
        <v>475</v>
      </c>
      <c r="K25" s="32">
        <v>2922</v>
      </c>
      <c r="L25" s="32">
        <v>492</v>
      </c>
      <c r="M25" s="32">
        <v>1036</v>
      </c>
      <c r="N25" s="32">
        <v>395</v>
      </c>
      <c r="O25" s="32">
        <v>526</v>
      </c>
      <c r="P25" s="32"/>
      <c r="Q25" s="32"/>
      <c r="R25" s="32">
        <v>7048</v>
      </c>
      <c r="S25" s="32">
        <v>291</v>
      </c>
      <c r="T25" s="32">
        <v>749</v>
      </c>
      <c r="U25" s="32">
        <v>863</v>
      </c>
      <c r="V25" s="32">
        <v>463</v>
      </c>
      <c r="W25" s="32">
        <v>3967</v>
      </c>
      <c r="X25" s="32">
        <v>581</v>
      </c>
      <c r="Y25" s="32">
        <v>134</v>
      </c>
      <c r="Z25" s="32"/>
      <c r="AA25" s="32"/>
      <c r="AB25" s="33">
        <v>1.8468770999999999</v>
      </c>
      <c r="AC25" s="33">
        <v>7.9751510999999997</v>
      </c>
      <c r="AD25" s="33">
        <v>49.059771699999999</v>
      </c>
      <c r="AE25" s="33">
        <v>8.2605775999999995</v>
      </c>
      <c r="AF25" s="33">
        <v>17.394224300000001</v>
      </c>
      <c r="AG25" s="33">
        <v>6.6319678</v>
      </c>
      <c r="AH25" s="33">
        <v>8.8314304999999997</v>
      </c>
      <c r="AI25" s="33"/>
      <c r="AJ25" s="33"/>
      <c r="AK25" s="33">
        <v>4.1288308999999996</v>
      </c>
      <c r="AL25" s="33">
        <v>10.627128300000001</v>
      </c>
      <c r="AM25" s="33">
        <v>12.244608400000001</v>
      </c>
      <c r="AN25" s="33">
        <v>6.5692395000000001</v>
      </c>
      <c r="AO25" s="33">
        <v>56.285471100000002</v>
      </c>
      <c r="AP25" s="33">
        <v>8.2434732999999998</v>
      </c>
      <c r="AQ25" s="33">
        <v>1.9012486</v>
      </c>
      <c r="AR25" s="34"/>
      <c r="AS25" s="34"/>
    </row>
    <row r="26" spans="2:45" ht="15" hidden="1" customHeight="1" x14ac:dyDescent="0.25">
      <c r="B26" s="35">
        <v>20</v>
      </c>
      <c r="C26" s="36" t="s">
        <v>29</v>
      </c>
      <c r="D26" s="36" t="s">
        <v>28</v>
      </c>
      <c r="E26" s="36" t="s">
        <v>35</v>
      </c>
      <c r="F26" s="36"/>
      <c r="G26" s="37" t="s">
        <v>25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40"/>
      <c r="AS26" s="40"/>
    </row>
    <row r="27" spans="2:45" ht="15" hidden="1" customHeight="1" x14ac:dyDescent="0.25">
      <c r="B27" s="35">
        <v>21</v>
      </c>
      <c r="C27" s="36" t="s">
        <v>29</v>
      </c>
      <c r="D27" s="36" t="s">
        <v>28</v>
      </c>
      <c r="E27" s="36" t="s">
        <v>35</v>
      </c>
      <c r="F27" s="36"/>
      <c r="G27" s="37" t="s">
        <v>26</v>
      </c>
      <c r="H27" s="38">
        <v>5956</v>
      </c>
      <c r="I27" s="38">
        <v>110</v>
      </c>
      <c r="J27" s="38">
        <v>475</v>
      </c>
      <c r="K27" s="38">
        <v>2922</v>
      </c>
      <c r="L27" s="38">
        <v>492</v>
      </c>
      <c r="M27" s="38">
        <v>1036</v>
      </c>
      <c r="N27" s="38">
        <v>395</v>
      </c>
      <c r="O27" s="38">
        <v>526</v>
      </c>
      <c r="P27" s="38"/>
      <c r="Q27" s="38"/>
      <c r="R27" s="38">
        <v>7048</v>
      </c>
      <c r="S27" s="38">
        <v>291</v>
      </c>
      <c r="T27" s="38">
        <v>749</v>
      </c>
      <c r="U27" s="38">
        <v>863</v>
      </c>
      <c r="V27" s="38">
        <v>463</v>
      </c>
      <c r="W27" s="38">
        <v>3967</v>
      </c>
      <c r="X27" s="38">
        <v>581</v>
      </c>
      <c r="Y27" s="38">
        <v>134</v>
      </c>
      <c r="Z27" s="38"/>
      <c r="AA27" s="38"/>
      <c r="AB27" s="39">
        <v>1.8468770999999999</v>
      </c>
      <c r="AC27" s="39">
        <v>7.9751510999999997</v>
      </c>
      <c r="AD27" s="39">
        <v>49.059771699999999</v>
      </c>
      <c r="AE27" s="39">
        <v>8.2605775999999995</v>
      </c>
      <c r="AF27" s="39">
        <v>17.394224300000001</v>
      </c>
      <c r="AG27" s="39">
        <v>6.6319678</v>
      </c>
      <c r="AH27" s="39">
        <v>8.8314304999999997</v>
      </c>
      <c r="AI27" s="39"/>
      <c r="AJ27" s="39"/>
      <c r="AK27" s="39">
        <v>4.1288308999999996</v>
      </c>
      <c r="AL27" s="39">
        <v>10.627128300000001</v>
      </c>
      <c r="AM27" s="39">
        <v>12.244608400000001</v>
      </c>
      <c r="AN27" s="39">
        <v>6.5692395000000001</v>
      </c>
      <c r="AO27" s="39">
        <v>56.285471100000002</v>
      </c>
      <c r="AP27" s="39">
        <v>8.2434732999999998</v>
      </c>
      <c r="AQ27" s="39">
        <v>1.9012486</v>
      </c>
      <c r="AR27" s="40"/>
      <c r="AS27" s="40"/>
    </row>
    <row r="28" spans="2:45" ht="15" customHeight="1" x14ac:dyDescent="0.25">
      <c r="B28" s="41">
        <v>22</v>
      </c>
      <c r="C28" s="42" t="s">
        <v>31</v>
      </c>
      <c r="D28" s="42" t="s">
        <v>28</v>
      </c>
      <c r="E28" s="42" t="s">
        <v>35</v>
      </c>
      <c r="F28" s="42" t="s">
        <v>35</v>
      </c>
      <c r="G28" s="42" t="s">
        <v>35</v>
      </c>
      <c r="H28" s="43">
        <v>2538</v>
      </c>
      <c r="I28" s="43">
        <v>20</v>
      </c>
      <c r="J28" s="43">
        <v>253</v>
      </c>
      <c r="K28" s="43">
        <v>1309</v>
      </c>
      <c r="L28" s="43">
        <v>178</v>
      </c>
      <c r="M28" s="43">
        <v>404</v>
      </c>
      <c r="N28" s="43">
        <v>97</v>
      </c>
      <c r="O28" s="43">
        <v>277</v>
      </c>
      <c r="P28" s="44">
        <f>K28+L28+M28+N28+O28</f>
        <v>2265</v>
      </c>
      <c r="Q28" s="44">
        <f>I28+J28</f>
        <v>273</v>
      </c>
      <c r="R28" s="43">
        <v>2450</v>
      </c>
      <c r="S28" s="43">
        <v>123</v>
      </c>
      <c r="T28" s="43">
        <v>326</v>
      </c>
      <c r="U28" s="43">
        <v>243</v>
      </c>
      <c r="V28" s="43">
        <v>73</v>
      </c>
      <c r="W28" s="43">
        <v>1454</v>
      </c>
      <c r="X28" s="43">
        <v>185</v>
      </c>
      <c r="Y28" s="43">
        <v>46</v>
      </c>
      <c r="Z28" s="45">
        <f>U28+V28+W28+X28+Y28</f>
        <v>2001</v>
      </c>
      <c r="AA28" s="45">
        <f>S28+T28</f>
        <v>449</v>
      </c>
      <c r="AB28" s="46">
        <v>0.78802209999999995</v>
      </c>
      <c r="AC28" s="46">
        <v>9.9684790999999997</v>
      </c>
      <c r="AD28" s="46">
        <v>51.576044099999997</v>
      </c>
      <c r="AE28" s="46">
        <v>7.0133964000000004</v>
      </c>
      <c r="AF28" s="46">
        <v>15.9180457</v>
      </c>
      <c r="AG28" s="46">
        <v>3.8219069999999999</v>
      </c>
      <c r="AH28" s="46">
        <v>10.914105599999999</v>
      </c>
      <c r="AI28" s="47">
        <f>AB28+AC28</f>
        <v>10.756501199999999</v>
      </c>
      <c r="AJ28" s="47">
        <f>AD28+AE28+AF28+AG28+AH28</f>
        <v>89.243498799999983</v>
      </c>
      <c r="AK28" s="46">
        <v>5.0204082000000003</v>
      </c>
      <c r="AL28" s="46">
        <v>13.3061224</v>
      </c>
      <c r="AM28" s="46">
        <v>9.9183672999999999</v>
      </c>
      <c r="AN28" s="46">
        <v>2.9795918000000001</v>
      </c>
      <c r="AO28" s="46">
        <v>59.346938799999997</v>
      </c>
      <c r="AP28" s="46">
        <v>7.5510203999999996</v>
      </c>
      <c r="AQ28" s="46">
        <v>1.877551</v>
      </c>
      <c r="AR28" s="48">
        <f>AK28+AL28</f>
        <v>18.326530599999998</v>
      </c>
      <c r="AS28" s="48">
        <f>AM28+AN28+AO28+AP28+AQ28</f>
        <v>81.673469299999994</v>
      </c>
    </row>
    <row r="29" spans="2:45" ht="15" hidden="1" customHeight="1" x14ac:dyDescent="0.25">
      <c r="B29" s="35">
        <v>23</v>
      </c>
      <c r="C29" s="36" t="s">
        <v>31</v>
      </c>
      <c r="D29" s="36" t="s">
        <v>28</v>
      </c>
      <c r="E29" s="36" t="s">
        <v>35</v>
      </c>
      <c r="F29" s="36" t="s">
        <v>35</v>
      </c>
      <c r="G29" s="37" t="s">
        <v>25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40"/>
      <c r="AS29" s="40"/>
    </row>
    <row r="30" spans="2:45" ht="15" hidden="1" customHeight="1" x14ac:dyDescent="0.25">
      <c r="B30" s="35">
        <v>24</v>
      </c>
      <c r="C30" s="36" t="s">
        <v>31</v>
      </c>
      <c r="D30" s="36" t="s">
        <v>28</v>
      </c>
      <c r="E30" s="36" t="s">
        <v>35</v>
      </c>
      <c r="F30" s="36" t="s">
        <v>35</v>
      </c>
      <c r="G30" s="37" t="s">
        <v>26</v>
      </c>
      <c r="H30" s="38">
        <v>2538</v>
      </c>
      <c r="I30" s="38">
        <v>20</v>
      </c>
      <c r="J30" s="38">
        <v>253</v>
      </c>
      <c r="K30" s="38">
        <v>1309</v>
      </c>
      <c r="L30" s="38">
        <v>178</v>
      </c>
      <c r="M30" s="38">
        <v>404</v>
      </c>
      <c r="N30" s="38">
        <v>97</v>
      </c>
      <c r="O30" s="38">
        <v>277</v>
      </c>
      <c r="P30" s="38"/>
      <c r="Q30" s="38"/>
      <c r="R30" s="38">
        <v>2450</v>
      </c>
      <c r="S30" s="38">
        <v>123</v>
      </c>
      <c r="T30" s="38">
        <v>326</v>
      </c>
      <c r="U30" s="38">
        <v>243</v>
      </c>
      <c r="V30" s="38">
        <v>73</v>
      </c>
      <c r="W30" s="38">
        <v>1454</v>
      </c>
      <c r="X30" s="38">
        <v>185</v>
      </c>
      <c r="Y30" s="38">
        <v>46</v>
      </c>
      <c r="Z30" s="38"/>
      <c r="AA30" s="38"/>
      <c r="AB30" s="39">
        <v>0.78802209999999995</v>
      </c>
      <c r="AC30" s="39">
        <v>9.9684790999999997</v>
      </c>
      <c r="AD30" s="39">
        <v>51.576044099999997</v>
      </c>
      <c r="AE30" s="39">
        <v>7.0133964000000004</v>
      </c>
      <c r="AF30" s="39">
        <v>15.9180457</v>
      </c>
      <c r="AG30" s="39">
        <v>3.8219069999999999</v>
      </c>
      <c r="AH30" s="39">
        <v>10.914105599999999</v>
      </c>
      <c r="AI30" s="39"/>
      <c r="AJ30" s="39"/>
      <c r="AK30" s="39">
        <v>5.0204082000000003</v>
      </c>
      <c r="AL30" s="39">
        <v>13.3061224</v>
      </c>
      <c r="AM30" s="39">
        <v>9.9183672999999999</v>
      </c>
      <c r="AN30" s="39">
        <v>2.9795918000000001</v>
      </c>
      <c r="AO30" s="39">
        <v>59.346938799999997</v>
      </c>
      <c r="AP30" s="39">
        <v>7.5510203999999996</v>
      </c>
      <c r="AQ30" s="39">
        <v>1.877551</v>
      </c>
      <c r="AR30" s="40"/>
      <c r="AS30" s="40"/>
    </row>
    <row r="31" spans="2:45" ht="15" customHeight="1" x14ac:dyDescent="0.25">
      <c r="B31" s="41">
        <v>25</v>
      </c>
      <c r="C31" s="42" t="s">
        <v>31</v>
      </c>
      <c r="D31" s="42" t="s">
        <v>28</v>
      </c>
      <c r="E31" s="42" t="s">
        <v>35</v>
      </c>
      <c r="F31" s="42" t="s">
        <v>36</v>
      </c>
      <c r="G31" s="42" t="s">
        <v>36</v>
      </c>
      <c r="H31" s="43">
        <v>3418</v>
      </c>
      <c r="I31" s="43">
        <v>90</v>
      </c>
      <c r="J31" s="43">
        <v>222</v>
      </c>
      <c r="K31" s="43">
        <v>1613</v>
      </c>
      <c r="L31" s="43">
        <v>314</v>
      </c>
      <c r="M31" s="43">
        <v>632</v>
      </c>
      <c r="N31" s="43">
        <v>298</v>
      </c>
      <c r="O31" s="43">
        <v>249</v>
      </c>
      <c r="P31" s="44">
        <f>K31+L31+M31+N31+O31</f>
        <v>3106</v>
      </c>
      <c r="Q31" s="44">
        <f>I31+J31</f>
        <v>312</v>
      </c>
      <c r="R31" s="43">
        <v>4598</v>
      </c>
      <c r="S31" s="43">
        <v>168</v>
      </c>
      <c r="T31" s="43">
        <v>423</v>
      </c>
      <c r="U31" s="43">
        <v>620</v>
      </c>
      <c r="V31" s="43">
        <v>390</v>
      </c>
      <c r="W31" s="43">
        <v>2513</v>
      </c>
      <c r="X31" s="43">
        <v>396</v>
      </c>
      <c r="Y31" s="43">
        <v>88</v>
      </c>
      <c r="Z31" s="45">
        <f>U31+V31+W31+X31+Y31</f>
        <v>4007</v>
      </c>
      <c r="AA31" s="45">
        <f>S31+T31</f>
        <v>591</v>
      </c>
      <c r="AB31" s="46">
        <v>2.6331188000000001</v>
      </c>
      <c r="AC31" s="46">
        <v>6.4950263000000001</v>
      </c>
      <c r="AD31" s="46">
        <v>47.191339999999997</v>
      </c>
      <c r="AE31" s="46">
        <v>9.1866588999999994</v>
      </c>
      <c r="AF31" s="46">
        <v>18.4903452</v>
      </c>
      <c r="AG31" s="46">
        <v>8.7185489</v>
      </c>
      <c r="AH31" s="46">
        <v>7.2849620000000002</v>
      </c>
      <c r="AI31" s="47">
        <f>AB31+AC31</f>
        <v>9.1281451000000011</v>
      </c>
      <c r="AJ31" s="47">
        <f>AD31+AE31+AF31+AG31+AH31</f>
        <v>90.871855000000011</v>
      </c>
      <c r="AK31" s="46">
        <v>3.6537625</v>
      </c>
      <c r="AL31" s="46">
        <v>9.1996520000000004</v>
      </c>
      <c r="AM31" s="46">
        <v>13.484123500000001</v>
      </c>
      <c r="AN31" s="46">
        <v>8.4819487000000002</v>
      </c>
      <c r="AO31" s="46">
        <v>54.654197500000002</v>
      </c>
      <c r="AP31" s="46">
        <v>8.6124402</v>
      </c>
      <c r="AQ31" s="46">
        <v>1.9138755999999999</v>
      </c>
      <c r="AR31" s="48">
        <f>AK31+AL31</f>
        <v>12.8534145</v>
      </c>
      <c r="AS31" s="48">
        <f>AM31+AN31+AO31+AP31+AQ31</f>
        <v>87.146585499999986</v>
      </c>
    </row>
    <row r="32" spans="2:45" ht="15" hidden="1" customHeight="1" x14ac:dyDescent="0.25">
      <c r="B32" s="35">
        <v>26</v>
      </c>
      <c r="C32" s="36" t="s">
        <v>31</v>
      </c>
      <c r="D32" s="36" t="s">
        <v>28</v>
      </c>
      <c r="E32" s="36" t="s">
        <v>35</v>
      </c>
      <c r="F32" s="36" t="s">
        <v>36</v>
      </c>
      <c r="G32" s="37" t="s">
        <v>25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40"/>
      <c r="AS32" s="40"/>
    </row>
    <row r="33" spans="2:45" ht="15" hidden="1" customHeight="1" x14ac:dyDescent="0.25">
      <c r="B33" s="35">
        <v>27</v>
      </c>
      <c r="C33" s="36" t="s">
        <v>31</v>
      </c>
      <c r="D33" s="36" t="s">
        <v>28</v>
      </c>
      <c r="E33" s="36" t="s">
        <v>35</v>
      </c>
      <c r="F33" s="36" t="s">
        <v>36</v>
      </c>
      <c r="G33" s="37" t="s">
        <v>26</v>
      </c>
      <c r="H33" s="38">
        <v>3418</v>
      </c>
      <c r="I33" s="38">
        <v>90</v>
      </c>
      <c r="J33" s="38">
        <v>222</v>
      </c>
      <c r="K33" s="38">
        <v>1613</v>
      </c>
      <c r="L33" s="38">
        <v>314</v>
      </c>
      <c r="M33" s="38">
        <v>632</v>
      </c>
      <c r="N33" s="38">
        <v>298</v>
      </c>
      <c r="O33" s="38">
        <v>249</v>
      </c>
      <c r="P33" s="38"/>
      <c r="Q33" s="38"/>
      <c r="R33" s="38">
        <v>4598</v>
      </c>
      <c r="S33" s="38">
        <v>168</v>
      </c>
      <c r="T33" s="38">
        <v>423</v>
      </c>
      <c r="U33" s="38">
        <v>620</v>
      </c>
      <c r="V33" s="38">
        <v>390</v>
      </c>
      <c r="W33" s="38">
        <v>2513</v>
      </c>
      <c r="X33" s="38">
        <v>396</v>
      </c>
      <c r="Y33" s="38">
        <v>88</v>
      </c>
      <c r="Z33" s="38"/>
      <c r="AA33" s="38"/>
      <c r="AB33" s="39">
        <v>2.6331188000000001</v>
      </c>
      <c r="AC33" s="39">
        <v>6.4950263000000001</v>
      </c>
      <c r="AD33" s="39">
        <v>47.191339999999997</v>
      </c>
      <c r="AE33" s="39">
        <v>9.1866588999999994</v>
      </c>
      <c r="AF33" s="39">
        <v>18.4903452</v>
      </c>
      <c r="AG33" s="39">
        <v>8.7185489</v>
      </c>
      <c r="AH33" s="39">
        <v>7.2849620000000002</v>
      </c>
      <c r="AI33" s="39"/>
      <c r="AJ33" s="39"/>
      <c r="AK33" s="39">
        <v>3.6537625</v>
      </c>
      <c r="AL33" s="39">
        <v>9.1996520000000004</v>
      </c>
      <c r="AM33" s="39">
        <v>13.484123500000001</v>
      </c>
      <c r="AN33" s="39">
        <v>8.4819487000000002</v>
      </c>
      <c r="AO33" s="39">
        <v>54.654197500000002</v>
      </c>
      <c r="AP33" s="39">
        <v>8.6124402</v>
      </c>
      <c r="AQ33" s="39">
        <v>1.9138755999999999</v>
      </c>
      <c r="AR33" s="40"/>
      <c r="AS33" s="40"/>
    </row>
    <row r="34" spans="2:45" ht="15" hidden="1" customHeight="1" x14ac:dyDescent="0.25">
      <c r="B34" s="30">
        <v>28</v>
      </c>
      <c r="C34" s="31" t="s">
        <v>29</v>
      </c>
      <c r="D34" s="31" t="s">
        <v>28</v>
      </c>
      <c r="E34" s="31" t="s">
        <v>37</v>
      </c>
      <c r="F34" s="31"/>
      <c r="G34" s="31" t="s">
        <v>37</v>
      </c>
      <c r="H34" s="32">
        <v>9116</v>
      </c>
      <c r="I34" s="32">
        <v>220</v>
      </c>
      <c r="J34" s="32">
        <v>1149</v>
      </c>
      <c r="K34" s="32">
        <v>2775</v>
      </c>
      <c r="L34" s="32">
        <v>1651</v>
      </c>
      <c r="M34" s="32">
        <v>2203</v>
      </c>
      <c r="N34" s="32">
        <v>716</v>
      </c>
      <c r="O34" s="32">
        <v>402</v>
      </c>
      <c r="P34" s="32"/>
      <c r="Q34" s="32"/>
      <c r="R34" s="32">
        <v>11636</v>
      </c>
      <c r="S34" s="32">
        <v>570</v>
      </c>
      <c r="T34" s="32">
        <v>2212</v>
      </c>
      <c r="U34" s="32">
        <v>1148</v>
      </c>
      <c r="V34" s="32">
        <v>558</v>
      </c>
      <c r="W34" s="32">
        <v>6162</v>
      </c>
      <c r="X34" s="32">
        <v>871</v>
      </c>
      <c r="Y34" s="32">
        <v>115</v>
      </c>
      <c r="Z34" s="32"/>
      <c r="AA34" s="32"/>
      <c r="AB34" s="33">
        <v>2.4133391999999998</v>
      </c>
      <c r="AC34" s="33">
        <v>12.6042124</v>
      </c>
      <c r="AD34" s="33">
        <v>30.440982900000002</v>
      </c>
      <c r="AE34" s="33">
        <v>18.1110136</v>
      </c>
      <c r="AF34" s="33">
        <v>24.166301000000001</v>
      </c>
      <c r="AG34" s="33">
        <v>7.8543221000000001</v>
      </c>
      <c r="AH34" s="33">
        <v>4.4098288999999999</v>
      </c>
      <c r="AI34" s="33"/>
      <c r="AJ34" s="33"/>
      <c r="AK34" s="33">
        <v>4.8985906000000004</v>
      </c>
      <c r="AL34" s="33">
        <v>19.009969099999999</v>
      </c>
      <c r="AM34" s="33">
        <v>9.8659333</v>
      </c>
      <c r="AN34" s="33">
        <v>4.7954623999999999</v>
      </c>
      <c r="AO34" s="33">
        <v>52.956342399999997</v>
      </c>
      <c r="AP34" s="33">
        <v>7.4853902000000003</v>
      </c>
      <c r="AQ34" s="33">
        <v>0.98831210000000003</v>
      </c>
      <c r="AR34" s="34"/>
      <c r="AS34" s="34"/>
    </row>
    <row r="35" spans="2:45" ht="15" hidden="1" customHeight="1" x14ac:dyDescent="0.25">
      <c r="B35" s="35">
        <v>29</v>
      </c>
      <c r="C35" s="36" t="s">
        <v>29</v>
      </c>
      <c r="D35" s="36" t="s">
        <v>28</v>
      </c>
      <c r="E35" s="36" t="s">
        <v>37</v>
      </c>
      <c r="F35" s="36"/>
      <c r="G35" s="37" t="s">
        <v>25</v>
      </c>
      <c r="H35" s="38">
        <v>1385</v>
      </c>
      <c r="I35" s="38">
        <v>145</v>
      </c>
      <c r="J35" s="38">
        <v>622</v>
      </c>
      <c r="K35" s="38">
        <v>129</v>
      </c>
      <c r="L35" s="38">
        <v>269</v>
      </c>
      <c r="M35" s="38">
        <v>195</v>
      </c>
      <c r="N35" s="38">
        <v>15</v>
      </c>
      <c r="O35" s="38">
        <v>10</v>
      </c>
      <c r="P35" s="38"/>
      <c r="Q35" s="38"/>
      <c r="R35" s="38">
        <v>2686</v>
      </c>
      <c r="S35" s="38">
        <v>410</v>
      </c>
      <c r="T35" s="38">
        <v>1908</v>
      </c>
      <c r="U35" s="38">
        <v>34</v>
      </c>
      <c r="V35" s="38">
        <v>30</v>
      </c>
      <c r="W35" s="38">
        <v>277</v>
      </c>
      <c r="X35" s="38">
        <v>22</v>
      </c>
      <c r="Y35" s="38">
        <v>5</v>
      </c>
      <c r="Z35" s="38"/>
      <c r="AA35" s="38"/>
      <c r="AB35" s="39">
        <v>10.4693141</v>
      </c>
      <c r="AC35" s="39">
        <v>44.909747299999999</v>
      </c>
      <c r="AD35" s="39">
        <v>9.3140794000000007</v>
      </c>
      <c r="AE35" s="39">
        <v>19.4223827</v>
      </c>
      <c r="AF35" s="39">
        <v>14.0794224</v>
      </c>
      <c r="AG35" s="39">
        <v>1.0830325000000001</v>
      </c>
      <c r="AH35" s="39">
        <v>0.72202169999999999</v>
      </c>
      <c r="AI35" s="39"/>
      <c r="AJ35" s="39"/>
      <c r="AK35" s="39">
        <v>15.264333600000001</v>
      </c>
      <c r="AL35" s="39">
        <v>71.034996300000003</v>
      </c>
      <c r="AM35" s="39">
        <v>1.2658228</v>
      </c>
      <c r="AN35" s="39">
        <v>1.1169024999999999</v>
      </c>
      <c r="AO35" s="39">
        <v>10.3127327</v>
      </c>
      <c r="AP35" s="39">
        <v>0.81906179999999995</v>
      </c>
      <c r="AQ35" s="39">
        <v>0.18615039999999999</v>
      </c>
      <c r="AR35" s="40"/>
      <c r="AS35" s="40"/>
    </row>
    <row r="36" spans="2:45" ht="15" hidden="1" customHeight="1" x14ac:dyDescent="0.25">
      <c r="B36" s="35">
        <v>30</v>
      </c>
      <c r="C36" s="36" t="s">
        <v>29</v>
      </c>
      <c r="D36" s="36" t="s">
        <v>28</v>
      </c>
      <c r="E36" s="36" t="s">
        <v>37</v>
      </c>
      <c r="F36" s="36"/>
      <c r="G36" s="37" t="s">
        <v>26</v>
      </c>
      <c r="H36" s="38">
        <v>7731</v>
      </c>
      <c r="I36" s="38">
        <v>75</v>
      </c>
      <c r="J36" s="38">
        <v>527</v>
      </c>
      <c r="K36" s="38">
        <v>2646</v>
      </c>
      <c r="L36" s="38">
        <v>1382</v>
      </c>
      <c r="M36" s="38">
        <v>2008</v>
      </c>
      <c r="N36" s="38">
        <v>701</v>
      </c>
      <c r="O36" s="38">
        <v>392</v>
      </c>
      <c r="P36" s="38"/>
      <c r="Q36" s="38"/>
      <c r="R36" s="38">
        <v>8950</v>
      </c>
      <c r="S36" s="38">
        <v>160</v>
      </c>
      <c r="T36" s="38">
        <v>304</v>
      </c>
      <c r="U36" s="38">
        <v>1114</v>
      </c>
      <c r="V36" s="38">
        <v>528</v>
      </c>
      <c r="W36" s="38">
        <v>5885</v>
      </c>
      <c r="X36" s="38">
        <v>849</v>
      </c>
      <c r="Y36" s="38">
        <v>110</v>
      </c>
      <c r="Z36" s="38"/>
      <c r="AA36" s="38"/>
      <c r="AB36" s="39">
        <v>0.97012030000000005</v>
      </c>
      <c r="AC36" s="39">
        <v>6.8167118999999996</v>
      </c>
      <c r="AD36" s="39">
        <v>34.225844000000002</v>
      </c>
      <c r="AE36" s="39">
        <v>17.876083300000001</v>
      </c>
      <c r="AF36" s="39">
        <v>25.973354</v>
      </c>
      <c r="AG36" s="39">
        <v>9.0673910000000006</v>
      </c>
      <c r="AH36" s="39">
        <v>5.0704954000000004</v>
      </c>
      <c r="AI36" s="39"/>
      <c r="AJ36" s="39"/>
      <c r="AK36" s="39">
        <v>1.7877095000000001</v>
      </c>
      <c r="AL36" s="39">
        <v>3.3966479999999999</v>
      </c>
      <c r="AM36" s="39">
        <v>12.4469274</v>
      </c>
      <c r="AN36" s="39">
        <v>5.8994413000000003</v>
      </c>
      <c r="AO36" s="39">
        <v>65.7541899</v>
      </c>
      <c r="AP36" s="39">
        <v>9.4860334999999996</v>
      </c>
      <c r="AQ36" s="39">
        <v>1.2290502999999999</v>
      </c>
      <c r="AR36" s="40"/>
      <c r="AS36" s="40"/>
    </row>
    <row r="37" spans="2:45" ht="15" customHeight="1" x14ac:dyDescent="0.25">
      <c r="B37" s="41">
        <v>31</v>
      </c>
      <c r="C37" s="42" t="s">
        <v>31</v>
      </c>
      <c r="D37" s="42" t="s">
        <v>28</v>
      </c>
      <c r="E37" s="42" t="s">
        <v>37</v>
      </c>
      <c r="F37" s="42" t="s">
        <v>37</v>
      </c>
      <c r="G37" s="42" t="s">
        <v>37</v>
      </c>
      <c r="H37" s="43">
        <v>2586</v>
      </c>
      <c r="I37" s="43">
        <v>128</v>
      </c>
      <c r="J37" s="43">
        <v>610</v>
      </c>
      <c r="K37" s="43">
        <v>926</v>
      </c>
      <c r="L37" s="43">
        <v>216</v>
      </c>
      <c r="M37" s="43">
        <v>469</v>
      </c>
      <c r="N37" s="43">
        <v>118</v>
      </c>
      <c r="O37" s="43">
        <v>119</v>
      </c>
      <c r="P37" s="44">
        <f>K37+L37+M37+N37+O37</f>
        <v>1848</v>
      </c>
      <c r="Q37" s="44">
        <f>I37+J37</f>
        <v>738</v>
      </c>
      <c r="R37" s="43">
        <v>3187</v>
      </c>
      <c r="S37" s="43">
        <v>208</v>
      </c>
      <c r="T37" s="43">
        <v>855</v>
      </c>
      <c r="U37" s="43">
        <v>499</v>
      </c>
      <c r="V37" s="43">
        <v>128</v>
      </c>
      <c r="W37" s="43">
        <v>1234</v>
      </c>
      <c r="X37" s="43">
        <v>239</v>
      </c>
      <c r="Y37" s="43">
        <v>24</v>
      </c>
      <c r="Z37" s="45">
        <f>U37+V37+W37+X37+Y37</f>
        <v>2124</v>
      </c>
      <c r="AA37" s="45">
        <f>S37+T37</f>
        <v>1063</v>
      </c>
      <c r="AB37" s="46">
        <v>4.9497293000000004</v>
      </c>
      <c r="AC37" s="46">
        <v>23.5885538</v>
      </c>
      <c r="AD37" s="46">
        <v>35.808197999999997</v>
      </c>
      <c r="AE37" s="46">
        <v>8.3526682000000001</v>
      </c>
      <c r="AF37" s="46">
        <v>18.136117599999999</v>
      </c>
      <c r="AG37" s="46">
        <v>4.5630316999999998</v>
      </c>
      <c r="AH37" s="46">
        <v>4.6017014999999999</v>
      </c>
      <c r="AI37" s="47">
        <f>AB37+AC37</f>
        <v>28.538283100000001</v>
      </c>
      <c r="AJ37" s="47">
        <f>AD37+AE37+AF37+AG37+AH37</f>
        <v>71.461717000000007</v>
      </c>
      <c r="AK37" s="46">
        <v>6.5265139999999997</v>
      </c>
      <c r="AL37" s="46">
        <v>26.8277377</v>
      </c>
      <c r="AM37" s="46">
        <v>15.657358</v>
      </c>
      <c r="AN37" s="46">
        <v>4.0163162999999997</v>
      </c>
      <c r="AO37" s="46">
        <v>38.719799199999997</v>
      </c>
      <c r="AP37" s="46">
        <v>7.4992156000000003</v>
      </c>
      <c r="AQ37" s="46">
        <v>0.75305929999999999</v>
      </c>
      <c r="AR37" s="48">
        <f>AK37+AL37</f>
        <v>33.354251699999999</v>
      </c>
      <c r="AS37" s="48">
        <f>AM37+AN37+AO37+AP37+AQ37</f>
        <v>66.645748400000002</v>
      </c>
    </row>
    <row r="38" spans="2:45" ht="15" hidden="1" customHeight="1" x14ac:dyDescent="0.25">
      <c r="B38" s="35">
        <v>32</v>
      </c>
      <c r="C38" s="36" t="s">
        <v>31</v>
      </c>
      <c r="D38" s="36" t="s">
        <v>28</v>
      </c>
      <c r="E38" s="36" t="s">
        <v>37</v>
      </c>
      <c r="F38" s="36" t="s">
        <v>37</v>
      </c>
      <c r="G38" s="37" t="s">
        <v>25</v>
      </c>
      <c r="H38" s="38">
        <v>825</v>
      </c>
      <c r="I38" s="38">
        <v>126</v>
      </c>
      <c r="J38" s="38">
        <v>605</v>
      </c>
      <c r="K38" s="38">
        <v>21</v>
      </c>
      <c r="L38" s="38">
        <v>34</v>
      </c>
      <c r="M38" s="38">
        <v>34</v>
      </c>
      <c r="N38" s="38">
        <v>2</v>
      </c>
      <c r="O38" s="38">
        <v>3</v>
      </c>
      <c r="P38" s="38"/>
      <c r="Q38" s="38"/>
      <c r="R38" s="38">
        <v>1220</v>
      </c>
      <c r="S38" s="38">
        <v>195</v>
      </c>
      <c r="T38" s="38">
        <v>851</v>
      </c>
      <c r="U38" s="38">
        <v>17</v>
      </c>
      <c r="V38" s="38">
        <v>9</v>
      </c>
      <c r="W38" s="38">
        <v>139</v>
      </c>
      <c r="X38" s="38">
        <v>8</v>
      </c>
      <c r="Y38" s="38">
        <v>1</v>
      </c>
      <c r="Z38" s="38"/>
      <c r="AA38" s="38"/>
      <c r="AB38" s="39">
        <v>15.2727273</v>
      </c>
      <c r="AC38" s="39">
        <v>73.333333300000007</v>
      </c>
      <c r="AD38" s="39">
        <v>2.5454545</v>
      </c>
      <c r="AE38" s="39">
        <v>4.1212121000000002</v>
      </c>
      <c r="AF38" s="39">
        <v>4.1212121000000002</v>
      </c>
      <c r="AG38" s="39">
        <v>0.24242420000000001</v>
      </c>
      <c r="AH38" s="39">
        <v>0.36363640000000003</v>
      </c>
      <c r="AI38" s="39"/>
      <c r="AJ38" s="39"/>
      <c r="AK38" s="39">
        <v>15.9836066</v>
      </c>
      <c r="AL38" s="39">
        <v>69.754098400000004</v>
      </c>
      <c r="AM38" s="39">
        <v>1.3934426</v>
      </c>
      <c r="AN38" s="39">
        <v>0.7377049</v>
      </c>
      <c r="AO38" s="39">
        <v>11.3934426</v>
      </c>
      <c r="AP38" s="39">
        <v>0.65573769999999998</v>
      </c>
      <c r="AQ38" s="39">
        <v>8.1967200000000004E-2</v>
      </c>
      <c r="AR38" s="40"/>
      <c r="AS38" s="40"/>
    </row>
    <row r="39" spans="2:45" ht="15" hidden="1" customHeight="1" x14ac:dyDescent="0.25">
      <c r="B39" s="35">
        <v>33</v>
      </c>
      <c r="C39" s="36" t="s">
        <v>31</v>
      </c>
      <c r="D39" s="36" t="s">
        <v>28</v>
      </c>
      <c r="E39" s="36" t="s">
        <v>37</v>
      </c>
      <c r="F39" s="36" t="s">
        <v>37</v>
      </c>
      <c r="G39" s="37" t="s">
        <v>26</v>
      </c>
      <c r="H39" s="38">
        <v>1761</v>
      </c>
      <c r="I39" s="38">
        <v>2</v>
      </c>
      <c r="J39" s="38">
        <v>5</v>
      </c>
      <c r="K39" s="38">
        <v>905</v>
      </c>
      <c r="L39" s="38">
        <v>182</v>
      </c>
      <c r="M39" s="38">
        <v>435</v>
      </c>
      <c r="N39" s="38">
        <v>116</v>
      </c>
      <c r="O39" s="38">
        <v>116</v>
      </c>
      <c r="P39" s="38"/>
      <c r="Q39" s="38"/>
      <c r="R39" s="38">
        <v>1967</v>
      </c>
      <c r="S39" s="38">
        <v>13</v>
      </c>
      <c r="T39" s="38">
        <v>4</v>
      </c>
      <c r="U39" s="38">
        <v>482</v>
      </c>
      <c r="V39" s="38">
        <v>119</v>
      </c>
      <c r="W39" s="38">
        <v>1095</v>
      </c>
      <c r="X39" s="38">
        <v>231</v>
      </c>
      <c r="Y39" s="38">
        <v>23</v>
      </c>
      <c r="Z39" s="38"/>
      <c r="AA39" s="38"/>
      <c r="AB39" s="39">
        <v>0.1135718</v>
      </c>
      <c r="AC39" s="39">
        <v>0.2839296</v>
      </c>
      <c r="AD39" s="39">
        <v>51.391255000000001</v>
      </c>
      <c r="AE39" s="39">
        <v>10.3350369</v>
      </c>
      <c r="AF39" s="39">
        <v>24.701873899999999</v>
      </c>
      <c r="AG39" s="39">
        <v>6.5871664000000001</v>
      </c>
      <c r="AH39" s="39">
        <v>6.5871664000000001</v>
      </c>
      <c r="AI39" s="39"/>
      <c r="AJ39" s="39"/>
      <c r="AK39" s="39">
        <v>0.66090490000000002</v>
      </c>
      <c r="AL39" s="39">
        <v>0.20335539999999999</v>
      </c>
      <c r="AM39" s="39">
        <v>24.504321300000001</v>
      </c>
      <c r="AN39" s="39">
        <v>6.0498221000000001</v>
      </c>
      <c r="AO39" s="39">
        <v>55.668530799999999</v>
      </c>
      <c r="AP39" s="39">
        <v>11.7437722</v>
      </c>
      <c r="AQ39" s="39">
        <v>1.1692933000000001</v>
      </c>
      <c r="AR39" s="40"/>
      <c r="AS39" s="40"/>
    </row>
    <row r="40" spans="2:45" ht="15" customHeight="1" x14ac:dyDescent="0.25">
      <c r="B40" s="41">
        <v>34</v>
      </c>
      <c r="C40" s="42" t="s">
        <v>31</v>
      </c>
      <c r="D40" s="42" t="s">
        <v>28</v>
      </c>
      <c r="E40" s="42" t="s">
        <v>37</v>
      </c>
      <c r="F40" s="42" t="s">
        <v>38</v>
      </c>
      <c r="G40" s="42" t="s">
        <v>38</v>
      </c>
      <c r="H40" s="43">
        <v>2717</v>
      </c>
      <c r="I40" s="43">
        <v>22</v>
      </c>
      <c r="J40" s="43">
        <v>21</v>
      </c>
      <c r="K40" s="43">
        <v>791</v>
      </c>
      <c r="L40" s="43">
        <v>769</v>
      </c>
      <c r="M40" s="43">
        <v>692</v>
      </c>
      <c r="N40" s="43">
        <v>320</v>
      </c>
      <c r="O40" s="43">
        <v>102</v>
      </c>
      <c r="P40" s="44">
        <f>K40+L40+M40+N40+O40</f>
        <v>2674</v>
      </c>
      <c r="Q40" s="44">
        <f>I40+J40</f>
        <v>43</v>
      </c>
      <c r="R40" s="43">
        <v>3271</v>
      </c>
      <c r="S40" s="43">
        <v>153</v>
      </c>
      <c r="T40" s="43">
        <v>402</v>
      </c>
      <c r="U40" s="43">
        <v>233</v>
      </c>
      <c r="V40" s="43">
        <v>174</v>
      </c>
      <c r="W40" s="43">
        <v>2060</v>
      </c>
      <c r="X40" s="43">
        <v>221</v>
      </c>
      <c r="Y40" s="43">
        <v>28</v>
      </c>
      <c r="Z40" s="45">
        <f>U40+V40+W40+X40+Y40</f>
        <v>2716</v>
      </c>
      <c r="AA40" s="45">
        <f>S40+T40</f>
        <v>555</v>
      </c>
      <c r="AB40" s="46">
        <v>0.80971660000000001</v>
      </c>
      <c r="AC40" s="46">
        <v>0.77291129999999997</v>
      </c>
      <c r="AD40" s="46">
        <v>29.112992299999998</v>
      </c>
      <c r="AE40" s="46">
        <v>28.3032757</v>
      </c>
      <c r="AF40" s="46">
        <v>25.469267599999998</v>
      </c>
      <c r="AG40" s="46">
        <v>11.777696000000001</v>
      </c>
      <c r="AH40" s="46">
        <v>3.7541405999999999</v>
      </c>
      <c r="AI40" s="47">
        <f>AB40+AC40</f>
        <v>1.5826278999999999</v>
      </c>
      <c r="AJ40" s="47">
        <f>AD40+AE40+AF40+AG40+AH40</f>
        <v>98.417372200000003</v>
      </c>
      <c r="AK40" s="46">
        <v>4.6774687000000004</v>
      </c>
      <c r="AL40" s="46">
        <v>12.2898196</v>
      </c>
      <c r="AM40" s="46">
        <v>7.1232039</v>
      </c>
      <c r="AN40" s="46">
        <v>5.3194742000000002</v>
      </c>
      <c r="AO40" s="46">
        <v>62.977682700000003</v>
      </c>
      <c r="AP40" s="46">
        <v>6.7563436000000001</v>
      </c>
      <c r="AQ40" s="46">
        <v>0.85600730000000003</v>
      </c>
      <c r="AR40" s="48">
        <f>AK40+AL40</f>
        <v>16.9672883</v>
      </c>
      <c r="AS40" s="48">
        <f>AM40+AN40+AO40+AP40+AQ40</f>
        <v>83.032711699999993</v>
      </c>
    </row>
    <row r="41" spans="2:45" ht="15" hidden="1" customHeight="1" x14ac:dyDescent="0.25">
      <c r="B41" s="35">
        <v>35</v>
      </c>
      <c r="C41" s="36" t="s">
        <v>31</v>
      </c>
      <c r="D41" s="36" t="s">
        <v>28</v>
      </c>
      <c r="E41" s="36" t="s">
        <v>37</v>
      </c>
      <c r="F41" s="36" t="s">
        <v>38</v>
      </c>
      <c r="G41" s="37" t="s">
        <v>25</v>
      </c>
      <c r="H41" s="38">
        <v>560</v>
      </c>
      <c r="I41" s="38">
        <v>19</v>
      </c>
      <c r="J41" s="38">
        <v>17</v>
      </c>
      <c r="K41" s="38">
        <v>108</v>
      </c>
      <c r="L41" s="38">
        <v>235</v>
      </c>
      <c r="M41" s="38">
        <v>161</v>
      </c>
      <c r="N41" s="38">
        <v>13</v>
      </c>
      <c r="O41" s="38">
        <v>7</v>
      </c>
      <c r="P41" s="38"/>
      <c r="Q41" s="38"/>
      <c r="R41" s="38">
        <v>609</v>
      </c>
      <c r="S41" s="38">
        <v>119</v>
      </c>
      <c r="T41" s="38">
        <v>379</v>
      </c>
      <c r="U41" s="38">
        <v>15</v>
      </c>
      <c r="V41" s="38">
        <v>20</v>
      </c>
      <c r="W41" s="38">
        <v>67</v>
      </c>
      <c r="X41" s="38">
        <v>7</v>
      </c>
      <c r="Y41" s="38">
        <v>2</v>
      </c>
      <c r="Z41" s="38"/>
      <c r="AA41" s="38"/>
      <c r="AB41" s="39">
        <v>3.3928571000000001</v>
      </c>
      <c r="AC41" s="39">
        <v>3.0357143</v>
      </c>
      <c r="AD41" s="39">
        <v>19.285714299999999</v>
      </c>
      <c r="AE41" s="39">
        <v>41.964285699999998</v>
      </c>
      <c r="AF41" s="39">
        <v>28.75</v>
      </c>
      <c r="AG41" s="39">
        <v>2.3214286</v>
      </c>
      <c r="AH41" s="39">
        <v>1.25</v>
      </c>
      <c r="AI41" s="39"/>
      <c r="AJ41" s="39"/>
      <c r="AK41" s="39">
        <v>19.5402299</v>
      </c>
      <c r="AL41" s="39">
        <v>62.233169099999998</v>
      </c>
      <c r="AM41" s="39">
        <v>2.4630542000000002</v>
      </c>
      <c r="AN41" s="39">
        <v>3.2840722000000002</v>
      </c>
      <c r="AO41" s="39">
        <v>11.001642</v>
      </c>
      <c r="AP41" s="39">
        <v>1.1494253000000001</v>
      </c>
      <c r="AQ41" s="39">
        <v>0.32840720000000001</v>
      </c>
      <c r="AR41" s="40"/>
      <c r="AS41" s="40"/>
    </row>
    <row r="42" spans="2:45" ht="15" hidden="1" customHeight="1" x14ac:dyDescent="0.25">
      <c r="B42" s="35">
        <v>36</v>
      </c>
      <c r="C42" s="36" t="s">
        <v>31</v>
      </c>
      <c r="D42" s="36" t="s">
        <v>28</v>
      </c>
      <c r="E42" s="36" t="s">
        <v>37</v>
      </c>
      <c r="F42" s="36" t="s">
        <v>38</v>
      </c>
      <c r="G42" s="37" t="s">
        <v>26</v>
      </c>
      <c r="H42" s="38">
        <v>2157</v>
      </c>
      <c r="I42" s="38">
        <v>3</v>
      </c>
      <c r="J42" s="38">
        <v>4</v>
      </c>
      <c r="K42" s="38">
        <v>683</v>
      </c>
      <c r="L42" s="38">
        <v>534</v>
      </c>
      <c r="M42" s="38">
        <v>531</v>
      </c>
      <c r="N42" s="38">
        <v>307</v>
      </c>
      <c r="O42" s="38">
        <v>95</v>
      </c>
      <c r="P42" s="38"/>
      <c r="Q42" s="38"/>
      <c r="R42" s="38">
        <v>2662</v>
      </c>
      <c r="S42" s="38">
        <v>34</v>
      </c>
      <c r="T42" s="38">
        <v>23</v>
      </c>
      <c r="U42" s="38">
        <v>218</v>
      </c>
      <c r="V42" s="38">
        <v>154</v>
      </c>
      <c r="W42" s="38">
        <v>1993</v>
      </c>
      <c r="X42" s="38">
        <v>214</v>
      </c>
      <c r="Y42" s="38">
        <v>26</v>
      </c>
      <c r="Z42" s="38"/>
      <c r="AA42" s="38"/>
      <c r="AB42" s="39">
        <v>0.13908209999999999</v>
      </c>
      <c r="AC42" s="39">
        <v>0.18544269999999999</v>
      </c>
      <c r="AD42" s="39">
        <v>31.6643486</v>
      </c>
      <c r="AE42" s="39">
        <v>24.756606399999999</v>
      </c>
      <c r="AF42" s="39">
        <v>24.617524299999999</v>
      </c>
      <c r="AG42" s="39">
        <v>14.2327306</v>
      </c>
      <c r="AH42" s="39">
        <v>4.4042652000000002</v>
      </c>
      <c r="AI42" s="39"/>
      <c r="AJ42" s="39"/>
      <c r="AK42" s="39">
        <v>1.2772352</v>
      </c>
      <c r="AL42" s="39">
        <v>0.864012</v>
      </c>
      <c r="AM42" s="39">
        <v>8.1893312999999992</v>
      </c>
      <c r="AN42" s="39">
        <v>5.7851239999999997</v>
      </c>
      <c r="AO42" s="39">
        <v>74.868519899999995</v>
      </c>
      <c r="AP42" s="39">
        <v>8.0390683999999997</v>
      </c>
      <c r="AQ42" s="39">
        <v>0.97670920000000006</v>
      </c>
      <c r="AR42" s="40"/>
      <c r="AS42" s="40"/>
    </row>
    <row r="43" spans="2:45" ht="15" customHeight="1" x14ac:dyDescent="0.25">
      <c r="B43" s="41">
        <v>37</v>
      </c>
      <c r="C43" s="42" t="s">
        <v>31</v>
      </c>
      <c r="D43" s="42" t="s">
        <v>28</v>
      </c>
      <c r="E43" s="42" t="s">
        <v>37</v>
      </c>
      <c r="F43" s="42" t="s">
        <v>39</v>
      </c>
      <c r="G43" s="42" t="s">
        <v>39</v>
      </c>
      <c r="H43" s="43">
        <v>1982</v>
      </c>
      <c r="I43" s="43">
        <v>61</v>
      </c>
      <c r="J43" s="43">
        <v>404</v>
      </c>
      <c r="K43" s="43">
        <v>399</v>
      </c>
      <c r="L43" s="43">
        <v>465</v>
      </c>
      <c r="M43" s="43">
        <v>480</v>
      </c>
      <c r="N43" s="43">
        <v>110</v>
      </c>
      <c r="O43" s="43">
        <v>63</v>
      </c>
      <c r="P43" s="44">
        <f>K43+L43+M43+N43+O43</f>
        <v>1517</v>
      </c>
      <c r="Q43" s="44">
        <f>I43+J43</f>
        <v>465</v>
      </c>
      <c r="R43" s="43">
        <v>2543</v>
      </c>
      <c r="S43" s="43">
        <v>125</v>
      </c>
      <c r="T43" s="43">
        <v>781</v>
      </c>
      <c r="U43" s="43">
        <v>111</v>
      </c>
      <c r="V43" s="43">
        <v>118</v>
      </c>
      <c r="W43" s="43">
        <v>1252</v>
      </c>
      <c r="X43" s="43">
        <v>141</v>
      </c>
      <c r="Y43" s="43">
        <v>15</v>
      </c>
      <c r="Z43" s="45">
        <f>U43+V43+W43+X43+Y43</f>
        <v>1637</v>
      </c>
      <c r="AA43" s="45">
        <f>S43+T43</f>
        <v>906</v>
      </c>
      <c r="AB43" s="46">
        <v>3.0776992999999999</v>
      </c>
      <c r="AC43" s="46">
        <v>20.383451099999998</v>
      </c>
      <c r="AD43" s="46">
        <v>20.1311806</v>
      </c>
      <c r="AE43" s="46">
        <v>23.461150400000001</v>
      </c>
      <c r="AF43" s="46">
        <v>24.2179617</v>
      </c>
      <c r="AG43" s="46">
        <v>5.5499495000000003</v>
      </c>
      <c r="AH43" s="46">
        <v>3.1786075</v>
      </c>
      <c r="AI43" s="47">
        <f>AB43+AC43</f>
        <v>23.461150399999998</v>
      </c>
      <c r="AJ43" s="47">
        <f>AD43+AE43+AF43+AG43+AH43</f>
        <v>76.5388497</v>
      </c>
      <c r="AK43" s="46">
        <v>4.9154542000000001</v>
      </c>
      <c r="AL43" s="46">
        <v>30.711757800000001</v>
      </c>
      <c r="AM43" s="46">
        <v>4.3649233000000001</v>
      </c>
      <c r="AN43" s="46">
        <v>4.6401887999999998</v>
      </c>
      <c r="AO43" s="46">
        <v>49.233189099999997</v>
      </c>
      <c r="AP43" s="46">
        <v>5.5446323</v>
      </c>
      <c r="AQ43" s="46">
        <v>0.58985449999999995</v>
      </c>
      <c r="AR43" s="48">
        <f>AK43+AL43</f>
        <v>35.627212</v>
      </c>
      <c r="AS43" s="48">
        <f>AM43+AN43+AO43+AP43+AQ43</f>
        <v>64.372788</v>
      </c>
    </row>
    <row r="44" spans="2:45" ht="15" hidden="1" customHeight="1" x14ac:dyDescent="0.25">
      <c r="B44" s="35">
        <v>38</v>
      </c>
      <c r="C44" s="36" t="s">
        <v>31</v>
      </c>
      <c r="D44" s="36" t="s">
        <v>28</v>
      </c>
      <c r="E44" s="36" t="s">
        <v>37</v>
      </c>
      <c r="F44" s="36" t="s">
        <v>39</v>
      </c>
      <c r="G44" s="37" t="s">
        <v>25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>
        <v>857</v>
      </c>
      <c r="S44" s="38">
        <v>96</v>
      </c>
      <c r="T44" s="38">
        <v>678</v>
      </c>
      <c r="U44" s="38">
        <v>2</v>
      </c>
      <c r="V44" s="38">
        <v>1</v>
      </c>
      <c r="W44" s="38">
        <v>71</v>
      </c>
      <c r="X44" s="38">
        <v>7</v>
      </c>
      <c r="Y44" s="38">
        <v>2</v>
      </c>
      <c r="Z44" s="38"/>
      <c r="AA44" s="38"/>
      <c r="AB44" s="39"/>
      <c r="AC44" s="39"/>
      <c r="AD44" s="39"/>
      <c r="AE44" s="39"/>
      <c r="AF44" s="39"/>
      <c r="AG44" s="39"/>
      <c r="AH44" s="39"/>
      <c r="AI44" s="39"/>
      <c r="AJ44" s="39"/>
      <c r="AK44" s="39">
        <v>11.201867</v>
      </c>
      <c r="AL44" s="39">
        <v>79.1131855</v>
      </c>
      <c r="AM44" s="39">
        <v>0.2333722</v>
      </c>
      <c r="AN44" s="39">
        <v>0.1166861</v>
      </c>
      <c r="AO44" s="39">
        <v>8.2847141000000004</v>
      </c>
      <c r="AP44" s="39">
        <v>0.81680280000000005</v>
      </c>
      <c r="AQ44" s="39">
        <v>0.2333722</v>
      </c>
      <c r="AR44" s="40"/>
      <c r="AS44" s="40"/>
    </row>
    <row r="45" spans="2:45" ht="15" hidden="1" customHeight="1" x14ac:dyDescent="0.25">
      <c r="B45" s="35">
        <v>39</v>
      </c>
      <c r="C45" s="36" t="s">
        <v>31</v>
      </c>
      <c r="D45" s="36" t="s">
        <v>28</v>
      </c>
      <c r="E45" s="36" t="s">
        <v>37</v>
      </c>
      <c r="F45" s="36" t="s">
        <v>39</v>
      </c>
      <c r="G45" s="37" t="s">
        <v>26</v>
      </c>
      <c r="H45" s="38">
        <v>1982</v>
      </c>
      <c r="I45" s="38">
        <v>61</v>
      </c>
      <c r="J45" s="38">
        <v>404</v>
      </c>
      <c r="K45" s="38">
        <v>399</v>
      </c>
      <c r="L45" s="38">
        <v>465</v>
      </c>
      <c r="M45" s="38">
        <v>480</v>
      </c>
      <c r="N45" s="38">
        <v>110</v>
      </c>
      <c r="O45" s="38">
        <v>63</v>
      </c>
      <c r="P45" s="38"/>
      <c r="Q45" s="38"/>
      <c r="R45" s="38">
        <v>1686</v>
      </c>
      <c r="S45" s="38">
        <v>29</v>
      </c>
      <c r="T45" s="38">
        <v>103</v>
      </c>
      <c r="U45" s="38">
        <v>109</v>
      </c>
      <c r="V45" s="38">
        <v>117</v>
      </c>
      <c r="W45" s="38">
        <v>1181</v>
      </c>
      <c r="X45" s="38">
        <v>134</v>
      </c>
      <c r="Y45" s="38">
        <v>13</v>
      </c>
      <c r="Z45" s="38"/>
      <c r="AA45" s="38"/>
      <c r="AB45" s="39">
        <v>3.0776992999999999</v>
      </c>
      <c r="AC45" s="39">
        <v>20.383451099999998</v>
      </c>
      <c r="AD45" s="39">
        <v>20.1311806</v>
      </c>
      <c r="AE45" s="39">
        <v>23.461150400000001</v>
      </c>
      <c r="AF45" s="39">
        <v>24.2179617</v>
      </c>
      <c r="AG45" s="39">
        <v>5.5499495000000003</v>
      </c>
      <c r="AH45" s="39">
        <v>3.1786075</v>
      </c>
      <c r="AI45" s="39"/>
      <c r="AJ45" s="39"/>
      <c r="AK45" s="39">
        <v>1.7200473999999999</v>
      </c>
      <c r="AL45" s="39">
        <v>6.1091340000000001</v>
      </c>
      <c r="AM45" s="39">
        <v>6.4650059000000004</v>
      </c>
      <c r="AN45" s="39">
        <v>6.9395018000000004</v>
      </c>
      <c r="AO45" s="39">
        <v>70.047449599999993</v>
      </c>
      <c r="AP45" s="39">
        <v>7.9478055000000003</v>
      </c>
      <c r="AQ45" s="39">
        <v>0.77105579999999996</v>
      </c>
      <c r="AR45" s="40"/>
      <c r="AS45" s="40"/>
    </row>
    <row r="46" spans="2:45" ht="15" customHeight="1" x14ac:dyDescent="0.25">
      <c r="B46" s="41">
        <v>40</v>
      </c>
      <c r="C46" s="42" t="s">
        <v>31</v>
      </c>
      <c r="D46" s="42" t="s">
        <v>28</v>
      </c>
      <c r="E46" s="42" t="s">
        <v>37</v>
      </c>
      <c r="F46" s="42" t="s">
        <v>40</v>
      </c>
      <c r="G46" s="42" t="s">
        <v>40</v>
      </c>
      <c r="H46" s="43">
        <v>1831</v>
      </c>
      <c r="I46" s="43">
        <v>9</v>
      </c>
      <c r="J46" s="43">
        <v>114</v>
      </c>
      <c r="K46" s="43">
        <v>659</v>
      </c>
      <c r="L46" s="43">
        <v>201</v>
      </c>
      <c r="M46" s="43">
        <v>562</v>
      </c>
      <c r="N46" s="43">
        <v>168</v>
      </c>
      <c r="O46" s="43">
        <v>118</v>
      </c>
      <c r="P46" s="44">
        <f>K46+L46+M46+N46+O46</f>
        <v>1708</v>
      </c>
      <c r="Q46" s="44">
        <f>I46+J46</f>
        <v>123</v>
      </c>
      <c r="R46" s="43">
        <v>2635</v>
      </c>
      <c r="S46" s="43">
        <v>84</v>
      </c>
      <c r="T46" s="43">
        <v>174</v>
      </c>
      <c r="U46" s="43">
        <v>305</v>
      </c>
      <c r="V46" s="43">
        <v>138</v>
      </c>
      <c r="W46" s="43">
        <v>1616</v>
      </c>
      <c r="X46" s="43">
        <v>270</v>
      </c>
      <c r="Y46" s="43">
        <v>48</v>
      </c>
      <c r="Z46" s="45">
        <f>U46+V46+W46+X46+Y46</f>
        <v>2377</v>
      </c>
      <c r="AA46" s="45">
        <f>S46+T46</f>
        <v>258</v>
      </c>
      <c r="AB46" s="46">
        <v>0.49153469999999999</v>
      </c>
      <c r="AC46" s="46">
        <v>6.2261059999999997</v>
      </c>
      <c r="AD46" s="46">
        <v>35.991261600000001</v>
      </c>
      <c r="AE46" s="46">
        <v>10.977607900000001</v>
      </c>
      <c r="AF46" s="46">
        <v>30.69361</v>
      </c>
      <c r="AG46" s="46">
        <v>9.1753140000000002</v>
      </c>
      <c r="AH46" s="46">
        <v>6.4445658000000003</v>
      </c>
      <c r="AI46" s="47">
        <f>AB46+AC46</f>
        <v>6.7176406999999996</v>
      </c>
      <c r="AJ46" s="47">
        <f>AD46+AE46+AF46+AG46+AH46</f>
        <v>93.28235930000001</v>
      </c>
      <c r="AK46" s="46">
        <v>3.1878557999999999</v>
      </c>
      <c r="AL46" s="46">
        <v>6.6034155999999999</v>
      </c>
      <c r="AM46" s="46">
        <v>11.5749526</v>
      </c>
      <c r="AN46" s="46">
        <v>5.2371917000000003</v>
      </c>
      <c r="AO46" s="46">
        <v>61.328273199999998</v>
      </c>
      <c r="AP46" s="46">
        <v>10.2466793</v>
      </c>
      <c r="AQ46" s="46">
        <v>1.8216319000000001</v>
      </c>
      <c r="AR46" s="48">
        <f>AK46+AL46</f>
        <v>9.7912713999999994</v>
      </c>
      <c r="AS46" s="48">
        <f>AM46+AN46+AO46+AP46+AQ46</f>
        <v>90.208728699999995</v>
      </c>
    </row>
    <row r="47" spans="2:45" ht="15" hidden="1" customHeight="1" x14ac:dyDescent="0.25">
      <c r="B47" s="35">
        <v>41</v>
      </c>
      <c r="C47" s="36" t="s">
        <v>31</v>
      </c>
      <c r="D47" s="36" t="s">
        <v>28</v>
      </c>
      <c r="E47" s="36" t="s">
        <v>37</v>
      </c>
      <c r="F47" s="36" t="s">
        <v>40</v>
      </c>
      <c r="G47" s="37" t="s">
        <v>25</v>
      </c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40"/>
      <c r="AS47" s="40"/>
    </row>
    <row r="48" spans="2:45" ht="15" hidden="1" customHeight="1" x14ac:dyDescent="0.25">
      <c r="B48" s="35">
        <v>42</v>
      </c>
      <c r="C48" s="36" t="s">
        <v>31</v>
      </c>
      <c r="D48" s="36" t="s">
        <v>28</v>
      </c>
      <c r="E48" s="36" t="s">
        <v>37</v>
      </c>
      <c r="F48" s="36" t="s">
        <v>40</v>
      </c>
      <c r="G48" s="37" t="s">
        <v>26</v>
      </c>
      <c r="H48" s="38">
        <v>1831</v>
      </c>
      <c r="I48" s="38">
        <v>9</v>
      </c>
      <c r="J48" s="38">
        <v>114</v>
      </c>
      <c r="K48" s="38">
        <v>659</v>
      </c>
      <c r="L48" s="38">
        <v>201</v>
      </c>
      <c r="M48" s="38">
        <v>562</v>
      </c>
      <c r="N48" s="38">
        <v>168</v>
      </c>
      <c r="O48" s="38">
        <v>118</v>
      </c>
      <c r="P48" s="38"/>
      <c r="Q48" s="38"/>
      <c r="R48" s="38">
        <v>2635</v>
      </c>
      <c r="S48" s="38">
        <v>84</v>
      </c>
      <c r="T48" s="38">
        <v>174</v>
      </c>
      <c r="U48" s="38">
        <v>305</v>
      </c>
      <c r="V48" s="38">
        <v>138</v>
      </c>
      <c r="W48" s="38">
        <v>1616</v>
      </c>
      <c r="X48" s="38">
        <v>270</v>
      </c>
      <c r="Y48" s="38">
        <v>48</v>
      </c>
      <c r="Z48" s="38"/>
      <c r="AA48" s="38"/>
      <c r="AB48" s="39">
        <v>0.49153469999999999</v>
      </c>
      <c r="AC48" s="39">
        <v>6.2261059999999997</v>
      </c>
      <c r="AD48" s="39">
        <v>35.991261600000001</v>
      </c>
      <c r="AE48" s="39">
        <v>10.977607900000001</v>
      </c>
      <c r="AF48" s="39">
        <v>30.69361</v>
      </c>
      <c r="AG48" s="39">
        <v>9.1753140000000002</v>
      </c>
      <c r="AH48" s="39">
        <v>6.4445658000000003</v>
      </c>
      <c r="AI48" s="39"/>
      <c r="AJ48" s="39"/>
      <c r="AK48" s="39">
        <v>3.1878557999999999</v>
      </c>
      <c r="AL48" s="39">
        <v>6.6034155999999999</v>
      </c>
      <c r="AM48" s="39">
        <v>11.5749526</v>
      </c>
      <c r="AN48" s="39">
        <v>5.2371917000000003</v>
      </c>
      <c r="AO48" s="39">
        <v>61.328273199999998</v>
      </c>
      <c r="AP48" s="39">
        <v>10.2466793</v>
      </c>
      <c r="AQ48" s="39">
        <v>1.8216319000000001</v>
      </c>
      <c r="AR48" s="40"/>
      <c r="AS48" s="40"/>
    </row>
    <row r="49" spans="2:45" ht="15" hidden="1" customHeight="1" x14ac:dyDescent="0.25">
      <c r="B49" s="30">
        <v>43</v>
      </c>
      <c r="C49" s="31" t="s">
        <v>29</v>
      </c>
      <c r="D49" s="31" t="s">
        <v>28</v>
      </c>
      <c r="E49" s="31" t="s">
        <v>41</v>
      </c>
      <c r="F49" s="31"/>
      <c r="G49" s="31" t="s">
        <v>41</v>
      </c>
      <c r="H49" s="32">
        <v>9217</v>
      </c>
      <c r="I49" s="32">
        <v>311</v>
      </c>
      <c r="J49" s="32">
        <v>1937</v>
      </c>
      <c r="K49" s="32">
        <v>3725</v>
      </c>
      <c r="L49" s="32">
        <v>643</v>
      </c>
      <c r="M49" s="32">
        <v>1589</v>
      </c>
      <c r="N49" s="32">
        <v>606</v>
      </c>
      <c r="O49" s="32">
        <v>406</v>
      </c>
      <c r="P49" s="32"/>
      <c r="Q49" s="32"/>
      <c r="R49" s="32">
        <v>10144</v>
      </c>
      <c r="S49" s="32">
        <v>574</v>
      </c>
      <c r="T49" s="32">
        <v>3006</v>
      </c>
      <c r="U49" s="32">
        <v>1687</v>
      </c>
      <c r="V49" s="32">
        <v>199</v>
      </c>
      <c r="W49" s="32">
        <v>3985</v>
      </c>
      <c r="X49" s="32">
        <v>591</v>
      </c>
      <c r="Y49" s="32">
        <v>102</v>
      </c>
      <c r="Z49" s="32"/>
      <c r="AA49" s="32"/>
      <c r="AB49" s="33">
        <v>3.3741998</v>
      </c>
      <c r="AC49" s="33">
        <v>21.015514799999998</v>
      </c>
      <c r="AD49" s="33">
        <v>40.4144516</v>
      </c>
      <c r="AE49" s="33">
        <v>6.9762396000000004</v>
      </c>
      <c r="AF49" s="33">
        <v>17.2398828</v>
      </c>
      <c r="AG49" s="33">
        <v>6.5748074000000001</v>
      </c>
      <c r="AH49" s="33">
        <v>4.4049040000000002</v>
      </c>
      <c r="AI49" s="33"/>
      <c r="AJ49" s="33"/>
      <c r="AK49" s="33">
        <v>5.6585174</v>
      </c>
      <c r="AL49" s="33">
        <v>29.633280800000001</v>
      </c>
      <c r="AM49" s="33">
        <v>16.630520499999999</v>
      </c>
      <c r="AN49" s="33">
        <v>1.9617507999999999</v>
      </c>
      <c r="AO49" s="33">
        <v>39.284306000000001</v>
      </c>
      <c r="AP49" s="33">
        <v>5.8261041000000002</v>
      </c>
      <c r="AQ49" s="33">
        <v>1.0055205</v>
      </c>
      <c r="AR49" s="34"/>
      <c r="AS49" s="34"/>
    </row>
    <row r="50" spans="2:45" ht="15" hidden="1" customHeight="1" x14ac:dyDescent="0.25">
      <c r="B50" s="35">
        <v>44</v>
      </c>
      <c r="C50" s="36" t="s">
        <v>29</v>
      </c>
      <c r="D50" s="36" t="s">
        <v>28</v>
      </c>
      <c r="E50" s="36" t="s">
        <v>41</v>
      </c>
      <c r="F50" s="36"/>
      <c r="G50" s="37" t="s">
        <v>25</v>
      </c>
      <c r="H50" s="38">
        <v>1590</v>
      </c>
      <c r="I50" s="38">
        <v>151</v>
      </c>
      <c r="J50" s="38">
        <v>1232</v>
      </c>
      <c r="K50" s="38">
        <v>81</v>
      </c>
      <c r="L50" s="38">
        <v>37</v>
      </c>
      <c r="M50" s="38">
        <v>73</v>
      </c>
      <c r="N50" s="38">
        <v>7</v>
      </c>
      <c r="O50" s="38">
        <v>9</v>
      </c>
      <c r="P50" s="38"/>
      <c r="Q50" s="38"/>
      <c r="R50" s="38">
        <v>2053</v>
      </c>
      <c r="S50" s="38">
        <v>296</v>
      </c>
      <c r="T50" s="38">
        <v>1654</v>
      </c>
      <c r="U50" s="38">
        <v>23</v>
      </c>
      <c r="V50" s="38">
        <v>3</v>
      </c>
      <c r="W50" s="38">
        <v>67</v>
      </c>
      <c r="X50" s="38">
        <v>6</v>
      </c>
      <c r="Y50" s="38">
        <v>4</v>
      </c>
      <c r="Z50" s="38"/>
      <c r="AA50" s="38"/>
      <c r="AB50" s="39">
        <v>9.4968553</v>
      </c>
      <c r="AC50" s="39">
        <v>77.484276699999995</v>
      </c>
      <c r="AD50" s="39">
        <v>5.0943395999999996</v>
      </c>
      <c r="AE50" s="39">
        <v>2.3270439999999999</v>
      </c>
      <c r="AF50" s="39">
        <v>4.5911949999999999</v>
      </c>
      <c r="AG50" s="39">
        <v>0.44025160000000002</v>
      </c>
      <c r="AH50" s="39">
        <v>0.56603769999999998</v>
      </c>
      <c r="AI50" s="39"/>
      <c r="AJ50" s="39"/>
      <c r="AK50" s="39">
        <v>14.417925</v>
      </c>
      <c r="AL50" s="39">
        <v>80.565026799999998</v>
      </c>
      <c r="AM50" s="39">
        <v>1.1203117</v>
      </c>
      <c r="AN50" s="39">
        <v>0.1461276</v>
      </c>
      <c r="AO50" s="39">
        <v>3.2635168000000001</v>
      </c>
      <c r="AP50" s="39">
        <v>0.29225519999999999</v>
      </c>
      <c r="AQ50" s="39">
        <v>0.1948368</v>
      </c>
      <c r="AR50" s="40"/>
      <c r="AS50" s="40"/>
    </row>
    <row r="51" spans="2:45" ht="15" hidden="1" customHeight="1" x14ac:dyDescent="0.25">
      <c r="B51" s="35">
        <v>45</v>
      </c>
      <c r="C51" s="36" t="s">
        <v>29</v>
      </c>
      <c r="D51" s="36" t="s">
        <v>28</v>
      </c>
      <c r="E51" s="36" t="s">
        <v>41</v>
      </c>
      <c r="F51" s="36"/>
      <c r="G51" s="37" t="s">
        <v>26</v>
      </c>
      <c r="H51" s="38">
        <v>7627</v>
      </c>
      <c r="I51" s="38">
        <v>160</v>
      </c>
      <c r="J51" s="38">
        <v>705</v>
      </c>
      <c r="K51" s="38">
        <v>3644</v>
      </c>
      <c r="L51" s="38">
        <v>606</v>
      </c>
      <c r="M51" s="38">
        <v>1516</v>
      </c>
      <c r="N51" s="38">
        <v>599</v>
      </c>
      <c r="O51" s="38">
        <v>397</v>
      </c>
      <c r="P51" s="38"/>
      <c r="Q51" s="38"/>
      <c r="R51" s="38">
        <v>8091</v>
      </c>
      <c r="S51" s="38">
        <v>278</v>
      </c>
      <c r="T51" s="38">
        <v>1352</v>
      </c>
      <c r="U51" s="38">
        <v>1664</v>
      </c>
      <c r="V51" s="38">
        <v>196</v>
      </c>
      <c r="W51" s="38">
        <v>3918</v>
      </c>
      <c r="X51" s="38">
        <v>585</v>
      </c>
      <c r="Y51" s="38">
        <v>98</v>
      </c>
      <c r="Z51" s="38"/>
      <c r="AA51" s="38"/>
      <c r="AB51" s="39">
        <v>2.0978104000000002</v>
      </c>
      <c r="AC51" s="39">
        <v>9.2434770999999998</v>
      </c>
      <c r="AD51" s="39">
        <v>47.777632099999998</v>
      </c>
      <c r="AE51" s="39">
        <v>7.9454568999999999</v>
      </c>
      <c r="AF51" s="39">
        <v>19.876753600000001</v>
      </c>
      <c r="AG51" s="39">
        <v>7.8536777000000004</v>
      </c>
      <c r="AH51" s="39">
        <v>5.2051920999999997</v>
      </c>
      <c r="AI51" s="39"/>
      <c r="AJ51" s="39"/>
      <c r="AK51" s="39">
        <v>3.4359164999999998</v>
      </c>
      <c r="AL51" s="39">
        <v>16.709924600000001</v>
      </c>
      <c r="AM51" s="39">
        <v>20.566061099999999</v>
      </c>
      <c r="AN51" s="39">
        <v>2.4224446999999998</v>
      </c>
      <c r="AO51" s="39">
        <v>48.424174999999998</v>
      </c>
      <c r="AP51" s="39">
        <v>7.2302558000000001</v>
      </c>
      <c r="AQ51" s="39">
        <v>1.2112223</v>
      </c>
      <c r="AR51" s="40"/>
      <c r="AS51" s="40"/>
    </row>
    <row r="52" spans="2:45" ht="15" customHeight="1" x14ac:dyDescent="0.25">
      <c r="B52" s="41">
        <v>46</v>
      </c>
      <c r="C52" s="42" t="s">
        <v>31</v>
      </c>
      <c r="D52" s="42" t="s">
        <v>28</v>
      </c>
      <c r="E52" s="42" t="s">
        <v>41</v>
      </c>
      <c r="F52" s="42" t="s">
        <v>42</v>
      </c>
      <c r="G52" s="42" t="s">
        <v>42</v>
      </c>
      <c r="H52" s="43">
        <v>2810</v>
      </c>
      <c r="I52" s="43">
        <v>114</v>
      </c>
      <c r="J52" s="43">
        <v>740</v>
      </c>
      <c r="K52" s="43">
        <v>1103</v>
      </c>
      <c r="L52" s="43">
        <v>221</v>
      </c>
      <c r="M52" s="43">
        <v>339</v>
      </c>
      <c r="N52" s="43">
        <v>95</v>
      </c>
      <c r="O52" s="43">
        <v>198</v>
      </c>
      <c r="P52" s="44">
        <f>K52+L52+M52+N52+O52</f>
        <v>1956</v>
      </c>
      <c r="Q52" s="44">
        <f>I52+J52</f>
        <v>854</v>
      </c>
      <c r="R52" s="43">
        <v>3186</v>
      </c>
      <c r="S52" s="43">
        <v>219</v>
      </c>
      <c r="T52" s="43">
        <v>1226</v>
      </c>
      <c r="U52" s="43">
        <v>696</v>
      </c>
      <c r="V52" s="43">
        <v>38</v>
      </c>
      <c r="W52" s="43">
        <v>835</v>
      </c>
      <c r="X52" s="43">
        <v>153</v>
      </c>
      <c r="Y52" s="43">
        <v>19</v>
      </c>
      <c r="Z52" s="45">
        <f>U52+V52+W52+X52+Y52</f>
        <v>1741</v>
      </c>
      <c r="AA52" s="45">
        <f>S52+T52</f>
        <v>1445</v>
      </c>
      <c r="AB52" s="46">
        <v>4.0569395000000004</v>
      </c>
      <c r="AC52" s="46">
        <v>26.3345196</v>
      </c>
      <c r="AD52" s="46">
        <v>39.252668999999997</v>
      </c>
      <c r="AE52" s="46">
        <v>7.8647686999999999</v>
      </c>
      <c r="AF52" s="46">
        <v>12.064056900000001</v>
      </c>
      <c r="AG52" s="46">
        <v>3.3807828999999998</v>
      </c>
      <c r="AH52" s="46">
        <v>7.0462632999999997</v>
      </c>
      <c r="AI52" s="47">
        <f>AB52+AC52</f>
        <v>30.391459099999999</v>
      </c>
      <c r="AJ52" s="47">
        <f>AD52+AE52+AF52+AG52+AH52</f>
        <v>69.608540799999986</v>
      </c>
      <c r="AK52" s="46">
        <v>6.8738229999999998</v>
      </c>
      <c r="AL52" s="46">
        <v>38.480853699999997</v>
      </c>
      <c r="AM52" s="46">
        <v>21.8455744</v>
      </c>
      <c r="AN52" s="46">
        <v>1.1927181</v>
      </c>
      <c r="AO52" s="46">
        <v>26.2084118</v>
      </c>
      <c r="AP52" s="46">
        <v>4.8022599000000001</v>
      </c>
      <c r="AQ52" s="46">
        <v>0.59635910000000003</v>
      </c>
      <c r="AR52" s="48">
        <f>AK52+AL52</f>
        <v>45.354676699999999</v>
      </c>
      <c r="AS52" s="48">
        <f>AM52+AN52+AO52+AP52+AQ52</f>
        <v>54.645323300000008</v>
      </c>
    </row>
    <row r="53" spans="2:45" ht="15" hidden="1" customHeight="1" x14ac:dyDescent="0.25">
      <c r="B53" s="35">
        <v>47</v>
      </c>
      <c r="C53" s="36" t="s">
        <v>31</v>
      </c>
      <c r="D53" s="36" t="s">
        <v>28</v>
      </c>
      <c r="E53" s="36" t="s">
        <v>41</v>
      </c>
      <c r="F53" s="36" t="s">
        <v>42</v>
      </c>
      <c r="G53" s="37" t="s">
        <v>25</v>
      </c>
      <c r="H53" s="38">
        <v>986</v>
      </c>
      <c r="I53" s="38">
        <v>105</v>
      </c>
      <c r="J53" s="38">
        <v>736</v>
      </c>
      <c r="K53" s="38">
        <v>61</v>
      </c>
      <c r="L53" s="38">
        <v>36</v>
      </c>
      <c r="M53" s="38">
        <v>39</v>
      </c>
      <c r="N53" s="38">
        <v>5</v>
      </c>
      <c r="O53" s="38">
        <v>4</v>
      </c>
      <c r="P53" s="38"/>
      <c r="Q53" s="38"/>
      <c r="R53" s="38">
        <v>1489</v>
      </c>
      <c r="S53" s="38">
        <v>212</v>
      </c>
      <c r="T53" s="38">
        <v>1219</v>
      </c>
      <c r="U53" s="38">
        <v>20</v>
      </c>
      <c r="V53" s="38">
        <v>2</v>
      </c>
      <c r="W53" s="38">
        <v>29</v>
      </c>
      <c r="X53" s="38">
        <v>4</v>
      </c>
      <c r="Y53" s="38">
        <v>3</v>
      </c>
      <c r="Z53" s="38"/>
      <c r="AA53" s="38"/>
      <c r="AB53" s="39">
        <v>10.6490872</v>
      </c>
      <c r="AC53" s="39">
        <v>74.645030399999996</v>
      </c>
      <c r="AD53" s="39">
        <v>6.1866126000000001</v>
      </c>
      <c r="AE53" s="39">
        <v>3.6511155999999998</v>
      </c>
      <c r="AF53" s="39">
        <v>3.9553753</v>
      </c>
      <c r="AG53" s="39">
        <v>0.50709939999999998</v>
      </c>
      <c r="AH53" s="39">
        <v>0.40567950000000003</v>
      </c>
      <c r="AI53" s="39"/>
      <c r="AJ53" s="39"/>
      <c r="AK53" s="39">
        <v>14.237743500000001</v>
      </c>
      <c r="AL53" s="39">
        <v>81.867024799999996</v>
      </c>
      <c r="AM53" s="39">
        <v>1.3431833</v>
      </c>
      <c r="AN53" s="39">
        <v>0.1343183</v>
      </c>
      <c r="AO53" s="39">
        <v>1.9476157999999999</v>
      </c>
      <c r="AP53" s="39">
        <v>0.26863670000000001</v>
      </c>
      <c r="AQ53" s="39">
        <v>0.2014775</v>
      </c>
      <c r="AR53" s="40"/>
      <c r="AS53" s="40"/>
    </row>
    <row r="54" spans="2:45" ht="15" hidden="1" customHeight="1" x14ac:dyDescent="0.25">
      <c r="B54" s="35">
        <v>48</v>
      </c>
      <c r="C54" s="36" t="s">
        <v>31</v>
      </c>
      <c r="D54" s="36" t="s">
        <v>28</v>
      </c>
      <c r="E54" s="36" t="s">
        <v>41</v>
      </c>
      <c r="F54" s="36" t="s">
        <v>42</v>
      </c>
      <c r="G54" s="37" t="s">
        <v>26</v>
      </c>
      <c r="H54" s="38">
        <v>1824</v>
      </c>
      <c r="I54" s="38">
        <v>9</v>
      </c>
      <c r="J54" s="38">
        <v>4</v>
      </c>
      <c r="K54" s="38">
        <v>1042</v>
      </c>
      <c r="L54" s="38">
        <v>185</v>
      </c>
      <c r="M54" s="38">
        <v>300</v>
      </c>
      <c r="N54" s="38">
        <v>90</v>
      </c>
      <c r="O54" s="38">
        <v>194</v>
      </c>
      <c r="P54" s="38"/>
      <c r="Q54" s="38"/>
      <c r="R54" s="38">
        <v>1697</v>
      </c>
      <c r="S54" s="38">
        <v>7</v>
      </c>
      <c r="T54" s="38">
        <v>7</v>
      </c>
      <c r="U54" s="38">
        <v>676</v>
      </c>
      <c r="V54" s="38">
        <v>36</v>
      </c>
      <c r="W54" s="38">
        <v>806</v>
      </c>
      <c r="X54" s="38">
        <v>149</v>
      </c>
      <c r="Y54" s="38">
        <v>16</v>
      </c>
      <c r="Z54" s="38"/>
      <c r="AA54" s="38"/>
      <c r="AB54" s="39">
        <v>0.4934211</v>
      </c>
      <c r="AC54" s="39">
        <v>0.2192982</v>
      </c>
      <c r="AD54" s="39">
        <v>57.127192999999998</v>
      </c>
      <c r="AE54" s="39">
        <v>10.1425439</v>
      </c>
      <c r="AF54" s="39">
        <v>16.447368399999998</v>
      </c>
      <c r="AG54" s="39">
        <v>4.9342104999999998</v>
      </c>
      <c r="AH54" s="39">
        <v>10.635964899999999</v>
      </c>
      <c r="AI54" s="39"/>
      <c r="AJ54" s="39"/>
      <c r="AK54" s="39">
        <v>0.41249259999999999</v>
      </c>
      <c r="AL54" s="39">
        <v>0.41249259999999999</v>
      </c>
      <c r="AM54" s="39">
        <v>39.835002899999999</v>
      </c>
      <c r="AN54" s="39">
        <v>2.1213907000000001</v>
      </c>
      <c r="AO54" s="39">
        <v>47.495580400000001</v>
      </c>
      <c r="AP54" s="39">
        <v>8.7802004</v>
      </c>
      <c r="AQ54" s="39">
        <v>0.94284029999999996</v>
      </c>
      <c r="AR54" s="40"/>
      <c r="AS54" s="40"/>
    </row>
    <row r="55" spans="2:45" ht="15" customHeight="1" x14ac:dyDescent="0.25">
      <c r="B55" s="41">
        <v>49</v>
      </c>
      <c r="C55" s="42" t="s">
        <v>31</v>
      </c>
      <c r="D55" s="42" t="s">
        <v>28</v>
      </c>
      <c r="E55" s="42" t="s">
        <v>41</v>
      </c>
      <c r="F55" s="42" t="s">
        <v>41</v>
      </c>
      <c r="G55" s="42" t="s">
        <v>41</v>
      </c>
      <c r="H55" s="43">
        <v>2113</v>
      </c>
      <c r="I55" s="43">
        <v>107</v>
      </c>
      <c r="J55" s="43">
        <v>311</v>
      </c>
      <c r="K55" s="43">
        <v>911</v>
      </c>
      <c r="L55" s="43">
        <v>174</v>
      </c>
      <c r="M55" s="43">
        <v>386</v>
      </c>
      <c r="N55" s="43">
        <v>182</v>
      </c>
      <c r="O55" s="43">
        <v>42</v>
      </c>
      <c r="P55" s="44">
        <f>K55+L55+M55+N55+O55</f>
        <v>1695</v>
      </c>
      <c r="Q55" s="44">
        <f>I55+J55</f>
        <v>418</v>
      </c>
      <c r="R55" s="43">
        <v>2243</v>
      </c>
      <c r="S55" s="43">
        <v>119</v>
      </c>
      <c r="T55" s="43">
        <v>540</v>
      </c>
      <c r="U55" s="43">
        <v>240</v>
      </c>
      <c r="V55" s="43">
        <v>86</v>
      </c>
      <c r="W55" s="43">
        <v>1093</v>
      </c>
      <c r="X55" s="43">
        <v>142</v>
      </c>
      <c r="Y55" s="43">
        <v>23</v>
      </c>
      <c r="Z55" s="45">
        <f>U55+V55+W55+X55+Y55</f>
        <v>1584</v>
      </c>
      <c r="AA55" s="45">
        <f>S55+T55</f>
        <v>659</v>
      </c>
      <c r="AB55" s="46">
        <v>5.0638902000000003</v>
      </c>
      <c r="AC55" s="46">
        <v>14.7184098</v>
      </c>
      <c r="AD55" s="46">
        <v>43.114055800000003</v>
      </c>
      <c r="AE55" s="46">
        <v>8.2347373000000008</v>
      </c>
      <c r="AF55" s="46">
        <v>18.2678656</v>
      </c>
      <c r="AG55" s="46">
        <v>8.6133459999999999</v>
      </c>
      <c r="AH55" s="46">
        <v>1.9876952000000001</v>
      </c>
      <c r="AI55" s="47">
        <f>AB55+AC55</f>
        <v>19.782299999999999</v>
      </c>
      <c r="AJ55" s="47">
        <f>AD55+AE55+AF55+AG55+AH55</f>
        <v>80.2176999</v>
      </c>
      <c r="AK55" s="46">
        <v>5.3053945999999996</v>
      </c>
      <c r="AL55" s="46">
        <v>24.0748997</v>
      </c>
      <c r="AM55" s="46">
        <v>10.6999554</v>
      </c>
      <c r="AN55" s="46">
        <v>3.8341506999999999</v>
      </c>
      <c r="AO55" s="46">
        <v>48.729380300000003</v>
      </c>
      <c r="AP55" s="46">
        <v>6.3308070000000001</v>
      </c>
      <c r="AQ55" s="46">
        <v>1.0254124</v>
      </c>
      <c r="AR55" s="48">
        <f>AK55+AL55</f>
        <v>29.380294299999999</v>
      </c>
      <c r="AS55" s="48">
        <f>AM55+AN55+AO55+AP55+AQ55</f>
        <v>70.619705799999991</v>
      </c>
    </row>
    <row r="56" spans="2:45" ht="15" hidden="1" customHeight="1" x14ac:dyDescent="0.25">
      <c r="B56" s="35">
        <v>50</v>
      </c>
      <c r="C56" s="36" t="s">
        <v>31</v>
      </c>
      <c r="D56" s="36" t="s">
        <v>28</v>
      </c>
      <c r="E56" s="36" t="s">
        <v>41</v>
      </c>
      <c r="F56" s="36" t="s">
        <v>41</v>
      </c>
      <c r="G56" s="37" t="s">
        <v>25</v>
      </c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>
        <v>564</v>
      </c>
      <c r="S56" s="38">
        <v>84</v>
      </c>
      <c r="T56" s="38">
        <v>435</v>
      </c>
      <c r="U56" s="38">
        <v>3</v>
      </c>
      <c r="V56" s="38">
        <v>1</v>
      </c>
      <c r="W56" s="38">
        <v>38</v>
      </c>
      <c r="X56" s="38">
        <v>2</v>
      </c>
      <c r="Y56" s="38">
        <v>1</v>
      </c>
      <c r="Z56" s="38"/>
      <c r="AA56" s="38"/>
      <c r="AB56" s="39"/>
      <c r="AC56" s="39"/>
      <c r="AD56" s="39"/>
      <c r="AE56" s="39"/>
      <c r="AF56" s="39"/>
      <c r="AG56" s="39"/>
      <c r="AH56" s="39"/>
      <c r="AI56" s="39"/>
      <c r="AJ56" s="39"/>
      <c r="AK56" s="39">
        <v>14.893617000000001</v>
      </c>
      <c r="AL56" s="39">
        <v>77.127659600000001</v>
      </c>
      <c r="AM56" s="39">
        <v>0.53191489999999997</v>
      </c>
      <c r="AN56" s="39">
        <v>0.17730499999999999</v>
      </c>
      <c r="AO56" s="39">
        <v>6.7375886999999999</v>
      </c>
      <c r="AP56" s="39">
        <v>0.35460989999999998</v>
      </c>
      <c r="AQ56" s="39">
        <v>0.17730499999999999</v>
      </c>
      <c r="AR56" s="40"/>
      <c r="AS56" s="40"/>
    </row>
    <row r="57" spans="2:45" ht="15" hidden="1" customHeight="1" x14ac:dyDescent="0.25">
      <c r="B57" s="35">
        <v>51</v>
      </c>
      <c r="C57" s="36" t="s">
        <v>31</v>
      </c>
      <c r="D57" s="36" t="s">
        <v>28</v>
      </c>
      <c r="E57" s="36" t="s">
        <v>41</v>
      </c>
      <c r="F57" s="36" t="s">
        <v>41</v>
      </c>
      <c r="G57" s="37" t="s">
        <v>26</v>
      </c>
      <c r="H57" s="38">
        <v>2113</v>
      </c>
      <c r="I57" s="38">
        <v>107</v>
      </c>
      <c r="J57" s="38">
        <v>311</v>
      </c>
      <c r="K57" s="38">
        <v>911</v>
      </c>
      <c r="L57" s="38">
        <v>174</v>
      </c>
      <c r="M57" s="38">
        <v>386</v>
      </c>
      <c r="N57" s="38">
        <v>182</v>
      </c>
      <c r="O57" s="38">
        <v>42</v>
      </c>
      <c r="P57" s="38"/>
      <c r="Q57" s="38"/>
      <c r="R57" s="38">
        <v>1679</v>
      </c>
      <c r="S57" s="38">
        <v>35</v>
      </c>
      <c r="T57" s="38">
        <v>105</v>
      </c>
      <c r="U57" s="38">
        <v>237</v>
      </c>
      <c r="V57" s="38">
        <v>85</v>
      </c>
      <c r="W57" s="38">
        <v>1055</v>
      </c>
      <c r="X57" s="38">
        <v>140</v>
      </c>
      <c r="Y57" s="38">
        <v>22</v>
      </c>
      <c r="Z57" s="38"/>
      <c r="AA57" s="38"/>
      <c r="AB57" s="39">
        <v>5.0638902000000003</v>
      </c>
      <c r="AC57" s="39">
        <v>14.7184098</v>
      </c>
      <c r="AD57" s="39">
        <v>43.114055800000003</v>
      </c>
      <c r="AE57" s="39">
        <v>8.2347373000000008</v>
      </c>
      <c r="AF57" s="39">
        <v>18.2678656</v>
      </c>
      <c r="AG57" s="39">
        <v>8.6133459999999999</v>
      </c>
      <c r="AH57" s="39">
        <v>1.9876952000000001</v>
      </c>
      <c r="AI57" s="39"/>
      <c r="AJ57" s="39"/>
      <c r="AK57" s="39">
        <v>2.0845742</v>
      </c>
      <c r="AL57" s="39">
        <v>6.2537225000000003</v>
      </c>
      <c r="AM57" s="39">
        <v>14.115544999999999</v>
      </c>
      <c r="AN57" s="39">
        <v>5.0625372000000004</v>
      </c>
      <c r="AO57" s="39">
        <v>62.835020800000002</v>
      </c>
      <c r="AP57" s="39">
        <v>8.3382965999999996</v>
      </c>
      <c r="AQ57" s="39">
        <v>1.3103038</v>
      </c>
      <c r="AR57" s="40"/>
      <c r="AS57" s="40"/>
    </row>
    <row r="58" spans="2:45" ht="15" customHeight="1" x14ac:dyDescent="0.25">
      <c r="B58" s="41">
        <v>52</v>
      </c>
      <c r="C58" s="42" t="s">
        <v>31</v>
      </c>
      <c r="D58" s="42" t="s">
        <v>28</v>
      </c>
      <c r="E58" s="42" t="s">
        <v>41</v>
      </c>
      <c r="F58" s="42" t="s">
        <v>43</v>
      </c>
      <c r="G58" s="42" t="s">
        <v>43</v>
      </c>
      <c r="H58" s="43">
        <v>2010</v>
      </c>
      <c r="I58" s="43">
        <v>57</v>
      </c>
      <c r="J58" s="43">
        <v>500</v>
      </c>
      <c r="K58" s="43">
        <v>694</v>
      </c>
      <c r="L58" s="43">
        <v>124</v>
      </c>
      <c r="M58" s="43">
        <v>375</v>
      </c>
      <c r="N58" s="43">
        <v>211</v>
      </c>
      <c r="O58" s="43">
        <v>49</v>
      </c>
      <c r="P58" s="44">
        <f>K58+L58+M58+N58+O58</f>
        <v>1453</v>
      </c>
      <c r="Q58" s="44">
        <f>I58+J58</f>
        <v>557</v>
      </c>
      <c r="R58" s="43">
        <v>2087</v>
      </c>
      <c r="S58" s="43">
        <v>93</v>
      </c>
      <c r="T58" s="43">
        <v>568</v>
      </c>
      <c r="U58" s="43">
        <v>271</v>
      </c>
      <c r="V58" s="43">
        <v>41</v>
      </c>
      <c r="W58" s="43">
        <v>1001</v>
      </c>
      <c r="X58" s="43">
        <v>100</v>
      </c>
      <c r="Y58" s="43">
        <v>13</v>
      </c>
      <c r="Z58" s="45">
        <f>U58+V58+W58+X58+Y58</f>
        <v>1426</v>
      </c>
      <c r="AA58" s="45">
        <f>S58+T58</f>
        <v>661</v>
      </c>
      <c r="AB58" s="46">
        <v>2.8358208999999999</v>
      </c>
      <c r="AC58" s="46">
        <v>24.875621899999999</v>
      </c>
      <c r="AD58" s="46">
        <v>34.527363200000003</v>
      </c>
      <c r="AE58" s="46">
        <v>6.1691542000000004</v>
      </c>
      <c r="AF58" s="46">
        <v>18.656716400000001</v>
      </c>
      <c r="AG58" s="46">
        <v>10.4975124</v>
      </c>
      <c r="AH58" s="46">
        <v>2.4378109000000001</v>
      </c>
      <c r="AI58" s="47">
        <f>AB58+AC58</f>
        <v>27.7114428</v>
      </c>
      <c r="AJ58" s="47">
        <f>AD58+AE58+AF58+AG58+AH58</f>
        <v>72.288557100000006</v>
      </c>
      <c r="AK58" s="46">
        <v>4.4561571999999998</v>
      </c>
      <c r="AL58" s="46">
        <v>27.216099700000001</v>
      </c>
      <c r="AM58" s="46">
        <v>12.9851461</v>
      </c>
      <c r="AN58" s="46">
        <v>1.9645424</v>
      </c>
      <c r="AO58" s="46">
        <v>47.963584099999999</v>
      </c>
      <c r="AP58" s="46">
        <v>4.7915668</v>
      </c>
      <c r="AQ58" s="46">
        <v>0.62290369999999995</v>
      </c>
      <c r="AR58" s="48">
        <f>AK58+AL58</f>
        <v>31.672256900000001</v>
      </c>
      <c r="AS58" s="48">
        <f>AM58+AN58+AO58+AP58+AQ58</f>
        <v>68.327743099999992</v>
      </c>
    </row>
    <row r="59" spans="2:45" ht="15" hidden="1" customHeight="1" x14ac:dyDescent="0.25">
      <c r="B59" s="35">
        <v>53</v>
      </c>
      <c r="C59" s="36" t="s">
        <v>31</v>
      </c>
      <c r="D59" s="36" t="s">
        <v>28</v>
      </c>
      <c r="E59" s="36" t="s">
        <v>41</v>
      </c>
      <c r="F59" s="36" t="s">
        <v>43</v>
      </c>
      <c r="G59" s="37" t="s">
        <v>25</v>
      </c>
      <c r="H59" s="38">
        <v>604</v>
      </c>
      <c r="I59" s="38">
        <v>46</v>
      </c>
      <c r="J59" s="38">
        <v>496</v>
      </c>
      <c r="K59" s="38">
        <v>20</v>
      </c>
      <c r="L59" s="38">
        <v>1</v>
      </c>
      <c r="M59" s="38">
        <v>34</v>
      </c>
      <c r="N59" s="38">
        <v>2</v>
      </c>
      <c r="O59" s="38">
        <v>5</v>
      </c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9">
        <v>7.6158939999999999</v>
      </c>
      <c r="AC59" s="39">
        <v>82.119205300000004</v>
      </c>
      <c r="AD59" s="39">
        <v>3.3112583</v>
      </c>
      <c r="AE59" s="39">
        <v>0.16556290000000001</v>
      </c>
      <c r="AF59" s="39">
        <v>5.6291390999999997</v>
      </c>
      <c r="AG59" s="39">
        <v>0.33112580000000003</v>
      </c>
      <c r="AH59" s="39">
        <v>0.82781459999999996</v>
      </c>
      <c r="AI59" s="39"/>
      <c r="AJ59" s="39"/>
      <c r="AK59" s="39"/>
      <c r="AL59" s="39"/>
      <c r="AM59" s="39"/>
      <c r="AN59" s="39"/>
      <c r="AO59" s="39"/>
      <c r="AP59" s="39"/>
      <c r="AQ59" s="39"/>
      <c r="AR59" s="40"/>
      <c r="AS59" s="40"/>
    </row>
    <row r="60" spans="2:45" ht="15" hidden="1" customHeight="1" x14ac:dyDescent="0.25">
      <c r="B60" s="35">
        <v>54</v>
      </c>
      <c r="C60" s="36" t="s">
        <v>31</v>
      </c>
      <c r="D60" s="36" t="s">
        <v>28</v>
      </c>
      <c r="E60" s="36" t="s">
        <v>41</v>
      </c>
      <c r="F60" s="36" t="s">
        <v>43</v>
      </c>
      <c r="G60" s="37" t="s">
        <v>26</v>
      </c>
      <c r="H60" s="38">
        <v>1406</v>
      </c>
      <c r="I60" s="38">
        <v>11</v>
      </c>
      <c r="J60" s="38">
        <v>4</v>
      </c>
      <c r="K60" s="38">
        <v>674</v>
      </c>
      <c r="L60" s="38">
        <v>123</v>
      </c>
      <c r="M60" s="38">
        <v>341</v>
      </c>
      <c r="N60" s="38">
        <v>209</v>
      </c>
      <c r="O60" s="38">
        <v>44</v>
      </c>
      <c r="P60" s="38"/>
      <c r="Q60" s="38"/>
      <c r="R60" s="38">
        <v>2087</v>
      </c>
      <c r="S60" s="38">
        <v>93</v>
      </c>
      <c r="T60" s="38">
        <v>568</v>
      </c>
      <c r="U60" s="38">
        <v>271</v>
      </c>
      <c r="V60" s="38">
        <v>41</v>
      </c>
      <c r="W60" s="38">
        <v>1001</v>
      </c>
      <c r="X60" s="38">
        <v>100</v>
      </c>
      <c r="Y60" s="38">
        <v>13</v>
      </c>
      <c r="Z60" s="38"/>
      <c r="AA60" s="38"/>
      <c r="AB60" s="39">
        <v>0.78236130000000004</v>
      </c>
      <c r="AC60" s="39">
        <v>0.284495</v>
      </c>
      <c r="AD60" s="39">
        <v>47.937411099999998</v>
      </c>
      <c r="AE60" s="39">
        <v>8.7482219000000008</v>
      </c>
      <c r="AF60" s="39">
        <v>24.2532006</v>
      </c>
      <c r="AG60" s="39">
        <v>14.864864900000001</v>
      </c>
      <c r="AH60" s="39">
        <v>3.1294452000000001</v>
      </c>
      <c r="AI60" s="39"/>
      <c r="AJ60" s="39"/>
      <c r="AK60" s="39">
        <v>4.4561571999999998</v>
      </c>
      <c r="AL60" s="39">
        <v>27.216099700000001</v>
      </c>
      <c r="AM60" s="39">
        <v>12.9851461</v>
      </c>
      <c r="AN60" s="39">
        <v>1.9645424</v>
      </c>
      <c r="AO60" s="39">
        <v>47.963584099999999</v>
      </c>
      <c r="AP60" s="39">
        <v>4.7915668</v>
      </c>
      <c r="AQ60" s="39">
        <v>0.62290369999999995</v>
      </c>
      <c r="AR60" s="40"/>
      <c r="AS60" s="40"/>
    </row>
    <row r="61" spans="2:45" ht="15" customHeight="1" x14ac:dyDescent="0.25">
      <c r="B61" s="41">
        <v>55</v>
      </c>
      <c r="C61" s="42" t="s">
        <v>31</v>
      </c>
      <c r="D61" s="42" t="s">
        <v>28</v>
      </c>
      <c r="E61" s="42" t="s">
        <v>41</v>
      </c>
      <c r="F61" s="42" t="s">
        <v>44</v>
      </c>
      <c r="G61" s="42" t="s">
        <v>44</v>
      </c>
      <c r="H61" s="43">
        <v>1072</v>
      </c>
      <c r="I61" s="43">
        <v>25</v>
      </c>
      <c r="J61" s="43">
        <v>198</v>
      </c>
      <c r="K61" s="43">
        <v>472</v>
      </c>
      <c r="L61" s="43">
        <v>68</v>
      </c>
      <c r="M61" s="43">
        <v>191</v>
      </c>
      <c r="N61" s="43">
        <v>77</v>
      </c>
      <c r="O61" s="43">
        <v>41</v>
      </c>
      <c r="P61" s="44">
        <f>K61+L61+M61+N61+O61</f>
        <v>849</v>
      </c>
      <c r="Q61" s="44">
        <f>I61+J61</f>
        <v>223</v>
      </c>
      <c r="R61" s="43">
        <v>1189</v>
      </c>
      <c r="S61" s="43">
        <v>92</v>
      </c>
      <c r="T61" s="43">
        <v>441</v>
      </c>
      <c r="U61" s="43">
        <v>146</v>
      </c>
      <c r="V61" s="43">
        <v>10</v>
      </c>
      <c r="W61" s="43">
        <v>378</v>
      </c>
      <c r="X61" s="43">
        <v>118</v>
      </c>
      <c r="Y61" s="43">
        <v>4</v>
      </c>
      <c r="Z61" s="45">
        <f>U61+V61+W61+X61+Y61</f>
        <v>656</v>
      </c>
      <c r="AA61" s="45">
        <f>S61+T61</f>
        <v>533</v>
      </c>
      <c r="AB61" s="46">
        <v>2.3320896000000002</v>
      </c>
      <c r="AC61" s="46">
        <v>18.470149299999999</v>
      </c>
      <c r="AD61" s="46">
        <v>44.029850699999997</v>
      </c>
      <c r="AE61" s="46">
        <v>6.3432836000000004</v>
      </c>
      <c r="AF61" s="46">
        <v>17.817164200000001</v>
      </c>
      <c r="AG61" s="46">
        <v>7.1828358000000003</v>
      </c>
      <c r="AH61" s="46">
        <v>3.8246269000000002</v>
      </c>
      <c r="AI61" s="47">
        <f>AB61+AC61</f>
        <v>20.802238899999999</v>
      </c>
      <c r="AJ61" s="47">
        <f>AD61+AE61+AF61+AG61+AH61</f>
        <v>79.197761200000002</v>
      </c>
      <c r="AK61" s="46">
        <v>7.7375946000000004</v>
      </c>
      <c r="AL61" s="46">
        <v>37.089991599999998</v>
      </c>
      <c r="AM61" s="46">
        <v>12.2792262</v>
      </c>
      <c r="AN61" s="46">
        <v>0.84104290000000004</v>
      </c>
      <c r="AO61" s="46">
        <v>31.791421400000001</v>
      </c>
      <c r="AP61" s="46">
        <v>9.9243061000000008</v>
      </c>
      <c r="AQ61" s="46">
        <v>0.33641720000000003</v>
      </c>
      <c r="AR61" s="48">
        <f>AK61+AL61</f>
        <v>44.827586199999999</v>
      </c>
      <c r="AS61" s="48">
        <f>AM61+AN61+AO61+AP61+AQ61</f>
        <v>55.172413800000001</v>
      </c>
    </row>
    <row r="62" spans="2:45" ht="15" hidden="1" customHeight="1" x14ac:dyDescent="0.25">
      <c r="B62" s="35">
        <v>56</v>
      </c>
      <c r="C62" s="36" t="s">
        <v>31</v>
      </c>
      <c r="D62" s="36" t="s">
        <v>28</v>
      </c>
      <c r="E62" s="36" t="s">
        <v>41</v>
      </c>
      <c r="F62" s="36" t="s">
        <v>44</v>
      </c>
      <c r="G62" s="37" t="s">
        <v>25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40"/>
      <c r="AS62" s="40"/>
    </row>
    <row r="63" spans="2:45" ht="15" hidden="1" customHeight="1" x14ac:dyDescent="0.25">
      <c r="B63" s="35">
        <v>57</v>
      </c>
      <c r="C63" s="36" t="s">
        <v>31</v>
      </c>
      <c r="D63" s="36" t="s">
        <v>28</v>
      </c>
      <c r="E63" s="36" t="s">
        <v>41</v>
      </c>
      <c r="F63" s="36" t="s">
        <v>44</v>
      </c>
      <c r="G63" s="37" t="s">
        <v>26</v>
      </c>
      <c r="H63" s="38">
        <v>1072</v>
      </c>
      <c r="I63" s="38">
        <v>25</v>
      </c>
      <c r="J63" s="38">
        <v>198</v>
      </c>
      <c r="K63" s="38">
        <v>472</v>
      </c>
      <c r="L63" s="38">
        <v>68</v>
      </c>
      <c r="M63" s="38">
        <v>191</v>
      </c>
      <c r="N63" s="38">
        <v>77</v>
      </c>
      <c r="O63" s="38">
        <v>41</v>
      </c>
      <c r="P63" s="38"/>
      <c r="Q63" s="38"/>
      <c r="R63" s="38">
        <v>1189</v>
      </c>
      <c r="S63" s="38">
        <v>92</v>
      </c>
      <c r="T63" s="38">
        <v>441</v>
      </c>
      <c r="U63" s="38">
        <v>146</v>
      </c>
      <c r="V63" s="38">
        <v>10</v>
      </c>
      <c r="W63" s="38">
        <v>378</v>
      </c>
      <c r="X63" s="38">
        <v>118</v>
      </c>
      <c r="Y63" s="38">
        <v>4</v>
      </c>
      <c r="Z63" s="38"/>
      <c r="AA63" s="38"/>
      <c r="AB63" s="39">
        <v>2.3320896000000002</v>
      </c>
      <c r="AC63" s="39">
        <v>18.470149299999999</v>
      </c>
      <c r="AD63" s="39">
        <v>44.029850699999997</v>
      </c>
      <c r="AE63" s="39">
        <v>6.3432836000000004</v>
      </c>
      <c r="AF63" s="39">
        <v>17.817164200000001</v>
      </c>
      <c r="AG63" s="39">
        <v>7.1828358000000003</v>
      </c>
      <c r="AH63" s="39">
        <v>3.8246269000000002</v>
      </c>
      <c r="AI63" s="39"/>
      <c r="AJ63" s="39"/>
      <c r="AK63" s="39">
        <v>7.7375946000000004</v>
      </c>
      <c r="AL63" s="39">
        <v>37.089991599999998</v>
      </c>
      <c r="AM63" s="39">
        <v>12.2792262</v>
      </c>
      <c r="AN63" s="39">
        <v>0.84104290000000004</v>
      </c>
      <c r="AO63" s="39">
        <v>31.791421400000001</v>
      </c>
      <c r="AP63" s="39">
        <v>9.9243061000000008</v>
      </c>
      <c r="AQ63" s="39">
        <v>0.33641720000000003</v>
      </c>
      <c r="AR63" s="40"/>
      <c r="AS63" s="40"/>
    </row>
    <row r="64" spans="2:45" ht="15" customHeight="1" x14ac:dyDescent="0.25">
      <c r="B64" s="41">
        <v>58</v>
      </c>
      <c r="C64" s="42" t="s">
        <v>31</v>
      </c>
      <c r="D64" s="42" t="s">
        <v>28</v>
      </c>
      <c r="E64" s="42" t="s">
        <v>41</v>
      </c>
      <c r="F64" s="42" t="s">
        <v>45</v>
      </c>
      <c r="G64" s="42" t="s">
        <v>45</v>
      </c>
      <c r="H64" s="43">
        <v>1212</v>
      </c>
      <c r="I64" s="43">
        <v>8</v>
      </c>
      <c r="J64" s="43">
        <v>188</v>
      </c>
      <c r="K64" s="43">
        <v>545</v>
      </c>
      <c r="L64" s="43">
        <v>56</v>
      </c>
      <c r="M64" s="43">
        <v>298</v>
      </c>
      <c r="N64" s="43">
        <v>41</v>
      </c>
      <c r="O64" s="43">
        <v>76</v>
      </c>
      <c r="P64" s="44">
        <f>K64+L64+M64+N64+O64</f>
        <v>1016</v>
      </c>
      <c r="Q64" s="44">
        <f>I64+J64</f>
        <v>196</v>
      </c>
      <c r="R64" s="43">
        <v>1439</v>
      </c>
      <c r="S64" s="43">
        <v>51</v>
      </c>
      <c r="T64" s="43">
        <v>231</v>
      </c>
      <c r="U64" s="43">
        <v>334</v>
      </c>
      <c r="V64" s="43">
        <v>24</v>
      </c>
      <c r="W64" s="43">
        <v>678</v>
      </c>
      <c r="X64" s="43">
        <v>78</v>
      </c>
      <c r="Y64" s="43">
        <v>43</v>
      </c>
      <c r="Z64" s="45">
        <f>U64+V64+W64+X64+Y64</f>
        <v>1157</v>
      </c>
      <c r="AA64" s="45">
        <f>S64+T64</f>
        <v>282</v>
      </c>
      <c r="AB64" s="46">
        <v>0.66006600000000004</v>
      </c>
      <c r="AC64" s="46">
        <v>15.5115512</v>
      </c>
      <c r="AD64" s="46">
        <v>44.966996700000003</v>
      </c>
      <c r="AE64" s="46">
        <v>4.6204619999999998</v>
      </c>
      <c r="AF64" s="46">
        <v>24.587458699999999</v>
      </c>
      <c r="AG64" s="46">
        <v>3.3828383</v>
      </c>
      <c r="AH64" s="46">
        <v>6.2706270999999996</v>
      </c>
      <c r="AI64" s="47">
        <f>AB64+AC64</f>
        <v>16.1716172</v>
      </c>
      <c r="AJ64" s="47">
        <f>AD64+AE64+AF64+AG64+AH64</f>
        <v>83.8283828</v>
      </c>
      <c r="AK64" s="46">
        <v>3.5441278999999999</v>
      </c>
      <c r="AL64" s="46">
        <v>16.0528145</v>
      </c>
      <c r="AM64" s="46">
        <v>23.210562899999999</v>
      </c>
      <c r="AN64" s="46">
        <v>1.6678249000000001</v>
      </c>
      <c r="AO64" s="46">
        <v>47.116052799999999</v>
      </c>
      <c r="AP64" s="46">
        <v>5.4204309000000004</v>
      </c>
      <c r="AQ64" s="46">
        <v>2.9881861999999999</v>
      </c>
      <c r="AR64" s="48">
        <f>AK64+AL64</f>
        <v>19.5969424</v>
      </c>
      <c r="AS64" s="48">
        <f>AM64+AN64+AO64+AP64+AQ64</f>
        <v>80.403057699999991</v>
      </c>
    </row>
    <row r="65" spans="2:45" ht="15" hidden="1" customHeight="1" x14ac:dyDescent="0.25">
      <c r="B65" s="35">
        <v>59</v>
      </c>
      <c r="C65" s="36" t="s">
        <v>31</v>
      </c>
      <c r="D65" s="36" t="s">
        <v>28</v>
      </c>
      <c r="E65" s="36" t="s">
        <v>41</v>
      </c>
      <c r="F65" s="36" t="s">
        <v>45</v>
      </c>
      <c r="G65" s="37" t="s">
        <v>25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40"/>
      <c r="AS65" s="40"/>
    </row>
    <row r="66" spans="2:45" ht="15" hidden="1" customHeight="1" x14ac:dyDescent="0.25">
      <c r="B66" s="35">
        <v>60</v>
      </c>
      <c r="C66" s="36" t="s">
        <v>31</v>
      </c>
      <c r="D66" s="36" t="s">
        <v>28</v>
      </c>
      <c r="E66" s="36" t="s">
        <v>41</v>
      </c>
      <c r="F66" s="36" t="s">
        <v>45</v>
      </c>
      <c r="G66" s="37" t="s">
        <v>26</v>
      </c>
      <c r="H66" s="38">
        <v>1212</v>
      </c>
      <c r="I66" s="38">
        <v>8</v>
      </c>
      <c r="J66" s="38">
        <v>188</v>
      </c>
      <c r="K66" s="38">
        <v>545</v>
      </c>
      <c r="L66" s="38">
        <v>56</v>
      </c>
      <c r="M66" s="38">
        <v>298</v>
      </c>
      <c r="N66" s="38">
        <v>41</v>
      </c>
      <c r="O66" s="38">
        <v>76</v>
      </c>
      <c r="P66" s="38"/>
      <c r="Q66" s="38"/>
      <c r="R66" s="38">
        <v>1439</v>
      </c>
      <c r="S66" s="38">
        <v>51</v>
      </c>
      <c r="T66" s="38">
        <v>231</v>
      </c>
      <c r="U66" s="38">
        <v>334</v>
      </c>
      <c r="V66" s="38">
        <v>24</v>
      </c>
      <c r="W66" s="38">
        <v>678</v>
      </c>
      <c r="X66" s="38">
        <v>78</v>
      </c>
      <c r="Y66" s="38">
        <v>43</v>
      </c>
      <c r="Z66" s="38"/>
      <c r="AA66" s="38"/>
      <c r="AB66" s="39">
        <v>0.66006600000000004</v>
      </c>
      <c r="AC66" s="39">
        <v>15.5115512</v>
      </c>
      <c r="AD66" s="39">
        <v>44.966996700000003</v>
      </c>
      <c r="AE66" s="39">
        <v>4.6204619999999998</v>
      </c>
      <c r="AF66" s="39">
        <v>24.587458699999999</v>
      </c>
      <c r="AG66" s="39">
        <v>3.3828383</v>
      </c>
      <c r="AH66" s="39">
        <v>6.2706270999999996</v>
      </c>
      <c r="AI66" s="39"/>
      <c r="AJ66" s="39"/>
      <c r="AK66" s="39">
        <v>3.5441278999999999</v>
      </c>
      <c r="AL66" s="39">
        <v>16.0528145</v>
      </c>
      <c r="AM66" s="39">
        <v>23.210562899999999</v>
      </c>
      <c r="AN66" s="39">
        <v>1.6678249000000001</v>
      </c>
      <c r="AO66" s="39">
        <v>47.116052799999999</v>
      </c>
      <c r="AP66" s="39">
        <v>5.4204309000000004</v>
      </c>
      <c r="AQ66" s="39">
        <v>2.9881861999999999</v>
      </c>
      <c r="AR66" s="40"/>
      <c r="AS66" s="40"/>
    </row>
    <row r="67" spans="2:45" ht="15" hidden="1" customHeight="1" x14ac:dyDescent="0.25">
      <c r="B67" s="30">
        <v>61</v>
      </c>
      <c r="C67" s="31" t="s">
        <v>29</v>
      </c>
      <c r="D67" s="31" t="s">
        <v>28</v>
      </c>
      <c r="E67" s="31" t="s">
        <v>46</v>
      </c>
      <c r="F67" s="31"/>
      <c r="G67" s="31" t="s">
        <v>46</v>
      </c>
      <c r="H67" s="32">
        <v>8158</v>
      </c>
      <c r="I67" s="32">
        <v>475</v>
      </c>
      <c r="J67" s="32">
        <v>2347</v>
      </c>
      <c r="K67" s="32">
        <v>1943</v>
      </c>
      <c r="L67" s="32">
        <v>311</v>
      </c>
      <c r="M67" s="32">
        <v>2567</v>
      </c>
      <c r="N67" s="32">
        <v>383</v>
      </c>
      <c r="O67" s="32">
        <v>132</v>
      </c>
      <c r="P67" s="32"/>
      <c r="Q67" s="32"/>
      <c r="R67" s="32">
        <v>10043</v>
      </c>
      <c r="S67" s="32">
        <v>765</v>
      </c>
      <c r="T67" s="32">
        <v>3956</v>
      </c>
      <c r="U67" s="32">
        <v>733</v>
      </c>
      <c r="V67" s="32">
        <v>57</v>
      </c>
      <c r="W67" s="32">
        <v>3903</v>
      </c>
      <c r="X67" s="32">
        <v>534</v>
      </c>
      <c r="Y67" s="32">
        <v>95</v>
      </c>
      <c r="Z67" s="32"/>
      <c r="AA67" s="32"/>
      <c r="AB67" s="33">
        <v>5.8225055000000001</v>
      </c>
      <c r="AC67" s="33">
        <v>28.769306199999999</v>
      </c>
      <c r="AD67" s="33">
        <v>23.817112000000002</v>
      </c>
      <c r="AE67" s="33">
        <v>3.8122088999999999</v>
      </c>
      <c r="AF67" s="33">
        <v>31.466045600000001</v>
      </c>
      <c r="AG67" s="33">
        <v>4.6947780999999997</v>
      </c>
      <c r="AH67" s="33">
        <v>1.6180436</v>
      </c>
      <c r="AI67" s="33"/>
      <c r="AJ67" s="33"/>
      <c r="AK67" s="33">
        <v>7.6172458000000001</v>
      </c>
      <c r="AL67" s="33">
        <v>39.390620300000002</v>
      </c>
      <c r="AM67" s="33">
        <v>7.298616</v>
      </c>
      <c r="AN67" s="33">
        <v>0.56755949999999999</v>
      </c>
      <c r="AO67" s="33">
        <v>38.862889600000003</v>
      </c>
      <c r="AP67" s="33">
        <v>5.3171362999999996</v>
      </c>
      <c r="AQ67" s="33">
        <v>0.94593249999999995</v>
      </c>
      <c r="AR67" s="34"/>
      <c r="AS67" s="34"/>
    </row>
    <row r="68" spans="2:45" ht="15" hidden="1" customHeight="1" x14ac:dyDescent="0.25">
      <c r="B68" s="35">
        <v>62</v>
      </c>
      <c r="C68" s="36" t="s">
        <v>29</v>
      </c>
      <c r="D68" s="36" t="s">
        <v>28</v>
      </c>
      <c r="E68" s="36" t="s">
        <v>46</v>
      </c>
      <c r="F68" s="36"/>
      <c r="G68" s="37" t="s">
        <v>25</v>
      </c>
      <c r="H68" s="38">
        <v>2765</v>
      </c>
      <c r="I68" s="38">
        <v>420</v>
      </c>
      <c r="J68" s="38">
        <v>2002</v>
      </c>
      <c r="K68" s="38">
        <v>74</v>
      </c>
      <c r="L68" s="38">
        <v>8</v>
      </c>
      <c r="M68" s="38">
        <v>225</v>
      </c>
      <c r="N68" s="38">
        <v>28</v>
      </c>
      <c r="O68" s="38">
        <v>8</v>
      </c>
      <c r="P68" s="38"/>
      <c r="Q68" s="38"/>
      <c r="R68" s="38">
        <v>4068</v>
      </c>
      <c r="S68" s="38">
        <v>589</v>
      </c>
      <c r="T68" s="38">
        <v>3201</v>
      </c>
      <c r="U68" s="38">
        <v>23</v>
      </c>
      <c r="V68" s="38">
        <v>1</v>
      </c>
      <c r="W68" s="38">
        <v>218</v>
      </c>
      <c r="X68" s="38">
        <v>25</v>
      </c>
      <c r="Y68" s="38">
        <v>11</v>
      </c>
      <c r="Z68" s="38"/>
      <c r="AA68" s="38"/>
      <c r="AB68" s="39">
        <v>15.1898734</v>
      </c>
      <c r="AC68" s="39">
        <v>72.405063299999995</v>
      </c>
      <c r="AD68" s="39">
        <v>2.6763110000000001</v>
      </c>
      <c r="AE68" s="39">
        <v>0.2893309</v>
      </c>
      <c r="AF68" s="39">
        <v>8.1374321999999992</v>
      </c>
      <c r="AG68" s="39">
        <v>1.0126582</v>
      </c>
      <c r="AH68" s="39">
        <v>0.2893309</v>
      </c>
      <c r="AI68" s="39"/>
      <c r="AJ68" s="39"/>
      <c r="AK68" s="39">
        <v>14.478859399999999</v>
      </c>
      <c r="AL68" s="39">
        <v>78.687315600000005</v>
      </c>
      <c r="AM68" s="39">
        <v>0.56538840000000001</v>
      </c>
      <c r="AN68" s="39">
        <v>2.4582099999999999E-2</v>
      </c>
      <c r="AO68" s="39">
        <v>5.3588987000000001</v>
      </c>
      <c r="AP68" s="39">
        <v>0.6145526</v>
      </c>
      <c r="AQ68" s="39">
        <v>0.27040310000000001</v>
      </c>
      <c r="AR68" s="40"/>
      <c r="AS68" s="40"/>
    </row>
    <row r="69" spans="2:45" ht="15" hidden="1" customHeight="1" x14ac:dyDescent="0.25">
      <c r="B69" s="35">
        <v>63</v>
      </c>
      <c r="C69" s="36" t="s">
        <v>29</v>
      </c>
      <c r="D69" s="36" t="s">
        <v>28</v>
      </c>
      <c r="E69" s="36" t="s">
        <v>46</v>
      </c>
      <c r="F69" s="36"/>
      <c r="G69" s="37" t="s">
        <v>26</v>
      </c>
      <c r="H69" s="38">
        <v>5393</v>
      </c>
      <c r="I69" s="38">
        <v>55</v>
      </c>
      <c r="J69" s="38">
        <v>345</v>
      </c>
      <c r="K69" s="38">
        <v>1869</v>
      </c>
      <c r="L69" s="38">
        <v>303</v>
      </c>
      <c r="M69" s="38">
        <v>2342</v>
      </c>
      <c r="N69" s="38">
        <v>355</v>
      </c>
      <c r="O69" s="38">
        <v>124</v>
      </c>
      <c r="P69" s="38"/>
      <c r="Q69" s="38"/>
      <c r="R69" s="38">
        <v>5975</v>
      </c>
      <c r="S69" s="38">
        <v>176</v>
      </c>
      <c r="T69" s="38">
        <v>755</v>
      </c>
      <c r="U69" s="38">
        <v>710</v>
      </c>
      <c r="V69" s="38">
        <v>56</v>
      </c>
      <c r="W69" s="38">
        <v>3685</v>
      </c>
      <c r="X69" s="38">
        <v>509</v>
      </c>
      <c r="Y69" s="38">
        <v>84</v>
      </c>
      <c r="Z69" s="38"/>
      <c r="AA69" s="38"/>
      <c r="AB69" s="39">
        <v>1.0198404999999999</v>
      </c>
      <c r="AC69" s="39">
        <v>6.3971815000000003</v>
      </c>
      <c r="AD69" s="39">
        <v>34.656035600000003</v>
      </c>
      <c r="AE69" s="39">
        <v>5.6183942</v>
      </c>
      <c r="AF69" s="39">
        <v>43.426664199999998</v>
      </c>
      <c r="AG69" s="39">
        <v>6.5826070999999997</v>
      </c>
      <c r="AH69" s="39">
        <v>2.2992767999999999</v>
      </c>
      <c r="AI69" s="39"/>
      <c r="AJ69" s="39"/>
      <c r="AK69" s="39">
        <v>2.9456066999999999</v>
      </c>
      <c r="AL69" s="39">
        <v>12.635983299999999</v>
      </c>
      <c r="AM69" s="39">
        <v>11.8828452</v>
      </c>
      <c r="AN69" s="39">
        <v>0.93723849999999997</v>
      </c>
      <c r="AO69" s="39">
        <v>61.673640200000001</v>
      </c>
      <c r="AP69" s="39">
        <v>8.5188284999999997</v>
      </c>
      <c r="AQ69" s="39">
        <v>1.4058577000000001</v>
      </c>
      <c r="AR69" s="40"/>
      <c r="AS69" s="40"/>
    </row>
    <row r="70" spans="2:45" ht="15" customHeight="1" x14ac:dyDescent="0.25">
      <c r="B70" s="41">
        <v>64</v>
      </c>
      <c r="C70" s="42" t="s">
        <v>31</v>
      </c>
      <c r="D70" s="42" t="s">
        <v>28</v>
      </c>
      <c r="E70" s="42" t="s">
        <v>46</v>
      </c>
      <c r="F70" s="42" t="s">
        <v>47</v>
      </c>
      <c r="G70" s="42" t="s">
        <v>47</v>
      </c>
      <c r="H70" s="43">
        <v>6079</v>
      </c>
      <c r="I70" s="43">
        <v>430</v>
      </c>
      <c r="J70" s="43">
        <v>2018</v>
      </c>
      <c r="K70" s="43">
        <v>1336</v>
      </c>
      <c r="L70" s="43">
        <v>177</v>
      </c>
      <c r="M70" s="43">
        <v>1760</v>
      </c>
      <c r="N70" s="43">
        <v>266</v>
      </c>
      <c r="O70" s="43">
        <v>92</v>
      </c>
      <c r="P70" s="44">
        <f>K70+L70+M70+N70+O70</f>
        <v>3631</v>
      </c>
      <c r="Q70" s="44">
        <f>I70+J70</f>
        <v>2448</v>
      </c>
      <c r="R70" s="43">
        <v>7742</v>
      </c>
      <c r="S70" s="43">
        <v>659</v>
      </c>
      <c r="T70" s="43">
        <v>3354</v>
      </c>
      <c r="U70" s="43">
        <v>487</v>
      </c>
      <c r="V70" s="43">
        <v>34</v>
      </c>
      <c r="W70" s="43">
        <v>2763</v>
      </c>
      <c r="X70" s="43">
        <v>381</v>
      </c>
      <c r="Y70" s="43">
        <v>64</v>
      </c>
      <c r="Z70" s="45">
        <f>U70+V70+W70+X70+Y70</f>
        <v>3729</v>
      </c>
      <c r="AA70" s="45">
        <f>S70+T70</f>
        <v>4013</v>
      </c>
      <c r="AB70" s="46">
        <v>7.0735317999999996</v>
      </c>
      <c r="AC70" s="46">
        <v>33.196249399999999</v>
      </c>
      <c r="AD70" s="46">
        <v>21.977298900000001</v>
      </c>
      <c r="AE70" s="46">
        <v>2.9116631000000002</v>
      </c>
      <c r="AF70" s="46">
        <v>28.9521303</v>
      </c>
      <c r="AG70" s="46">
        <v>4.3757197000000003</v>
      </c>
      <c r="AH70" s="46">
        <v>1.5134068000000001</v>
      </c>
      <c r="AI70" s="47">
        <f>AB70+AC70</f>
        <v>40.269781199999997</v>
      </c>
      <c r="AJ70" s="47">
        <f>AD70+AE70+AF70+AG70+AH70</f>
        <v>59.730218799999996</v>
      </c>
      <c r="AK70" s="46">
        <v>8.5120123999999997</v>
      </c>
      <c r="AL70" s="46">
        <v>43.322139</v>
      </c>
      <c r="AM70" s="46">
        <v>6.2903642</v>
      </c>
      <c r="AN70" s="46">
        <v>0.43916300000000003</v>
      </c>
      <c r="AO70" s="46">
        <v>35.688452599999998</v>
      </c>
      <c r="AP70" s="46">
        <v>4.9212090000000002</v>
      </c>
      <c r="AQ70" s="46">
        <v>0.82665979999999994</v>
      </c>
      <c r="AR70" s="48">
        <f>AK70+AL70</f>
        <v>51.834151399999996</v>
      </c>
      <c r="AS70" s="48">
        <f>AM70+AN70+AO70+AP70+AQ70</f>
        <v>48.165848599999997</v>
      </c>
    </row>
    <row r="71" spans="2:45" ht="15" hidden="1" customHeight="1" x14ac:dyDescent="0.25">
      <c r="B71" s="35">
        <v>65</v>
      </c>
      <c r="C71" s="36" t="s">
        <v>31</v>
      </c>
      <c r="D71" s="36" t="s">
        <v>28</v>
      </c>
      <c r="E71" s="36" t="s">
        <v>46</v>
      </c>
      <c r="F71" s="36" t="s">
        <v>47</v>
      </c>
      <c r="G71" s="37" t="s">
        <v>25</v>
      </c>
      <c r="H71" s="38">
        <v>2765</v>
      </c>
      <c r="I71" s="38">
        <v>420</v>
      </c>
      <c r="J71" s="38">
        <v>2002</v>
      </c>
      <c r="K71" s="38">
        <v>74</v>
      </c>
      <c r="L71" s="38">
        <v>8</v>
      </c>
      <c r="M71" s="38">
        <v>225</v>
      </c>
      <c r="N71" s="38">
        <v>28</v>
      </c>
      <c r="O71" s="38">
        <v>8</v>
      </c>
      <c r="P71" s="38"/>
      <c r="Q71" s="38"/>
      <c r="R71" s="38">
        <v>4068</v>
      </c>
      <c r="S71" s="38">
        <v>589</v>
      </c>
      <c r="T71" s="38">
        <v>3201</v>
      </c>
      <c r="U71" s="38">
        <v>23</v>
      </c>
      <c r="V71" s="38">
        <v>1</v>
      </c>
      <c r="W71" s="38">
        <v>218</v>
      </c>
      <c r="X71" s="38">
        <v>25</v>
      </c>
      <c r="Y71" s="38">
        <v>11</v>
      </c>
      <c r="Z71" s="38"/>
      <c r="AA71" s="38"/>
      <c r="AB71" s="39">
        <v>15.1898734</v>
      </c>
      <c r="AC71" s="39">
        <v>72.405063299999995</v>
      </c>
      <c r="AD71" s="39">
        <v>2.6763110000000001</v>
      </c>
      <c r="AE71" s="39">
        <v>0.2893309</v>
      </c>
      <c r="AF71" s="39">
        <v>8.1374321999999992</v>
      </c>
      <c r="AG71" s="39">
        <v>1.0126582</v>
      </c>
      <c r="AH71" s="39">
        <v>0.2893309</v>
      </c>
      <c r="AI71" s="39"/>
      <c r="AJ71" s="39"/>
      <c r="AK71" s="39">
        <v>14.478859399999999</v>
      </c>
      <c r="AL71" s="39">
        <v>78.687315600000005</v>
      </c>
      <c r="AM71" s="39">
        <v>0.56538840000000001</v>
      </c>
      <c r="AN71" s="39">
        <v>2.4582099999999999E-2</v>
      </c>
      <c r="AO71" s="39">
        <v>5.3588987000000001</v>
      </c>
      <c r="AP71" s="39">
        <v>0.6145526</v>
      </c>
      <c r="AQ71" s="39">
        <v>0.27040310000000001</v>
      </c>
      <c r="AR71" s="40"/>
      <c r="AS71" s="40"/>
    </row>
    <row r="72" spans="2:45" ht="15" hidden="1" customHeight="1" x14ac:dyDescent="0.25">
      <c r="B72" s="35">
        <v>66</v>
      </c>
      <c r="C72" s="36" t="s">
        <v>31</v>
      </c>
      <c r="D72" s="36" t="s">
        <v>28</v>
      </c>
      <c r="E72" s="36" t="s">
        <v>46</v>
      </c>
      <c r="F72" s="36" t="s">
        <v>47</v>
      </c>
      <c r="G72" s="37" t="s">
        <v>26</v>
      </c>
      <c r="H72" s="38">
        <v>3314</v>
      </c>
      <c r="I72" s="38">
        <v>10</v>
      </c>
      <c r="J72" s="38">
        <v>16</v>
      </c>
      <c r="K72" s="38">
        <v>1262</v>
      </c>
      <c r="L72" s="38">
        <v>169</v>
      </c>
      <c r="M72" s="38">
        <v>1535</v>
      </c>
      <c r="N72" s="38">
        <v>238</v>
      </c>
      <c r="O72" s="38">
        <v>84</v>
      </c>
      <c r="P72" s="38"/>
      <c r="Q72" s="38"/>
      <c r="R72" s="38">
        <v>3674</v>
      </c>
      <c r="S72" s="38">
        <v>70</v>
      </c>
      <c r="T72" s="38">
        <v>153</v>
      </c>
      <c r="U72" s="38">
        <v>464</v>
      </c>
      <c r="V72" s="38">
        <v>33</v>
      </c>
      <c r="W72" s="38">
        <v>2545</v>
      </c>
      <c r="X72" s="38">
        <v>356</v>
      </c>
      <c r="Y72" s="38">
        <v>53</v>
      </c>
      <c r="Z72" s="38"/>
      <c r="AA72" s="38"/>
      <c r="AB72" s="39">
        <v>0.30175020000000002</v>
      </c>
      <c r="AC72" s="39">
        <v>0.48280020000000001</v>
      </c>
      <c r="AD72" s="39">
        <v>38.080869</v>
      </c>
      <c r="AE72" s="39">
        <v>5.0995774999999997</v>
      </c>
      <c r="AF72" s="39">
        <v>46.318648199999998</v>
      </c>
      <c r="AG72" s="39">
        <v>7.1816535999999997</v>
      </c>
      <c r="AH72" s="39">
        <v>2.5347013</v>
      </c>
      <c r="AI72" s="39"/>
      <c r="AJ72" s="39"/>
      <c r="AK72" s="39">
        <v>1.9052803</v>
      </c>
      <c r="AL72" s="39">
        <v>4.1643984999999999</v>
      </c>
      <c r="AM72" s="39">
        <v>12.6292869</v>
      </c>
      <c r="AN72" s="39">
        <v>0.89820359999999999</v>
      </c>
      <c r="AO72" s="39">
        <v>69.270549799999998</v>
      </c>
      <c r="AP72" s="39">
        <v>9.6897114999999996</v>
      </c>
      <c r="AQ72" s="39">
        <v>1.4425694</v>
      </c>
      <c r="AR72" s="40"/>
      <c r="AS72" s="40"/>
    </row>
    <row r="73" spans="2:45" ht="15" customHeight="1" x14ac:dyDescent="0.25">
      <c r="B73" s="41">
        <v>67</v>
      </c>
      <c r="C73" s="42" t="s">
        <v>31</v>
      </c>
      <c r="D73" s="42" t="s">
        <v>28</v>
      </c>
      <c r="E73" s="42" t="s">
        <v>46</v>
      </c>
      <c r="F73" s="42" t="s">
        <v>48</v>
      </c>
      <c r="G73" s="42" t="s">
        <v>48</v>
      </c>
      <c r="H73" s="43">
        <v>2079</v>
      </c>
      <c r="I73" s="43">
        <v>45</v>
      </c>
      <c r="J73" s="43">
        <v>329</v>
      </c>
      <c r="K73" s="43">
        <v>607</v>
      </c>
      <c r="L73" s="43">
        <v>134</v>
      </c>
      <c r="M73" s="43">
        <v>807</v>
      </c>
      <c r="N73" s="43">
        <v>117</v>
      </c>
      <c r="O73" s="43">
        <v>40</v>
      </c>
      <c r="P73" s="44">
        <f>K73+L73+M73+N73+O73</f>
        <v>1705</v>
      </c>
      <c r="Q73" s="44">
        <f>I73+J73</f>
        <v>374</v>
      </c>
      <c r="R73" s="43">
        <v>2301</v>
      </c>
      <c r="S73" s="43">
        <v>106</v>
      </c>
      <c r="T73" s="43">
        <v>602</v>
      </c>
      <c r="U73" s="43">
        <v>246</v>
      </c>
      <c r="V73" s="43">
        <v>23</v>
      </c>
      <c r="W73" s="43">
        <v>1140</v>
      </c>
      <c r="X73" s="43">
        <v>153</v>
      </c>
      <c r="Y73" s="43">
        <v>31</v>
      </c>
      <c r="Z73" s="45">
        <f>U73+V73+W73+X73+Y73</f>
        <v>1593</v>
      </c>
      <c r="AA73" s="45">
        <f>S73+T73</f>
        <v>708</v>
      </c>
      <c r="AB73" s="46">
        <v>2.1645021999999998</v>
      </c>
      <c r="AC73" s="46">
        <v>15.824915799999999</v>
      </c>
      <c r="AD73" s="46">
        <v>29.1967292</v>
      </c>
      <c r="AE73" s="46">
        <v>6.4454064000000004</v>
      </c>
      <c r="AF73" s="46">
        <v>38.816738800000003</v>
      </c>
      <c r="AG73" s="46">
        <v>5.6277055999999996</v>
      </c>
      <c r="AH73" s="46">
        <v>1.9240018999999999</v>
      </c>
      <c r="AI73" s="47">
        <f>AB73+AC73</f>
        <v>17.989418000000001</v>
      </c>
      <c r="AJ73" s="47">
        <f>AD73+AE73+AF73+AG73+AH73</f>
        <v>82.010581900000005</v>
      </c>
      <c r="AK73" s="46">
        <v>4.6066927</v>
      </c>
      <c r="AL73" s="46">
        <v>26.162538000000001</v>
      </c>
      <c r="AM73" s="46">
        <v>10.6910039</v>
      </c>
      <c r="AN73" s="46">
        <v>0.99956540000000005</v>
      </c>
      <c r="AO73" s="46">
        <v>49.543676699999999</v>
      </c>
      <c r="AP73" s="46">
        <v>6.6492829000000002</v>
      </c>
      <c r="AQ73" s="46">
        <v>1.3472402999999999</v>
      </c>
      <c r="AR73" s="48">
        <f>AK73+AL73</f>
        <v>30.769230700000001</v>
      </c>
      <c r="AS73" s="48">
        <f>AM73+AN73+AO73+AP73+AQ73</f>
        <v>69.230769199999997</v>
      </c>
    </row>
    <row r="74" spans="2:45" ht="15" hidden="1" customHeight="1" x14ac:dyDescent="0.25">
      <c r="B74" s="35">
        <v>68</v>
      </c>
      <c r="C74" s="36" t="s">
        <v>31</v>
      </c>
      <c r="D74" s="36" t="s">
        <v>28</v>
      </c>
      <c r="E74" s="36" t="s">
        <v>46</v>
      </c>
      <c r="F74" s="36" t="s">
        <v>48</v>
      </c>
      <c r="G74" s="37" t="s">
        <v>25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40"/>
      <c r="AS74" s="40"/>
    </row>
    <row r="75" spans="2:45" ht="15" hidden="1" customHeight="1" x14ac:dyDescent="0.25">
      <c r="B75" s="35">
        <v>69</v>
      </c>
      <c r="C75" s="36" t="s">
        <v>31</v>
      </c>
      <c r="D75" s="36" t="s">
        <v>28</v>
      </c>
      <c r="E75" s="36" t="s">
        <v>46</v>
      </c>
      <c r="F75" s="36" t="s">
        <v>48</v>
      </c>
      <c r="G75" s="37" t="s">
        <v>26</v>
      </c>
      <c r="H75" s="38">
        <v>2079</v>
      </c>
      <c r="I75" s="38">
        <v>45</v>
      </c>
      <c r="J75" s="38">
        <v>329</v>
      </c>
      <c r="K75" s="38">
        <v>607</v>
      </c>
      <c r="L75" s="38">
        <v>134</v>
      </c>
      <c r="M75" s="38">
        <v>807</v>
      </c>
      <c r="N75" s="38">
        <v>117</v>
      </c>
      <c r="O75" s="38">
        <v>40</v>
      </c>
      <c r="P75" s="38"/>
      <c r="Q75" s="38"/>
      <c r="R75" s="38">
        <v>2301</v>
      </c>
      <c r="S75" s="38">
        <v>106</v>
      </c>
      <c r="T75" s="38">
        <v>602</v>
      </c>
      <c r="U75" s="38">
        <v>246</v>
      </c>
      <c r="V75" s="38">
        <v>23</v>
      </c>
      <c r="W75" s="38">
        <v>1140</v>
      </c>
      <c r="X75" s="38">
        <v>153</v>
      </c>
      <c r="Y75" s="38">
        <v>31</v>
      </c>
      <c r="Z75" s="38"/>
      <c r="AA75" s="38"/>
      <c r="AB75" s="39">
        <v>2.1645021999999998</v>
      </c>
      <c r="AC75" s="39">
        <v>15.824915799999999</v>
      </c>
      <c r="AD75" s="39">
        <v>29.1967292</v>
      </c>
      <c r="AE75" s="39">
        <v>6.4454064000000004</v>
      </c>
      <c r="AF75" s="39">
        <v>38.816738800000003</v>
      </c>
      <c r="AG75" s="39">
        <v>5.6277055999999996</v>
      </c>
      <c r="AH75" s="39">
        <v>1.9240018999999999</v>
      </c>
      <c r="AI75" s="39"/>
      <c r="AJ75" s="39"/>
      <c r="AK75" s="39">
        <v>4.6066927</v>
      </c>
      <c r="AL75" s="39">
        <v>26.162538000000001</v>
      </c>
      <c r="AM75" s="39">
        <v>10.6910039</v>
      </c>
      <c r="AN75" s="39">
        <v>0.99956540000000005</v>
      </c>
      <c r="AO75" s="39">
        <v>49.543676699999999</v>
      </c>
      <c r="AP75" s="39">
        <v>6.6492829000000002</v>
      </c>
      <c r="AQ75" s="39">
        <v>1.3472402999999999</v>
      </c>
      <c r="AR75" s="40"/>
      <c r="AS75" s="40"/>
    </row>
    <row r="76" spans="2:45" ht="15" hidden="1" customHeight="1" x14ac:dyDescent="0.25">
      <c r="B76" s="30">
        <v>70</v>
      </c>
      <c r="C76" s="31" t="s">
        <v>29</v>
      </c>
      <c r="D76" s="31" t="s">
        <v>28</v>
      </c>
      <c r="E76" s="31" t="s">
        <v>49</v>
      </c>
      <c r="F76" s="31"/>
      <c r="G76" s="31" t="s">
        <v>49</v>
      </c>
      <c r="H76" s="32">
        <v>7336</v>
      </c>
      <c r="I76" s="32">
        <v>165</v>
      </c>
      <c r="J76" s="32">
        <v>921</v>
      </c>
      <c r="K76" s="32">
        <v>2402</v>
      </c>
      <c r="L76" s="32">
        <v>1245</v>
      </c>
      <c r="M76" s="32">
        <v>1690</v>
      </c>
      <c r="N76" s="32">
        <v>617</v>
      </c>
      <c r="O76" s="32">
        <v>296</v>
      </c>
      <c r="P76" s="32"/>
      <c r="Q76" s="32"/>
      <c r="R76" s="32">
        <v>7348</v>
      </c>
      <c r="S76" s="32">
        <v>295</v>
      </c>
      <c r="T76" s="32">
        <v>1305</v>
      </c>
      <c r="U76" s="32">
        <v>743</v>
      </c>
      <c r="V76" s="32">
        <v>593</v>
      </c>
      <c r="W76" s="32">
        <v>3798</v>
      </c>
      <c r="X76" s="32">
        <v>464</v>
      </c>
      <c r="Y76" s="32">
        <v>150</v>
      </c>
      <c r="Z76" s="32"/>
      <c r="AA76" s="32"/>
      <c r="AB76" s="33">
        <v>2.2491821000000001</v>
      </c>
      <c r="AC76" s="33">
        <v>12.5545256</v>
      </c>
      <c r="AD76" s="33">
        <v>32.742638999999997</v>
      </c>
      <c r="AE76" s="33">
        <v>16.971101399999998</v>
      </c>
      <c r="AF76" s="33">
        <v>23.037077400000001</v>
      </c>
      <c r="AG76" s="33">
        <v>8.4105779999999992</v>
      </c>
      <c r="AH76" s="33">
        <v>4.0348964</v>
      </c>
      <c r="AI76" s="33"/>
      <c r="AJ76" s="33"/>
      <c r="AK76" s="33">
        <v>4.0146978999999998</v>
      </c>
      <c r="AL76" s="33">
        <v>17.759934699999999</v>
      </c>
      <c r="AM76" s="33">
        <v>10.111594999999999</v>
      </c>
      <c r="AN76" s="33">
        <v>8.0702231999999992</v>
      </c>
      <c r="AO76" s="33">
        <v>51.687533999999999</v>
      </c>
      <c r="AP76" s="33">
        <v>6.3146433999999996</v>
      </c>
      <c r="AQ76" s="33">
        <v>2.0413717999999998</v>
      </c>
      <c r="AR76" s="34"/>
      <c r="AS76" s="34"/>
    </row>
    <row r="77" spans="2:45" ht="15" hidden="1" customHeight="1" x14ac:dyDescent="0.25">
      <c r="B77" s="35">
        <v>71</v>
      </c>
      <c r="C77" s="36" t="s">
        <v>29</v>
      </c>
      <c r="D77" s="36" t="s">
        <v>28</v>
      </c>
      <c r="E77" s="36" t="s">
        <v>49</v>
      </c>
      <c r="F77" s="36"/>
      <c r="G77" s="37" t="s">
        <v>25</v>
      </c>
      <c r="H77" s="38">
        <v>781</v>
      </c>
      <c r="I77" s="38">
        <v>128</v>
      </c>
      <c r="J77" s="38">
        <v>541</v>
      </c>
      <c r="K77" s="38">
        <v>27</v>
      </c>
      <c r="L77" s="38">
        <v>67</v>
      </c>
      <c r="M77" s="38">
        <v>7</v>
      </c>
      <c r="N77" s="38">
        <v>2</v>
      </c>
      <c r="O77" s="38">
        <v>9</v>
      </c>
      <c r="P77" s="38"/>
      <c r="Q77" s="38"/>
      <c r="R77" s="38">
        <v>913</v>
      </c>
      <c r="S77" s="38">
        <v>154</v>
      </c>
      <c r="T77" s="38">
        <v>680</v>
      </c>
      <c r="U77" s="38">
        <v>7</v>
      </c>
      <c r="V77" s="38">
        <v>19</v>
      </c>
      <c r="W77" s="38">
        <v>43</v>
      </c>
      <c r="X77" s="38">
        <v>9</v>
      </c>
      <c r="Y77" s="38">
        <v>1</v>
      </c>
      <c r="Z77" s="38"/>
      <c r="AA77" s="38"/>
      <c r="AB77" s="39">
        <v>16.389244600000001</v>
      </c>
      <c r="AC77" s="39">
        <v>69.270166500000002</v>
      </c>
      <c r="AD77" s="39">
        <v>3.4571063</v>
      </c>
      <c r="AE77" s="39">
        <v>8.5787452000000002</v>
      </c>
      <c r="AF77" s="39">
        <v>0.89628680000000005</v>
      </c>
      <c r="AG77" s="39">
        <v>0.25608189999999997</v>
      </c>
      <c r="AH77" s="39">
        <v>1.1523688000000001</v>
      </c>
      <c r="AI77" s="39"/>
      <c r="AJ77" s="39"/>
      <c r="AK77" s="39">
        <v>16.8674699</v>
      </c>
      <c r="AL77" s="39">
        <v>74.479737099999994</v>
      </c>
      <c r="AM77" s="39">
        <v>0.76670320000000003</v>
      </c>
      <c r="AN77" s="39">
        <v>2.0810515000000001</v>
      </c>
      <c r="AO77" s="39">
        <v>4.7097480999999997</v>
      </c>
      <c r="AP77" s="39">
        <v>0.9857612</v>
      </c>
      <c r="AQ77" s="39">
        <v>0.109529</v>
      </c>
      <c r="AR77" s="40"/>
      <c r="AS77" s="40"/>
    </row>
    <row r="78" spans="2:45" ht="15" hidden="1" customHeight="1" x14ac:dyDescent="0.25">
      <c r="B78" s="35">
        <v>72</v>
      </c>
      <c r="C78" s="36" t="s">
        <v>29</v>
      </c>
      <c r="D78" s="36" t="s">
        <v>28</v>
      </c>
      <c r="E78" s="36" t="s">
        <v>49</v>
      </c>
      <c r="F78" s="36"/>
      <c r="G78" s="37" t="s">
        <v>26</v>
      </c>
      <c r="H78" s="38">
        <v>6555</v>
      </c>
      <c r="I78" s="38">
        <v>37</v>
      </c>
      <c r="J78" s="38">
        <v>380</v>
      </c>
      <c r="K78" s="38">
        <v>2375</v>
      </c>
      <c r="L78" s="38">
        <v>1178</v>
      </c>
      <c r="M78" s="38">
        <v>1683</v>
      </c>
      <c r="N78" s="38">
        <v>615</v>
      </c>
      <c r="O78" s="38">
        <v>287</v>
      </c>
      <c r="P78" s="38"/>
      <c r="Q78" s="38"/>
      <c r="R78" s="38">
        <v>6435</v>
      </c>
      <c r="S78" s="38">
        <v>141</v>
      </c>
      <c r="T78" s="38">
        <v>625</v>
      </c>
      <c r="U78" s="38">
        <v>736</v>
      </c>
      <c r="V78" s="38">
        <v>574</v>
      </c>
      <c r="W78" s="38">
        <v>3755</v>
      </c>
      <c r="X78" s="38">
        <v>455</v>
      </c>
      <c r="Y78" s="38">
        <v>149</v>
      </c>
      <c r="Z78" s="38"/>
      <c r="AA78" s="38"/>
      <c r="AB78" s="39">
        <v>0.56445460000000003</v>
      </c>
      <c r="AC78" s="39">
        <v>5.7971013999999998</v>
      </c>
      <c r="AD78" s="39">
        <v>36.231884100000002</v>
      </c>
      <c r="AE78" s="39">
        <v>17.971014499999999</v>
      </c>
      <c r="AF78" s="39">
        <v>25.675057200000001</v>
      </c>
      <c r="AG78" s="39">
        <v>9.3821510000000004</v>
      </c>
      <c r="AH78" s="39">
        <v>4.3783371000000004</v>
      </c>
      <c r="AI78" s="39"/>
      <c r="AJ78" s="39"/>
      <c r="AK78" s="39">
        <v>2.1911421999999998</v>
      </c>
      <c r="AL78" s="39">
        <v>9.7125097</v>
      </c>
      <c r="AM78" s="39">
        <v>11.4374514</v>
      </c>
      <c r="AN78" s="39">
        <v>8.9199689000000006</v>
      </c>
      <c r="AO78" s="39">
        <v>58.352758399999999</v>
      </c>
      <c r="AP78" s="39">
        <v>7.0707070999999999</v>
      </c>
      <c r="AQ78" s="39">
        <v>2.3154623000000001</v>
      </c>
      <c r="AR78" s="40"/>
      <c r="AS78" s="40"/>
    </row>
    <row r="79" spans="2:45" ht="15" customHeight="1" x14ac:dyDescent="0.25">
      <c r="B79" s="41">
        <v>73</v>
      </c>
      <c r="C79" s="42" t="s">
        <v>31</v>
      </c>
      <c r="D79" s="42" t="s">
        <v>28</v>
      </c>
      <c r="E79" s="42" t="s">
        <v>49</v>
      </c>
      <c r="F79" s="42" t="s">
        <v>50</v>
      </c>
      <c r="G79" s="42" t="s">
        <v>50</v>
      </c>
      <c r="H79" s="43">
        <v>4386</v>
      </c>
      <c r="I79" s="43">
        <v>135</v>
      </c>
      <c r="J79" s="43">
        <v>754</v>
      </c>
      <c r="K79" s="43">
        <v>1510</v>
      </c>
      <c r="L79" s="43">
        <v>690</v>
      </c>
      <c r="M79" s="43">
        <v>749</v>
      </c>
      <c r="N79" s="43">
        <v>341</v>
      </c>
      <c r="O79" s="43">
        <v>207</v>
      </c>
      <c r="P79" s="44">
        <f>K79+L79+M79+N79+O79</f>
        <v>3497</v>
      </c>
      <c r="Q79" s="44">
        <f>I79+J79</f>
        <v>889</v>
      </c>
      <c r="R79" s="43">
        <v>4279</v>
      </c>
      <c r="S79" s="43">
        <v>203</v>
      </c>
      <c r="T79" s="43">
        <v>869</v>
      </c>
      <c r="U79" s="43">
        <v>530</v>
      </c>
      <c r="V79" s="43">
        <v>455</v>
      </c>
      <c r="W79" s="43">
        <v>1870</v>
      </c>
      <c r="X79" s="43">
        <v>236</v>
      </c>
      <c r="Y79" s="43">
        <v>116</v>
      </c>
      <c r="Z79" s="45">
        <f>U79+V79+W79+X79+Y79</f>
        <v>3207</v>
      </c>
      <c r="AA79" s="45">
        <f>S79+T79</f>
        <v>1072</v>
      </c>
      <c r="AB79" s="46">
        <v>3.0779754000000001</v>
      </c>
      <c r="AC79" s="46">
        <v>17.191062500000001</v>
      </c>
      <c r="AD79" s="46">
        <v>34.427724599999998</v>
      </c>
      <c r="AE79" s="46">
        <v>15.731874100000001</v>
      </c>
      <c r="AF79" s="46">
        <v>17.0770634</v>
      </c>
      <c r="AG79" s="46">
        <v>7.7747377999999996</v>
      </c>
      <c r="AH79" s="46">
        <v>4.7195622000000004</v>
      </c>
      <c r="AI79" s="47">
        <f>AB79+AC79</f>
        <v>20.269037900000001</v>
      </c>
      <c r="AJ79" s="47">
        <f>AD79+AE79+AF79+AG79+AH79</f>
        <v>79.730962099999985</v>
      </c>
      <c r="AK79" s="46">
        <v>4.7440990999999997</v>
      </c>
      <c r="AL79" s="46">
        <v>20.308483299999999</v>
      </c>
      <c r="AM79" s="46">
        <v>12.3860715</v>
      </c>
      <c r="AN79" s="46">
        <v>10.6333255</v>
      </c>
      <c r="AO79" s="46">
        <v>43.7017995</v>
      </c>
      <c r="AP79" s="46">
        <v>5.5153072999999999</v>
      </c>
      <c r="AQ79" s="46">
        <v>2.7109138000000002</v>
      </c>
      <c r="AR79" s="48">
        <f>AK79+AL79</f>
        <v>25.052582399999999</v>
      </c>
      <c r="AS79" s="48">
        <f>AM79+AN79+AO79+AP79+AQ79</f>
        <v>74.947417599999994</v>
      </c>
    </row>
    <row r="80" spans="2:45" ht="15" hidden="1" customHeight="1" x14ac:dyDescent="0.25">
      <c r="B80" s="35">
        <v>74</v>
      </c>
      <c r="C80" s="36" t="s">
        <v>31</v>
      </c>
      <c r="D80" s="36" t="s">
        <v>28</v>
      </c>
      <c r="E80" s="36" t="s">
        <v>49</v>
      </c>
      <c r="F80" s="36" t="s">
        <v>50</v>
      </c>
      <c r="G80" s="37" t="s">
        <v>25</v>
      </c>
      <c r="H80" s="38">
        <v>781</v>
      </c>
      <c r="I80" s="38">
        <v>128</v>
      </c>
      <c r="J80" s="38">
        <v>541</v>
      </c>
      <c r="K80" s="38">
        <v>27</v>
      </c>
      <c r="L80" s="38">
        <v>67</v>
      </c>
      <c r="M80" s="38">
        <v>7</v>
      </c>
      <c r="N80" s="38">
        <v>2</v>
      </c>
      <c r="O80" s="38">
        <v>9</v>
      </c>
      <c r="P80" s="38"/>
      <c r="Q80" s="38"/>
      <c r="R80" s="38">
        <v>913</v>
      </c>
      <c r="S80" s="38">
        <v>154</v>
      </c>
      <c r="T80" s="38">
        <v>680</v>
      </c>
      <c r="U80" s="38">
        <v>7</v>
      </c>
      <c r="V80" s="38">
        <v>19</v>
      </c>
      <c r="W80" s="38">
        <v>43</v>
      </c>
      <c r="X80" s="38">
        <v>9</v>
      </c>
      <c r="Y80" s="38">
        <v>1</v>
      </c>
      <c r="Z80" s="38"/>
      <c r="AA80" s="38"/>
      <c r="AB80" s="39">
        <v>16.389244600000001</v>
      </c>
      <c r="AC80" s="39">
        <v>69.270166500000002</v>
      </c>
      <c r="AD80" s="39">
        <v>3.4571063</v>
      </c>
      <c r="AE80" s="39">
        <v>8.5787452000000002</v>
      </c>
      <c r="AF80" s="39">
        <v>0.89628680000000005</v>
      </c>
      <c r="AG80" s="39">
        <v>0.25608189999999997</v>
      </c>
      <c r="AH80" s="39">
        <v>1.1523688000000001</v>
      </c>
      <c r="AI80" s="39"/>
      <c r="AJ80" s="39"/>
      <c r="AK80" s="39">
        <v>16.8674699</v>
      </c>
      <c r="AL80" s="39">
        <v>74.479737099999994</v>
      </c>
      <c r="AM80" s="39">
        <v>0.76670320000000003</v>
      </c>
      <c r="AN80" s="39">
        <v>2.0810515000000001</v>
      </c>
      <c r="AO80" s="39">
        <v>4.7097480999999997</v>
      </c>
      <c r="AP80" s="39">
        <v>0.9857612</v>
      </c>
      <c r="AQ80" s="39">
        <v>0.109529</v>
      </c>
      <c r="AR80" s="40"/>
      <c r="AS80" s="40"/>
    </row>
    <row r="81" spans="2:45" ht="15" hidden="1" customHeight="1" x14ac:dyDescent="0.25">
      <c r="B81" s="35">
        <v>75</v>
      </c>
      <c r="C81" s="36" t="s">
        <v>31</v>
      </c>
      <c r="D81" s="36" t="s">
        <v>28</v>
      </c>
      <c r="E81" s="36" t="s">
        <v>49</v>
      </c>
      <c r="F81" s="36" t="s">
        <v>50</v>
      </c>
      <c r="G81" s="37" t="s">
        <v>26</v>
      </c>
      <c r="H81" s="38">
        <v>3605</v>
      </c>
      <c r="I81" s="38">
        <v>7</v>
      </c>
      <c r="J81" s="38">
        <v>213</v>
      </c>
      <c r="K81" s="38">
        <v>1483</v>
      </c>
      <c r="L81" s="38">
        <v>623</v>
      </c>
      <c r="M81" s="38">
        <v>742</v>
      </c>
      <c r="N81" s="38">
        <v>339</v>
      </c>
      <c r="O81" s="38">
        <v>198</v>
      </c>
      <c r="P81" s="38"/>
      <c r="Q81" s="38"/>
      <c r="R81" s="38">
        <v>3366</v>
      </c>
      <c r="S81" s="38">
        <v>49</v>
      </c>
      <c r="T81" s="38">
        <v>189</v>
      </c>
      <c r="U81" s="38">
        <v>523</v>
      </c>
      <c r="V81" s="38">
        <v>436</v>
      </c>
      <c r="W81" s="38">
        <v>1827</v>
      </c>
      <c r="X81" s="38">
        <v>227</v>
      </c>
      <c r="Y81" s="38">
        <v>115</v>
      </c>
      <c r="Z81" s="38"/>
      <c r="AA81" s="38"/>
      <c r="AB81" s="39">
        <v>0.19417480000000001</v>
      </c>
      <c r="AC81" s="39">
        <v>5.9084605000000003</v>
      </c>
      <c r="AD81" s="39">
        <v>41.137309299999998</v>
      </c>
      <c r="AE81" s="39">
        <v>17.2815534</v>
      </c>
      <c r="AF81" s="39">
        <v>20.582524299999999</v>
      </c>
      <c r="AG81" s="39">
        <v>9.4036060999999993</v>
      </c>
      <c r="AH81" s="39">
        <v>5.4923716999999996</v>
      </c>
      <c r="AI81" s="39"/>
      <c r="AJ81" s="39"/>
      <c r="AK81" s="39">
        <v>1.4557338</v>
      </c>
      <c r="AL81" s="39">
        <v>5.6149732999999999</v>
      </c>
      <c r="AM81" s="39">
        <v>15.5377302</v>
      </c>
      <c r="AN81" s="39">
        <v>12.953060000000001</v>
      </c>
      <c r="AO81" s="39">
        <v>54.2780749</v>
      </c>
      <c r="AP81" s="39">
        <v>6.7439096999999997</v>
      </c>
      <c r="AQ81" s="39">
        <v>3.4165180999999998</v>
      </c>
      <c r="AR81" s="40"/>
      <c r="AS81" s="40"/>
    </row>
    <row r="82" spans="2:45" ht="15" customHeight="1" x14ac:dyDescent="0.25">
      <c r="B82" s="41">
        <v>76</v>
      </c>
      <c r="C82" s="42" t="s">
        <v>31</v>
      </c>
      <c r="D82" s="42" t="s">
        <v>28</v>
      </c>
      <c r="E82" s="42" t="s">
        <v>49</v>
      </c>
      <c r="F82" s="42" t="s">
        <v>49</v>
      </c>
      <c r="G82" s="42" t="s">
        <v>49</v>
      </c>
      <c r="H82" s="43">
        <v>2950</v>
      </c>
      <c r="I82" s="43">
        <v>30</v>
      </c>
      <c r="J82" s="43">
        <v>167</v>
      </c>
      <c r="K82" s="43">
        <v>892</v>
      </c>
      <c r="L82" s="43">
        <v>555</v>
      </c>
      <c r="M82" s="43">
        <v>941</v>
      </c>
      <c r="N82" s="43">
        <v>276</v>
      </c>
      <c r="O82" s="43">
        <v>89</v>
      </c>
      <c r="P82" s="44">
        <f>K82+L82+M82+N82+O82</f>
        <v>2753</v>
      </c>
      <c r="Q82" s="44">
        <f>I82+J82</f>
        <v>197</v>
      </c>
      <c r="R82" s="43">
        <v>3069</v>
      </c>
      <c r="S82" s="43">
        <v>92</v>
      </c>
      <c r="T82" s="43">
        <v>436</v>
      </c>
      <c r="U82" s="43">
        <v>213</v>
      </c>
      <c r="V82" s="43">
        <v>138</v>
      </c>
      <c r="W82" s="43">
        <v>1928</v>
      </c>
      <c r="X82" s="43">
        <v>228</v>
      </c>
      <c r="Y82" s="43">
        <v>34</v>
      </c>
      <c r="Z82" s="45">
        <f>U82+V82+W82+X82+Y82</f>
        <v>2541</v>
      </c>
      <c r="AA82" s="45">
        <f>S82+T82</f>
        <v>528</v>
      </c>
      <c r="AB82" s="46">
        <v>1.0169492</v>
      </c>
      <c r="AC82" s="46">
        <v>5.6610168999999999</v>
      </c>
      <c r="AD82" s="46">
        <v>30.237288100000001</v>
      </c>
      <c r="AE82" s="46">
        <v>18.813559300000001</v>
      </c>
      <c r="AF82" s="46">
        <v>31.898305100000002</v>
      </c>
      <c r="AG82" s="46">
        <v>9.3559321999999998</v>
      </c>
      <c r="AH82" s="46">
        <v>3.0169492</v>
      </c>
      <c r="AI82" s="47">
        <f>AB82+AC82</f>
        <v>6.6779660999999999</v>
      </c>
      <c r="AJ82" s="47">
        <f>AD82+AE82+AF82+AG82+AH82</f>
        <v>93.322033899999994</v>
      </c>
      <c r="AK82" s="46">
        <v>2.9977190999999999</v>
      </c>
      <c r="AL82" s="46">
        <v>14.2065819</v>
      </c>
      <c r="AM82" s="46">
        <v>6.9403715000000004</v>
      </c>
      <c r="AN82" s="46">
        <v>4.4965786999999997</v>
      </c>
      <c r="AO82" s="46">
        <v>62.821765999999997</v>
      </c>
      <c r="AP82" s="46">
        <v>7.4291299999999998</v>
      </c>
      <c r="AQ82" s="46">
        <v>1.1078527</v>
      </c>
      <c r="AR82" s="48">
        <f>AK82+AL82</f>
        <v>17.204301000000001</v>
      </c>
      <c r="AS82" s="48">
        <f>AM82+AN82+AO82+AP82+AQ82</f>
        <v>82.795698899999991</v>
      </c>
    </row>
    <row r="83" spans="2:45" ht="15" hidden="1" customHeight="1" x14ac:dyDescent="0.25">
      <c r="B83" s="35">
        <v>77</v>
      </c>
      <c r="C83" s="36" t="s">
        <v>31</v>
      </c>
      <c r="D83" s="36" t="s">
        <v>28</v>
      </c>
      <c r="E83" s="36" t="s">
        <v>49</v>
      </c>
      <c r="F83" s="36" t="s">
        <v>49</v>
      </c>
      <c r="G83" s="37" t="s">
        <v>25</v>
      </c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40"/>
      <c r="AS83" s="40"/>
    </row>
    <row r="84" spans="2:45" ht="15" hidden="1" customHeight="1" x14ac:dyDescent="0.25">
      <c r="B84" s="35">
        <v>78</v>
      </c>
      <c r="C84" s="36" t="s">
        <v>31</v>
      </c>
      <c r="D84" s="36" t="s">
        <v>28</v>
      </c>
      <c r="E84" s="36" t="s">
        <v>49</v>
      </c>
      <c r="F84" s="36" t="s">
        <v>49</v>
      </c>
      <c r="G84" s="37" t="s">
        <v>26</v>
      </c>
      <c r="H84" s="38">
        <v>2950</v>
      </c>
      <c r="I84" s="38">
        <v>30</v>
      </c>
      <c r="J84" s="38">
        <v>167</v>
      </c>
      <c r="K84" s="38">
        <v>892</v>
      </c>
      <c r="L84" s="38">
        <v>555</v>
      </c>
      <c r="M84" s="38">
        <v>941</v>
      </c>
      <c r="N84" s="38">
        <v>276</v>
      </c>
      <c r="O84" s="38">
        <v>89</v>
      </c>
      <c r="P84" s="38"/>
      <c r="Q84" s="38"/>
      <c r="R84" s="38">
        <v>3069</v>
      </c>
      <c r="S84" s="38">
        <v>92</v>
      </c>
      <c r="T84" s="38">
        <v>436</v>
      </c>
      <c r="U84" s="38">
        <v>213</v>
      </c>
      <c r="V84" s="38">
        <v>138</v>
      </c>
      <c r="W84" s="38">
        <v>1928</v>
      </c>
      <c r="X84" s="38">
        <v>228</v>
      </c>
      <c r="Y84" s="38">
        <v>34</v>
      </c>
      <c r="Z84" s="38"/>
      <c r="AA84" s="38"/>
      <c r="AB84" s="39">
        <v>1.0169492</v>
      </c>
      <c r="AC84" s="39">
        <v>5.6610168999999999</v>
      </c>
      <c r="AD84" s="39">
        <v>30.237288100000001</v>
      </c>
      <c r="AE84" s="39">
        <v>18.813559300000001</v>
      </c>
      <c r="AF84" s="39">
        <v>31.898305100000002</v>
      </c>
      <c r="AG84" s="39">
        <v>9.3559321999999998</v>
      </c>
      <c r="AH84" s="39">
        <v>3.0169492</v>
      </c>
      <c r="AI84" s="39"/>
      <c r="AJ84" s="39"/>
      <c r="AK84" s="39">
        <v>2.9977190999999999</v>
      </c>
      <c r="AL84" s="39">
        <v>14.2065819</v>
      </c>
      <c r="AM84" s="39">
        <v>6.9403715000000004</v>
      </c>
      <c r="AN84" s="39">
        <v>4.4965786999999997</v>
      </c>
      <c r="AO84" s="39">
        <v>62.821765999999997</v>
      </c>
      <c r="AP84" s="39">
        <v>7.4291299999999998</v>
      </c>
      <c r="AQ84" s="39">
        <v>1.1078527</v>
      </c>
      <c r="AR84" s="40"/>
      <c r="AS84" s="40"/>
    </row>
    <row r="85" spans="2:45" ht="15" hidden="1" customHeight="1" x14ac:dyDescent="0.25">
      <c r="B85" s="30">
        <v>79</v>
      </c>
      <c r="C85" s="31" t="s">
        <v>29</v>
      </c>
      <c r="D85" s="31" t="s">
        <v>28</v>
      </c>
      <c r="E85" s="31" t="s">
        <v>51</v>
      </c>
      <c r="F85" s="31"/>
      <c r="G85" s="31" t="s">
        <v>51</v>
      </c>
      <c r="H85" s="32">
        <v>18587</v>
      </c>
      <c r="I85" s="32">
        <v>533</v>
      </c>
      <c r="J85" s="32">
        <v>2445</v>
      </c>
      <c r="K85" s="32">
        <v>4870</v>
      </c>
      <c r="L85" s="32">
        <v>3331</v>
      </c>
      <c r="M85" s="32">
        <v>5616</v>
      </c>
      <c r="N85" s="32">
        <v>892</v>
      </c>
      <c r="O85" s="32">
        <v>900</v>
      </c>
      <c r="P85" s="32"/>
      <c r="Q85" s="32"/>
      <c r="R85" s="32">
        <v>21769</v>
      </c>
      <c r="S85" s="32">
        <v>1242</v>
      </c>
      <c r="T85" s="32">
        <v>4656</v>
      </c>
      <c r="U85" s="32">
        <v>1496</v>
      </c>
      <c r="V85" s="32">
        <v>1233</v>
      </c>
      <c r="W85" s="32">
        <v>11964</v>
      </c>
      <c r="X85" s="32">
        <v>988</v>
      </c>
      <c r="Y85" s="32">
        <v>190</v>
      </c>
      <c r="Z85" s="32"/>
      <c r="AA85" s="32"/>
      <c r="AB85" s="33">
        <v>2.8675956</v>
      </c>
      <c r="AC85" s="33">
        <v>13.154355199999999</v>
      </c>
      <c r="AD85" s="33">
        <v>26.201108300000001</v>
      </c>
      <c r="AE85" s="33">
        <v>17.9211277</v>
      </c>
      <c r="AF85" s="33">
        <v>30.2146662</v>
      </c>
      <c r="AG85" s="33">
        <v>4.7990531000000001</v>
      </c>
      <c r="AH85" s="33">
        <v>4.8420939000000001</v>
      </c>
      <c r="AI85" s="33"/>
      <c r="AJ85" s="33"/>
      <c r="AK85" s="33">
        <v>5.7053608000000002</v>
      </c>
      <c r="AL85" s="33">
        <v>21.388212599999999</v>
      </c>
      <c r="AM85" s="33">
        <v>6.8721576999999998</v>
      </c>
      <c r="AN85" s="33">
        <v>5.6640176000000002</v>
      </c>
      <c r="AO85" s="33">
        <v>54.958886499999998</v>
      </c>
      <c r="AP85" s="33">
        <v>4.538564</v>
      </c>
      <c r="AQ85" s="33">
        <v>0.87280080000000004</v>
      </c>
      <c r="AR85" s="34"/>
      <c r="AS85" s="34"/>
    </row>
    <row r="86" spans="2:45" ht="15" hidden="1" customHeight="1" x14ac:dyDescent="0.25">
      <c r="B86" s="35">
        <v>80</v>
      </c>
      <c r="C86" s="36" t="s">
        <v>29</v>
      </c>
      <c r="D86" s="36" t="s">
        <v>28</v>
      </c>
      <c r="E86" s="36" t="s">
        <v>51</v>
      </c>
      <c r="F86" s="36"/>
      <c r="G86" s="37" t="s">
        <v>25</v>
      </c>
      <c r="H86" s="38">
        <v>2069</v>
      </c>
      <c r="I86" s="38">
        <v>350</v>
      </c>
      <c r="J86" s="38">
        <v>1561</v>
      </c>
      <c r="K86" s="38">
        <v>29</v>
      </c>
      <c r="L86" s="38">
        <v>24</v>
      </c>
      <c r="M86" s="38">
        <v>93</v>
      </c>
      <c r="N86" s="38">
        <v>5</v>
      </c>
      <c r="O86" s="38">
        <v>7</v>
      </c>
      <c r="P86" s="38"/>
      <c r="Q86" s="38"/>
      <c r="R86" s="38">
        <v>4332</v>
      </c>
      <c r="S86" s="38">
        <v>768</v>
      </c>
      <c r="T86" s="38">
        <v>3166</v>
      </c>
      <c r="U86" s="38">
        <v>19</v>
      </c>
      <c r="V86" s="38">
        <v>7</v>
      </c>
      <c r="W86" s="38">
        <v>345</v>
      </c>
      <c r="X86" s="38">
        <v>14</v>
      </c>
      <c r="Y86" s="38">
        <v>13</v>
      </c>
      <c r="Z86" s="38"/>
      <c r="AA86" s="38"/>
      <c r="AB86" s="39">
        <v>16.916384699999998</v>
      </c>
      <c r="AC86" s="39">
        <v>75.447075900000002</v>
      </c>
      <c r="AD86" s="39">
        <v>1.4016432999999999</v>
      </c>
      <c r="AE86" s="39">
        <v>1.1599807</v>
      </c>
      <c r="AF86" s="39">
        <v>4.4949250999999997</v>
      </c>
      <c r="AG86" s="39">
        <v>0.24166260000000001</v>
      </c>
      <c r="AH86" s="39">
        <v>0.33832770000000001</v>
      </c>
      <c r="AI86" s="39"/>
      <c r="AJ86" s="39"/>
      <c r="AK86" s="39">
        <v>17.7285319</v>
      </c>
      <c r="AL86" s="39">
        <v>73.0840259</v>
      </c>
      <c r="AM86" s="39">
        <v>0.4385965</v>
      </c>
      <c r="AN86" s="39">
        <v>0.16158819999999999</v>
      </c>
      <c r="AO86" s="39">
        <v>7.9639889000000004</v>
      </c>
      <c r="AP86" s="39">
        <v>0.32317639999999997</v>
      </c>
      <c r="AQ86" s="39">
        <v>0.30009229999999998</v>
      </c>
      <c r="AR86" s="40"/>
      <c r="AS86" s="40"/>
    </row>
    <row r="87" spans="2:45" ht="15" hidden="1" customHeight="1" x14ac:dyDescent="0.25">
      <c r="B87" s="35">
        <v>81</v>
      </c>
      <c r="C87" s="36" t="s">
        <v>29</v>
      </c>
      <c r="D87" s="36" t="s">
        <v>28</v>
      </c>
      <c r="E87" s="36" t="s">
        <v>51</v>
      </c>
      <c r="F87" s="36"/>
      <c r="G87" s="37" t="s">
        <v>26</v>
      </c>
      <c r="H87" s="38">
        <v>16518</v>
      </c>
      <c r="I87" s="38">
        <v>183</v>
      </c>
      <c r="J87" s="38">
        <v>884</v>
      </c>
      <c r="K87" s="38">
        <v>4841</v>
      </c>
      <c r="L87" s="38">
        <v>3307</v>
      </c>
      <c r="M87" s="38">
        <v>5523</v>
      </c>
      <c r="N87" s="38">
        <v>887</v>
      </c>
      <c r="O87" s="38">
        <v>893</v>
      </c>
      <c r="P87" s="38"/>
      <c r="Q87" s="38"/>
      <c r="R87" s="38">
        <v>17437</v>
      </c>
      <c r="S87" s="38">
        <v>474</v>
      </c>
      <c r="T87" s="38">
        <v>1490</v>
      </c>
      <c r="U87" s="38">
        <v>1477</v>
      </c>
      <c r="V87" s="38">
        <v>1226</v>
      </c>
      <c r="W87" s="38">
        <v>11619</v>
      </c>
      <c r="X87" s="38">
        <v>974</v>
      </c>
      <c r="Y87" s="38">
        <v>177</v>
      </c>
      <c r="Z87" s="38"/>
      <c r="AA87" s="38"/>
      <c r="AB87" s="39">
        <v>1.1078823</v>
      </c>
      <c r="AC87" s="39">
        <v>5.3517374999999996</v>
      </c>
      <c r="AD87" s="39">
        <v>29.307422200000001</v>
      </c>
      <c r="AE87" s="39">
        <v>20.020583599999998</v>
      </c>
      <c r="AF87" s="39">
        <v>33.436251400000003</v>
      </c>
      <c r="AG87" s="39">
        <v>5.3698994999999998</v>
      </c>
      <c r="AH87" s="39">
        <v>5.4062235000000003</v>
      </c>
      <c r="AI87" s="39"/>
      <c r="AJ87" s="39"/>
      <c r="AK87" s="39">
        <v>2.7183575000000002</v>
      </c>
      <c r="AL87" s="39">
        <v>8.5450479000000001</v>
      </c>
      <c r="AM87" s="39">
        <v>8.4704937999999999</v>
      </c>
      <c r="AN87" s="39">
        <v>7.0310259999999998</v>
      </c>
      <c r="AO87" s="39">
        <v>66.634168700000004</v>
      </c>
      <c r="AP87" s="39">
        <v>5.5858232000000001</v>
      </c>
      <c r="AQ87" s="39">
        <v>1.0150828999999999</v>
      </c>
      <c r="AR87" s="40"/>
      <c r="AS87" s="40"/>
    </row>
    <row r="88" spans="2:45" ht="15" customHeight="1" x14ac:dyDescent="0.25">
      <c r="B88" s="41">
        <v>82</v>
      </c>
      <c r="C88" s="42" t="s">
        <v>31</v>
      </c>
      <c r="D88" s="42" t="s">
        <v>28</v>
      </c>
      <c r="E88" s="42" t="s">
        <v>51</v>
      </c>
      <c r="F88" s="42" t="s">
        <v>52</v>
      </c>
      <c r="G88" s="42" t="s">
        <v>52</v>
      </c>
      <c r="H88" s="43">
        <v>4325</v>
      </c>
      <c r="I88" s="43">
        <v>300</v>
      </c>
      <c r="J88" s="43">
        <v>1128</v>
      </c>
      <c r="K88" s="43">
        <v>840</v>
      </c>
      <c r="L88" s="43">
        <v>329</v>
      </c>
      <c r="M88" s="43">
        <v>1478</v>
      </c>
      <c r="N88" s="43">
        <v>186</v>
      </c>
      <c r="O88" s="43">
        <v>64</v>
      </c>
      <c r="P88" s="44">
        <f>K88+L88+M88+N88+O88</f>
        <v>2897</v>
      </c>
      <c r="Q88" s="44">
        <f>I88+J88</f>
        <v>1428</v>
      </c>
      <c r="R88" s="43">
        <v>5047</v>
      </c>
      <c r="S88" s="43">
        <v>454</v>
      </c>
      <c r="T88" s="43">
        <v>1465</v>
      </c>
      <c r="U88" s="43">
        <v>149</v>
      </c>
      <c r="V88" s="43">
        <v>69</v>
      </c>
      <c r="W88" s="43">
        <v>2594</v>
      </c>
      <c r="X88" s="43">
        <v>293</v>
      </c>
      <c r="Y88" s="43">
        <v>23</v>
      </c>
      <c r="Z88" s="45">
        <f>U88+V88+W88+X88+Y88</f>
        <v>3128</v>
      </c>
      <c r="AA88" s="45">
        <f>S88+T88</f>
        <v>1919</v>
      </c>
      <c r="AB88" s="46">
        <v>6.9364162</v>
      </c>
      <c r="AC88" s="46">
        <v>26.080924899999999</v>
      </c>
      <c r="AD88" s="46">
        <v>19.4219653</v>
      </c>
      <c r="AE88" s="46">
        <v>7.6069364000000004</v>
      </c>
      <c r="AF88" s="46">
        <v>34.173410400000002</v>
      </c>
      <c r="AG88" s="46">
        <v>4.3005779999999998</v>
      </c>
      <c r="AH88" s="46">
        <v>1.4797688</v>
      </c>
      <c r="AI88" s="47">
        <f>AB88+AC88</f>
        <v>33.017341099999996</v>
      </c>
      <c r="AJ88" s="47">
        <f>AD88+AE88+AF88+AG88+AH88</f>
        <v>66.982658900000004</v>
      </c>
      <c r="AK88" s="46">
        <v>8.9954427999999993</v>
      </c>
      <c r="AL88" s="46">
        <v>29.027144799999999</v>
      </c>
      <c r="AM88" s="46">
        <v>2.9522488999999998</v>
      </c>
      <c r="AN88" s="46">
        <v>1.3671488000000001</v>
      </c>
      <c r="AO88" s="46">
        <v>51.3968694</v>
      </c>
      <c r="AP88" s="46">
        <v>5.8054290000000002</v>
      </c>
      <c r="AQ88" s="46">
        <v>0.45571630000000002</v>
      </c>
      <c r="AR88" s="48">
        <f>AK88+AL88</f>
        <v>38.022587599999994</v>
      </c>
      <c r="AS88" s="48">
        <f>AM88+AN88+AO88+AP88+AQ88</f>
        <v>61.977412399999999</v>
      </c>
    </row>
    <row r="89" spans="2:45" ht="15" hidden="1" customHeight="1" x14ac:dyDescent="0.25">
      <c r="B89" s="35">
        <v>83</v>
      </c>
      <c r="C89" s="36" t="s">
        <v>31</v>
      </c>
      <c r="D89" s="36" t="s">
        <v>28</v>
      </c>
      <c r="E89" s="36" t="s">
        <v>51</v>
      </c>
      <c r="F89" s="36" t="s">
        <v>52</v>
      </c>
      <c r="G89" s="37" t="s">
        <v>25</v>
      </c>
      <c r="H89" s="38">
        <v>1492</v>
      </c>
      <c r="I89" s="38">
        <v>282</v>
      </c>
      <c r="J89" s="38">
        <v>1113</v>
      </c>
      <c r="K89" s="38">
        <v>11</v>
      </c>
      <c r="L89" s="38">
        <v>8</v>
      </c>
      <c r="M89" s="38">
        <v>67</v>
      </c>
      <c r="N89" s="38">
        <v>4</v>
      </c>
      <c r="O89" s="38">
        <v>7</v>
      </c>
      <c r="P89" s="38"/>
      <c r="Q89" s="38"/>
      <c r="R89" s="38">
        <v>1817</v>
      </c>
      <c r="S89" s="38">
        <v>384</v>
      </c>
      <c r="T89" s="38">
        <v>1341</v>
      </c>
      <c r="U89" s="38">
        <v>4</v>
      </c>
      <c r="V89" s="38">
        <v>2</v>
      </c>
      <c r="W89" s="38">
        <v>78</v>
      </c>
      <c r="X89" s="38">
        <v>8</v>
      </c>
      <c r="Y89" s="38">
        <v>0</v>
      </c>
      <c r="Z89" s="38"/>
      <c r="AA89" s="38"/>
      <c r="AB89" s="39">
        <v>18.900804300000001</v>
      </c>
      <c r="AC89" s="39">
        <v>74.597855199999998</v>
      </c>
      <c r="AD89" s="39">
        <v>0.73726539999999996</v>
      </c>
      <c r="AE89" s="39">
        <v>0.53619300000000003</v>
      </c>
      <c r="AF89" s="39">
        <v>4.4906166000000001</v>
      </c>
      <c r="AG89" s="39">
        <v>0.26809650000000002</v>
      </c>
      <c r="AH89" s="39">
        <v>0.4691689</v>
      </c>
      <c r="AI89" s="39"/>
      <c r="AJ89" s="39"/>
      <c r="AK89" s="39">
        <v>21.133736899999999</v>
      </c>
      <c r="AL89" s="39">
        <v>73.802971900000003</v>
      </c>
      <c r="AM89" s="39">
        <v>0.22014310000000001</v>
      </c>
      <c r="AN89" s="39">
        <v>0.1100715</v>
      </c>
      <c r="AO89" s="39">
        <v>4.2927903000000001</v>
      </c>
      <c r="AP89" s="39">
        <v>0.44028620000000002</v>
      </c>
      <c r="AQ89" s="39">
        <v>0</v>
      </c>
      <c r="AR89" s="40"/>
      <c r="AS89" s="40"/>
    </row>
    <row r="90" spans="2:45" ht="15" hidden="1" customHeight="1" x14ac:dyDescent="0.25">
      <c r="B90" s="35">
        <v>84</v>
      </c>
      <c r="C90" s="36" t="s">
        <v>31</v>
      </c>
      <c r="D90" s="36" t="s">
        <v>28</v>
      </c>
      <c r="E90" s="36" t="s">
        <v>51</v>
      </c>
      <c r="F90" s="36" t="s">
        <v>52</v>
      </c>
      <c r="G90" s="37" t="s">
        <v>26</v>
      </c>
      <c r="H90" s="38">
        <v>2833</v>
      </c>
      <c r="I90" s="38">
        <v>18</v>
      </c>
      <c r="J90" s="38">
        <v>15</v>
      </c>
      <c r="K90" s="38">
        <v>829</v>
      </c>
      <c r="L90" s="38">
        <v>321</v>
      </c>
      <c r="M90" s="38">
        <v>1411</v>
      </c>
      <c r="N90" s="38">
        <v>182</v>
      </c>
      <c r="O90" s="38">
        <v>57</v>
      </c>
      <c r="P90" s="38"/>
      <c r="Q90" s="38"/>
      <c r="R90" s="38">
        <v>3230</v>
      </c>
      <c r="S90" s="38">
        <v>70</v>
      </c>
      <c r="T90" s="38">
        <v>124</v>
      </c>
      <c r="U90" s="38">
        <v>145</v>
      </c>
      <c r="V90" s="38">
        <v>67</v>
      </c>
      <c r="W90" s="38">
        <v>2516</v>
      </c>
      <c r="X90" s="38">
        <v>285</v>
      </c>
      <c r="Y90" s="38">
        <v>23</v>
      </c>
      <c r="Z90" s="38"/>
      <c r="AA90" s="38"/>
      <c r="AB90" s="39">
        <v>0.63536890000000001</v>
      </c>
      <c r="AC90" s="39">
        <v>0.52947409999999995</v>
      </c>
      <c r="AD90" s="39">
        <v>29.262266100000002</v>
      </c>
      <c r="AE90" s="39">
        <v>11.3307448</v>
      </c>
      <c r="AF90" s="39">
        <v>49.805859499999997</v>
      </c>
      <c r="AG90" s="39">
        <v>6.4242851999999999</v>
      </c>
      <c r="AH90" s="39">
        <v>2.0120013999999999</v>
      </c>
      <c r="AI90" s="39"/>
      <c r="AJ90" s="39"/>
      <c r="AK90" s="39">
        <v>2.1671827000000001</v>
      </c>
      <c r="AL90" s="39">
        <v>3.8390092999999998</v>
      </c>
      <c r="AM90" s="39">
        <v>4.4891641</v>
      </c>
      <c r="AN90" s="39">
        <v>2.0743033999999998</v>
      </c>
      <c r="AO90" s="39">
        <v>77.894736800000004</v>
      </c>
      <c r="AP90" s="39">
        <v>8.8235294</v>
      </c>
      <c r="AQ90" s="39">
        <v>0.71207430000000005</v>
      </c>
      <c r="AR90" s="40"/>
      <c r="AS90" s="40"/>
    </row>
    <row r="91" spans="2:45" ht="15" customHeight="1" x14ac:dyDescent="0.25">
      <c r="B91" s="41">
        <v>85</v>
      </c>
      <c r="C91" s="42" t="s">
        <v>31</v>
      </c>
      <c r="D91" s="42" t="s">
        <v>28</v>
      </c>
      <c r="E91" s="42" t="s">
        <v>51</v>
      </c>
      <c r="F91" s="42" t="s">
        <v>53</v>
      </c>
      <c r="G91" s="42" t="s">
        <v>53</v>
      </c>
      <c r="H91" s="43">
        <v>8008</v>
      </c>
      <c r="I91" s="43">
        <v>120</v>
      </c>
      <c r="J91" s="43">
        <v>623</v>
      </c>
      <c r="K91" s="43">
        <v>1507</v>
      </c>
      <c r="L91" s="43">
        <v>1664</v>
      </c>
      <c r="M91" s="43">
        <v>2945</v>
      </c>
      <c r="N91" s="43">
        <v>426</v>
      </c>
      <c r="O91" s="43">
        <v>723</v>
      </c>
      <c r="P91" s="44">
        <f>K91+L91+M91+N91+O91</f>
        <v>7265</v>
      </c>
      <c r="Q91" s="44">
        <f>I91+J91</f>
        <v>743</v>
      </c>
      <c r="R91" s="43">
        <v>8651</v>
      </c>
      <c r="S91" s="43">
        <v>394</v>
      </c>
      <c r="T91" s="43">
        <v>1656</v>
      </c>
      <c r="U91" s="43">
        <v>404</v>
      </c>
      <c r="V91" s="43">
        <v>644</v>
      </c>
      <c r="W91" s="43">
        <v>5176</v>
      </c>
      <c r="X91" s="43">
        <v>310</v>
      </c>
      <c r="Y91" s="43">
        <v>67</v>
      </c>
      <c r="Z91" s="45">
        <f>U91+V91+W91+X91+Y91</f>
        <v>6601</v>
      </c>
      <c r="AA91" s="45">
        <f>S91+T91</f>
        <v>2050</v>
      </c>
      <c r="AB91" s="46">
        <v>1.4985014999999999</v>
      </c>
      <c r="AC91" s="46">
        <v>7.7797203000000001</v>
      </c>
      <c r="AD91" s="46">
        <v>18.818681300000001</v>
      </c>
      <c r="AE91" s="46">
        <v>20.779220800000001</v>
      </c>
      <c r="AF91" s="46">
        <v>36.7757243</v>
      </c>
      <c r="AG91" s="46">
        <v>5.3196802999999999</v>
      </c>
      <c r="AH91" s="46">
        <v>9.0284715000000002</v>
      </c>
      <c r="AI91" s="47">
        <f>AB91+AC91</f>
        <v>9.2782218000000007</v>
      </c>
      <c r="AJ91" s="47">
        <f>AD91+AE91+AF91+AG91+AH91</f>
        <v>90.721778200000003</v>
      </c>
      <c r="AK91" s="46">
        <v>4.5543867999999996</v>
      </c>
      <c r="AL91" s="46">
        <v>19.142295699999998</v>
      </c>
      <c r="AM91" s="46">
        <v>4.6699802999999998</v>
      </c>
      <c r="AN91" s="46">
        <v>7.4442260999999998</v>
      </c>
      <c r="AO91" s="46">
        <v>59.831233400000002</v>
      </c>
      <c r="AP91" s="46">
        <v>3.5834008000000002</v>
      </c>
      <c r="AQ91" s="46">
        <v>0.77447690000000002</v>
      </c>
      <c r="AR91" s="48">
        <f>AK91+AL91</f>
        <v>23.696682499999998</v>
      </c>
      <c r="AS91" s="48">
        <f>AM91+AN91+AO91+AP91+AQ91</f>
        <v>76.303317500000006</v>
      </c>
    </row>
    <row r="92" spans="2:45" ht="15" hidden="1" customHeight="1" x14ac:dyDescent="0.25">
      <c r="B92" s="35">
        <v>86</v>
      </c>
      <c r="C92" s="36" t="s">
        <v>31</v>
      </c>
      <c r="D92" s="36" t="s">
        <v>28</v>
      </c>
      <c r="E92" s="36" t="s">
        <v>51</v>
      </c>
      <c r="F92" s="36" t="s">
        <v>53</v>
      </c>
      <c r="G92" s="37" t="s">
        <v>25</v>
      </c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>
        <v>990</v>
      </c>
      <c r="S92" s="38">
        <v>133</v>
      </c>
      <c r="T92" s="38">
        <v>669</v>
      </c>
      <c r="U92" s="38">
        <v>2</v>
      </c>
      <c r="V92" s="38">
        <v>3</v>
      </c>
      <c r="W92" s="38">
        <v>179</v>
      </c>
      <c r="X92" s="38">
        <v>3</v>
      </c>
      <c r="Y92" s="38">
        <v>1</v>
      </c>
      <c r="Z92" s="38"/>
      <c r="AA92" s="38"/>
      <c r="AB92" s="39"/>
      <c r="AC92" s="39"/>
      <c r="AD92" s="39"/>
      <c r="AE92" s="39"/>
      <c r="AF92" s="39"/>
      <c r="AG92" s="39"/>
      <c r="AH92" s="39"/>
      <c r="AI92" s="39"/>
      <c r="AJ92" s="39"/>
      <c r="AK92" s="39">
        <v>13.434343399999999</v>
      </c>
      <c r="AL92" s="39">
        <v>67.575757600000003</v>
      </c>
      <c r="AM92" s="39">
        <v>0.20202020000000001</v>
      </c>
      <c r="AN92" s="39">
        <v>0.30303029999999997</v>
      </c>
      <c r="AO92" s="39">
        <v>18.080808099999999</v>
      </c>
      <c r="AP92" s="39">
        <v>0.30303029999999997</v>
      </c>
      <c r="AQ92" s="39">
        <v>0.10101010000000001</v>
      </c>
      <c r="AR92" s="40"/>
      <c r="AS92" s="40"/>
    </row>
    <row r="93" spans="2:45" ht="15" hidden="1" customHeight="1" x14ac:dyDescent="0.25">
      <c r="B93" s="35">
        <v>87</v>
      </c>
      <c r="C93" s="36" t="s">
        <v>31</v>
      </c>
      <c r="D93" s="36" t="s">
        <v>28</v>
      </c>
      <c r="E93" s="36" t="s">
        <v>51</v>
      </c>
      <c r="F93" s="36" t="s">
        <v>53</v>
      </c>
      <c r="G93" s="37" t="s">
        <v>26</v>
      </c>
      <c r="H93" s="38">
        <v>8008</v>
      </c>
      <c r="I93" s="38">
        <v>120</v>
      </c>
      <c r="J93" s="38">
        <v>623</v>
      </c>
      <c r="K93" s="38">
        <v>1507</v>
      </c>
      <c r="L93" s="38">
        <v>1664</v>
      </c>
      <c r="M93" s="38">
        <v>2945</v>
      </c>
      <c r="N93" s="38">
        <v>426</v>
      </c>
      <c r="O93" s="38">
        <v>723</v>
      </c>
      <c r="P93" s="38"/>
      <c r="Q93" s="38"/>
      <c r="R93" s="38">
        <v>7661</v>
      </c>
      <c r="S93" s="38">
        <v>261</v>
      </c>
      <c r="T93" s="38">
        <v>987</v>
      </c>
      <c r="U93" s="38">
        <v>402</v>
      </c>
      <c r="V93" s="38">
        <v>641</v>
      </c>
      <c r="W93" s="38">
        <v>4997</v>
      </c>
      <c r="X93" s="38">
        <v>307</v>
      </c>
      <c r="Y93" s="38">
        <v>66</v>
      </c>
      <c r="Z93" s="38"/>
      <c r="AA93" s="38"/>
      <c r="AB93" s="39">
        <v>1.4985014999999999</v>
      </c>
      <c r="AC93" s="39">
        <v>7.7797203000000001</v>
      </c>
      <c r="AD93" s="39">
        <v>18.818681300000001</v>
      </c>
      <c r="AE93" s="39">
        <v>20.779220800000001</v>
      </c>
      <c r="AF93" s="39">
        <v>36.7757243</v>
      </c>
      <c r="AG93" s="39">
        <v>5.3196802999999999</v>
      </c>
      <c r="AH93" s="39">
        <v>9.0284715000000002</v>
      </c>
      <c r="AI93" s="39"/>
      <c r="AJ93" s="39"/>
      <c r="AK93" s="39">
        <v>3.4068659000000001</v>
      </c>
      <c r="AL93" s="39">
        <v>12.8834356</v>
      </c>
      <c r="AM93" s="39">
        <v>5.2473567000000001</v>
      </c>
      <c r="AN93" s="39">
        <v>8.3670539000000002</v>
      </c>
      <c r="AO93" s="39">
        <v>65.226471700000005</v>
      </c>
      <c r="AP93" s="39">
        <v>4.0073097999999998</v>
      </c>
      <c r="AQ93" s="39">
        <v>0.86150629999999995</v>
      </c>
      <c r="AR93" s="40"/>
      <c r="AS93" s="40"/>
    </row>
    <row r="94" spans="2:45" ht="15" customHeight="1" x14ac:dyDescent="0.25">
      <c r="B94" s="41">
        <v>88</v>
      </c>
      <c r="C94" s="42" t="s">
        <v>31</v>
      </c>
      <c r="D94" s="42" t="s">
        <v>28</v>
      </c>
      <c r="E94" s="42" t="s">
        <v>51</v>
      </c>
      <c r="F94" s="42" t="s">
        <v>54</v>
      </c>
      <c r="G94" s="42" t="s">
        <v>54</v>
      </c>
      <c r="H94" s="43">
        <v>2779</v>
      </c>
      <c r="I94" s="43">
        <v>43</v>
      </c>
      <c r="J94" s="43">
        <v>233</v>
      </c>
      <c r="K94" s="43">
        <v>1043</v>
      </c>
      <c r="L94" s="43">
        <v>702</v>
      </c>
      <c r="M94" s="43">
        <v>539</v>
      </c>
      <c r="N94" s="43">
        <v>149</v>
      </c>
      <c r="O94" s="43">
        <v>70</v>
      </c>
      <c r="P94" s="44">
        <f>K94+L94+M94+N94+O94</f>
        <v>2503</v>
      </c>
      <c r="Q94" s="44">
        <f>I94+J94</f>
        <v>276</v>
      </c>
      <c r="R94" s="43">
        <v>4071</v>
      </c>
      <c r="S94" s="43">
        <v>189</v>
      </c>
      <c r="T94" s="43">
        <v>558</v>
      </c>
      <c r="U94" s="43">
        <v>465</v>
      </c>
      <c r="V94" s="43">
        <v>277</v>
      </c>
      <c r="W94" s="43">
        <v>2287</v>
      </c>
      <c r="X94" s="43">
        <v>239</v>
      </c>
      <c r="Y94" s="43">
        <v>56</v>
      </c>
      <c r="Z94" s="45">
        <f>U94+V94+W94+X94+Y94</f>
        <v>3324</v>
      </c>
      <c r="AA94" s="45">
        <f>S94+T94</f>
        <v>747</v>
      </c>
      <c r="AB94" s="46">
        <v>1.5473192</v>
      </c>
      <c r="AC94" s="46">
        <v>8.3843108999999991</v>
      </c>
      <c r="AD94" s="46">
        <v>37.531486100000002</v>
      </c>
      <c r="AE94" s="46">
        <v>25.260885200000001</v>
      </c>
      <c r="AF94" s="46">
        <v>19.395465999999999</v>
      </c>
      <c r="AG94" s="46">
        <v>5.3616409000000003</v>
      </c>
      <c r="AH94" s="46">
        <v>2.5188917000000002</v>
      </c>
      <c r="AI94" s="47">
        <f>AB94+AC94</f>
        <v>9.9316300999999996</v>
      </c>
      <c r="AJ94" s="47">
        <f>AD94+AE94+AF94+AG94+AH94</f>
        <v>90.068369899999993</v>
      </c>
      <c r="AK94" s="46">
        <v>4.6425939999999999</v>
      </c>
      <c r="AL94" s="46">
        <v>13.706706000000001</v>
      </c>
      <c r="AM94" s="46">
        <v>11.422255</v>
      </c>
      <c r="AN94" s="46">
        <v>6.8042249999999997</v>
      </c>
      <c r="AO94" s="46">
        <v>56.177843299999999</v>
      </c>
      <c r="AP94" s="46">
        <v>5.8707934000000002</v>
      </c>
      <c r="AQ94" s="46">
        <v>1.3755834</v>
      </c>
      <c r="AR94" s="48">
        <f>AK94+AL94</f>
        <v>18.349299999999999</v>
      </c>
      <c r="AS94" s="48">
        <f>AM94+AN94+AO94+AP94+AQ94</f>
        <v>81.650700099999995</v>
      </c>
    </row>
    <row r="95" spans="2:45" ht="15" hidden="1" customHeight="1" x14ac:dyDescent="0.25">
      <c r="B95" s="35">
        <v>89</v>
      </c>
      <c r="C95" s="36" t="s">
        <v>31</v>
      </c>
      <c r="D95" s="36" t="s">
        <v>28</v>
      </c>
      <c r="E95" s="36" t="s">
        <v>51</v>
      </c>
      <c r="F95" s="36" t="s">
        <v>54</v>
      </c>
      <c r="G95" s="37" t="s">
        <v>25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>
        <v>700</v>
      </c>
      <c r="S95" s="38">
        <v>140</v>
      </c>
      <c r="T95" s="38">
        <v>479</v>
      </c>
      <c r="U95" s="38">
        <v>8</v>
      </c>
      <c r="V95" s="38">
        <v>1</v>
      </c>
      <c r="W95" s="38">
        <v>60</v>
      </c>
      <c r="X95" s="38">
        <v>2</v>
      </c>
      <c r="Y95" s="38">
        <v>10</v>
      </c>
      <c r="Z95" s="38"/>
      <c r="AA95" s="38"/>
      <c r="AB95" s="39"/>
      <c r="AC95" s="39"/>
      <c r="AD95" s="39"/>
      <c r="AE95" s="39"/>
      <c r="AF95" s="39"/>
      <c r="AG95" s="39"/>
      <c r="AH95" s="39"/>
      <c r="AI95" s="39"/>
      <c r="AJ95" s="39"/>
      <c r="AK95" s="39">
        <v>20</v>
      </c>
      <c r="AL95" s="39">
        <v>68.428571399999996</v>
      </c>
      <c r="AM95" s="39">
        <v>1.1428571000000001</v>
      </c>
      <c r="AN95" s="39">
        <v>0.14285709999999999</v>
      </c>
      <c r="AO95" s="39">
        <v>8.5714286000000008</v>
      </c>
      <c r="AP95" s="39">
        <v>0.28571429999999998</v>
      </c>
      <c r="AQ95" s="39">
        <v>1.4285714</v>
      </c>
      <c r="AR95" s="40"/>
      <c r="AS95" s="40"/>
    </row>
    <row r="96" spans="2:45" ht="15" hidden="1" customHeight="1" x14ac:dyDescent="0.25">
      <c r="B96" s="35">
        <v>90</v>
      </c>
      <c r="C96" s="36" t="s">
        <v>31</v>
      </c>
      <c r="D96" s="36" t="s">
        <v>28</v>
      </c>
      <c r="E96" s="36" t="s">
        <v>51</v>
      </c>
      <c r="F96" s="36" t="s">
        <v>54</v>
      </c>
      <c r="G96" s="37" t="s">
        <v>26</v>
      </c>
      <c r="H96" s="38">
        <v>2779</v>
      </c>
      <c r="I96" s="38">
        <v>43</v>
      </c>
      <c r="J96" s="38">
        <v>233</v>
      </c>
      <c r="K96" s="38">
        <v>1043</v>
      </c>
      <c r="L96" s="38">
        <v>702</v>
      </c>
      <c r="M96" s="38">
        <v>539</v>
      </c>
      <c r="N96" s="38">
        <v>149</v>
      </c>
      <c r="O96" s="38">
        <v>70</v>
      </c>
      <c r="P96" s="38"/>
      <c r="Q96" s="38"/>
      <c r="R96" s="38">
        <v>3371</v>
      </c>
      <c r="S96" s="38">
        <v>49</v>
      </c>
      <c r="T96" s="38">
        <v>79</v>
      </c>
      <c r="U96" s="38">
        <v>457</v>
      </c>
      <c r="V96" s="38">
        <v>276</v>
      </c>
      <c r="W96" s="38">
        <v>2227</v>
      </c>
      <c r="X96" s="38">
        <v>237</v>
      </c>
      <c r="Y96" s="38">
        <v>46</v>
      </c>
      <c r="Z96" s="38"/>
      <c r="AA96" s="38"/>
      <c r="AB96" s="39">
        <v>1.5473192</v>
      </c>
      <c r="AC96" s="39">
        <v>8.3843108999999991</v>
      </c>
      <c r="AD96" s="39">
        <v>37.531486100000002</v>
      </c>
      <c r="AE96" s="39">
        <v>25.260885200000001</v>
      </c>
      <c r="AF96" s="39">
        <v>19.395465999999999</v>
      </c>
      <c r="AG96" s="39">
        <v>5.3616409000000003</v>
      </c>
      <c r="AH96" s="39">
        <v>2.5188917000000002</v>
      </c>
      <c r="AI96" s="39"/>
      <c r="AJ96" s="39"/>
      <c r="AK96" s="39">
        <v>1.4535746</v>
      </c>
      <c r="AL96" s="39">
        <v>2.3435182000000001</v>
      </c>
      <c r="AM96" s="39">
        <v>13.5568081</v>
      </c>
      <c r="AN96" s="39">
        <v>8.1874815000000005</v>
      </c>
      <c r="AO96" s="39">
        <v>66.0634826</v>
      </c>
      <c r="AP96" s="39">
        <v>7.0305546999999997</v>
      </c>
      <c r="AQ96" s="39">
        <v>1.3645802</v>
      </c>
      <c r="AR96" s="40"/>
      <c r="AS96" s="40"/>
    </row>
    <row r="97" spans="2:45" ht="15" customHeight="1" x14ac:dyDescent="0.25">
      <c r="B97" s="41">
        <v>91</v>
      </c>
      <c r="C97" s="42" t="s">
        <v>31</v>
      </c>
      <c r="D97" s="42" t="s">
        <v>28</v>
      </c>
      <c r="E97" s="42" t="s">
        <v>51</v>
      </c>
      <c r="F97" s="42" t="s">
        <v>55</v>
      </c>
      <c r="G97" s="42" t="s">
        <v>55</v>
      </c>
      <c r="H97" s="43">
        <v>3475</v>
      </c>
      <c r="I97" s="43">
        <v>70</v>
      </c>
      <c r="J97" s="43">
        <v>461</v>
      </c>
      <c r="K97" s="43">
        <v>1480</v>
      </c>
      <c r="L97" s="43">
        <v>636</v>
      </c>
      <c r="M97" s="43">
        <v>654</v>
      </c>
      <c r="N97" s="43">
        <v>131</v>
      </c>
      <c r="O97" s="43">
        <v>43</v>
      </c>
      <c r="P97" s="44">
        <f>K97+L97+M97+N97+O97</f>
        <v>2944</v>
      </c>
      <c r="Q97" s="44">
        <f>I97+J97</f>
        <v>531</v>
      </c>
      <c r="R97" s="43">
        <v>4000</v>
      </c>
      <c r="S97" s="43">
        <v>205</v>
      </c>
      <c r="T97" s="43">
        <v>977</v>
      </c>
      <c r="U97" s="43">
        <v>478</v>
      </c>
      <c r="V97" s="43">
        <v>243</v>
      </c>
      <c r="W97" s="43">
        <v>1907</v>
      </c>
      <c r="X97" s="43">
        <v>146</v>
      </c>
      <c r="Y97" s="43">
        <v>44</v>
      </c>
      <c r="Z97" s="45">
        <f>U97+V97+W97+X97+Y97</f>
        <v>2818</v>
      </c>
      <c r="AA97" s="45">
        <f>S97+T97</f>
        <v>1182</v>
      </c>
      <c r="AB97" s="46">
        <v>2.0143884999999999</v>
      </c>
      <c r="AC97" s="46">
        <v>13.2661871</v>
      </c>
      <c r="AD97" s="46">
        <v>42.589928100000002</v>
      </c>
      <c r="AE97" s="46">
        <v>18.302158299999999</v>
      </c>
      <c r="AF97" s="46">
        <v>18.820143900000001</v>
      </c>
      <c r="AG97" s="46">
        <v>3.7697842000000001</v>
      </c>
      <c r="AH97" s="46">
        <v>1.2374101</v>
      </c>
      <c r="AI97" s="47">
        <f>AB97+AC97</f>
        <v>15.280575599999999</v>
      </c>
      <c r="AJ97" s="47">
        <f>AD97+AE97+AF97+AG97+AH97</f>
        <v>84.719424600000011</v>
      </c>
      <c r="AK97" s="46">
        <v>5.125</v>
      </c>
      <c r="AL97" s="46">
        <v>24.425000000000001</v>
      </c>
      <c r="AM97" s="46">
        <v>11.95</v>
      </c>
      <c r="AN97" s="46">
        <v>6.0750000000000002</v>
      </c>
      <c r="AO97" s="46">
        <v>47.674999999999997</v>
      </c>
      <c r="AP97" s="46">
        <v>3.65</v>
      </c>
      <c r="AQ97" s="46">
        <v>1.1000000000000001</v>
      </c>
      <c r="AR97" s="48">
        <f>AK97+AL97</f>
        <v>29.55</v>
      </c>
      <c r="AS97" s="48">
        <f>AM97+AN97+AO97+AP97+AQ97</f>
        <v>70.449999999999989</v>
      </c>
    </row>
    <row r="98" spans="2:45" ht="15" hidden="1" customHeight="1" x14ac:dyDescent="0.25">
      <c r="B98" s="35">
        <v>92</v>
      </c>
      <c r="C98" s="36" t="s">
        <v>31</v>
      </c>
      <c r="D98" s="36" t="s">
        <v>28</v>
      </c>
      <c r="E98" s="36" t="s">
        <v>51</v>
      </c>
      <c r="F98" s="36" t="s">
        <v>55</v>
      </c>
      <c r="G98" s="37" t="s">
        <v>25</v>
      </c>
      <c r="H98" s="38">
        <v>577</v>
      </c>
      <c r="I98" s="38">
        <v>68</v>
      </c>
      <c r="J98" s="38">
        <v>448</v>
      </c>
      <c r="K98" s="38">
        <v>18</v>
      </c>
      <c r="L98" s="38">
        <v>16</v>
      </c>
      <c r="M98" s="38">
        <v>26</v>
      </c>
      <c r="N98" s="38">
        <v>1</v>
      </c>
      <c r="O98" s="38">
        <v>0</v>
      </c>
      <c r="P98" s="38"/>
      <c r="Q98" s="38"/>
      <c r="R98" s="38">
        <v>825</v>
      </c>
      <c r="S98" s="38">
        <v>111</v>
      </c>
      <c r="T98" s="38">
        <v>677</v>
      </c>
      <c r="U98" s="38">
        <v>5</v>
      </c>
      <c r="V98" s="38">
        <v>1</v>
      </c>
      <c r="W98" s="38">
        <v>28</v>
      </c>
      <c r="X98" s="38">
        <v>1</v>
      </c>
      <c r="Y98" s="38">
        <v>2</v>
      </c>
      <c r="Z98" s="38"/>
      <c r="AA98" s="38"/>
      <c r="AB98" s="39">
        <v>11.7850953</v>
      </c>
      <c r="AC98" s="39">
        <v>77.642980899999998</v>
      </c>
      <c r="AD98" s="39">
        <v>3.1195841</v>
      </c>
      <c r="AE98" s="39">
        <v>2.7729636000000002</v>
      </c>
      <c r="AF98" s="39">
        <v>4.5060659000000003</v>
      </c>
      <c r="AG98" s="39">
        <v>0.1733102</v>
      </c>
      <c r="AH98" s="39">
        <v>0</v>
      </c>
      <c r="AI98" s="39"/>
      <c r="AJ98" s="39"/>
      <c r="AK98" s="39">
        <v>13.4545455</v>
      </c>
      <c r="AL98" s="39">
        <v>82.060606100000001</v>
      </c>
      <c r="AM98" s="39">
        <v>0.60606059999999995</v>
      </c>
      <c r="AN98" s="39">
        <v>0.1212121</v>
      </c>
      <c r="AO98" s="39">
        <v>3.3939393999999998</v>
      </c>
      <c r="AP98" s="39">
        <v>0.1212121</v>
      </c>
      <c r="AQ98" s="39">
        <v>0.24242420000000001</v>
      </c>
      <c r="AR98" s="40"/>
      <c r="AS98" s="40"/>
    </row>
    <row r="99" spans="2:45" ht="15" hidden="1" customHeight="1" x14ac:dyDescent="0.25">
      <c r="B99" s="35">
        <v>93</v>
      </c>
      <c r="C99" s="36" t="s">
        <v>31</v>
      </c>
      <c r="D99" s="36" t="s">
        <v>28</v>
      </c>
      <c r="E99" s="36" t="s">
        <v>51</v>
      </c>
      <c r="F99" s="36" t="s">
        <v>55</v>
      </c>
      <c r="G99" s="37" t="s">
        <v>26</v>
      </c>
      <c r="H99" s="38">
        <v>2898</v>
      </c>
      <c r="I99" s="38">
        <v>2</v>
      </c>
      <c r="J99" s="38">
        <v>13</v>
      </c>
      <c r="K99" s="38">
        <v>1462</v>
      </c>
      <c r="L99" s="38">
        <v>620</v>
      </c>
      <c r="M99" s="38">
        <v>628</v>
      </c>
      <c r="N99" s="38">
        <v>130</v>
      </c>
      <c r="O99" s="38">
        <v>43</v>
      </c>
      <c r="P99" s="38"/>
      <c r="Q99" s="38"/>
      <c r="R99" s="38">
        <v>3175</v>
      </c>
      <c r="S99" s="38">
        <v>94</v>
      </c>
      <c r="T99" s="38">
        <v>300</v>
      </c>
      <c r="U99" s="38">
        <v>473</v>
      </c>
      <c r="V99" s="38">
        <v>242</v>
      </c>
      <c r="W99" s="38">
        <v>1879</v>
      </c>
      <c r="X99" s="38">
        <v>145</v>
      </c>
      <c r="Y99" s="38">
        <v>42</v>
      </c>
      <c r="Z99" s="38"/>
      <c r="AA99" s="38"/>
      <c r="AB99" s="39">
        <v>6.9013099999999994E-2</v>
      </c>
      <c r="AC99" s="39">
        <v>0.44858520000000002</v>
      </c>
      <c r="AD99" s="39">
        <v>50.448585199999997</v>
      </c>
      <c r="AE99" s="39">
        <v>21.3940649</v>
      </c>
      <c r="AF99" s="39">
        <v>21.670117300000001</v>
      </c>
      <c r="AG99" s="39">
        <v>4.4858523000000003</v>
      </c>
      <c r="AH99" s="39">
        <v>1.4837819000000001</v>
      </c>
      <c r="AI99" s="39"/>
      <c r="AJ99" s="39"/>
      <c r="AK99" s="39">
        <v>2.9606298999999998</v>
      </c>
      <c r="AL99" s="39">
        <v>9.4488188999999991</v>
      </c>
      <c r="AM99" s="39">
        <v>14.8976378</v>
      </c>
      <c r="AN99" s="39">
        <v>7.6220471999999999</v>
      </c>
      <c r="AO99" s="39">
        <v>59.1811024</v>
      </c>
      <c r="AP99" s="39">
        <v>4.5669291000000003</v>
      </c>
      <c r="AQ99" s="39">
        <v>1.3228346</v>
      </c>
      <c r="AR99" s="40"/>
      <c r="AS99" s="40"/>
    </row>
    <row r="100" spans="2:45" ht="15" hidden="1" customHeight="1" x14ac:dyDescent="0.25">
      <c r="B100" s="30">
        <v>94</v>
      </c>
      <c r="C100" s="31" t="s">
        <v>29</v>
      </c>
      <c r="D100" s="31" t="s">
        <v>28</v>
      </c>
      <c r="E100" s="31" t="s">
        <v>56</v>
      </c>
      <c r="F100" s="31"/>
      <c r="G100" s="31" t="s">
        <v>56</v>
      </c>
      <c r="H100" s="32">
        <v>3196</v>
      </c>
      <c r="I100" s="32">
        <v>103</v>
      </c>
      <c r="J100" s="32">
        <v>848</v>
      </c>
      <c r="K100" s="32">
        <v>1428</v>
      </c>
      <c r="L100" s="32">
        <v>159</v>
      </c>
      <c r="M100" s="32">
        <v>468</v>
      </c>
      <c r="N100" s="32">
        <v>83</v>
      </c>
      <c r="O100" s="32">
        <v>107</v>
      </c>
      <c r="P100" s="32"/>
      <c r="Q100" s="32"/>
      <c r="R100" s="32">
        <v>3187</v>
      </c>
      <c r="S100" s="32">
        <v>188</v>
      </c>
      <c r="T100" s="32">
        <v>928</v>
      </c>
      <c r="U100" s="32">
        <v>727</v>
      </c>
      <c r="V100" s="32">
        <v>86</v>
      </c>
      <c r="W100" s="32">
        <v>1104</v>
      </c>
      <c r="X100" s="32">
        <v>125</v>
      </c>
      <c r="Y100" s="32">
        <v>29</v>
      </c>
      <c r="Z100" s="32"/>
      <c r="AA100" s="32"/>
      <c r="AB100" s="33">
        <v>3.2227785</v>
      </c>
      <c r="AC100" s="33">
        <v>26.5331665</v>
      </c>
      <c r="AD100" s="33">
        <v>44.680851099999998</v>
      </c>
      <c r="AE100" s="33">
        <v>4.9749686999999998</v>
      </c>
      <c r="AF100" s="33">
        <v>14.6433041</v>
      </c>
      <c r="AG100" s="33">
        <v>2.5969962</v>
      </c>
      <c r="AH100" s="33">
        <v>3.3479348999999998</v>
      </c>
      <c r="AI100" s="33"/>
      <c r="AJ100" s="33"/>
      <c r="AK100" s="33">
        <v>5.8989644999999999</v>
      </c>
      <c r="AL100" s="33">
        <v>29.118293099999999</v>
      </c>
      <c r="AM100" s="33">
        <v>22.8114214</v>
      </c>
      <c r="AN100" s="33">
        <v>2.6984625000000002</v>
      </c>
      <c r="AO100" s="33">
        <v>34.640728000000003</v>
      </c>
      <c r="AP100" s="33">
        <v>3.9221838999999998</v>
      </c>
      <c r="AQ100" s="33">
        <v>0.9099467</v>
      </c>
      <c r="AR100" s="34"/>
      <c r="AS100" s="34"/>
    </row>
    <row r="101" spans="2:45" ht="15" hidden="1" customHeight="1" x14ac:dyDescent="0.25">
      <c r="B101" s="35">
        <v>95</v>
      </c>
      <c r="C101" s="36" t="s">
        <v>29</v>
      </c>
      <c r="D101" s="36" t="s">
        <v>28</v>
      </c>
      <c r="E101" s="36" t="s">
        <v>56</v>
      </c>
      <c r="F101" s="36"/>
      <c r="G101" s="37" t="s">
        <v>25</v>
      </c>
      <c r="H101" s="38">
        <v>1035</v>
      </c>
      <c r="I101" s="38">
        <v>98</v>
      </c>
      <c r="J101" s="38">
        <v>838</v>
      </c>
      <c r="K101" s="38">
        <v>49</v>
      </c>
      <c r="L101" s="38">
        <v>7</v>
      </c>
      <c r="M101" s="38">
        <v>38</v>
      </c>
      <c r="N101" s="38">
        <v>4</v>
      </c>
      <c r="O101" s="38">
        <v>1</v>
      </c>
      <c r="P101" s="38"/>
      <c r="Q101" s="38"/>
      <c r="R101" s="38">
        <v>1189</v>
      </c>
      <c r="S101" s="38">
        <v>171</v>
      </c>
      <c r="T101" s="38">
        <v>916</v>
      </c>
      <c r="U101" s="38">
        <v>17</v>
      </c>
      <c r="V101" s="38">
        <v>0</v>
      </c>
      <c r="W101" s="38">
        <v>77</v>
      </c>
      <c r="X101" s="38">
        <v>5</v>
      </c>
      <c r="Y101" s="38">
        <v>3</v>
      </c>
      <c r="Z101" s="38"/>
      <c r="AA101" s="38"/>
      <c r="AB101" s="39">
        <v>9.4685989999999993</v>
      </c>
      <c r="AC101" s="39">
        <v>80.966183599999994</v>
      </c>
      <c r="AD101" s="39">
        <v>4.7342994999999997</v>
      </c>
      <c r="AE101" s="39">
        <v>0.6763285</v>
      </c>
      <c r="AF101" s="39">
        <v>3.6714975999999999</v>
      </c>
      <c r="AG101" s="39">
        <v>0.38647340000000002</v>
      </c>
      <c r="AH101" s="39">
        <v>9.6618399999999993E-2</v>
      </c>
      <c r="AI101" s="39"/>
      <c r="AJ101" s="39"/>
      <c r="AK101" s="39">
        <v>14.381833500000001</v>
      </c>
      <c r="AL101" s="39">
        <v>77.039529000000002</v>
      </c>
      <c r="AM101" s="39">
        <v>1.4297728999999999</v>
      </c>
      <c r="AN101" s="39">
        <v>0</v>
      </c>
      <c r="AO101" s="39">
        <v>6.4760302999999997</v>
      </c>
      <c r="AP101" s="39">
        <v>0.42052139999999999</v>
      </c>
      <c r="AQ101" s="39">
        <v>0.25231290000000001</v>
      </c>
      <c r="AR101" s="40"/>
      <c r="AS101" s="40"/>
    </row>
    <row r="102" spans="2:45" ht="15" hidden="1" customHeight="1" x14ac:dyDescent="0.25">
      <c r="B102" s="35">
        <v>96</v>
      </c>
      <c r="C102" s="36" t="s">
        <v>29</v>
      </c>
      <c r="D102" s="36" t="s">
        <v>28</v>
      </c>
      <c r="E102" s="36" t="s">
        <v>56</v>
      </c>
      <c r="F102" s="36"/>
      <c r="G102" s="37" t="s">
        <v>26</v>
      </c>
      <c r="H102" s="38">
        <v>2161</v>
      </c>
      <c r="I102" s="38">
        <v>5</v>
      </c>
      <c r="J102" s="38">
        <v>10</v>
      </c>
      <c r="K102" s="38">
        <v>1379</v>
      </c>
      <c r="L102" s="38">
        <v>152</v>
      </c>
      <c r="M102" s="38">
        <v>430</v>
      </c>
      <c r="N102" s="38">
        <v>79</v>
      </c>
      <c r="O102" s="38">
        <v>106</v>
      </c>
      <c r="P102" s="38"/>
      <c r="Q102" s="38"/>
      <c r="R102" s="38">
        <v>1998</v>
      </c>
      <c r="S102" s="38">
        <v>17</v>
      </c>
      <c r="T102" s="38">
        <v>12</v>
      </c>
      <c r="U102" s="38">
        <v>710</v>
      </c>
      <c r="V102" s="38">
        <v>86</v>
      </c>
      <c r="W102" s="38">
        <v>1027</v>
      </c>
      <c r="X102" s="38">
        <v>120</v>
      </c>
      <c r="Y102" s="38">
        <v>26</v>
      </c>
      <c r="Z102" s="38"/>
      <c r="AA102" s="38"/>
      <c r="AB102" s="39">
        <v>0.23137440000000001</v>
      </c>
      <c r="AC102" s="39">
        <v>0.46274870000000001</v>
      </c>
      <c r="AD102" s="39">
        <v>63.813049499999998</v>
      </c>
      <c r="AE102" s="39">
        <v>7.0337807000000003</v>
      </c>
      <c r="AF102" s="39">
        <v>19.898195300000001</v>
      </c>
      <c r="AG102" s="39">
        <v>3.6557149</v>
      </c>
      <c r="AH102" s="39">
        <v>4.9051365000000002</v>
      </c>
      <c r="AI102" s="39"/>
      <c r="AJ102" s="39"/>
      <c r="AK102" s="39">
        <v>0.85085089999999997</v>
      </c>
      <c r="AL102" s="39">
        <v>0.60060060000000004</v>
      </c>
      <c r="AM102" s="39">
        <v>35.535535500000002</v>
      </c>
      <c r="AN102" s="39">
        <v>4.3043043000000001</v>
      </c>
      <c r="AO102" s="39">
        <v>51.401401399999997</v>
      </c>
      <c r="AP102" s="39">
        <v>6.0060060000000002</v>
      </c>
      <c r="AQ102" s="39">
        <v>1.3013013</v>
      </c>
      <c r="AR102" s="40"/>
      <c r="AS102" s="40"/>
    </row>
    <row r="103" spans="2:45" ht="15" customHeight="1" x14ac:dyDescent="0.25">
      <c r="B103" s="41">
        <v>97</v>
      </c>
      <c r="C103" s="42" t="s">
        <v>31</v>
      </c>
      <c r="D103" s="42" t="s">
        <v>28</v>
      </c>
      <c r="E103" s="42" t="s">
        <v>56</v>
      </c>
      <c r="F103" s="42" t="s">
        <v>57</v>
      </c>
      <c r="G103" s="42" t="s">
        <v>57</v>
      </c>
      <c r="H103" s="43">
        <v>3196</v>
      </c>
      <c r="I103" s="43">
        <v>103</v>
      </c>
      <c r="J103" s="43">
        <v>848</v>
      </c>
      <c r="K103" s="43">
        <v>1428</v>
      </c>
      <c r="L103" s="43">
        <v>159</v>
      </c>
      <c r="M103" s="43">
        <v>468</v>
      </c>
      <c r="N103" s="43">
        <v>83</v>
      </c>
      <c r="O103" s="43">
        <v>107</v>
      </c>
      <c r="P103" s="44">
        <f>K103+L103+M103+N103+O103</f>
        <v>2245</v>
      </c>
      <c r="Q103" s="44">
        <f>I103+J103</f>
        <v>951</v>
      </c>
      <c r="R103" s="43">
        <v>3187</v>
      </c>
      <c r="S103" s="43">
        <v>188</v>
      </c>
      <c r="T103" s="43">
        <v>928</v>
      </c>
      <c r="U103" s="43">
        <v>727</v>
      </c>
      <c r="V103" s="43">
        <v>86</v>
      </c>
      <c r="W103" s="43">
        <v>1104</v>
      </c>
      <c r="X103" s="43">
        <v>125</v>
      </c>
      <c r="Y103" s="43">
        <v>29</v>
      </c>
      <c r="Z103" s="45">
        <f>U103+V103+W103+X103+Y103</f>
        <v>2071</v>
      </c>
      <c r="AA103" s="45">
        <f>S103+T103</f>
        <v>1116</v>
      </c>
      <c r="AB103" s="46">
        <v>3.2227785</v>
      </c>
      <c r="AC103" s="46">
        <v>26.5331665</v>
      </c>
      <c r="AD103" s="46">
        <v>44.680851099999998</v>
      </c>
      <c r="AE103" s="46">
        <v>4.9749686999999998</v>
      </c>
      <c r="AF103" s="46">
        <v>14.6433041</v>
      </c>
      <c r="AG103" s="46">
        <v>2.5969962</v>
      </c>
      <c r="AH103" s="46">
        <v>3.3479348999999998</v>
      </c>
      <c r="AI103" s="47">
        <f>AB103+AC103</f>
        <v>29.755945000000001</v>
      </c>
      <c r="AJ103" s="47">
        <f>AD103+AE103+AF103+AG103+AH103</f>
        <v>70.244055000000003</v>
      </c>
      <c r="AK103" s="46">
        <v>5.8989644999999999</v>
      </c>
      <c r="AL103" s="46">
        <v>29.118293099999999</v>
      </c>
      <c r="AM103" s="46">
        <v>22.8114214</v>
      </c>
      <c r="AN103" s="46">
        <v>2.6984625000000002</v>
      </c>
      <c r="AO103" s="46">
        <v>34.640728000000003</v>
      </c>
      <c r="AP103" s="46">
        <v>3.9221838999999998</v>
      </c>
      <c r="AQ103" s="46">
        <v>0.9099467</v>
      </c>
      <c r="AR103" s="48">
        <f>AK103+AL103</f>
        <v>35.017257600000001</v>
      </c>
      <c r="AS103" s="48">
        <f>AM103+AN103+AO103+AP103+AQ103</f>
        <v>64.982742500000001</v>
      </c>
    </row>
    <row r="104" spans="2:45" ht="15" hidden="1" customHeight="1" x14ac:dyDescent="0.25">
      <c r="B104" s="35">
        <v>98</v>
      </c>
      <c r="C104" s="36" t="s">
        <v>31</v>
      </c>
      <c r="D104" s="36" t="s">
        <v>28</v>
      </c>
      <c r="E104" s="36" t="s">
        <v>56</v>
      </c>
      <c r="F104" s="36" t="s">
        <v>57</v>
      </c>
      <c r="G104" s="37" t="s">
        <v>25</v>
      </c>
      <c r="H104" s="38">
        <v>1035</v>
      </c>
      <c r="I104" s="38">
        <v>98</v>
      </c>
      <c r="J104" s="38">
        <v>838</v>
      </c>
      <c r="K104" s="38">
        <v>49</v>
      </c>
      <c r="L104" s="38">
        <v>7</v>
      </c>
      <c r="M104" s="38">
        <v>38</v>
      </c>
      <c r="N104" s="38">
        <v>4</v>
      </c>
      <c r="O104" s="38">
        <v>1</v>
      </c>
      <c r="P104" s="38"/>
      <c r="Q104" s="38"/>
      <c r="R104" s="38">
        <v>1189</v>
      </c>
      <c r="S104" s="38">
        <v>171</v>
      </c>
      <c r="T104" s="38">
        <v>916</v>
      </c>
      <c r="U104" s="38">
        <v>17</v>
      </c>
      <c r="V104" s="38">
        <v>0</v>
      </c>
      <c r="W104" s="38">
        <v>77</v>
      </c>
      <c r="X104" s="38">
        <v>5</v>
      </c>
      <c r="Y104" s="38">
        <v>3</v>
      </c>
      <c r="Z104" s="38"/>
      <c r="AA104" s="38"/>
      <c r="AB104" s="39">
        <v>9.4685989999999993</v>
      </c>
      <c r="AC104" s="39">
        <v>80.966183599999994</v>
      </c>
      <c r="AD104" s="39">
        <v>4.7342994999999997</v>
      </c>
      <c r="AE104" s="39">
        <v>0.6763285</v>
      </c>
      <c r="AF104" s="39">
        <v>3.6714975999999999</v>
      </c>
      <c r="AG104" s="39">
        <v>0.38647340000000002</v>
      </c>
      <c r="AH104" s="39">
        <v>9.6618399999999993E-2</v>
      </c>
      <c r="AI104" s="39"/>
      <c r="AJ104" s="39"/>
      <c r="AK104" s="39">
        <v>14.381833500000001</v>
      </c>
      <c r="AL104" s="39">
        <v>77.039529000000002</v>
      </c>
      <c r="AM104" s="39">
        <v>1.4297728999999999</v>
      </c>
      <c r="AN104" s="39">
        <v>0</v>
      </c>
      <c r="AO104" s="39">
        <v>6.4760302999999997</v>
      </c>
      <c r="AP104" s="39">
        <v>0.42052139999999999</v>
      </c>
      <c r="AQ104" s="39">
        <v>0.25231290000000001</v>
      </c>
      <c r="AR104" s="40"/>
      <c r="AS104" s="40"/>
    </row>
    <row r="105" spans="2:45" ht="15" hidden="1" customHeight="1" x14ac:dyDescent="0.25">
      <c r="B105" s="35">
        <v>99</v>
      </c>
      <c r="C105" s="36" t="s">
        <v>31</v>
      </c>
      <c r="D105" s="36" t="s">
        <v>28</v>
      </c>
      <c r="E105" s="36" t="s">
        <v>56</v>
      </c>
      <c r="F105" s="36" t="s">
        <v>57</v>
      </c>
      <c r="G105" s="37" t="s">
        <v>26</v>
      </c>
      <c r="H105" s="38">
        <v>2161</v>
      </c>
      <c r="I105" s="38">
        <v>5</v>
      </c>
      <c r="J105" s="38">
        <v>10</v>
      </c>
      <c r="K105" s="38">
        <v>1379</v>
      </c>
      <c r="L105" s="38">
        <v>152</v>
      </c>
      <c r="M105" s="38">
        <v>430</v>
      </c>
      <c r="N105" s="38">
        <v>79</v>
      </c>
      <c r="O105" s="38">
        <v>106</v>
      </c>
      <c r="P105" s="38"/>
      <c r="Q105" s="38"/>
      <c r="R105" s="38">
        <v>1998</v>
      </c>
      <c r="S105" s="38">
        <v>17</v>
      </c>
      <c r="T105" s="38">
        <v>12</v>
      </c>
      <c r="U105" s="38">
        <v>710</v>
      </c>
      <c r="V105" s="38">
        <v>86</v>
      </c>
      <c r="W105" s="38">
        <v>1027</v>
      </c>
      <c r="X105" s="38">
        <v>120</v>
      </c>
      <c r="Y105" s="38">
        <v>26</v>
      </c>
      <c r="Z105" s="38"/>
      <c r="AA105" s="38"/>
      <c r="AB105" s="39">
        <v>0.23137440000000001</v>
      </c>
      <c r="AC105" s="39">
        <v>0.46274870000000001</v>
      </c>
      <c r="AD105" s="39">
        <v>63.813049499999998</v>
      </c>
      <c r="AE105" s="39">
        <v>7.0337807000000003</v>
      </c>
      <c r="AF105" s="39">
        <v>19.898195300000001</v>
      </c>
      <c r="AG105" s="39">
        <v>3.6557149</v>
      </c>
      <c r="AH105" s="39">
        <v>4.9051365000000002</v>
      </c>
      <c r="AI105" s="39"/>
      <c r="AJ105" s="39"/>
      <c r="AK105" s="39">
        <v>0.85085089999999997</v>
      </c>
      <c r="AL105" s="39">
        <v>0.60060060000000004</v>
      </c>
      <c r="AM105" s="39">
        <v>35.535535500000002</v>
      </c>
      <c r="AN105" s="39">
        <v>4.3043043000000001</v>
      </c>
      <c r="AO105" s="39">
        <v>51.401401399999997</v>
      </c>
      <c r="AP105" s="39">
        <v>6.0060060000000002</v>
      </c>
      <c r="AQ105" s="39">
        <v>1.3013013</v>
      </c>
      <c r="AR105" s="40"/>
      <c r="AS105" s="40"/>
    </row>
    <row r="106" spans="2:45" ht="15" hidden="1" customHeight="1" x14ac:dyDescent="0.25">
      <c r="B106" s="30">
        <v>100</v>
      </c>
      <c r="C106" s="31" t="s">
        <v>29</v>
      </c>
      <c r="D106" s="31" t="s">
        <v>28</v>
      </c>
      <c r="E106" s="31" t="s">
        <v>58</v>
      </c>
      <c r="F106" s="31"/>
      <c r="G106" s="31" t="s">
        <v>58</v>
      </c>
      <c r="H106" s="32">
        <v>6374</v>
      </c>
      <c r="I106" s="32">
        <v>134</v>
      </c>
      <c r="J106" s="32">
        <v>966</v>
      </c>
      <c r="K106" s="32">
        <v>1592</v>
      </c>
      <c r="L106" s="32">
        <v>439</v>
      </c>
      <c r="M106" s="32">
        <v>2582</v>
      </c>
      <c r="N106" s="32">
        <v>485</v>
      </c>
      <c r="O106" s="32">
        <v>176</v>
      </c>
      <c r="P106" s="32"/>
      <c r="Q106" s="32"/>
      <c r="R106" s="32">
        <v>7311</v>
      </c>
      <c r="S106" s="32">
        <v>263</v>
      </c>
      <c r="T106" s="32">
        <v>1512</v>
      </c>
      <c r="U106" s="32">
        <v>637</v>
      </c>
      <c r="V106" s="32">
        <v>166</v>
      </c>
      <c r="W106" s="32">
        <v>4102</v>
      </c>
      <c r="X106" s="32">
        <v>485</v>
      </c>
      <c r="Y106" s="32">
        <v>146</v>
      </c>
      <c r="Z106" s="32"/>
      <c r="AA106" s="32"/>
      <c r="AB106" s="33">
        <v>2.1022905999999999</v>
      </c>
      <c r="AC106" s="33">
        <v>15.1553185</v>
      </c>
      <c r="AD106" s="33">
        <v>24.976466899999998</v>
      </c>
      <c r="AE106" s="33">
        <v>6.8873549000000001</v>
      </c>
      <c r="AF106" s="33">
        <v>40.508315000000003</v>
      </c>
      <c r="AG106" s="33">
        <v>7.6090366999999999</v>
      </c>
      <c r="AH106" s="33">
        <v>2.7612174</v>
      </c>
      <c r="AI106" s="33"/>
      <c r="AJ106" s="33"/>
      <c r="AK106" s="33">
        <v>3.5973191</v>
      </c>
      <c r="AL106" s="33">
        <v>20.681165400000001</v>
      </c>
      <c r="AM106" s="33">
        <v>8.7128984000000003</v>
      </c>
      <c r="AN106" s="33">
        <v>2.2705511999999999</v>
      </c>
      <c r="AO106" s="33">
        <v>56.107235699999997</v>
      </c>
      <c r="AP106" s="33">
        <v>6.6338394000000003</v>
      </c>
      <c r="AQ106" s="33">
        <v>1.9969908000000001</v>
      </c>
      <c r="AR106" s="34"/>
      <c r="AS106" s="34"/>
    </row>
    <row r="107" spans="2:45" ht="15" hidden="1" customHeight="1" x14ac:dyDescent="0.25">
      <c r="B107" s="35">
        <v>101</v>
      </c>
      <c r="C107" s="36" t="s">
        <v>29</v>
      </c>
      <c r="D107" s="36" t="s">
        <v>28</v>
      </c>
      <c r="E107" s="36" t="s">
        <v>58</v>
      </c>
      <c r="F107" s="36"/>
      <c r="G107" s="37" t="s">
        <v>25</v>
      </c>
      <c r="H107" s="38">
        <v>736</v>
      </c>
      <c r="I107" s="38">
        <v>69</v>
      </c>
      <c r="J107" s="38">
        <v>587</v>
      </c>
      <c r="K107" s="38">
        <v>22</v>
      </c>
      <c r="L107" s="38">
        <v>15</v>
      </c>
      <c r="M107" s="38">
        <v>40</v>
      </c>
      <c r="N107" s="38">
        <v>3</v>
      </c>
      <c r="O107" s="38">
        <v>0</v>
      </c>
      <c r="P107" s="38"/>
      <c r="Q107" s="38"/>
      <c r="R107" s="38">
        <v>1645</v>
      </c>
      <c r="S107" s="38">
        <v>185</v>
      </c>
      <c r="T107" s="38">
        <v>1163</v>
      </c>
      <c r="U107" s="38">
        <v>25</v>
      </c>
      <c r="V107" s="38">
        <v>7</v>
      </c>
      <c r="W107" s="38">
        <v>226</v>
      </c>
      <c r="X107" s="38">
        <v>27</v>
      </c>
      <c r="Y107" s="38">
        <v>12</v>
      </c>
      <c r="Z107" s="38"/>
      <c r="AA107" s="38"/>
      <c r="AB107" s="39">
        <v>9.375</v>
      </c>
      <c r="AC107" s="39">
        <v>79.755434800000003</v>
      </c>
      <c r="AD107" s="39">
        <v>2.9891304000000001</v>
      </c>
      <c r="AE107" s="39">
        <v>2.0380435000000001</v>
      </c>
      <c r="AF107" s="39">
        <v>5.4347826000000001</v>
      </c>
      <c r="AG107" s="39">
        <v>0.40760869999999999</v>
      </c>
      <c r="AH107" s="39">
        <v>0</v>
      </c>
      <c r="AI107" s="39"/>
      <c r="AJ107" s="39"/>
      <c r="AK107" s="39">
        <v>11.2462006</v>
      </c>
      <c r="AL107" s="39">
        <v>70.699088099999997</v>
      </c>
      <c r="AM107" s="39">
        <v>1.5197567999999999</v>
      </c>
      <c r="AN107" s="39">
        <v>0.42553190000000002</v>
      </c>
      <c r="AO107" s="39">
        <v>13.7386018</v>
      </c>
      <c r="AP107" s="39">
        <v>1.6413374000000001</v>
      </c>
      <c r="AQ107" s="39">
        <v>0.72948329999999995</v>
      </c>
      <c r="AR107" s="40"/>
      <c r="AS107" s="40"/>
    </row>
    <row r="108" spans="2:45" ht="15" hidden="1" customHeight="1" x14ac:dyDescent="0.25">
      <c r="B108" s="35">
        <v>102</v>
      </c>
      <c r="C108" s="36" t="s">
        <v>29</v>
      </c>
      <c r="D108" s="36" t="s">
        <v>28</v>
      </c>
      <c r="E108" s="36" t="s">
        <v>58</v>
      </c>
      <c r="F108" s="36"/>
      <c r="G108" s="37" t="s">
        <v>26</v>
      </c>
      <c r="H108" s="38">
        <v>5638</v>
      </c>
      <c r="I108" s="38">
        <v>65</v>
      </c>
      <c r="J108" s="38">
        <v>379</v>
      </c>
      <c r="K108" s="38">
        <v>1570</v>
      </c>
      <c r="L108" s="38">
        <v>424</v>
      </c>
      <c r="M108" s="38">
        <v>2542</v>
      </c>
      <c r="N108" s="38">
        <v>482</v>
      </c>
      <c r="O108" s="38">
        <v>176</v>
      </c>
      <c r="P108" s="38"/>
      <c r="Q108" s="38"/>
      <c r="R108" s="38">
        <v>5666</v>
      </c>
      <c r="S108" s="38">
        <v>78</v>
      </c>
      <c r="T108" s="38">
        <v>349</v>
      </c>
      <c r="U108" s="38">
        <v>612</v>
      </c>
      <c r="V108" s="38">
        <v>159</v>
      </c>
      <c r="W108" s="38">
        <v>3876</v>
      </c>
      <c r="X108" s="38">
        <v>458</v>
      </c>
      <c r="Y108" s="38">
        <v>134</v>
      </c>
      <c r="Z108" s="38"/>
      <c r="AA108" s="38"/>
      <c r="AB108" s="39">
        <v>1.1528910999999999</v>
      </c>
      <c r="AC108" s="39">
        <v>6.7222419000000002</v>
      </c>
      <c r="AD108" s="39">
        <v>27.846754199999999</v>
      </c>
      <c r="AE108" s="39">
        <v>7.5203973</v>
      </c>
      <c r="AF108" s="39">
        <v>45.0869103</v>
      </c>
      <c r="AG108" s="39">
        <v>8.5491308999999998</v>
      </c>
      <c r="AH108" s="39">
        <v>3.1216743999999998</v>
      </c>
      <c r="AI108" s="39"/>
      <c r="AJ108" s="39"/>
      <c r="AK108" s="39">
        <v>1.3766324999999999</v>
      </c>
      <c r="AL108" s="39">
        <v>6.1595481999999997</v>
      </c>
      <c r="AM108" s="39">
        <v>10.8012707</v>
      </c>
      <c r="AN108" s="39">
        <v>2.8062125</v>
      </c>
      <c r="AO108" s="39">
        <v>68.408047999999994</v>
      </c>
      <c r="AP108" s="39">
        <v>8.0833039000000007</v>
      </c>
      <c r="AQ108" s="39">
        <v>2.3649841</v>
      </c>
      <c r="AR108" s="40"/>
      <c r="AS108" s="40"/>
    </row>
    <row r="109" spans="2:45" ht="15" customHeight="1" x14ac:dyDescent="0.25">
      <c r="B109" s="41">
        <v>103</v>
      </c>
      <c r="C109" s="42" t="s">
        <v>31</v>
      </c>
      <c r="D109" s="42" t="s">
        <v>28</v>
      </c>
      <c r="E109" s="42" t="s">
        <v>58</v>
      </c>
      <c r="F109" s="42" t="s">
        <v>59</v>
      </c>
      <c r="G109" s="42" t="s">
        <v>59</v>
      </c>
      <c r="H109" s="43">
        <v>965</v>
      </c>
      <c r="I109" s="43">
        <v>45</v>
      </c>
      <c r="J109" s="43">
        <v>189</v>
      </c>
      <c r="K109" s="43">
        <v>127</v>
      </c>
      <c r="L109" s="43">
        <v>80</v>
      </c>
      <c r="M109" s="43">
        <v>482</v>
      </c>
      <c r="N109" s="43">
        <v>36</v>
      </c>
      <c r="O109" s="43">
        <v>6</v>
      </c>
      <c r="P109" s="44">
        <f>K109+L109+M109+N109+O109</f>
        <v>731</v>
      </c>
      <c r="Q109" s="44">
        <f>I109+J109</f>
        <v>234</v>
      </c>
      <c r="R109" s="43">
        <v>1371</v>
      </c>
      <c r="S109" s="43">
        <v>78</v>
      </c>
      <c r="T109" s="43">
        <v>446</v>
      </c>
      <c r="U109" s="43">
        <v>44</v>
      </c>
      <c r="V109" s="43">
        <v>11</v>
      </c>
      <c r="W109" s="43">
        <v>713</v>
      </c>
      <c r="X109" s="43">
        <v>70</v>
      </c>
      <c r="Y109" s="43">
        <v>9</v>
      </c>
      <c r="Z109" s="45">
        <f>U109+V109+W109+X109+Y109</f>
        <v>847</v>
      </c>
      <c r="AA109" s="45">
        <f>S109+T109</f>
        <v>524</v>
      </c>
      <c r="AB109" s="46">
        <v>4.6632123999999999</v>
      </c>
      <c r="AC109" s="46">
        <v>19.585492200000001</v>
      </c>
      <c r="AD109" s="46">
        <v>13.160621799999999</v>
      </c>
      <c r="AE109" s="46">
        <v>8.2901553999999997</v>
      </c>
      <c r="AF109" s="46">
        <v>49.948186499999998</v>
      </c>
      <c r="AG109" s="46">
        <v>3.7305698999999999</v>
      </c>
      <c r="AH109" s="46">
        <v>0.62176169999999997</v>
      </c>
      <c r="AI109" s="47">
        <f>AB109+AC109</f>
        <v>24.2487046</v>
      </c>
      <c r="AJ109" s="47">
        <f>AD109+AE109+AF109+AG109+AH109</f>
        <v>75.751295299999995</v>
      </c>
      <c r="AK109" s="46">
        <v>5.6892779000000004</v>
      </c>
      <c r="AL109" s="46">
        <v>32.530999299999998</v>
      </c>
      <c r="AM109" s="46">
        <v>3.2093362999999999</v>
      </c>
      <c r="AN109" s="46">
        <v>0.80233410000000005</v>
      </c>
      <c r="AO109" s="46">
        <v>52.0058352</v>
      </c>
      <c r="AP109" s="46">
        <v>5.1057622</v>
      </c>
      <c r="AQ109" s="46">
        <v>0.65645509999999996</v>
      </c>
      <c r="AR109" s="48">
        <f>AK109+AL109</f>
        <v>38.220277199999998</v>
      </c>
      <c r="AS109" s="48">
        <f>AM109+AN109+AO109+AP109+AQ109</f>
        <v>61.779722900000003</v>
      </c>
    </row>
    <row r="110" spans="2:45" ht="15" hidden="1" customHeight="1" x14ac:dyDescent="0.25">
      <c r="B110" s="35">
        <v>104</v>
      </c>
      <c r="C110" s="36" t="s">
        <v>31</v>
      </c>
      <c r="D110" s="36" t="s">
        <v>28</v>
      </c>
      <c r="E110" s="36" t="s">
        <v>58</v>
      </c>
      <c r="F110" s="36" t="s">
        <v>59</v>
      </c>
      <c r="G110" s="37" t="s">
        <v>25</v>
      </c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>
        <v>567</v>
      </c>
      <c r="S110" s="38">
        <v>65</v>
      </c>
      <c r="T110" s="38">
        <v>421</v>
      </c>
      <c r="U110" s="38">
        <v>3</v>
      </c>
      <c r="V110" s="38">
        <v>3</v>
      </c>
      <c r="W110" s="38">
        <v>64</v>
      </c>
      <c r="X110" s="38">
        <v>8</v>
      </c>
      <c r="Y110" s="38">
        <v>3</v>
      </c>
      <c r="Z110" s="38"/>
      <c r="AA110" s="38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>
        <v>11.4638448</v>
      </c>
      <c r="AL110" s="39">
        <v>74.250440900000001</v>
      </c>
      <c r="AM110" s="39">
        <v>0.52910049999999997</v>
      </c>
      <c r="AN110" s="39">
        <v>0.52910049999999997</v>
      </c>
      <c r="AO110" s="39">
        <v>11.287478</v>
      </c>
      <c r="AP110" s="39">
        <v>1.4109347000000001</v>
      </c>
      <c r="AQ110" s="39">
        <v>0.52910049999999997</v>
      </c>
      <c r="AR110" s="40"/>
      <c r="AS110" s="40"/>
    </row>
    <row r="111" spans="2:45" ht="15" hidden="1" customHeight="1" x14ac:dyDescent="0.25">
      <c r="B111" s="35">
        <v>105</v>
      </c>
      <c r="C111" s="36" t="s">
        <v>31</v>
      </c>
      <c r="D111" s="36" t="s">
        <v>28</v>
      </c>
      <c r="E111" s="36" t="s">
        <v>58</v>
      </c>
      <c r="F111" s="36" t="s">
        <v>59</v>
      </c>
      <c r="G111" s="37" t="s">
        <v>26</v>
      </c>
      <c r="H111" s="38">
        <v>965</v>
      </c>
      <c r="I111" s="38">
        <v>45</v>
      </c>
      <c r="J111" s="38">
        <v>189</v>
      </c>
      <c r="K111" s="38">
        <v>127</v>
      </c>
      <c r="L111" s="38">
        <v>80</v>
      </c>
      <c r="M111" s="38">
        <v>482</v>
      </c>
      <c r="N111" s="38">
        <v>36</v>
      </c>
      <c r="O111" s="38">
        <v>6</v>
      </c>
      <c r="P111" s="38"/>
      <c r="Q111" s="38"/>
      <c r="R111" s="38">
        <v>804</v>
      </c>
      <c r="S111" s="38">
        <v>13</v>
      </c>
      <c r="T111" s="38">
        <v>25</v>
      </c>
      <c r="U111" s="38">
        <v>41</v>
      </c>
      <c r="V111" s="38">
        <v>8</v>
      </c>
      <c r="W111" s="38">
        <v>649</v>
      </c>
      <c r="X111" s="38">
        <v>62</v>
      </c>
      <c r="Y111" s="38">
        <v>6</v>
      </c>
      <c r="Z111" s="38"/>
      <c r="AA111" s="38"/>
      <c r="AB111" s="39">
        <v>4.6632123999999999</v>
      </c>
      <c r="AC111" s="39">
        <v>19.585492200000001</v>
      </c>
      <c r="AD111" s="39">
        <v>13.160621799999999</v>
      </c>
      <c r="AE111" s="39">
        <v>8.2901553999999997</v>
      </c>
      <c r="AF111" s="39">
        <v>49.948186499999998</v>
      </c>
      <c r="AG111" s="39">
        <v>3.7305698999999999</v>
      </c>
      <c r="AH111" s="39">
        <v>0.62176169999999997</v>
      </c>
      <c r="AI111" s="39"/>
      <c r="AJ111" s="39"/>
      <c r="AK111" s="39">
        <v>1.6169153999999999</v>
      </c>
      <c r="AL111" s="39">
        <v>3.1094526999999998</v>
      </c>
      <c r="AM111" s="39">
        <v>5.0995024999999998</v>
      </c>
      <c r="AN111" s="39">
        <v>0.99502489999999999</v>
      </c>
      <c r="AO111" s="39">
        <v>80.721393000000006</v>
      </c>
      <c r="AP111" s="39">
        <v>7.7114428000000004</v>
      </c>
      <c r="AQ111" s="39">
        <v>0.74626870000000001</v>
      </c>
      <c r="AR111" s="40"/>
      <c r="AS111" s="40"/>
    </row>
    <row r="112" spans="2:45" ht="15" customHeight="1" x14ac:dyDescent="0.25">
      <c r="B112" s="41">
        <v>106</v>
      </c>
      <c r="C112" s="42" t="s">
        <v>31</v>
      </c>
      <c r="D112" s="42" t="s">
        <v>28</v>
      </c>
      <c r="E112" s="42" t="s">
        <v>58</v>
      </c>
      <c r="F112" s="42" t="s">
        <v>60</v>
      </c>
      <c r="G112" s="42" t="s">
        <v>60</v>
      </c>
      <c r="H112" s="43">
        <v>4347</v>
      </c>
      <c r="I112" s="43">
        <v>79</v>
      </c>
      <c r="J112" s="43">
        <v>631</v>
      </c>
      <c r="K112" s="43">
        <v>1386</v>
      </c>
      <c r="L112" s="43">
        <v>320</v>
      </c>
      <c r="M112" s="43">
        <v>1378</v>
      </c>
      <c r="N112" s="43">
        <v>395</v>
      </c>
      <c r="O112" s="43">
        <v>158</v>
      </c>
      <c r="P112" s="44">
        <f>K112+L112+M112+N112+O112</f>
        <v>3637</v>
      </c>
      <c r="Q112" s="44">
        <f>I112+J112</f>
        <v>710</v>
      </c>
      <c r="R112" s="43">
        <v>4660</v>
      </c>
      <c r="S112" s="43">
        <v>165</v>
      </c>
      <c r="T112" s="43">
        <v>878</v>
      </c>
      <c r="U112" s="43">
        <v>581</v>
      </c>
      <c r="V112" s="43">
        <v>149</v>
      </c>
      <c r="W112" s="43">
        <v>2397</v>
      </c>
      <c r="X112" s="43">
        <v>362</v>
      </c>
      <c r="Y112" s="43">
        <v>128</v>
      </c>
      <c r="Z112" s="45">
        <f>U112+V112+W112+X112+Y112</f>
        <v>3617</v>
      </c>
      <c r="AA112" s="45">
        <f>S112+T112</f>
        <v>1043</v>
      </c>
      <c r="AB112" s="46">
        <v>1.8173452999999999</v>
      </c>
      <c r="AC112" s="46">
        <v>14.515758</v>
      </c>
      <c r="AD112" s="46">
        <v>31.884058</v>
      </c>
      <c r="AE112" s="46">
        <v>7.3613986999999996</v>
      </c>
      <c r="AF112" s="46">
        <v>31.700023000000002</v>
      </c>
      <c r="AG112" s="46">
        <v>9.0867264999999993</v>
      </c>
      <c r="AH112" s="46">
        <v>3.6346905999999999</v>
      </c>
      <c r="AI112" s="47">
        <f>AB112+AC112</f>
        <v>16.333103300000001</v>
      </c>
      <c r="AJ112" s="47">
        <f>AD112+AE112+AF112+AG112+AH112</f>
        <v>83.666896799999989</v>
      </c>
      <c r="AK112" s="46">
        <v>3.5407725000000001</v>
      </c>
      <c r="AL112" s="46">
        <v>18.841201699999999</v>
      </c>
      <c r="AM112" s="46">
        <v>12.4678112</v>
      </c>
      <c r="AN112" s="46">
        <v>3.1974249000000001</v>
      </c>
      <c r="AO112" s="46">
        <v>51.437768200000001</v>
      </c>
      <c r="AP112" s="46">
        <v>7.7682403000000004</v>
      </c>
      <c r="AQ112" s="46">
        <v>2.7467811000000002</v>
      </c>
      <c r="AR112" s="48">
        <f>AK112+AL112</f>
        <v>22.381974199999998</v>
      </c>
      <c r="AS112" s="48">
        <f>AM112+AN112+AO112+AP112+AQ112</f>
        <v>77.618025700000004</v>
      </c>
    </row>
    <row r="113" spans="2:45" ht="15" hidden="1" customHeight="1" x14ac:dyDescent="0.25">
      <c r="B113" s="35">
        <v>107</v>
      </c>
      <c r="C113" s="36" t="s">
        <v>31</v>
      </c>
      <c r="D113" s="36" t="s">
        <v>28</v>
      </c>
      <c r="E113" s="36" t="s">
        <v>58</v>
      </c>
      <c r="F113" s="36" t="s">
        <v>60</v>
      </c>
      <c r="G113" s="37" t="s">
        <v>25</v>
      </c>
      <c r="H113" s="38">
        <v>736</v>
      </c>
      <c r="I113" s="38">
        <v>69</v>
      </c>
      <c r="J113" s="38">
        <v>587</v>
      </c>
      <c r="K113" s="38">
        <v>22</v>
      </c>
      <c r="L113" s="38">
        <v>15</v>
      </c>
      <c r="M113" s="38">
        <v>40</v>
      </c>
      <c r="N113" s="38">
        <v>3</v>
      </c>
      <c r="O113" s="38">
        <v>0</v>
      </c>
      <c r="P113" s="38"/>
      <c r="Q113" s="38"/>
      <c r="R113" s="38">
        <v>1078</v>
      </c>
      <c r="S113" s="38">
        <v>120</v>
      </c>
      <c r="T113" s="38">
        <v>742</v>
      </c>
      <c r="U113" s="38">
        <v>22</v>
      </c>
      <c r="V113" s="38">
        <v>4</v>
      </c>
      <c r="W113" s="38">
        <v>162</v>
      </c>
      <c r="X113" s="38">
        <v>19</v>
      </c>
      <c r="Y113" s="38">
        <v>9</v>
      </c>
      <c r="Z113" s="38"/>
      <c r="AA113" s="38"/>
      <c r="AB113" s="39">
        <v>9.375</v>
      </c>
      <c r="AC113" s="39">
        <v>79.755434800000003</v>
      </c>
      <c r="AD113" s="39">
        <v>2.9891304000000001</v>
      </c>
      <c r="AE113" s="39">
        <v>2.0380435000000001</v>
      </c>
      <c r="AF113" s="39">
        <v>5.4347826000000001</v>
      </c>
      <c r="AG113" s="39">
        <v>0.40760869999999999</v>
      </c>
      <c r="AH113" s="39">
        <v>0</v>
      </c>
      <c r="AI113" s="39"/>
      <c r="AJ113" s="39"/>
      <c r="AK113" s="39">
        <v>11.131725400000001</v>
      </c>
      <c r="AL113" s="39">
        <v>68.8311688</v>
      </c>
      <c r="AM113" s="39">
        <v>2.0408162999999999</v>
      </c>
      <c r="AN113" s="39">
        <v>0.37105749999999998</v>
      </c>
      <c r="AO113" s="39">
        <v>15.027829300000001</v>
      </c>
      <c r="AP113" s="39">
        <v>1.7625232</v>
      </c>
      <c r="AQ113" s="39">
        <v>0.83487940000000005</v>
      </c>
      <c r="AR113" s="40"/>
      <c r="AS113" s="40"/>
    </row>
    <row r="114" spans="2:45" ht="15" hidden="1" customHeight="1" x14ac:dyDescent="0.25">
      <c r="B114" s="35">
        <v>108</v>
      </c>
      <c r="C114" s="36" t="s">
        <v>31</v>
      </c>
      <c r="D114" s="36" t="s">
        <v>28</v>
      </c>
      <c r="E114" s="36" t="s">
        <v>58</v>
      </c>
      <c r="F114" s="36" t="s">
        <v>60</v>
      </c>
      <c r="G114" s="37" t="s">
        <v>26</v>
      </c>
      <c r="H114" s="38">
        <v>3611</v>
      </c>
      <c r="I114" s="38">
        <v>10</v>
      </c>
      <c r="J114" s="38">
        <v>44</v>
      </c>
      <c r="K114" s="38">
        <v>1364</v>
      </c>
      <c r="L114" s="38">
        <v>305</v>
      </c>
      <c r="M114" s="38">
        <v>1338</v>
      </c>
      <c r="N114" s="38">
        <v>392</v>
      </c>
      <c r="O114" s="38">
        <v>158</v>
      </c>
      <c r="P114" s="38"/>
      <c r="Q114" s="38"/>
      <c r="R114" s="38">
        <v>3582</v>
      </c>
      <c r="S114" s="38">
        <v>45</v>
      </c>
      <c r="T114" s="38">
        <v>136</v>
      </c>
      <c r="U114" s="38">
        <v>559</v>
      </c>
      <c r="V114" s="38">
        <v>145</v>
      </c>
      <c r="W114" s="38">
        <v>2235</v>
      </c>
      <c r="X114" s="38">
        <v>343</v>
      </c>
      <c r="Y114" s="38">
        <v>119</v>
      </c>
      <c r="Z114" s="38"/>
      <c r="AA114" s="38"/>
      <c r="AB114" s="39">
        <v>0.2769316</v>
      </c>
      <c r="AC114" s="39">
        <v>1.218499</v>
      </c>
      <c r="AD114" s="39">
        <v>37.773470000000003</v>
      </c>
      <c r="AE114" s="39">
        <v>8.4464137000000008</v>
      </c>
      <c r="AF114" s="39">
        <v>37.053447800000001</v>
      </c>
      <c r="AG114" s="39">
        <v>10.855718599999999</v>
      </c>
      <c r="AH114" s="39">
        <v>4.3755192000000003</v>
      </c>
      <c r="AI114" s="39"/>
      <c r="AJ114" s="39"/>
      <c r="AK114" s="39">
        <v>1.2562814</v>
      </c>
      <c r="AL114" s="39">
        <v>3.7967616</v>
      </c>
      <c r="AM114" s="39">
        <v>15.6058068</v>
      </c>
      <c r="AN114" s="39">
        <v>4.0480178999999996</v>
      </c>
      <c r="AO114" s="39">
        <v>62.395309900000001</v>
      </c>
      <c r="AP114" s="39">
        <v>9.5756560999999998</v>
      </c>
      <c r="AQ114" s="39">
        <v>3.3221664</v>
      </c>
      <c r="AR114" s="40"/>
      <c r="AS114" s="40"/>
    </row>
    <row r="115" spans="2:45" ht="15" customHeight="1" x14ac:dyDescent="0.25">
      <c r="B115" s="41">
        <v>109</v>
      </c>
      <c r="C115" s="42" t="s">
        <v>31</v>
      </c>
      <c r="D115" s="42" t="s">
        <v>28</v>
      </c>
      <c r="E115" s="42" t="s">
        <v>58</v>
      </c>
      <c r="F115" s="42" t="s">
        <v>61</v>
      </c>
      <c r="G115" s="42" t="s">
        <v>61</v>
      </c>
      <c r="H115" s="43">
        <v>1062</v>
      </c>
      <c r="I115" s="43">
        <v>10</v>
      </c>
      <c r="J115" s="43">
        <v>146</v>
      </c>
      <c r="K115" s="43">
        <v>79</v>
      </c>
      <c r="L115" s="43">
        <v>39</v>
      </c>
      <c r="M115" s="43">
        <v>722</v>
      </c>
      <c r="N115" s="43">
        <v>54</v>
      </c>
      <c r="O115" s="43">
        <v>12</v>
      </c>
      <c r="P115" s="44">
        <f>K115+L115+M115+N115+O115</f>
        <v>906</v>
      </c>
      <c r="Q115" s="44">
        <f>I115+J115</f>
        <v>156</v>
      </c>
      <c r="R115" s="43">
        <v>1280</v>
      </c>
      <c r="S115" s="43">
        <v>20</v>
      </c>
      <c r="T115" s="43">
        <v>188</v>
      </c>
      <c r="U115" s="43">
        <v>12</v>
      </c>
      <c r="V115" s="43">
        <v>6</v>
      </c>
      <c r="W115" s="43">
        <v>992</v>
      </c>
      <c r="X115" s="43">
        <v>53</v>
      </c>
      <c r="Y115" s="43">
        <v>9</v>
      </c>
      <c r="Z115" s="45">
        <f>U115+V115+W115+X115+Y115</f>
        <v>1072</v>
      </c>
      <c r="AA115" s="45">
        <f>S115+T115</f>
        <v>208</v>
      </c>
      <c r="AB115" s="46">
        <v>0.9416196</v>
      </c>
      <c r="AC115" s="46">
        <v>13.747646</v>
      </c>
      <c r="AD115" s="46">
        <v>7.4387946999999999</v>
      </c>
      <c r="AE115" s="46">
        <v>3.6723164000000001</v>
      </c>
      <c r="AF115" s="46">
        <v>67.984934100000004</v>
      </c>
      <c r="AG115" s="46">
        <v>5.0847458000000003</v>
      </c>
      <c r="AH115" s="46">
        <v>1.1299435</v>
      </c>
      <c r="AI115" s="47">
        <f>AB115+AC115</f>
        <v>14.689265599999999</v>
      </c>
      <c r="AJ115" s="47">
        <f>AD115+AE115+AF115+AG115+AH115</f>
        <v>85.310734499999995</v>
      </c>
      <c r="AK115" s="46">
        <v>1.5625</v>
      </c>
      <c r="AL115" s="46">
        <v>14.6875</v>
      </c>
      <c r="AM115" s="46">
        <v>0.9375</v>
      </c>
      <c r="AN115" s="46">
        <v>0.46875</v>
      </c>
      <c r="AO115" s="46">
        <v>77.5</v>
      </c>
      <c r="AP115" s="46">
        <v>4.140625</v>
      </c>
      <c r="AQ115" s="46">
        <v>0.703125</v>
      </c>
      <c r="AR115" s="48">
        <f>AK115+AL115</f>
        <v>16.25</v>
      </c>
      <c r="AS115" s="48">
        <f>AM115+AN115+AO115+AP115+AQ115</f>
        <v>83.75</v>
      </c>
    </row>
    <row r="116" spans="2:45" ht="15" hidden="1" customHeight="1" x14ac:dyDescent="0.25">
      <c r="B116" s="35">
        <v>110</v>
      </c>
      <c r="C116" s="36" t="s">
        <v>31</v>
      </c>
      <c r="D116" s="36" t="s">
        <v>28</v>
      </c>
      <c r="E116" s="36" t="s">
        <v>58</v>
      </c>
      <c r="F116" s="36" t="s">
        <v>61</v>
      </c>
      <c r="G116" s="37" t="s">
        <v>25</v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40"/>
      <c r="AS116" s="40"/>
    </row>
    <row r="117" spans="2:45" ht="15" hidden="1" customHeight="1" x14ac:dyDescent="0.25">
      <c r="B117" s="35">
        <v>111</v>
      </c>
      <c r="C117" s="36" t="s">
        <v>31</v>
      </c>
      <c r="D117" s="36" t="s">
        <v>28</v>
      </c>
      <c r="E117" s="36" t="s">
        <v>58</v>
      </c>
      <c r="F117" s="36" t="s">
        <v>61</v>
      </c>
      <c r="G117" s="37" t="s">
        <v>26</v>
      </c>
      <c r="H117" s="38">
        <v>1062</v>
      </c>
      <c r="I117" s="38">
        <v>10</v>
      </c>
      <c r="J117" s="38">
        <v>146</v>
      </c>
      <c r="K117" s="38">
        <v>79</v>
      </c>
      <c r="L117" s="38">
        <v>39</v>
      </c>
      <c r="M117" s="38">
        <v>722</v>
      </c>
      <c r="N117" s="38">
        <v>54</v>
      </c>
      <c r="O117" s="38">
        <v>12</v>
      </c>
      <c r="P117" s="38"/>
      <c r="Q117" s="38"/>
      <c r="R117" s="38">
        <v>1280</v>
      </c>
      <c r="S117" s="38">
        <v>20</v>
      </c>
      <c r="T117" s="38">
        <v>188</v>
      </c>
      <c r="U117" s="38">
        <v>12</v>
      </c>
      <c r="V117" s="38">
        <v>6</v>
      </c>
      <c r="W117" s="38">
        <v>992</v>
      </c>
      <c r="X117" s="38">
        <v>53</v>
      </c>
      <c r="Y117" s="38">
        <v>9</v>
      </c>
      <c r="Z117" s="38"/>
      <c r="AA117" s="38"/>
      <c r="AB117" s="39">
        <v>0.9416196</v>
      </c>
      <c r="AC117" s="39">
        <v>13.747646</v>
      </c>
      <c r="AD117" s="39">
        <v>7.4387946999999999</v>
      </c>
      <c r="AE117" s="39">
        <v>3.6723164000000001</v>
      </c>
      <c r="AF117" s="39">
        <v>67.984934100000004</v>
      </c>
      <c r="AG117" s="39">
        <v>5.0847458000000003</v>
      </c>
      <c r="AH117" s="39">
        <v>1.1299435</v>
      </c>
      <c r="AI117" s="39"/>
      <c r="AJ117" s="39"/>
      <c r="AK117" s="39">
        <v>1.5625</v>
      </c>
      <c r="AL117" s="39">
        <v>14.6875</v>
      </c>
      <c r="AM117" s="39">
        <v>0.9375</v>
      </c>
      <c r="AN117" s="39">
        <v>0.46875</v>
      </c>
      <c r="AO117" s="39">
        <v>77.5</v>
      </c>
      <c r="AP117" s="39">
        <v>4.140625</v>
      </c>
      <c r="AQ117" s="39">
        <v>0.703125</v>
      </c>
      <c r="AR117" s="40"/>
      <c r="AS117" s="40"/>
    </row>
    <row r="118" spans="2:45" ht="15" hidden="1" customHeight="1" x14ac:dyDescent="0.25">
      <c r="B118" s="30">
        <v>112</v>
      </c>
      <c r="C118" s="31" t="s">
        <v>29</v>
      </c>
      <c r="D118" s="31" t="s">
        <v>28</v>
      </c>
      <c r="E118" s="31" t="s">
        <v>62</v>
      </c>
      <c r="F118" s="31"/>
      <c r="G118" s="31" t="s">
        <v>62</v>
      </c>
      <c r="H118" s="32">
        <v>4886</v>
      </c>
      <c r="I118" s="32">
        <v>165</v>
      </c>
      <c r="J118" s="32">
        <v>1007</v>
      </c>
      <c r="K118" s="32">
        <v>853</v>
      </c>
      <c r="L118" s="32">
        <v>197</v>
      </c>
      <c r="M118" s="32">
        <v>1996</v>
      </c>
      <c r="N118" s="32">
        <v>510</v>
      </c>
      <c r="O118" s="32">
        <v>158</v>
      </c>
      <c r="P118" s="32"/>
      <c r="Q118" s="32"/>
      <c r="R118" s="32">
        <v>6242</v>
      </c>
      <c r="S118" s="32">
        <v>342</v>
      </c>
      <c r="T118" s="32">
        <v>1456</v>
      </c>
      <c r="U118" s="32">
        <v>423</v>
      </c>
      <c r="V118" s="32">
        <v>47</v>
      </c>
      <c r="W118" s="32">
        <v>3197</v>
      </c>
      <c r="X118" s="32">
        <v>691</v>
      </c>
      <c r="Y118" s="32">
        <v>86</v>
      </c>
      <c r="Z118" s="32"/>
      <c r="AA118" s="32"/>
      <c r="AB118" s="33">
        <v>3.3769955</v>
      </c>
      <c r="AC118" s="33">
        <v>20.609905900000001</v>
      </c>
      <c r="AD118" s="33">
        <v>17.458043400000001</v>
      </c>
      <c r="AE118" s="33">
        <v>4.0319279999999997</v>
      </c>
      <c r="AF118" s="33">
        <v>40.851412199999999</v>
      </c>
      <c r="AG118" s="33">
        <v>10.4379861</v>
      </c>
      <c r="AH118" s="33">
        <v>3.2337289999999999</v>
      </c>
      <c r="AI118" s="33"/>
      <c r="AJ118" s="33"/>
      <c r="AK118" s="33">
        <v>5.4790131000000004</v>
      </c>
      <c r="AL118" s="33">
        <v>23.3258571</v>
      </c>
      <c r="AM118" s="33">
        <v>6.7766741000000001</v>
      </c>
      <c r="AN118" s="33">
        <v>0.75296379999999996</v>
      </c>
      <c r="AO118" s="33">
        <v>51.217558500000003</v>
      </c>
      <c r="AP118" s="33">
        <v>11.0701698</v>
      </c>
      <c r="AQ118" s="33">
        <v>1.3777634999999999</v>
      </c>
      <c r="AR118" s="34"/>
      <c r="AS118" s="34"/>
    </row>
    <row r="119" spans="2:45" ht="15" hidden="1" customHeight="1" x14ac:dyDescent="0.25">
      <c r="B119" s="35">
        <v>113</v>
      </c>
      <c r="C119" s="36" t="s">
        <v>29</v>
      </c>
      <c r="D119" s="36" t="s">
        <v>28</v>
      </c>
      <c r="E119" s="36" t="s">
        <v>62</v>
      </c>
      <c r="F119" s="36"/>
      <c r="G119" s="37" t="s">
        <v>25</v>
      </c>
      <c r="H119" s="38">
        <v>932</v>
      </c>
      <c r="I119" s="38">
        <v>94</v>
      </c>
      <c r="J119" s="38">
        <v>742</v>
      </c>
      <c r="K119" s="38">
        <v>36</v>
      </c>
      <c r="L119" s="38">
        <v>18</v>
      </c>
      <c r="M119" s="38">
        <v>32</v>
      </c>
      <c r="N119" s="38">
        <v>8</v>
      </c>
      <c r="O119" s="38">
        <v>2</v>
      </c>
      <c r="P119" s="38"/>
      <c r="Q119" s="38"/>
      <c r="R119" s="38">
        <v>1162</v>
      </c>
      <c r="S119" s="38">
        <v>175</v>
      </c>
      <c r="T119" s="38">
        <v>953</v>
      </c>
      <c r="U119" s="38">
        <v>10</v>
      </c>
      <c r="V119" s="38">
        <v>0</v>
      </c>
      <c r="W119" s="38">
        <v>13</v>
      </c>
      <c r="X119" s="38">
        <v>8</v>
      </c>
      <c r="Y119" s="38">
        <v>3</v>
      </c>
      <c r="Z119" s="38"/>
      <c r="AA119" s="38"/>
      <c r="AB119" s="39">
        <v>10.0858369</v>
      </c>
      <c r="AC119" s="39">
        <v>79.6137339</v>
      </c>
      <c r="AD119" s="39">
        <v>3.8626608999999998</v>
      </c>
      <c r="AE119" s="39">
        <v>1.9313305000000001</v>
      </c>
      <c r="AF119" s="39">
        <v>3.4334764</v>
      </c>
      <c r="AG119" s="39">
        <v>0.8583691</v>
      </c>
      <c r="AH119" s="39">
        <v>0.21459230000000001</v>
      </c>
      <c r="AI119" s="39"/>
      <c r="AJ119" s="39"/>
      <c r="AK119" s="39">
        <v>15.060241</v>
      </c>
      <c r="AL119" s="39">
        <v>82.013769400000001</v>
      </c>
      <c r="AM119" s="39">
        <v>0.86058520000000005</v>
      </c>
      <c r="AN119" s="39">
        <v>0</v>
      </c>
      <c r="AO119" s="39">
        <v>1.1187608</v>
      </c>
      <c r="AP119" s="39">
        <v>0.68846819999999997</v>
      </c>
      <c r="AQ119" s="39">
        <v>0.25817560000000001</v>
      </c>
      <c r="AR119" s="40"/>
      <c r="AS119" s="40"/>
    </row>
    <row r="120" spans="2:45" ht="15" hidden="1" customHeight="1" x14ac:dyDescent="0.25">
      <c r="B120" s="35">
        <v>114</v>
      </c>
      <c r="C120" s="36" t="s">
        <v>29</v>
      </c>
      <c r="D120" s="36" t="s">
        <v>28</v>
      </c>
      <c r="E120" s="36" t="s">
        <v>62</v>
      </c>
      <c r="F120" s="36"/>
      <c r="G120" s="37" t="s">
        <v>26</v>
      </c>
      <c r="H120" s="38">
        <v>3954</v>
      </c>
      <c r="I120" s="38">
        <v>71</v>
      </c>
      <c r="J120" s="38">
        <v>265</v>
      </c>
      <c r="K120" s="38">
        <v>817</v>
      </c>
      <c r="L120" s="38">
        <v>179</v>
      </c>
      <c r="M120" s="38">
        <v>1964</v>
      </c>
      <c r="N120" s="38">
        <v>502</v>
      </c>
      <c r="O120" s="38">
        <v>156</v>
      </c>
      <c r="P120" s="38"/>
      <c r="Q120" s="38"/>
      <c r="R120" s="38">
        <v>5080</v>
      </c>
      <c r="S120" s="38">
        <v>167</v>
      </c>
      <c r="T120" s="38">
        <v>503</v>
      </c>
      <c r="U120" s="38">
        <v>413</v>
      </c>
      <c r="V120" s="38">
        <v>47</v>
      </c>
      <c r="W120" s="38">
        <v>3184</v>
      </c>
      <c r="X120" s="38">
        <v>683</v>
      </c>
      <c r="Y120" s="38">
        <v>83</v>
      </c>
      <c r="Z120" s="38"/>
      <c r="AA120" s="38"/>
      <c r="AB120" s="39">
        <v>1.79565</v>
      </c>
      <c r="AC120" s="39">
        <v>6.7020738</v>
      </c>
      <c r="AD120" s="39">
        <v>20.662620100000002</v>
      </c>
      <c r="AE120" s="39">
        <v>4.5270612000000003</v>
      </c>
      <c r="AF120" s="39">
        <v>49.671219000000001</v>
      </c>
      <c r="AG120" s="39">
        <v>12.696004</v>
      </c>
      <c r="AH120" s="39">
        <v>3.9453718000000002</v>
      </c>
      <c r="AI120" s="39"/>
      <c r="AJ120" s="39"/>
      <c r="AK120" s="39">
        <v>3.2874015999999999</v>
      </c>
      <c r="AL120" s="39">
        <v>9.9015748000000006</v>
      </c>
      <c r="AM120" s="39">
        <v>8.1299212999999995</v>
      </c>
      <c r="AN120" s="39">
        <v>0.92519689999999999</v>
      </c>
      <c r="AO120" s="39">
        <v>62.6771654</v>
      </c>
      <c r="AP120" s="39">
        <v>13.4448819</v>
      </c>
      <c r="AQ120" s="39">
        <v>1.6338583</v>
      </c>
      <c r="AR120" s="40"/>
      <c r="AS120" s="40"/>
    </row>
    <row r="121" spans="2:45" ht="15" customHeight="1" x14ac:dyDescent="0.25">
      <c r="B121" s="41">
        <v>115</v>
      </c>
      <c r="C121" s="42" t="s">
        <v>31</v>
      </c>
      <c r="D121" s="42" t="s">
        <v>28</v>
      </c>
      <c r="E121" s="42" t="s">
        <v>62</v>
      </c>
      <c r="F121" s="42" t="s">
        <v>63</v>
      </c>
      <c r="G121" s="42" t="s">
        <v>63</v>
      </c>
      <c r="H121" s="43">
        <v>2532</v>
      </c>
      <c r="I121" s="43">
        <v>98</v>
      </c>
      <c r="J121" s="43">
        <v>747</v>
      </c>
      <c r="K121" s="43">
        <v>571</v>
      </c>
      <c r="L121" s="43">
        <v>118</v>
      </c>
      <c r="M121" s="43">
        <v>716</v>
      </c>
      <c r="N121" s="43">
        <v>208</v>
      </c>
      <c r="O121" s="43">
        <v>74</v>
      </c>
      <c r="P121" s="44">
        <f>K121+L121+M121+N121+O121</f>
        <v>1687</v>
      </c>
      <c r="Q121" s="44">
        <f>I121+J121</f>
        <v>845</v>
      </c>
      <c r="R121" s="43">
        <v>3136</v>
      </c>
      <c r="S121" s="43">
        <v>204</v>
      </c>
      <c r="T121" s="43">
        <v>954</v>
      </c>
      <c r="U121" s="43">
        <v>263</v>
      </c>
      <c r="V121" s="43">
        <v>23</v>
      </c>
      <c r="W121" s="43">
        <v>1292</v>
      </c>
      <c r="X121" s="43">
        <v>362</v>
      </c>
      <c r="Y121" s="43">
        <v>38</v>
      </c>
      <c r="Z121" s="45">
        <f>U121+V121+W121+X121+Y121</f>
        <v>1978</v>
      </c>
      <c r="AA121" s="45">
        <f>S121+T121</f>
        <v>1158</v>
      </c>
      <c r="AB121" s="46">
        <v>3.8704581</v>
      </c>
      <c r="AC121" s="46">
        <v>29.502369699999999</v>
      </c>
      <c r="AD121" s="46">
        <v>22.5513428</v>
      </c>
      <c r="AE121" s="46">
        <v>4.6603475999999997</v>
      </c>
      <c r="AF121" s="46">
        <v>28.278041099999999</v>
      </c>
      <c r="AG121" s="46">
        <v>8.2148499000000008</v>
      </c>
      <c r="AH121" s="46">
        <v>2.9225908</v>
      </c>
      <c r="AI121" s="47">
        <f>AB121+AC121</f>
        <v>33.372827799999996</v>
      </c>
      <c r="AJ121" s="47">
        <f>AD121+AE121+AF121+AG121+AH121</f>
        <v>66.627172200000004</v>
      </c>
      <c r="AK121" s="46">
        <v>6.5051019999999999</v>
      </c>
      <c r="AL121" s="46">
        <v>30.420918400000001</v>
      </c>
      <c r="AM121" s="46">
        <v>8.3864795999999995</v>
      </c>
      <c r="AN121" s="46">
        <v>0.73341840000000003</v>
      </c>
      <c r="AO121" s="46">
        <v>41.198979600000001</v>
      </c>
      <c r="AP121" s="46">
        <v>11.5433673</v>
      </c>
      <c r="AQ121" s="46">
        <v>1.2117347000000001</v>
      </c>
      <c r="AR121" s="48">
        <f>AK121+AL121</f>
        <v>36.926020399999999</v>
      </c>
      <c r="AS121" s="48">
        <f>AM121+AN121+AO121+AP121+AQ121</f>
        <v>63.073979600000001</v>
      </c>
    </row>
    <row r="122" spans="2:45" ht="15" hidden="1" customHeight="1" x14ac:dyDescent="0.25">
      <c r="B122" s="35">
        <v>116</v>
      </c>
      <c r="C122" s="36" t="s">
        <v>31</v>
      </c>
      <c r="D122" s="36" t="s">
        <v>28</v>
      </c>
      <c r="E122" s="36" t="s">
        <v>62</v>
      </c>
      <c r="F122" s="36" t="s">
        <v>63</v>
      </c>
      <c r="G122" s="37" t="s">
        <v>25</v>
      </c>
      <c r="H122" s="38">
        <v>932</v>
      </c>
      <c r="I122" s="38">
        <v>94</v>
      </c>
      <c r="J122" s="38">
        <v>742</v>
      </c>
      <c r="K122" s="38">
        <v>36</v>
      </c>
      <c r="L122" s="38">
        <v>18</v>
      </c>
      <c r="M122" s="38">
        <v>32</v>
      </c>
      <c r="N122" s="38">
        <v>8</v>
      </c>
      <c r="O122" s="38">
        <v>2</v>
      </c>
      <c r="P122" s="38"/>
      <c r="Q122" s="38"/>
      <c r="R122" s="38">
        <v>1162</v>
      </c>
      <c r="S122" s="38">
        <v>175</v>
      </c>
      <c r="T122" s="38">
        <v>953</v>
      </c>
      <c r="U122" s="38">
        <v>10</v>
      </c>
      <c r="V122" s="38">
        <v>0</v>
      </c>
      <c r="W122" s="38">
        <v>13</v>
      </c>
      <c r="X122" s="38">
        <v>8</v>
      </c>
      <c r="Y122" s="38">
        <v>3</v>
      </c>
      <c r="Z122" s="38"/>
      <c r="AA122" s="38"/>
      <c r="AB122" s="39">
        <v>10.0858369</v>
      </c>
      <c r="AC122" s="39">
        <v>79.6137339</v>
      </c>
      <c r="AD122" s="39">
        <v>3.8626608999999998</v>
      </c>
      <c r="AE122" s="39">
        <v>1.9313305000000001</v>
      </c>
      <c r="AF122" s="39">
        <v>3.4334764</v>
      </c>
      <c r="AG122" s="39">
        <v>0.8583691</v>
      </c>
      <c r="AH122" s="39">
        <v>0.21459230000000001</v>
      </c>
      <c r="AI122" s="39"/>
      <c r="AJ122" s="39"/>
      <c r="AK122" s="39">
        <v>15.060241</v>
      </c>
      <c r="AL122" s="39">
        <v>82.013769400000001</v>
      </c>
      <c r="AM122" s="39">
        <v>0.86058520000000005</v>
      </c>
      <c r="AN122" s="39">
        <v>0</v>
      </c>
      <c r="AO122" s="39">
        <v>1.1187608</v>
      </c>
      <c r="AP122" s="39">
        <v>0.68846819999999997</v>
      </c>
      <c r="AQ122" s="39">
        <v>0.25817560000000001</v>
      </c>
      <c r="AR122" s="40"/>
      <c r="AS122" s="40"/>
    </row>
    <row r="123" spans="2:45" ht="15" hidden="1" customHeight="1" x14ac:dyDescent="0.25">
      <c r="B123" s="35">
        <v>117</v>
      </c>
      <c r="C123" s="36" t="s">
        <v>31</v>
      </c>
      <c r="D123" s="36" t="s">
        <v>28</v>
      </c>
      <c r="E123" s="36" t="s">
        <v>62</v>
      </c>
      <c r="F123" s="36" t="s">
        <v>63</v>
      </c>
      <c r="G123" s="37" t="s">
        <v>26</v>
      </c>
      <c r="H123" s="38">
        <v>1600</v>
      </c>
      <c r="I123" s="38">
        <v>4</v>
      </c>
      <c r="J123" s="38">
        <v>5</v>
      </c>
      <c r="K123" s="38">
        <v>535</v>
      </c>
      <c r="L123" s="38">
        <v>100</v>
      </c>
      <c r="M123" s="38">
        <v>684</v>
      </c>
      <c r="N123" s="38">
        <v>200</v>
      </c>
      <c r="O123" s="38">
        <v>72</v>
      </c>
      <c r="P123" s="38"/>
      <c r="Q123" s="38"/>
      <c r="R123" s="38">
        <v>1974</v>
      </c>
      <c r="S123" s="38">
        <v>29</v>
      </c>
      <c r="T123" s="38">
        <v>1</v>
      </c>
      <c r="U123" s="38">
        <v>253</v>
      </c>
      <c r="V123" s="38">
        <v>23</v>
      </c>
      <c r="W123" s="38">
        <v>1279</v>
      </c>
      <c r="X123" s="38">
        <v>354</v>
      </c>
      <c r="Y123" s="38">
        <v>35</v>
      </c>
      <c r="Z123" s="38"/>
      <c r="AA123" s="38"/>
      <c r="AB123" s="39">
        <v>0.25</v>
      </c>
      <c r="AC123" s="39">
        <v>0.3125</v>
      </c>
      <c r="AD123" s="39">
        <v>33.4375</v>
      </c>
      <c r="AE123" s="39">
        <v>6.25</v>
      </c>
      <c r="AF123" s="39">
        <v>42.75</v>
      </c>
      <c r="AG123" s="39">
        <v>12.5</v>
      </c>
      <c r="AH123" s="39">
        <v>4.5</v>
      </c>
      <c r="AI123" s="39"/>
      <c r="AJ123" s="39"/>
      <c r="AK123" s="39">
        <v>1.4690983</v>
      </c>
      <c r="AL123" s="39">
        <v>5.0658599999999998E-2</v>
      </c>
      <c r="AM123" s="39">
        <v>12.816616</v>
      </c>
      <c r="AN123" s="39">
        <v>1.1651469000000001</v>
      </c>
      <c r="AO123" s="39">
        <v>64.792299900000003</v>
      </c>
      <c r="AP123" s="39">
        <v>17.9331307</v>
      </c>
      <c r="AQ123" s="39">
        <v>1.7730496</v>
      </c>
      <c r="AR123" s="40"/>
      <c r="AS123" s="40"/>
    </row>
    <row r="124" spans="2:45" ht="15" customHeight="1" x14ac:dyDescent="0.25">
      <c r="B124" s="41">
        <v>118</v>
      </c>
      <c r="C124" s="42" t="s">
        <v>31</v>
      </c>
      <c r="D124" s="42" t="s">
        <v>28</v>
      </c>
      <c r="E124" s="42" t="s">
        <v>62</v>
      </c>
      <c r="F124" s="42" t="s">
        <v>64</v>
      </c>
      <c r="G124" s="42" t="s">
        <v>64</v>
      </c>
      <c r="H124" s="43">
        <v>603</v>
      </c>
      <c r="I124" s="43">
        <v>23</v>
      </c>
      <c r="J124" s="43">
        <v>1</v>
      </c>
      <c r="K124" s="43">
        <v>154</v>
      </c>
      <c r="L124" s="43">
        <v>43</v>
      </c>
      <c r="M124" s="43">
        <v>289</v>
      </c>
      <c r="N124" s="43">
        <v>79</v>
      </c>
      <c r="O124" s="43">
        <v>14</v>
      </c>
      <c r="P124" s="44">
        <f>K124+L124+M124+N124+O124</f>
        <v>579</v>
      </c>
      <c r="Q124" s="44">
        <f>I124+J124</f>
        <v>24</v>
      </c>
      <c r="R124" s="43">
        <v>818</v>
      </c>
      <c r="S124" s="43">
        <v>31</v>
      </c>
      <c r="T124" s="43">
        <v>10</v>
      </c>
      <c r="U124" s="43">
        <v>110</v>
      </c>
      <c r="V124" s="43">
        <v>20</v>
      </c>
      <c r="W124" s="43">
        <v>494</v>
      </c>
      <c r="X124" s="43">
        <v>137</v>
      </c>
      <c r="Y124" s="43">
        <v>16</v>
      </c>
      <c r="Z124" s="45">
        <f>U124+V124+W124+X124+Y124</f>
        <v>777</v>
      </c>
      <c r="AA124" s="45">
        <f>S124+T124</f>
        <v>41</v>
      </c>
      <c r="AB124" s="46">
        <v>3.8142619999999998</v>
      </c>
      <c r="AC124" s="46">
        <v>0.1658375</v>
      </c>
      <c r="AD124" s="46">
        <v>25.538971799999999</v>
      </c>
      <c r="AE124" s="46">
        <v>7.1310115999999999</v>
      </c>
      <c r="AF124" s="46">
        <v>47.927031499999998</v>
      </c>
      <c r="AG124" s="46">
        <v>13.1011609</v>
      </c>
      <c r="AH124" s="46">
        <v>2.3217246999999999</v>
      </c>
      <c r="AI124" s="47">
        <f>AB124+AC124</f>
        <v>3.9800994999999997</v>
      </c>
      <c r="AJ124" s="47">
        <f>AD124+AE124+AF124+AG124+AH124</f>
        <v>96.019900500000006</v>
      </c>
      <c r="AK124" s="46">
        <v>3.7897311</v>
      </c>
      <c r="AL124" s="46">
        <v>1.2224938999999999</v>
      </c>
      <c r="AM124" s="46">
        <v>13.4474328</v>
      </c>
      <c r="AN124" s="46">
        <v>2.4449877999999998</v>
      </c>
      <c r="AO124" s="46">
        <v>60.391198000000003</v>
      </c>
      <c r="AP124" s="46">
        <v>16.748166300000001</v>
      </c>
      <c r="AQ124" s="46">
        <v>1.9559902</v>
      </c>
      <c r="AR124" s="48">
        <f>AK124+AL124</f>
        <v>5.0122249999999999</v>
      </c>
      <c r="AS124" s="48">
        <f>AM124+AN124+AO124+AP124+AQ124</f>
        <v>94.987775099999993</v>
      </c>
    </row>
    <row r="125" spans="2:45" ht="15" hidden="1" customHeight="1" x14ac:dyDescent="0.25">
      <c r="B125" s="35">
        <v>119</v>
      </c>
      <c r="C125" s="36" t="s">
        <v>31</v>
      </c>
      <c r="D125" s="36" t="s">
        <v>28</v>
      </c>
      <c r="E125" s="36" t="s">
        <v>62</v>
      </c>
      <c r="F125" s="36" t="s">
        <v>64</v>
      </c>
      <c r="G125" s="37" t="s">
        <v>25</v>
      </c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40"/>
      <c r="AS125" s="40"/>
    </row>
    <row r="126" spans="2:45" ht="15" hidden="1" customHeight="1" x14ac:dyDescent="0.25">
      <c r="B126" s="35">
        <v>120</v>
      </c>
      <c r="C126" s="36" t="s">
        <v>31</v>
      </c>
      <c r="D126" s="36" t="s">
        <v>28</v>
      </c>
      <c r="E126" s="36" t="s">
        <v>62</v>
      </c>
      <c r="F126" s="36" t="s">
        <v>64</v>
      </c>
      <c r="G126" s="37" t="s">
        <v>26</v>
      </c>
      <c r="H126" s="38">
        <v>603</v>
      </c>
      <c r="I126" s="38">
        <v>23</v>
      </c>
      <c r="J126" s="38">
        <v>1</v>
      </c>
      <c r="K126" s="38">
        <v>154</v>
      </c>
      <c r="L126" s="38">
        <v>43</v>
      </c>
      <c r="M126" s="38">
        <v>289</v>
      </c>
      <c r="N126" s="38">
        <v>79</v>
      </c>
      <c r="O126" s="38">
        <v>14</v>
      </c>
      <c r="P126" s="38"/>
      <c r="Q126" s="38"/>
      <c r="R126" s="38">
        <v>818</v>
      </c>
      <c r="S126" s="38">
        <v>31</v>
      </c>
      <c r="T126" s="38">
        <v>10</v>
      </c>
      <c r="U126" s="38">
        <v>110</v>
      </c>
      <c r="V126" s="38">
        <v>20</v>
      </c>
      <c r="W126" s="38">
        <v>494</v>
      </c>
      <c r="X126" s="38">
        <v>137</v>
      </c>
      <c r="Y126" s="38">
        <v>16</v>
      </c>
      <c r="Z126" s="38"/>
      <c r="AA126" s="38"/>
      <c r="AB126" s="39">
        <v>3.8142619999999998</v>
      </c>
      <c r="AC126" s="39">
        <v>0.1658375</v>
      </c>
      <c r="AD126" s="39">
        <v>25.538971799999999</v>
      </c>
      <c r="AE126" s="39">
        <v>7.1310115999999999</v>
      </c>
      <c r="AF126" s="39">
        <v>47.927031499999998</v>
      </c>
      <c r="AG126" s="39">
        <v>13.1011609</v>
      </c>
      <c r="AH126" s="39">
        <v>2.3217246999999999</v>
      </c>
      <c r="AI126" s="39"/>
      <c r="AJ126" s="39"/>
      <c r="AK126" s="39">
        <v>3.7897311</v>
      </c>
      <c r="AL126" s="39">
        <v>1.2224938999999999</v>
      </c>
      <c r="AM126" s="39">
        <v>13.4474328</v>
      </c>
      <c r="AN126" s="39">
        <v>2.4449877999999998</v>
      </c>
      <c r="AO126" s="39">
        <v>60.391198000000003</v>
      </c>
      <c r="AP126" s="39">
        <v>16.748166300000001</v>
      </c>
      <c r="AQ126" s="39">
        <v>1.9559902</v>
      </c>
      <c r="AR126" s="40"/>
      <c r="AS126" s="40"/>
    </row>
    <row r="127" spans="2:45" ht="15" customHeight="1" x14ac:dyDescent="0.25">
      <c r="B127" s="41">
        <v>121</v>
      </c>
      <c r="C127" s="42" t="s">
        <v>31</v>
      </c>
      <c r="D127" s="42" t="s">
        <v>28</v>
      </c>
      <c r="E127" s="42" t="s">
        <v>62</v>
      </c>
      <c r="F127" s="42" t="s">
        <v>65</v>
      </c>
      <c r="G127" s="42" t="s">
        <v>65</v>
      </c>
      <c r="H127" s="43">
        <v>1751</v>
      </c>
      <c r="I127" s="43">
        <v>44</v>
      </c>
      <c r="J127" s="43">
        <v>259</v>
      </c>
      <c r="K127" s="43">
        <v>128</v>
      </c>
      <c r="L127" s="43">
        <v>36</v>
      </c>
      <c r="M127" s="43">
        <v>991</v>
      </c>
      <c r="N127" s="43">
        <v>223</v>
      </c>
      <c r="O127" s="43">
        <v>70</v>
      </c>
      <c r="P127" s="44">
        <f>K127+L127+M127+N127+O127</f>
        <v>1448</v>
      </c>
      <c r="Q127" s="44">
        <f>I127+J127</f>
        <v>303</v>
      </c>
      <c r="R127" s="43">
        <v>2288</v>
      </c>
      <c r="S127" s="43">
        <v>107</v>
      </c>
      <c r="T127" s="43">
        <v>492</v>
      </c>
      <c r="U127" s="43">
        <v>50</v>
      </c>
      <c r="V127" s="43">
        <v>4</v>
      </c>
      <c r="W127" s="43">
        <v>1411</v>
      </c>
      <c r="X127" s="43">
        <v>192</v>
      </c>
      <c r="Y127" s="43">
        <v>32</v>
      </c>
      <c r="Z127" s="45">
        <f>U127+V127+W127+X127+Y127</f>
        <v>1689</v>
      </c>
      <c r="AA127" s="45">
        <f>S127+T127</f>
        <v>599</v>
      </c>
      <c r="AB127" s="46">
        <v>2.5128498000000001</v>
      </c>
      <c r="AC127" s="46">
        <v>14.791547700000001</v>
      </c>
      <c r="AD127" s="46">
        <v>7.3101085000000001</v>
      </c>
      <c r="AE127" s="46">
        <v>2.055968</v>
      </c>
      <c r="AF127" s="46">
        <v>56.5962307</v>
      </c>
      <c r="AG127" s="46">
        <v>12.735579700000001</v>
      </c>
      <c r="AH127" s="46">
        <v>3.9977155999999998</v>
      </c>
      <c r="AI127" s="47">
        <f>AB127+AC127</f>
        <v>17.3043975</v>
      </c>
      <c r="AJ127" s="47">
        <f>AD127+AE127+AF127+AG127+AH127</f>
        <v>82.695602500000007</v>
      </c>
      <c r="AK127" s="46">
        <v>4.6765733999999997</v>
      </c>
      <c r="AL127" s="46">
        <v>21.503496500000001</v>
      </c>
      <c r="AM127" s="46">
        <v>2.1853147000000002</v>
      </c>
      <c r="AN127" s="46">
        <v>0.17482519999999999</v>
      </c>
      <c r="AO127" s="46">
        <v>61.669580400000001</v>
      </c>
      <c r="AP127" s="46">
        <v>8.3916084000000009</v>
      </c>
      <c r="AQ127" s="46">
        <v>1.3986014</v>
      </c>
      <c r="AR127" s="48">
        <f>AK127+AL127</f>
        <v>26.180069899999999</v>
      </c>
      <c r="AS127" s="48">
        <f>AM127+AN127+AO127+AP127+AQ127</f>
        <v>73.819930100000008</v>
      </c>
    </row>
    <row r="128" spans="2:45" ht="15" hidden="1" customHeight="1" x14ac:dyDescent="0.25">
      <c r="B128" s="35">
        <v>122</v>
      </c>
      <c r="C128" s="36" t="s">
        <v>31</v>
      </c>
      <c r="D128" s="36" t="s">
        <v>28</v>
      </c>
      <c r="E128" s="36" t="s">
        <v>62</v>
      </c>
      <c r="F128" s="36" t="s">
        <v>65</v>
      </c>
      <c r="G128" s="37" t="s">
        <v>25</v>
      </c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40"/>
      <c r="AS128" s="40"/>
    </row>
    <row r="129" spans="2:45" ht="15" hidden="1" customHeight="1" x14ac:dyDescent="0.25">
      <c r="B129" s="35">
        <v>123</v>
      </c>
      <c r="C129" s="36" t="s">
        <v>31</v>
      </c>
      <c r="D129" s="36" t="s">
        <v>28</v>
      </c>
      <c r="E129" s="36" t="s">
        <v>62</v>
      </c>
      <c r="F129" s="36" t="s">
        <v>65</v>
      </c>
      <c r="G129" s="37" t="s">
        <v>26</v>
      </c>
      <c r="H129" s="38">
        <v>1751</v>
      </c>
      <c r="I129" s="38">
        <v>44</v>
      </c>
      <c r="J129" s="38">
        <v>259</v>
      </c>
      <c r="K129" s="38">
        <v>128</v>
      </c>
      <c r="L129" s="38">
        <v>36</v>
      </c>
      <c r="M129" s="38">
        <v>991</v>
      </c>
      <c r="N129" s="38">
        <v>223</v>
      </c>
      <c r="O129" s="38">
        <v>70</v>
      </c>
      <c r="P129" s="38"/>
      <c r="Q129" s="38"/>
      <c r="R129" s="38">
        <v>2288</v>
      </c>
      <c r="S129" s="38">
        <v>107</v>
      </c>
      <c r="T129" s="38">
        <v>492</v>
      </c>
      <c r="U129" s="38">
        <v>50</v>
      </c>
      <c r="V129" s="38">
        <v>4</v>
      </c>
      <c r="W129" s="38">
        <v>1411</v>
      </c>
      <c r="X129" s="38">
        <v>192</v>
      </c>
      <c r="Y129" s="38">
        <v>32</v>
      </c>
      <c r="Z129" s="38"/>
      <c r="AA129" s="38"/>
      <c r="AB129" s="39">
        <v>2.5128498000000001</v>
      </c>
      <c r="AC129" s="39">
        <v>14.791547700000001</v>
      </c>
      <c r="AD129" s="39">
        <v>7.3101085000000001</v>
      </c>
      <c r="AE129" s="39">
        <v>2.055968</v>
      </c>
      <c r="AF129" s="39">
        <v>56.5962307</v>
      </c>
      <c r="AG129" s="39">
        <v>12.735579700000001</v>
      </c>
      <c r="AH129" s="39">
        <v>3.9977155999999998</v>
      </c>
      <c r="AI129" s="39"/>
      <c r="AJ129" s="39"/>
      <c r="AK129" s="39">
        <v>4.6765733999999997</v>
      </c>
      <c r="AL129" s="39">
        <v>21.503496500000001</v>
      </c>
      <c r="AM129" s="39">
        <v>2.1853147000000002</v>
      </c>
      <c r="AN129" s="39">
        <v>0.17482519999999999</v>
      </c>
      <c r="AO129" s="39">
        <v>61.669580400000001</v>
      </c>
      <c r="AP129" s="39">
        <v>8.3916084000000009</v>
      </c>
      <c r="AQ129" s="39">
        <v>1.3986014</v>
      </c>
      <c r="AR129" s="40"/>
      <c r="AS129" s="40"/>
    </row>
    <row r="130" spans="2:45" ht="15" hidden="1" customHeight="1" x14ac:dyDescent="0.25">
      <c r="B130" s="20">
        <v>124</v>
      </c>
      <c r="C130" s="21" t="s">
        <v>27</v>
      </c>
      <c r="D130" s="21" t="s">
        <v>66</v>
      </c>
      <c r="E130" s="21"/>
      <c r="F130" s="21"/>
      <c r="G130" s="21" t="s">
        <v>66</v>
      </c>
      <c r="H130" s="22">
        <v>852573</v>
      </c>
      <c r="I130" s="22">
        <v>157963</v>
      </c>
      <c r="J130" s="22">
        <v>328248</v>
      </c>
      <c r="K130" s="22">
        <v>65618</v>
      </c>
      <c r="L130" s="22">
        <v>70246</v>
      </c>
      <c r="M130" s="22">
        <v>178913</v>
      </c>
      <c r="N130" s="22">
        <v>38083</v>
      </c>
      <c r="O130" s="22">
        <v>13502</v>
      </c>
      <c r="P130" s="22">
        <f>K130+L130+M130+N130+O130</f>
        <v>366362</v>
      </c>
      <c r="Q130" s="22">
        <f>I130+J130</f>
        <v>486211</v>
      </c>
      <c r="R130" s="22">
        <v>1069838</v>
      </c>
      <c r="S130" s="22">
        <v>327463</v>
      </c>
      <c r="T130" s="22">
        <v>333411</v>
      </c>
      <c r="U130" s="22">
        <v>37138</v>
      </c>
      <c r="V130" s="22">
        <v>25373</v>
      </c>
      <c r="W130" s="22">
        <v>283728</v>
      </c>
      <c r="X130" s="22">
        <v>48557</v>
      </c>
      <c r="Y130" s="22">
        <v>14168</v>
      </c>
      <c r="Z130" s="22">
        <f>U130+V130+W130+X130+Y130</f>
        <v>408964</v>
      </c>
      <c r="AA130" s="22">
        <f>S130+T130</f>
        <v>660874</v>
      </c>
      <c r="AB130" s="23">
        <v>18.5277976</v>
      </c>
      <c r="AC130" s="23">
        <v>38.500867399999997</v>
      </c>
      <c r="AD130" s="23">
        <v>7.6964670000000002</v>
      </c>
      <c r="AE130" s="23">
        <v>8.2392944999999997</v>
      </c>
      <c r="AF130" s="23">
        <v>20.985065200000001</v>
      </c>
      <c r="AG130" s="23">
        <v>4.4668315999999999</v>
      </c>
      <c r="AH130" s="23">
        <v>1.5836767</v>
      </c>
      <c r="AI130" s="23">
        <f>AB130+AC130</f>
        <v>57.028664999999997</v>
      </c>
      <c r="AJ130" s="23"/>
      <c r="AK130" s="23">
        <v>30.608652899999999</v>
      </c>
      <c r="AL130" s="23">
        <v>31.1646249</v>
      </c>
      <c r="AM130" s="23">
        <v>3.4713666999999999</v>
      </c>
      <c r="AN130" s="23">
        <v>2.3716675</v>
      </c>
      <c r="AO130" s="23">
        <v>26.520650799999999</v>
      </c>
      <c r="AP130" s="23">
        <v>4.5387246000000001</v>
      </c>
      <c r="AQ130" s="23">
        <v>1.3243126999999999</v>
      </c>
      <c r="AR130" s="24">
        <f>AK130+AL130</f>
        <v>61.773277800000002</v>
      </c>
      <c r="AS130" s="24"/>
    </row>
    <row r="131" spans="2:45" ht="15" hidden="1" customHeight="1" x14ac:dyDescent="0.25">
      <c r="B131" s="25">
        <v>125</v>
      </c>
      <c r="C131" s="26" t="s">
        <v>27</v>
      </c>
      <c r="D131" s="49" t="s">
        <v>66</v>
      </c>
      <c r="E131" s="49"/>
      <c r="F131" s="49"/>
      <c r="G131" s="26" t="s">
        <v>25</v>
      </c>
      <c r="H131" s="27">
        <v>543729</v>
      </c>
      <c r="I131" s="27">
        <v>150689</v>
      </c>
      <c r="J131" s="27">
        <v>321072</v>
      </c>
      <c r="K131" s="27">
        <v>32440</v>
      </c>
      <c r="L131" s="27">
        <v>16777</v>
      </c>
      <c r="M131" s="27">
        <v>17575</v>
      </c>
      <c r="N131" s="27">
        <v>2149</v>
      </c>
      <c r="O131" s="27">
        <v>3027</v>
      </c>
      <c r="P131" s="27"/>
      <c r="Q131" s="27"/>
      <c r="R131" s="27">
        <v>664447</v>
      </c>
      <c r="S131" s="27">
        <v>299277</v>
      </c>
      <c r="T131" s="27">
        <v>317801</v>
      </c>
      <c r="U131" s="27">
        <v>16326</v>
      </c>
      <c r="V131" s="27">
        <v>4614</v>
      </c>
      <c r="W131" s="27">
        <v>20302</v>
      </c>
      <c r="X131" s="27">
        <v>2186</v>
      </c>
      <c r="Y131" s="27">
        <v>3941</v>
      </c>
      <c r="Z131" s="27"/>
      <c r="AA131" s="27"/>
      <c r="AB131" s="28">
        <v>27.713989900000001</v>
      </c>
      <c r="AC131" s="28">
        <v>59.050004700000002</v>
      </c>
      <c r="AD131" s="28">
        <v>5.9662074</v>
      </c>
      <c r="AE131" s="28">
        <v>3.0855445000000001</v>
      </c>
      <c r="AF131" s="28">
        <v>3.2323086999999999</v>
      </c>
      <c r="AG131" s="28">
        <v>0.39523370000000002</v>
      </c>
      <c r="AH131" s="28">
        <v>0.55671119999999996</v>
      </c>
      <c r="AI131" s="28"/>
      <c r="AJ131" s="28"/>
      <c r="AK131" s="28">
        <v>45.041515699999998</v>
      </c>
      <c r="AL131" s="28">
        <v>47.829397999999998</v>
      </c>
      <c r="AM131" s="28">
        <v>2.4570808999999998</v>
      </c>
      <c r="AN131" s="28">
        <v>0.69441200000000003</v>
      </c>
      <c r="AO131" s="28">
        <v>3.0554731999999998</v>
      </c>
      <c r="AP131" s="28">
        <v>0.32899539999999999</v>
      </c>
      <c r="AQ131" s="28">
        <v>0.59312480000000001</v>
      </c>
      <c r="AR131" s="29"/>
      <c r="AS131" s="29"/>
    </row>
    <row r="132" spans="2:45" ht="15" hidden="1" customHeight="1" x14ac:dyDescent="0.25">
      <c r="B132" s="25">
        <v>126</v>
      </c>
      <c r="C132" s="26" t="s">
        <v>27</v>
      </c>
      <c r="D132" s="49" t="s">
        <v>66</v>
      </c>
      <c r="E132" s="49"/>
      <c r="F132" s="49"/>
      <c r="G132" s="26" t="s">
        <v>26</v>
      </c>
      <c r="H132" s="27">
        <v>308844</v>
      </c>
      <c r="I132" s="27">
        <v>7274</v>
      </c>
      <c r="J132" s="27">
        <v>7176</v>
      </c>
      <c r="K132" s="27">
        <v>33178</v>
      </c>
      <c r="L132" s="27">
        <v>53469</v>
      </c>
      <c r="M132" s="27">
        <v>161338</v>
      </c>
      <c r="N132" s="27">
        <v>35934</v>
      </c>
      <c r="O132" s="27">
        <v>10475</v>
      </c>
      <c r="P132" s="27"/>
      <c r="Q132" s="27"/>
      <c r="R132" s="27">
        <v>405391</v>
      </c>
      <c r="S132" s="27">
        <v>28186</v>
      </c>
      <c r="T132" s="27">
        <v>15610</v>
      </c>
      <c r="U132" s="27">
        <v>20812</v>
      </c>
      <c r="V132" s="27">
        <v>20759</v>
      </c>
      <c r="W132" s="27">
        <v>263426</v>
      </c>
      <c r="X132" s="27">
        <v>46371</v>
      </c>
      <c r="Y132" s="27">
        <v>10227</v>
      </c>
      <c r="Z132" s="27"/>
      <c r="AA132" s="27"/>
      <c r="AB132" s="28">
        <v>2.3552344000000001</v>
      </c>
      <c r="AC132" s="28">
        <v>2.3235030999999999</v>
      </c>
      <c r="AD132" s="28">
        <v>10.7426403</v>
      </c>
      <c r="AE132" s="28">
        <v>17.312623800000001</v>
      </c>
      <c r="AF132" s="28">
        <v>52.2393182</v>
      </c>
      <c r="AG132" s="28">
        <v>11.6350002</v>
      </c>
      <c r="AH132" s="28">
        <v>3.3916799000000002</v>
      </c>
      <c r="AI132" s="28"/>
      <c r="AJ132" s="28"/>
      <c r="AK132" s="28">
        <v>6.9527937</v>
      </c>
      <c r="AL132" s="28">
        <v>3.8506035000000001</v>
      </c>
      <c r="AM132" s="28">
        <v>5.1338090999999997</v>
      </c>
      <c r="AN132" s="28">
        <v>5.1207352999999998</v>
      </c>
      <c r="AO132" s="28">
        <v>64.980722299999996</v>
      </c>
      <c r="AP132" s="28">
        <v>11.4385865</v>
      </c>
      <c r="AQ132" s="28">
        <v>2.5227496</v>
      </c>
      <c r="AR132" s="29"/>
      <c r="AS132" s="29"/>
    </row>
    <row r="133" spans="2:45" ht="15" hidden="1" customHeight="1" x14ac:dyDescent="0.25">
      <c r="B133" s="30">
        <v>127</v>
      </c>
      <c r="C133" s="31" t="s">
        <v>29</v>
      </c>
      <c r="D133" s="50" t="s">
        <v>66</v>
      </c>
      <c r="E133" s="50" t="s">
        <v>67</v>
      </c>
      <c r="F133" s="50"/>
      <c r="G133" s="31" t="s">
        <v>67</v>
      </c>
      <c r="H133" s="32">
        <v>500086</v>
      </c>
      <c r="I133" s="32">
        <v>140962</v>
      </c>
      <c r="J133" s="32">
        <v>291661</v>
      </c>
      <c r="K133" s="32">
        <v>29614</v>
      </c>
      <c r="L133" s="32">
        <v>17074</v>
      </c>
      <c r="M133" s="32">
        <v>15806</v>
      </c>
      <c r="N133" s="32">
        <v>2154</v>
      </c>
      <c r="O133" s="32">
        <v>2815</v>
      </c>
      <c r="P133" s="32"/>
      <c r="Q133" s="32"/>
      <c r="R133" s="32">
        <v>579560</v>
      </c>
      <c r="S133" s="32">
        <v>282362</v>
      </c>
      <c r="T133" s="32">
        <v>260014</v>
      </c>
      <c r="U133" s="32">
        <v>14127</v>
      </c>
      <c r="V133" s="32">
        <v>4396</v>
      </c>
      <c r="W133" s="32">
        <v>13850</v>
      </c>
      <c r="X133" s="32">
        <v>2098</v>
      </c>
      <c r="Y133" s="32">
        <v>2713</v>
      </c>
      <c r="Z133" s="32"/>
      <c r="AA133" s="32"/>
      <c r="AB133" s="33">
        <v>28.1875517</v>
      </c>
      <c r="AC133" s="33">
        <v>58.322168599999998</v>
      </c>
      <c r="AD133" s="33">
        <v>5.9217814999999998</v>
      </c>
      <c r="AE133" s="33">
        <v>3.4142128</v>
      </c>
      <c r="AF133" s="33">
        <v>3.1606564000000001</v>
      </c>
      <c r="AG133" s="33">
        <v>0.43072589999999999</v>
      </c>
      <c r="AH133" s="33">
        <v>0.56290320000000005</v>
      </c>
      <c r="AI133" s="33"/>
      <c r="AJ133" s="33"/>
      <c r="AK133" s="33">
        <v>48.720063500000002</v>
      </c>
      <c r="AL133" s="33">
        <v>44.864034799999999</v>
      </c>
      <c r="AM133" s="33">
        <v>2.4375388</v>
      </c>
      <c r="AN133" s="33">
        <v>0.75850649999999997</v>
      </c>
      <c r="AO133" s="33">
        <v>2.3897439</v>
      </c>
      <c r="AP133" s="33">
        <v>0.36199880000000001</v>
      </c>
      <c r="AQ133" s="33">
        <v>0.46811370000000002</v>
      </c>
      <c r="AR133" s="34"/>
      <c r="AS133" s="34"/>
    </row>
    <row r="134" spans="2:45" ht="15" hidden="1" customHeight="1" x14ac:dyDescent="0.25">
      <c r="B134" s="35">
        <v>128</v>
      </c>
      <c r="C134" s="36" t="s">
        <v>29</v>
      </c>
      <c r="D134" s="36" t="s">
        <v>66</v>
      </c>
      <c r="E134" s="36" t="s">
        <v>67</v>
      </c>
      <c r="F134" s="36"/>
      <c r="G134" s="37" t="s">
        <v>25</v>
      </c>
      <c r="H134" s="38">
        <v>485960</v>
      </c>
      <c r="I134" s="38">
        <v>140197</v>
      </c>
      <c r="J134" s="38">
        <v>291036</v>
      </c>
      <c r="K134" s="38">
        <v>28649</v>
      </c>
      <c r="L134" s="38">
        <v>12265</v>
      </c>
      <c r="M134" s="38">
        <v>10135</v>
      </c>
      <c r="N134" s="38">
        <v>1168</v>
      </c>
      <c r="O134" s="38">
        <v>2510</v>
      </c>
      <c r="P134" s="38"/>
      <c r="Q134" s="38"/>
      <c r="R134" s="38">
        <v>560106</v>
      </c>
      <c r="S134" s="38">
        <v>277962</v>
      </c>
      <c r="T134" s="38">
        <v>257758</v>
      </c>
      <c r="U134" s="38">
        <v>13053</v>
      </c>
      <c r="V134" s="38">
        <v>2339</v>
      </c>
      <c r="W134" s="38">
        <v>5863</v>
      </c>
      <c r="X134" s="38">
        <v>809</v>
      </c>
      <c r="Y134" s="38">
        <v>2322</v>
      </c>
      <c r="Z134" s="38"/>
      <c r="AA134" s="38"/>
      <c r="AB134" s="39">
        <v>28.849493800000001</v>
      </c>
      <c r="AC134" s="39">
        <v>59.888879699999997</v>
      </c>
      <c r="AD134" s="39">
        <v>5.8953411999999998</v>
      </c>
      <c r="AE134" s="39">
        <v>2.5238703</v>
      </c>
      <c r="AF134" s="39">
        <v>2.0855625999999998</v>
      </c>
      <c r="AG134" s="39">
        <v>0.24034900000000001</v>
      </c>
      <c r="AH134" s="39">
        <v>0.51650339999999995</v>
      </c>
      <c r="AI134" s="39"/>
      <c r="AJ134" s="39"/>
      <c r="AK134" s="39">
        <v>49.626677800000003</v>
      </c>
      <c r="AL134" s="39">
        <v>46.019503499999999</v>
      </c>
      <c r="AM134" s="39">
        <v>2.3304516999999998</v>
      </c>
      <c r="AN134" s="39">
        <v>0.41759950000000001</v>
      </c>
      <c r="AO134" s="39">
        <v>1.0467660999999999</v>
      </c>
      <c r="AP134" s="39">
        <v>0.14443690000000001</v>
      </c>
      <c r="AQ134" s="39">
        <v>0.4145644</v>
      </c>
      <c r="AR134" s="40"/>
      <c r="AS134" s="40"/>
    </row>
    <row r="135" spans="2:45" ht="15" hidden="1" customHeight="1" x14ac:dyDescent="0.25">
      <c r="B135" s="35">
        <v>129</v>
      </c>
      <c r="C135" s="36" t="s">
        <v>29</v>
      </c>
      <c r="D135" s="36" t="s">
        <v>66</v>
      </c>
      <c r="E135" s="36" t="s">
        <v>67</v>
      </c>
      <c r="F135" s="36"/>
      <c r="G135" s="37" t="s">
        <v>26</v>
      </c>
      <c r="H135" s="38">
        <v>14126</v>
      </c>
      <c r="I135" s="38">
        <v>765</v>
      </c>
      <c r="J135" s="38">
        <v>625</v>
      </c>
      <c r="K135" s="38">
        <v>965</v>
      </c>
      <c r="L135" s="38">
        <v>4809</v>
      </c>
      <c r="M135" s="38">
        <v>5671</v>
      </c>
      <c r="N135" s="38">
        <v>986</v>
      </c>
      <c r="O135" s="38">
        <v>305</v>
      </c>
      <c r="P135" s="38"/>
      <c r="Q135" s="38"/>
      <c r="R135" s="38">
        <v>19454</v>
      </c>
      <c r="S135" s="38">
        <v>4400</v>
      </c>
      <c r="T135" s="38">
        <v>2256</v>
      </c>
      <c r="U135" s="38">
        <v>1074</v>
      </c>
      <c r="V135" s="38">
        <v>2057</v>
      </c>
      <c r="W135" s="38">
        <v>7987</v>
      </c>
      <c r="X135" s="38">
        <v>1289</v>
      </c>
      <c r="Y135" s="38">
        <v>391</v>
      </c>
      <c r="Z135" s="38"/>
      <c r="AA135" s="38"/>
      <c r="AB135" s="39">
        <v>5.4155458000000003</v>
      </c>
      <c r="AC135" s="39">
        <v>4.4244655000000002</v>
      </c>
      <c r="AD135" s="39">
        <v>6.8313747999999999</v>
      </c>
      <c r="AE135" s="39">
        <v>34.0436075</v>
      </c>
      <c r="AF135" s="39">
        <v>40.145830400000001</v>
      </c>
      <c r="AG135" s="39">
        <v>6.9800367999999997</v>
      </c>
      <c r="AH135" s="39">
        <v>2.1591391999999998</v>
      </c>
      <c r="AI135" s="39"/>
      <c r="AJ135" s="39"/>
      <c r="AK135" s="39">
        <v>22.617456600000001</v>
      </c>
      <c r="AL135" s="39">
        <v>11.596586800000001</v>
      </c>
      <c r="AM135" s="39">
        <v>5.5207154999999997</v>
      </c>
      <c r="AN135" s="39">
        <v>10.5736609</v>
      </c>
      <c r="AO135" s="39">
        <v>41.055824000000001</v>
      </c>
      <c r="AP135" s="39">
        <v>6.6258866999999997</v>
      </c>
      <c r="AQ135" s="39">
        <v>2.0098693999999999</v>
      </c>
      <c r="AR135" s="40"/>
      <c r="AS135" s="40"/>
    </row>
    <row r="136" spans="2:45" ht="15" customHeight="1" x14ac:dyDescent="0.25">
      <c r="B136" s="41">
        <v>130</v>
      </c>
      <c r="C136" s="42" t="s">
        <v>31</v>
      </c>
      <c r="D136" s="42" t="s">
        <v>66</v>
      </c>
      <c r="E136" s="42" t="s">
        <v>67</v>
      </c>
      <c r="F136" s="42" t="s">
        <v>68</v>
      </c>
      <c r="G136" s="42" t="s">
        <v>68</v>
      </c>
      <c r="H136" s="43">
        <v>226458</v>
      </c>
      <c r="I136" s="43">
        <v>90674</v>
      </c>
      <c r="J136" s="43">
        <v>127966</v>
      </c>
      <c r="K136" s="43">
        <v>4172</v>
      </c>
      <c r="L136" s="43">
        <v>1278</v>
      </c>
      <c r="M136" s="43">
        <v>1170</v>
      </c>
      <c r="N136" s="43">
        <v>439</v>
      </c>
      <c r="O136" s="43">
        <v>759</v>
      </c>
      <c r="P136" s="44">
        <f>K136+L136+M136+N136+O136</f>
        <v>7818</v>
      </c>
      <c r="Q136" s="44">
        <f>I136+J136</f>
        <v>218640</v>
      </c>
      <c r="R136" s="43">
        <v>250931</v>
      </c>
      <c r="S136" s="43">
        <v>222426</v>
      </c>
      <c r="T136" s="43">
        <v>24182</v>
      </c>
      <c r="U136" s="43">
        <v>889</v>
      </c>
      <c r="V136" s="43">
        <v>222</v>
      </c>
      <c r="W136" s="43">
        <v>1902</v>
      </c>
      <c r="X136" s="43">
        <v>626</v>
      </c>
      <c r="Y136" s="43">
        <v>684</v>
      </c>
      <c r="Z136" s="45">
        <f>U136+V136+W136+X136+Y136</f>
        <v>4323</v>
      </c>
      <c r="AA136" s="45">
        <f>S136+T136</f>
        <v>246608</v>
      </c>
      <c r="AB136" s="46">
        <v>40.040095700000002</v>
      </c>
      <c r="AC136" s="46">
        <v>56.507608500000003</v>
      </c>
      <c r="AD136" s="46">
        <v>1.8422841999999999</v>
      </c>
      <c r="AE136" s="46">
        <v>0.56434309999999999</v>
      </c>
      <c r="AF136" s="46">
        <v>0.51665209999999995</v>
      </c>
      <c r="AG136" s="46">
        <v>0.1938549</v>
      </c>
      <c r="AH136" s="46">
        <v>0.3351615</v>
      </c>
      <c r="AI136" s="47">
        <f>AB136+AC136</f>
        <v>96.547704199999998</v>
      </c>
      <c r="AJ136" s="47">
        <f>AD136+AE136+AF136+AG136+AH136</f>
        <v>3.4522957999999995</v>
      </c>
      <c r="AK136" s="46">
        <v>88.640303500000002</v>
      </c>
      <c r="AL136" s="46">
        <v>9.6369121</v>
      </c>
      <c r="AM136" s="46">
        <v>0.3542807</v>
      </c>
      <c r="AN136" s="46">
        <v>8.8470499999999994E-2</v>
      </c>
      <c r="AO136" s="46">
        <v>0.75797729999999996</v>
      </c>
      <c r="AP136" s="46">
        <v>0.249471</v>
      </c>
      <c r="AQ136" s="46">
        <v>0.27258490000000002</v>
      </c>
      <c r="AR136" s="48">
        <f>AK136+AL136</f>
        <v>98.277215600000005</v>
      </c>
      <c r="AS136" s="48">
        <f>AM136+AN136+AO136+AP136+AQ136</f>
        <v>1.7227843999999999</v>
      </c>
    </row>
    <row r="137" spans="2:45" ht="15" hidden="1" customHeight="1" x14ac:dyDescent="0.25">
      <c r="B137" s="35">
        <v>131</v>
      </c>
      <c r="C137" s="36" t="s">
        <v>31</v>
      </c>
      <c r="D137" s="36" t="s">
        <v>66</v>
      </c>
      <c r="E137" s="36" t="s">
        <v>67</v>
      </c>
      <c r="F137" s="36" t="s">
        <v>68</v>
      </c>
      <c r="G137" s="37" t="s">
        <v>25</v>
      </c>
      <c r="H137" s="38">
        <v>223734</v>
      </c>
      <c r="I137" s="38">
        <v>90252</v>
      </c>
      <c r="J137" s="38">
        <v>127570</v>
      </c>
      <c r="K137" s="38">
        <v>3963</v>
      </c>
      <c r="L137" s="38">
        <v>904</v>
      </c>
      <c r="M137" s="38">
        <v>338</v>
      </c>
      <c r="N137" s="38">
        <v>73</v>
      </c>
      <c r="O137" s="38">
        <v>634</v>
      </c>
      <c r="P137" s="38"/>
      <c r="Q137" s="38"/>
      <c r="R137" s="38">
        <v>247917</v>
      </c>
      <c r="S137" s="38">
        <v>221456</v>
      </c>
      <c r="T137" s="38">
        <v>24038</v>
      </c>
      <c r="U137" s="38">
        <v>746</v>
      </c>
      <c r="V137" s="38">
        <v>177</v>
      </c>
      <c r="W137" s="38">
        <v>733</v>
      </c>
      <c r="X137" s="38">
        <v>160</v>
      </c>
      <c r="Y137" s="38">
        <v>607</v>
      </c>
      <c r="Z137" s="38"/>
      <c r="AA137" s="38"/>
      <c r="AB137" s="39">
        <v>40.338974</v>
      </c>
      <c r="AC137" s="39">
        <v>57.018602399999999</v>
      </c>
      <c r="AD137" s="39">
        <v>1.7712998</v>
      </c>
      <c r="AE137" s="39">
        <v>0.4040512</v>
      </c>
      <c r="AF137" s="39">
        <v>0.15107229999999999</v>
      </c>
      <c r="AG137" s="39">
        <v>3.2627999999999997E-2</v>
      </c>
      <c r="AH137" s="39">
        <v>0.28337220000000002</v>
      </c>
      <c r="AI137" s="39"/>
      <c r="AJ137" s="39"/>
      <c r="AK137" s="39">
        <v>89.326669800000005</v>
      </c>
      <c r="AL137" s="39">
        <v>9.6959870000000006</v>
      </c>
      <c r="AM137" s="39">
        <v>0.30090719999999999</v>
      </c>
      <c r="AN137" s="39">
        <v>7.1394899999999997E-2</v>
      </c>
      <c r="AO137" s="39">
        <v>0.29566350000000002</v>
      </c>
      <c r="AP137" s="39">
        <v>6.4537700000000003E-2</v>
      </c>
      <c r="AQ137" s="39">
        <v>0.24484</v>
      </c>
      <c r="AR137" s="40"/>
      <c r="AS137" s="40"/>
    </row>
    <row r="138" spans="2:45" ht="15" hidden="1" customHeight="1" x14ac:dyDescent="0.25">
      <c r="B138" s="35">
        <v>132</v>
      </c>
      <c r="C138" s="36" t="s">
        <v>31</v>
      </c>
      <c r="D138" s="36" t="s">
        <v>66</v>
      </c>
      <c r="E138" s="36" t="s">
        <v>67</v>
      </c>
      <c r="F138" s="36" t="s">
        <v>68</v>
      </c>
      <c r="G138" s="37" t="s">
        <v>26</v>
      </c>
      <c r="H138" s="38">
        <v>2724</v>
      </c>
      <c r="I138" s="38">
        <v>422</v>
      </c>
      <c r="J138" s="38">
        <v>396</v>
      </c>
      <c r="K138" s="38">
        <v>209</v>
      </c>
      <c r="L138" s="38">
        <v>374</v>
      </c>
      <c r="M138" s="38">
        <v>832</v>
      </c>
      <c r="N138" s="38">
        <v>366</v>
      </c>
      <c r="O138" s="38">
        <v>125</v>
      </c>
      <c r="P138" s="38"/>
      <c r="Q138" s="38"/>
      <c r="R138" s="38">
        <v>3014</v>
      </c>
      <c r="S138" s="38">
        <v>970</v>
      </c>
      <c r="T138" s="38">
        <v>144</v>
      </c>
      <c r="U138" s="38">
        <v>143</v>
      </c>
      <c r="V138" s="38">
        <v>45</v>
      </c>
      <c r="W138" s="38">
        <v>1169</v>
      </c>
      <c r="X138" s="38">
        <v>466</v>
      </c>
      <c r="Y138" s="38">
        <v>77</v>
      </c>
      <c r="Z138" s="38"/>
      <c r="AA138" s="38"/>
      <c r="AB138" s="39">
        <v>15.4919236</v>
      </c>
      <c r="AC138" s="39">
        <v>14.537444900000001</v>
      </c>
      <c r="AD138" s="39">
        <v>7.6725403999999999</v>
      </c>
      <c r="AE138" s="39">
        <v>13.729809100000001</v>
      </c>
      <c r="AF138" s="39">
        <v>30.543318599999999</v>
      </c>
      <c r="AG138" s="39">
        <v>13.4361233</v>
      </c>
      <c r="AH138" s="39">
        <v>4.5888399</v>
      </c>
      <c r="AI138" s="39"/>
      <c r="AJ138" s="39"/>
      <c r="AK138" s="39">
        <v>32.1831453</v>
      </c>
      <c r="AL138" s="39">
        <v>4.777704</v>
      </c>
      <c r="AM138" s="39">
        <v>4.7445255</v>
      </c>
      <c r="AN138" s="39">
        <v>1.4930325</v>
      </c>
      <c r="AO138" s="39">
        <v>38.785666900000002</v>
      </c>
      <c r="AP138" s="39">
        <v>15.4611812</v>
      </c>
      <c r="AQ138" s="39">
        <v>2.5547445</v>
      </c>
      <c r="AR138" s="40"/>
      <c r="AS138" s="40"/>
    </row>
    <row r="139" spans="2:45" ht="15" customHeight="1" x14ac:dyDescent="0.25">
      <c r="B139" s="41">
        <v>133</v>
      </c>
      <c r="C139" s="42" t="s">
        <v>31</v>
      </c>
      <c r="D139" s="51" t="s">
        <v>66</v>
      </c>
      <c r="E139" s="51" t="s">
        <v>67</v>
      </c>
      <c r="F139" s="51" t="s">
        <v>69</v>
      </c>
      <c r="G139" s="52" t="s">
        <v>69</v>
      </c>
      <c r="H139" s="43">
        <v>4853</v>
      </c>
      <c r="I139" s="43">
        <v>21</v>
      </c>
      <c r="J139" s="43">
        <v>7</v>
      </c>
      <c r="K139" s="43">
        <v>509</v>
      </c>
      <c r="L139" s="43">
        <v>1547</v>
      </c>
      <c r="M139" s="43">
        <v>2461</v>
      </c>
      <c r="N139" s="43">
        <v>255</v>
      </c>
      <c r="O139" s="43">
        <v>53</v>
      </c>
      <c r="P139" s="44">
        <f>K139+L139+M139+N139+O139</f>
        <v>4825</v>
      </c>
      <c r="Q139" s="44">
        <f>I139+J139</f>
        <v>28</v>
      </c>
      <c r="R139" s="43">
        <v>7585</v>
      </c>
      <c r="S139" s="43">
        <v>694</v>
      </c>
      <c r="T139" s="43">
        <v>111</v>
      </c>
      <c r="U139" s="43">
        <v>655</v>
      </c>
      <c r="V139" s="43">
        <v>1055</v>
      </c>
      <c r="W139" s="43">
        <v>4448</v>
      </c>
      <c r="X139" s="43">
        <v>474</v>
      </c>
      <c r="Y139" s="43">
        <v>148</v>
      </c>
      <c r="Z139" s="45">
        <f>U139+V139+W139+X139+Y139</f>
        <v>6780</v>
      </c>
      <c r="AA139" s="45">
        <f>S139+T139</f>
        <v>805</v>
      </c>
      <c r="AB139" s="46">
        <v>0.432722</v>
      </c>
      <c r="AC139" s="46">
        <v>0.1442407</v>
      </c>
      <c r="AD139" s="46">
        <v>10.4883577</v>
      </c>
      <c r="AE139" s="46">
        <v>31.877189399999999</v>
      </c>
      <c r="AF139" s="46">
        <v>50.710900500000001</v>
      </c>
      <c r="AG139" s="46">
        <v>5.2544817999999998</v>
      </c>
      <c r="AH139" s="46">
        <v>1.0921080000000001</v>
      </c>
      <c r="AI139" s="47">
        <f>AB139+AC139</f>
        <v>0.57696269999999994</v>
      </c>
      <c r="AJ139" s="47">
        <f>AD139+AE139+AF139+AG139+AH139</f>
        <v>99.423037399999984</v>
      </c>
      <c r="AK139" s="46">
        <v>9.1496373999999996</v>
      </c>
      <c r="AL139" s="46">
        <v>1.4634145999999999</v>
      </c>
      <c r="AM139" s="46">
        <v>8.6354647</v>
      </c>
      <c r="AN139" s="46">
        <v>13.909031000000001</v>
      </c>
      <c r="AO139" s="46">
        <v>58.642056699999998</v>
      </c>
      <c r="AP139" s="46">
        <v>6.2491760000000003</v>
      </c>
      <c r="AQ139" s="46">
        <v>1.9512195000000001</v>
      </c>
      <c r="AR139" s="48">
        <f>AK139+AL139</f>
        <v>10.613052</v>
      </c>
      <c r="AS139" s="48">
        <f>AM139+AN139+AO139+AP139+AQ139</f>
        <v>89.386947899999996</v>
      </c>
    </row>
    <row r="140" spans="2:45" ht="15" hidden="1" customHeight="1" x14ac:dyDescent="0.25">
      <c r="B140" s="35">
        <v>134</v>
      </c>
      <c r="C140" s="36" t="s">
        <v>31</v>
      </c>
      <c r="D140" s="36" t="s">
        <v>66</v>
      </c>
      <c r="E140" s="36" t="s">
        <v>67</v>
      </c>
      <c r="F140" s="36" t="s">
        <v>69</v>
      </c>
      <c r="G140" s="37" t="s">
        <v>25</v>
      </c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40"/>
      <c r="AS140" s="40"/>
    </row>
    <row r="141" spans="2:45" ht="15" hidden="1" customHeight="1" x14ac:dyDescent="0.25">
      <c r="B141" s="35">
        <v>135</v>
      </c>
      <c r="C141" s="36" t="s">
        <v>31</v>
      </c>
      <c r="D141" s="36" t="s">
        <v>66</v>
      </c>
      <c r="E141" s="36" t="s">
        <v>67</v>
      </c>
      <c r="F141" s="36" t="s">
        <v>69</v>
      </c>
      <c r="G141" s="37" t="s">
        <v>26</v>
      </c>
      <c r="H141" s="38">
        <v>4853</v>
      </c>
      <c r="I141" s="38">
        <v>21</v>
      </c>
      <c r="J141" s="38">
        <v>7</v>
      </c>
      <c r="K141" s="38">
        <v>509</v>
      </c>
      <c r="L141" s="38">
        <v>1547</v>
      </c>
      <c r="M141" s="38">
        <v>2461</v>
      </c>
      <c r="N141" s="38">
        <v>255</v>
      </c>
      <c r="O141" s="38">
        <v>53</v>
      </c>
      <c r="P141" s="38"/>
      <c r="Q141" s="38"/>
      <c r="R141" s="38">
        <v>7585</v>
      </c>
      <c r="S141" s="38">
        <v>694</v>
      </c>
      <c r="T141" s="38">
        <v>111</v>
      </c>
      <c r="U141" s="38">
        <v>655</v>
      </c>
      <c r="V141" s="38">
        <v>1055</v>
      </c>
      <c r="W141" s="38">
        <v>4448</v>
      </c>
      <c r="X141" s="38">
        <v>474</v>
      </c>
      <c r="Y141" s="38">
        <v>148</v>
      </c>
      <c r="Z141" s="38"/>
      <c r="AA141" s="38"/>
      <c r="AB141" s="39">
        <v>0.432722</v>
      </c>
      <c r="AC141" s="39">
        <v>0.1442407</v>
      </c>
      <c r="AD141" s="39">
        <v>10.4883577</v>
      </c>
      <c r="AE141" s="39">
        <v>31.877189399999999</v>
      </c>
      <c r="AF141" s="39">
        <v>50.710900500000001</v>
      </c>
      <c r="AG141" s="39">
        <v>5.2544817999999998</v>
      </c>
      <c r="AH141" s="39">
        <v>1.0921080000000001</v>
      </c>
      <c r="AI141" s="39"/>
      <c r="AJ141" s="39"/>
      <c r="AK141" s="39">
        <v>9.1496373999999996</v>
      </c>
      <c r="AL141" s="39">
        <v>1.4634145999999999</v>
      </c>
      <c r="AM141" s="39">
        <v>8.6354647</v>
      </c>
      <c r="AN141" s="39">
        <v>13.909031000000001</v>
      </c>
      <c r="AO141" s="39">
        <v>58.642056699999998</v>
      </c>
      <c r="AP141" s="39">
        <v>6.2491760000000003</v>
      </c>
      <c r="AQ141" s="39">
        <v>1.9512195000000001</v>
      </c>
      <c r="AR141" s="40"/>
      <c r="AS141" s="40"/>
    </row>
    <row r="142" spans="2:45" ht="15" customHeight="1" x14ac:dyDescent="0.25">
      <c r="B142" s="41">
        <v>136</v>
      </c>
      <c r="C142" s="42" t="s">
        <v>31</v>
      </c>
      <c r="D142" s="51" t="s">
        <v>66</v>
      </c>
      <c r="E142" s="51" t="s">
        <v>67</v>
      </c>
      <c r="F142" s="51" t="s">
        <v>70</v>
      </c>
      <c r="G142" s="52" t="s">
        <v>70</v>
      </c>
      <c r="H142" s="43">
        <v>4772</v>
      </c>
      <c r="I142" s="43">
        <v>315</v>
      </c>
      <c r="J142" s="43">
        <v>221</v>
      </c>
      <c r="K142" s="43">
        <v>188</v>
      </c>
      <c r="L142" s="43">
        <v>2183</v>
      </c>
      <c r="M142" s="43">
        <v>1556</v>
      </c>
      <c r="N142" s="43">
        <v>208</v>
      </c>
      <c r="O142" s="43">
        <v>101</v>
      </c>
      <c r="P142" s="44">
        <f>K142+L142+M142+N142+O142</f>
        <v>4236</v>
      </c>
      <c r="Q142" s="44">
        <f>I142+J142</f>
        <v>536</v>
      </c>
      <c r="R142" s="43">
        <v>6849</v>
      </c>
      <c r="S142" s="43">
        <v>1899</v>
      </c>
      <c r="T142" s="43">
        <v>1661</v>
      </c>
      <c r="U142" s="43">
        <v>261</v>
      </c>
      <c r="V142" s="43">
        <v>860</v>
      </c>
      <c r="W142" s="43">
        <v>1785</v>
      </c>
      <c r="X142" s="43">
        <v>245</v>
      </c>
      <c r="Y142" s="43">
        <v>138</v>
      </c>
      <c r="Z142" s="45">
        <f>U142+V142+W142+X142+Y142</f>
        <v>3289</v>
      </c>
      <c r="AA142" s="45">
        <f>S142+T142</f>
        <v>3560</v>
      </c>
      <c r="AB142" s="46">
        <v>6.6010058999999996</v>
      </c>
      <c r="AC142" s="46">
        <v>4.6311818999999996</v>
      </c>
      <c r="AD142" s="46">
        <v>3.9396479000000002</v>
      </c>
      <c r="AE142" s="46">
        <v>45.746018399999997</v>
      </c>
      <c r="AF142" s="46">
        <v>32.606873399999998</v>
      </c>
      <c r="AG142" s="46">
        <v>4.3587594000000003</v>
      </c>
      <c r="AH142" s="46">
        <v>2.1165129999999999</v>
      </c>
      <c r="AI142" s="47">
        <f>AB142+AC142</f>
        <v>11.232187799999998</v>
      </c>
      <c r="AJ142" s="47">
        <f>AD142+AE142+AF142+AG142+AH142</f>
        <v>88.767812099999986</v>
      </c>
      <c r="AK142" s="46">
        <v>27.726675400000001</v>
      </c>
      <c r="AL142" s="46">
        <v>24.251715600000001</v>
      </c>
      <c r="AM142" s="46">
        <v>3.8107753</v>
      </c>
      <c r="AN142" s="46">
        <v>12.556577600000001</v>
      </c>
      <c r="AO142" s="46">
        <v>26.062198899999999</v>
      </c>
      <c r="AP142" s="46">
        <v>3.5771644999999999</v>
      </c>
      <c r="AQ142" s="46">
        <v>2.0148926999999999</v>
      </c>
      <c r="AR142" s="48">
        <f>AK142+AL142</f>
        <v>51.978391000000002</v>
      </c>
      <c r="AS142" s="48">
        <f>AM142+AN142+AO142+AP142+AQ142</f>
        <v>48.021608999999998</v>
      </c>
    </row>
    <row r="143" spans="2:45" ht="15" hidden="1" customHeight="1" x14ac:dyDescent="0.25">
      <c r="B143" s="35">
        <v>137</v>
      </c>
      <c r="C143" s="36" t="s">
        <v>31</v>
      </c>
      <c r="D143" s="36" t="s">
        <v>66</v>
      </c>
      <c r="E143" s="36" t="s">
        <v>67</v>
      </c>
      <c r="F143" s="36" t="s">
        <v>70</v>
      </c>
      <c r="G143" s="37" t="s">
        <v>25</v>
      </c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40"/>
      <c r="AS143" s="40"/>
    </row>
    <row r="144" spans="2:45" ht="15" hidden="1" customHeight="1" x14ac:dyDescent="0.25">
      <c r="B144" s="35">
        <v>138</v>
      </c>
      <c r="C144" s="36" t="s">
        <v>31</v>
      </c>
      <c r="D144" s="36" t="s">
        <v>66</v>
      </c>
      <c r="E144" s="36" t="s">
        <v>67</v>
      </c>
      <c r="F144" s="36" t="s">
        <v>70</v>
      </c>
      <c r="G144" s="37" t="s">
        <v>26</v>
      </c>
      <c r="H144" s="38">
        <v>4772</v>
      </c>
      <c r="I144" s="38">
        <v>315</v>
      </c>
      <c r="J144" s="38">
        <v>221</v>
      </c>
      <c r="K144" s="38">
        <v>188</v>
      </c>
      <c r="L144" s="38">
        <v>2183</v>
      </c>
      <c r="M144" s="38">
        <v>1556</v>
      </c>
      <c r="N144" s="38">
        <v>208</v>
      </c>
      <c r="O144" s="38">
        <v>101</v>
      </c>
      <c r="P144" s="38"/>
      <c r="Q144" s="38"/>
      <c r="R144" s="38">
        <v>6849</v>
      </c>
      <c r="S144" s="38">
        <v>1899</v>
      </c>
      <c r="T144" s="38">
        <v>1661</v>
      </c>
      <c r="U144" s="38">
        <v>261</v>
      </c>
      <c r="V144" s="38">
        <v>860</v>
      </c>
      <c r="W144" s="38">
        <v>1785</v>
      </c>
      <c r="X144" s="38">
        <v>245</v>
      </c>
      <c r="Y144" s="38">
        <v>138</v>
      </c>
      <c r="Z144" s="38"/>
      <c r="AA144" s="38"/>
      <c r="AB144" s="39">
        <v>6.6010058999999996</v>
      </c>
      <c r="AC144" s="39">
        <v>4.6311818999999996</v>
      </c>
      <c r="AD144" s="39">
        <v>3.9396479000000002</v>
      </c>
      <c r="AE144" s="39">
        <v>45.746018399999997</v>
      </c>
      <c r="AF144" s="39">
        <v>32.606873399999998</v>
      </c>
      <c r="AG144" s="39">
        <v>4.3587594000000003</v>
      </c>
      <c r="AH144" s="39">
        <v>2.1165129999999999</v>
      </c>
      <c r="AI144" s="39"/>
      <c r="AJ144" s="39"/>
      <c r="AK144" s="39">
        <v>27.726675400000001</v>
      </c>
      <c r="AL144" s="39">
        <v>24.251715600000001</v>
      </c>
      <c r="AM144" s="39">
        <v>3.8107753</v>
      </c>
      <c r="AN144" s="39">
        <v>12.556577600000001</v>
      </c>
      <c r="AO144" s="39">
        <v>26.062198899999999</v>
      </c>
      <c r="AP144" s="39">
        <v>3.5771644999999999</v>
      </c>
      <c r="AQ144" s="39">
        <v>2.0148926999999999</v>
      </c>
      <c r="AR144" s="40"/>
      <c r="AS144" s="40"/>
    </row>
    <row r="145" spans="2:45" ht="15" customHeight="1" x14ac:dyDescent="0.25">
      <c r="B145" s="41">
        <v>139</v>
      </c>
      <c r="C145" s="42" t="s">
        <v>31</v>
      </c>
      <c r="D145" s="51" t="s">
        <v>66</v>
      </c>
      <c r="E145" s="51" t="s">
        <v>67</v>
      </c>
      <c r="F145" s="51" t="s">
        <v>71</v>
      </c>
      <c r="G145" s="52" t="s">
        <v>71</v>
      </c>
      <c r="H145" s="43">
        <v>7151</v>
      </c>
      <c r="I145" s="43">
        <v>527</v>
      </c>
      <c r="J145" s="43">
        <v>311</v>
      </c>
      <c r="K145" s="43">
        <v>704</v>
      </c>
      <c r="L145" s="43">
        <v>2506</v>
      </c>
      <c r="M145" s="43">
        <v>2712</v>
      </c>
      <c r="N145" s="43">
        <v>234</v>
      </c>
      <c r="O145" s="43">
        <v>157</v>
      </c>
      <c r="P145" s="44">
        <f>K145+L145+M145+N145+O145</f>
        <v>6313</v>
      </c>
      <c r="Q145" s="44">
        <f>I145+J145</f>
        <v>838</v>
      </c>
      <c r="R145" s="43">
        <v>16297</v>
      </c>
      <c r="S145" s="43">
        <v>6865</v>
      </c>
      <c r="T145" s="43">
        <v>5552</v>
      </c>
      <c r="U145" s="43">
        <v>599</v>
      </c>
      <c r="V145" s="43">
        <v>614</v>
      </c>
      <c r="W145" s="43">
        <v>2059</v>
      </c>
      <c r="X145" s="43">
        <v>268</v>
      </c>
      <c r="Y145" s="43">
        <v>340</v>
      </c>
      <c r="Z145" s="45">
        <f>U145+V145+W145+X145+Y145</f>
        <v>3880</v>
      </c>
      <c r="AA145" s="45">
        <f t="shared" ref="AA145:AA146" si="0">S145+T145</f>
        <v>12417</v>
      </c>
      <c r="AB145" s="46">
        <v>7.3695987000000001</v>
      </c>
      <c r="AC145" s="46">
        <v>4.3490421000000001</v>
      </c>
      <c r="AD145" s="46">
        <v>9.8447770000000006</v>
      </c>
      <c r="AE145" s="46">
        <v>35.044049800000003</v>
      </c>
      <c r="AF145" s="46">
        <v>37.924765800000003</v>
      </c>
      <c r="AG145" s="46">
        <v>3.2722696</v>
      </c>
      <c r="AH145" s="46">
        <v>2.1954970999999999</v>
      </c>
      <c r="AI145" s="47">
        <f>AB145+AC145</f>
        <v>11.718640799999999</v>
      </c>
      <c r="AJ145" s="47">
        <f>AD145+AE145+AF145+AG145+AH145</f>
        <v>88.281359300000005</v>
      </c>
      <c r="AK145" s="46">
        <v>42.124317400000002</v>
      </c>
      <c r="AL145" s="46">
        <v>34.067619800000003</v>
      </c>
      <c r="AM145" s="46">
        <v>3.6755230999999999</v>
      </c>
      <c r="AN145" s="46">
        <v>3.7675646</v>
      </c>
      <c r="AO145" s="46">
        <v>12.6342272</v>
      </c>
      <c r="AP145" s="46">
        <v>1.6444744</v>
      </c>
      <c r="AQ145" s="46">
        <v>2.0862734999999999</v>
      </c>
      <c r="AR145" s="48">
        <f t="shared" ref="AR145:AR150" si="1">AK145+AL145</f>
        <v>76.191937200000012</v>
      </c>
      <c r="AS145" s="48">
        <f>AM145+AN145+AO145+AP145+AQ145</f>
        <v>23.808062799999998</v>
      </c>
    </row>
    <row r="146" spans="2:45" ht="15" hidden="1" customHeight="1" x14ac:dyDescent="0.25">
      <c r="B146" s="35">
        <v>140</v>
      </c>
      <c r="C146" s="36" t="s">
        <v>31</v>
      </c>
      <c r="D146" s="36" t="s">
        <v>66</v>
      </c>
      <c r="E146" s="36" t="s">
        <v>67</v>
      </c>
      <c r="F146" s="36" t="s">
        <v>71</v>
      </c>
      <c r="G146" s="37" t="s">
        <v>25</v>
      </c>
      <c r="H146" s="38">
        <v>6010</v>
      </c>
      <c r="I146" s="38">
        <v>523</v>
      </c>
      <c r="J146" s="38">
        <v>310</v>
      </c>
      <c r="K146" s="38">
        <v>674</v>
      </c>
      <c r="L146" s="38">
        <v>1950</v>
      </c>
      <c r="M146" s="38">
        <v>2240</v>
      </c>
      <c r="N146" s="38">
        <v>162</v>
      </c>
      <c r="O146" s="38">
        <v>151</v>
      </c>
      <c r="P146" s="38"/>
      <c r="Q146" s="38"/>
      <c r="R146" s="38">
        <v>14474</v>
      </c>
      <c r="S146" s="38">
        <v>6037</v>
      </c>
      <c r="T146" s="38">
        <v>5214</v>
      </c>
      <c r="U146" s="38">
        <v>585</v>
      </c>
      <c r="V146" s="38">
        <v>518</v>
      </c>
      <c r="W146" s="38">
        <v>1597</v>
      </c>
      <c r="X146" s="38">
        <v>211</v>
      </c>
      <c r="Y146" s="38">
        <v>312</v>
      </c>
      <c r="Z146" s="38"/>
      <c r="AA146" s="38">
        <f t="shared" si="0"/>
        <v>11251</v>
      </c>
      <c r="AB146" s="39">
        <v>8.7021630999999999</v>
      </c>
      <c r="AC146" s="39">
        <v>5.1580699000000001</v>
      </c>
      <c r="AD146" s="39">
        <v>11.2146423</v>
      </c>
      <c r="AE146" s="39">
        <v>32.445923499999999</v>
      </c>
      <c r="AF146" s="39">
        <v>37.2712146</v>
      </c>
      <c r="AG146" s="39">
        <v>2.6955075000000002</v>
      </c>
      <c r="AH146" s="39">
        <v>2.5124792</v>
      </c>
      <c r="AI146" s="39"/>
      <c r="AJ146" s="39"/>
      <c r="AK146" s="39">
        <v>41.709271800000003</v>
      </c>
      <c r="AL146" s="39">
        <v>36.023214000000003</v>
      </c>
      <c r="AM146" s="39">
        <v>4.0417300000000003</v>
      </c>
      <c r="AN146" s="39">
        <v>3.5788310000000001</v>
      </c>
      <c r="AO146" s="39">
        <v>11.0335774</v>
      </c>
      <c r="AP146" s="39">
        <v>1.4577864</v>
      </c>
      <c r="AQ146" s="39">
        <v>2.1555892999999999</v>
      </c>
      <c r="AR146" s="40">
        <f t="shared" si="1"/>
        <v>77.732485800000006</v>
      </c>
      <c r="AS146" s="40"/>
    </row>
    <row r="147" spans="2:45" ht="15" hidden="1" customHeight="1" x14ac:dyDescent="0.25">
      <c r="B147" s="35">
        <v>141</v>
      </c>
      <c r="C147" s="36" t="s">
        <v>31</v>
      </c>
      <c r="D147" s="36" t="s">
        <v>66</v>
      </c>
      <c r="E147" s="36" t="s">
        <v>67</v>
      </c>
      <c r="F147" s="36" t="s">
        <v>71</v>
      </c>
      <c r="G147" s="37" t="s">
        <v>26</v>
      </c>
      <c r="H147" s="38">
        <v>1141</v>
      </c>
      <c r="I147" s="38">
        <v>4</v>
      </c>
      <c r="J147" s="38">
        <v>1</v>
      </c>
      <c r="K147" s="38">
        <v>30</v>
      </c>
      <c r="L147" s="38">
        <v>556</v>
      </c>
      <c r="M147" s="38">
        <v>472</v>
      </c>
      <c r="N147" s="38">
        <v>72</v>
      </c>
      <c r="O147" s="38">
        <v>6</v>
      </c>
      <c r="P147" s="38"/>
      <c r="Q147" s="38">
        <f t="shared" ref="Q147:Q148" si="2">I147+J147</f>
        <v>5</v>
      </c>
      <c r="R147" s="38">
        <v>1823</v>
      </c>
      <c r="S147" s="38">
        <v>828</v>
      </c>
      <c r="T147" s="38">
        <v>338</v>
      </c>
      <c r="U147" s="38">
        <v>14</v>
      </c>
      <c r="V147" s="38">
        <v>96</v>
      </c>
      <c r="W147" s="38">
        <v>462</v>
      </c>
      <c r="X147" s="38">
        <v>57</v>
      </c>
      <c r="Y147" s="38">
        <v>28</v>
      </c>
      <c r="Z147" s="38"/>
      <c r="AA147" s="38"/>
      <c r="AB147" s="39">
        <v>0.35056969999999998</v>
      </c>
      <c r="AC147" s="39">
        <v>8.7642399999999995E-2</v>
      </c>
      <c r="AD147" s="39">
        <v>2.6292726000000002</v>
      </c>
      <c r="AE147" s="39">
        <v>48.7291849</v>
      </c>
      <c r="AF147" s="39">
        <v>41.367221700000002</v>
      </c>
      <c r="AG147" s="39">
        <v>6.3102542000000001</v>
      </c>
      <c r="AH147" s="39">
        <v>0.5258545</v>
      </c>
      <c r="AI147" s="39"/>
      <c r="AJ147" s="39"/>
      <c r="AK147" s="39">
        <v>45.419637999999999</v>
      </c>
      <c r="AL147" s="39">
        <v>18.540866699999999</v>
      </c>
      <c r="AM147" s="39">
        <v>0.76796489999999995</v>
      </c>
      <c r="AN147" s="39">
        <v>5.2660450000000001</v>
      </c>
      <c r="AO147" s="39">
        <v>25.342841499999999</v>
      </c>
      <c r="AP147" s="39">
        <v>3.1267141999999999</v>
      </c>
      <c r="AQ147" s="39">
        <v>1.5359297999999999</v>
      </c>
      <c r="AR147" s="40">
        <f t="shared" si="1"/>
        <v>63.960504700000001</v>
      </c>
      <c r="AS147" s="40">
        <f t="shared" ref="AS147:AS148" si="3">AM147+AN147+AO147+AP147+AQ147</f>
        <v>36.0394954</v>
      </c>
    </row>
    <row r="148" spans="2:45" ht="15" customHeight="1" x14ac:dyDescent="0.25">
      <c r="B148" s="41">
        <v>142</v>
      </c>
      <c r="C148" s="42" t="s">
        <v>31</v>
      </c>
      <c r="D148" s="51" t="s">
        <v>66</v>
      </c>
      <c r="E148" s="51" t="s">
        <v>67</v>
      </c>
      <c r="F148" s="51" t="s">
        <v>72</v>
      </c>
      <c r="G148" s="52" t="s">
        <v>72</v>
      </c>
      <c r="H148" s="43">
        <v>256852</v>
      </c>
      <c r="I148" s="43">
        <v>49425</v>
      </c>
      <c r="J148" s="43">
        <v>163156</v>
      </c>
      <c r="K148" s="43">
        <v>24041</v>
      </c>
      <c r="L148" s="43">
        <v>9560</v>
      </c>
      <c r="M148" s="43">
        <v>7907</v>
      </c>
      <c r="N148" s="43">
        <v>1018</v>
      </c>
      <c r="O148" s="43">
        <v>1745</v>
      </c>
      <c r="P148" s="44">
        <f>K148+L148+M148+N148+O148</f>
        <v>44271</v>
      </c>
      <c r="Q148" s="44">
        <f t="shared" si="2"/>
        <v>212581</v>
      </c>
      <c r="R148" s="43">
        <v>297898</v>
      </c>
      <c r="S148" s="43">
        <v>50478</v>
      </c>
      <c r="T148" s="43">
        <v>228508</v>
      </c>
      <c r="U148" s="43">
        <v>11723</v>
      </c>
      <c r="V148" s="43">
        <v>1645</v>
      </c>
      <c r="W148" s="43">
        <v>3656</v>
      </c>
      <c r="X148" s="43">
        <v>485</v>
      </c>
      <c r="Y148" s="43">
        <v>1403</v>
      </c>
      <c r="Z148" s="45">
        <f>U148+V148+W148+X148+Y148</f>
        <v>18912</v>
      </c>
      <c r="AA148" s="45">
        <f t="shared" ref="AA148:AA149" si="4">S148+T148</f>
        <v>278986</v>
      </c>
      <c r="AB148" s="46">
        <v>19.242598900000001</v>
      </c>
      <c r="AC148" s="46">
        <v>63.521405299999998</v>
      </c>
      <c r="AD148" s="46">
        <v>9.3598648000000004</v>
      </c>
      <c r="AE148" s="46">
        <v>3.7219878</v>
      </c>
      <c r="AF148" s="46">
        <v>3.0784265</v>
      </c>
      <c r="AG148" s="46">
        <v>0.3963372</v>
      </c>
      <c r="AH148" s="46">
        <v>0.67937959999999997</v>
      </c>
      <c r="AI148" s="47">
        <f>AB148+AC148</f>
        <v>82.764004200000002</v>
      </c>
      <c r="AJ148" s="47">
        <f>AD148+AE148+AF148+AG148+AH148</f>
        <v>17.235995900000002</v>
      </c>
      <c r="AK148" s="46">
        <v>16.944725999999999</v>
      </c>
      <c r="AL148" s="46">
        <v>76.706792300000004</v>
      </c>
      <c r="AM148" s="46">
        <v>3.9352396000000001</v>
      </c>
      <c r="AN148" s="46">
        <v>0.55220239999999998</v>
      </c>
      <c r="AO148" s="46">
        <v>1.2272657</v>
      </c>
      <c r="AP148" s="46">
        <v>0.16280739999999999</v>
      </c>
      <c r="AQ148" s="46">
        <v>0.47096660000000001</v>
      </c>
      <c r="AR148" s="48">
        <f t="shared" si="1"/>
        <v>93.651518300000006</v>
      </c>
      <c r="AS148" s="48">
        <f t="shared" si="3"/>
        <v>6.3484816999999998</v>
      </c>
    </row>
    <row r="149" spans="2:45" ht="15" hidden="1" customHeight="1" x14ac:dyDescent="0.25">
      <c r="B149" s="35">
        <v>143</v>
      </c>
      <c r="C149" s="36" t="s">
        <v>31</v>
      </c>
      <c r="D149" s="36" t="s">
        <v>66</v>
      </c>
      <c r="E149" s="36" t="s">
        <v>67</v>
      </c>
      <c r="F149" s="36" t="s">
        <v>72</v>
      </c>
      <c r="G149" s="37" t="s">
        <v>25</v>
      </c>
      <c r="H149" s="38">
        <v>256216</v>
      </c>
      <c r="I149" s="38">
        <v>49422</v>
      </c>
      <c r="J149" s="38">
        <v>163156</v>
      </c>
      <c r="K149" s="38">
        <v>24012</v>
      </c>
      <c r="L149" s="38">
        <v>9411</v>
      </c>
      <c r="M149" s="38">
        <v>7557</v>
      </c>
      <c r="N149" s="38">
        <v>933</v>
      </c>
      <c r="O149" s="38">
        <v>1725</v>
      </c>
      <c r="P149" s="38"/>
      <c r="Q149" s="38"/>
      <c r="R149" s="38">
        <v>297715</v>
      </c>
      <c r="S149" s="38">
        <v>50469</v>
      </c>
      <c r="T149" s="38">
        <v>228506</v>
      </c>
      <c r="U149" s="38">
        <v>11722</v>
      </c>
      <c r="V149" s="38">
        <v>1644</v>
      </c>
      <c r="W149" s="38">
        <v>3533</v>
      </c>
      <c r="X149" s="38">
        <v>438</v>
      </c>
      <c r="Y149" s="38">
        <v>1403</v>
      </c>
      <c r="Z149" s="38"/>
      <c r="AA149" s="38">
        <f t="shared" si="4"/>
        <v>278975</v>
      </c>
      <c r="AB149" s="39">
        <v>19.2891935</v>
      </c>
      <c r="AC149" s="39">
        <v>63.679083300000002</v>
      </c>
      <c r="AD149" s="39">
        <v>9.3717801000000005</v>
      </c>
      <c r="AE149" s="39">
        <v>3.6730727000000001</v>
      </c>
      <c r="AF149" s="39">
        <v>2.9494644999999999</v>
      </c>
      <c r="AG149" s="39">
        <v>0.36414590000000002</v>
      </c>
      <c r="AH149" s="39">
        <v>0.67326010000000003</v>
      </c>
      <c r="AI149" s="39"/>
      <c r="AJ149" s="39"/>
      <c r="AK149" s="39">
        <v>16.952118599999999</v>
      </c>
      <c r="AL149" s="39">
        <v>76.753270700000002</v>
      </c>
      <c r="AM149" s="39">
        <v>3.9373225999999999</v>
      </c>
      <c r="AN149" s="39">
        <v>0.55220599999999997</v>
      </c>
      <c r="AO149" s="39">
        <v>1.1867053999999999</v>
      </c>
      <c r="AP149" s="39">
        <v>0.14712059999999999</v>
      </c>
      <c r="AQ149" s="39">
        <v>0.47125610000000001</v>
      </c>
      <c r="AR149" s="40">
        <f t="shared" si="1"/>
        <v>93.705389300000007</v>
      </c>
      <c r="AS149" s="40"/>
    </row>
    <row r="150" spans="2:45" ht="15" hidden="1" customHeight="1" x14ac:dyDescent="0.25">
      <c r="B150" s="35">
        <v>144</v>
      </c>
      <c r="C150" s="36" t="s">
        <v>31</v>
      </c>
      <c r="D150" s="36" t="s">
        <v>66</v>
      </c>
      <c r="E150" s="36" t="s">
        <v>67</v>
      </c>
      <c r="F150" s="36" t="s">
        <v>72</v>
      </c>
      <c r="G150" s="37" t="s">
        <v>26</v>
      </c>
      <c r="H150" s="38">
        <v>636</v>
      </c>
      <c r="I150" s="38">
        <v>3</v>
      </c>
      <c r="J150" s="38">
        <v>0</v>
      </c>
      <c r="K150" s="38">
        <v>29</v>
      </c>
      <c r="L150" s="38">
        <v>149</v>
      </c>
      <c r="M150" s="38">
        <v>350</v>
      </c>
      <c r="N150" s="38">
        <v>85</v>
      </c>
      <c r="O150" s="38">
        <v>20</v>
      </c>
      <c r="P150" s="38"/>
      <c r="Q150" s="38">
        <f>I150+J150</f>
        <v>3</v>
      </c>
      <c r="R150" s="38">
        <v>183</v>
      </c>
      <c r="S150" s="38">
        <v>9</v>
      </c>
      <c r="T150" s="38">
        <v>2</v>
      </c>
      <c r="U150" s="38">
        <v>1</v>
      </c>
      <c r="V150" s="38">
        <v>1</v>
      </c>
      <c r="W150" s="38">
        <v>123</v>
      </c>
      <c r="X150" s="38">
        <v>47</v>
      </c>
      <c r="Y150" s="38">
        <v>0</v>
      </c>
      <c r="Z150" s="38"/>
      <c r="AA150" s="38"/>
      <c r="AB150" s="39">
        <v>0.47169810000000001</v>
      </c>
      <c r="AC150" s="39">
        <v>0</v>
      </c>
      <c r="AD150" s="39">
        <v>4.5597484000000001</v>
      </c>
      <c r="AE150" s="39">
        <v>23.427672999999999</v>
      </c>
      <c r="AF150" s="39">
        <v>55.031446500000001</v>
      </c>
      <c r="AG150" s="39">
        <v>13.3647799</v>
      </c>
      <c r="AH150" s="39">
        <v>3.1446540999999999</v>
      </c>
      <c r="AI150" s="39"/>
      <c r="AJ150" s="39"/>
      <c r="AK150" s="39">
        <v>4.9180327999999998</v>
      </c>
      <c r="AL150" s="39">
        <v>1.0928962</v>
      </c>
      <c r="AM150" s="39">
        <v>0.54644809999999999</v>
      </c>
      <c r="AN150" s="39">
        <v>0.54644809999999999</v>
      </c>
      <c r="AO150" s="39">
        <v>67.2131148</v>
      </c>
      <c r="AP150" s="39">
        <v>25.683060099999999</v>
      </c>
      <c r="AQ150" s="39">
        <v>0</v>
      </c>
      <c r="AR150" s="40">
        <f t="shared" si="1"/>
        <v>6.010929</v>
      </c>
      <c r="AS150" s="40"/>
    </row>
    <row r="151" spans="2:45" ht="15" hidden="1" customHeight="1" x14ac:dyDescent="0.25">
      <c r="B151" s="30">
        <v>145</v>
      </c>
      <c r="C151" s="31" t="s">
        <v>29</v>
      </c>
      <c r="D151" s="50" t="s">
        <v>66</v>
      </c>
      <c r="E151" s="50" t="s">
        <v>73</v>
      </c>
      <c r="F151" s="50"/>
      <c r="G151" s="31" t="s">
        <v>73</v>
      </c>
      <c r="H151" s="32">
        <v>32043</v>
      </c>
      <c r="I151" s="32">
        <v>1477</v>
      </c>
      <c r="J151" s="32">
        <v>1643</v>
      </c>
      <c r="K151" s="32">
        <v>1648</v>
      </c>
      <c r="L151" s="32">
        <v>3482</v>
      </c>
      <c r="M151" s="32">
        <v>20906</v>
      </c>
      <c r="N151" s="32">
        <v>2472</v>
      </c>
      <c r="O151" s="32">
        <v>415</v>
      </c>
      <c r="P151" s="32"/>
      <c r="Q151" s="32"/>
      <c r="R151" s="32">
        <v>38628</v>
      </c>
      <c r="S151" s="32">
        <v>3872</v>
      </c>
      <c r="T151" s="32">
        <v>4013</v>
      </c>
      <c r="U151" s="32">
        <v>766</v>
      </c>
      <c r="V151" s="32">
        <v>1162</v>
      </c>
      <c r="W151" s="32">
        <v>25710</v>
      </c>
      <c r="X151" s="32">
        <v>2717</v>
      </c>
      <c r="Y151" s="32">
        <v>388</v>
      </c>
      <c r="Z151" s="32"/>
      <c r="AA151" s="32"/>
      <c r="AB151" s="33">
        <v>4.6094311000000001</v>
      </c>
      <c r="AC151" s="33">
        <v>5.1274848999999998</v>
      </c>
      <c r="AD151" s="33">
        <v>5.1430889999999998</v>
      </c>
      <c r="AE151" s="33">
        <v>10.8666479</v>
      </c>
      <c r="AF151" s="33">
        <v>65.243578900000003</v>
      </c>
      <c r="AG151" s="33">
        <v>7.7146334999999997</v>
      </c>
      <c r="AH151" s="33">
        <v>1.2951347</v>
      </c>
      <c r="AI151" s="33"/>
      <c r="AJ151" s="33"/>
      <c r="AK151" s="33">
        <v>10.0238169</v>
      </c>
      <c r="AL151" s="33">
        <v>10.3888371</v>
      </c>
      <c r="AM151" s="33">
        <v>1.9830175000000001</v>
      </c>
      <c r="AN151" s="33">
        <v>3.0081806000000002</v>
      </c>
      <c r="AO151" s="33">
        <v>66.557937199999998</v>
      </c>
      <c r="AP151" s="33">
        <v>7.0337579000000003</v>
      </c>
      <c r="AQ151" s="33">
        <v>1.0044527000000001</v>
      </c>
      <c r="AR151" s="34"/>
      <c r="AS151" s="34"/>
    </row>
    <row r="152" spans="2:45" ht="15" hidden="1" customHeight="1" x14ac:dyDescent="0.25">
      <c r="B152" s="35">
        <v>146</v>
      </c>
      <c r="C152" s="36" t="s">
        <v>29</v>
      </c>
      <c r="D152" s="36" t="s">
        <v>66</v>
      </c>
      <c r="E152" s="36" t="s">
        <v>73</v>
      </c>
      <c r="F152" s="36"/>
      <c r="G152" s="37" t="s">
        <v>25</v>
      </c>
      <c r="H152" s="38">
        <v>3307</v>
      </c>
      <c r="I152" s="38">
        <v>1122</v>
      </c>
      <c r="J152" s="38">
        <v>1578</v>
      </c>
      <c r="K152" s="38">
        <v>254</v>
      </c>
      <c r="L152" s="38">
        <v>149</v>
      </c>
      <c r="M152" s="38">
        <v>159</v>
      </c>
      <c r="N152" s="38">
        <v>26</v>
      </c>
      <c r="O152" s="38">
        <v>19</v>
      </c>
      <c r="P152" s="38"/>
      <c r="Q152" s="38"/>
      <c r="R152" s="38">
        <v>3554</v>
      </c>
      <c r="S152" s="38">
        <v>474</v>
      </c>
      <c r="T152" s="38">
        <v>2924</v>
      </c>
      <c r="U152" s="38">
        <v>43</v>
      </c>
      <c r="V152" s="38">
        <v>13</v>
      </c>
      <c r="W152" s="38">
        <v>88</v>
      </c>
      <c r="X152" s="38">
        <v>5</v>
      </c>
      <c r="Y152" s="38">
        <v>7</v>
      </c>
      <c r="Z152" s="38"/>
      <c r="AA152" s="38"/>
      <c r="AB152" s="39">
        <v>33.928031400000002</v>
      </c>
      <c r="AC152" s="39">
        <v>47.716963999999997</v>
      </c>
      <c r="AD152" s="39">
        <v>7.6806774000000004</v>
      </c>
      <c r="AE152" s="39">
        <v>4.5055942</v>
      </c>
      <c r="AF152" s="39">
        <v>4.8079831000000004</v>
      </c>
      <c r="AG152" s="39">
        <v>0.78621110000000005</v>
      </c>
      <c r="AH152" s="39">
        <v>0.57453889999999996</v>
      </c>
      <c r="AI152" s="39"/>
      <c r="AJ152" s="39"/>
      <c r="AK152" s="39">
        <v>13.337085</v>
      </c>
      <c r="AL152" s="39">
        <v>82.273494700000001</v>
      </c>
      <c r="AM152" s="39">
        <v>1.2099043</v>
      </c>
      <c r="AN152" s="39">
        <v>0.36578500000000003</v>
      </c>
      <c r="AO152" s="39">
        <v>2.4760833</v>
      </c>
      <c r="AP152" s="39">
        <v>0.14068659999999999</v>
      </c>
      <c r="AQ152" s="39">
        <v>0.1969612</v>
      </c>
      <c r="AR152" s="40"/>
      <c r="AS152" s="40"/>
    </row>
    <row r="153" spans="2:45" ht="15" hidden="1" customHeight="1" x14ac:dyDescent="0.25">
      <c r="B153" s="35">
        <v>147</v>
      </c>
      <c r="C153" s="36" t="s">
        <v>29</v>
      </c>
      <c r="D153" s="36" t="s">
        <v>66</v>
      </c>
      <c r="E153" s="36" t="s">
        <v>73</v>
      </c>
      <c r="F153" s="36"/>
      <c r="G153" s="37" t="s">
        <v>26</v>
      </c>
      <c r="H153" s="38">
        <v>28736</v>
      </c>
      <c r="I153" s="38">
        <v>355</v>
      </c>
      <c r="J153" s="38">
        <v>65</v>
      </c>
      <c r="K153" s="38">
        <v>1394</v>
      </c>
      <c r="L153" s="38">
        <v>3333</v>
      </c>
      <c r="M153" s="38">
        <v>20747</v>
      </c>
      <c r="N153" s="38">
        <v>2446</v>
      </c>
      <c r="O153" s="38">
        <v>396</v>
      </c>
      <c r="P153" s="38"/>
      <c r="Q153" s="38"/>
      <c r="R153" s="38">
        <v>35074</v>
      </c>
      <c r="S153" s="38">
        <v>3398</v>
      </c>
      <c r="T153" s="38">
        <v>1089</v>
      </c>
      <c r="U153" s="38">
        <v>723</v>
      </c>
      <c r="V153" s="38">
        <v>1149</v>
      </c>
      <c r="W153" s="38">
        <v>25622</v>
      </c>
      <c r="X153" s="38">
        <v>2712</v>
      </c>
      <c r="Y153" s="38">
        <v>381</v>
      </c>
      <c r="Z153" s="38"/>
      <c r="AA153" s="38"/>
      <c r="AB153" s="39">
        <v>1.2353841999999999</v>
      </c>
      <c r="AC153" s="39">
        <v>0.22619710000000001</v>
      </c>
      <c r="AD153" s="39">
        <v>4.8510578999999998</v>
      </c>
      <c r="AE153" s="39">
        <v>11.598691499999999</v>
      </c>
      <c r="AF153" s="39">
        <v>72.198635899999999</v>
      </c>
      <c r="AG153" s="39">
        <v>8.5119710000000008</v>
      </c>
      <c r="AH153" s="39">
        <v>1.3780623999999999</v>
      </c>
      <c r="AI153" s="39"/>
      <c r="AJ153" s="39"/>
      <c r="AK153" s="39">
        <v>9.6880880000000005</v>
      </c>
      <c r="AL153" s="39">
        <v>3.1048640000000001</v>
      </c>
      <c r="AM153" s="39">
        <v>2.061356</v>
      </c>
      <c r="AN153" s="39">
        <v>3.2759309000000001</v>
      </c>
      <c r="AO153" s="39">
        <v>73.051263000000006</v>
      </c>
      <c r="AP153" s="39">
        <v>7.7322233000000002</v>
      </c>
      <c r="AQ153" s="39">
        <v>1.0862746999999999</v>
      </c>
      <c r="AR153" s="40"/>
      <c r="AS153" s="40"/>
    </row>
    <row r="154" spans="2:45" ht="15" customHeight="1" x14ac:dyDescent="0.25">
      <c r="B154" s="41">
        <v>148</v>
      </c>
      <c r="C154" s="42" t="s">
        <v>31</v>
      </c>
      <c r="D154" s="51" t="s">
        <v>66</v>
      </c>
      <c r="E154" s="51" t="s">
        <v>73</v>
      </c>
      <c r="F154" s="51" t="s">
        <v>74</v>
      </c>
      <c r="G154" s="52" t="s">
        <v>74</v>
      </c>
      <c r="H154" s="43">
        <v>16228</v>
      </c>
      <c r="I154" s="43">
        <v>1179</v>
      </c>
      <c r="J154" s="43">
        <v>1608</v>
      </c>
      <c r="K154" s="43">
        <v>1023</v>
      </c>
      <c r="L154" s="43">
        <v>1400</v>
      </c>
      <c r="M154" s="43">
        <v>9650</v>
      </c>
      <c r="N154" s="43">
        <v>1233</v>
      </c>
      <c r="O154" s="43">
        <v>135</v>
      </c>
      <c r="P154" s="44">
        <f>K154+L154+M154+N154+O154</f>
        <v>13441</v>
      </c>
      <c r="Q154" s="44">
        <f>I154+J154</f>
        <v>2787</v>
      </c>
      <c r="R154" s="43">
        <v>18316</v>
      </c>
      <c r="S154" s="43">
        <v>806</v>
      </c>
      <c r="T154" s="43">
        <v>3134</v>
      </c>
      <c r="U154" s="43">
        <v>364</v>
      </c>
      <c r="V154" s="43">
        <v>377</v>
      </c>
      <c r="W154" s="43">
        <v>12342</v>
      </c>
      <c r="X154" s="43">
        <v>1132</v>
      </c>
      <c r="Y154" s="43">
        <v>161</v>
      </c>
      <c r="Z154" s="45">
        <f>U154+V154+W154+X154+Y154</f>
        <v>14376</v>
      </c>
      <c r="AA154" s="45">
        <f t="shared" ref="AA154:AA155" si="5">S154+T154</f>
        <v>3940</v>
      </c>
      <c r="AB154" s="46">
        <v>7.2652206000000001</v>
      </c>
      <c r="AC154" s="46">
        <v>9.9087996</v>
      </c>
      <c r="AD154" s="46">
        <v>6.3039192000000002</v>
      </c>
      <c r="AE154" s="46">
        <v>8.6270643000000007</v>
      </c>
      <c r="AF154" s="46">
        <v>59.465122000000001</v>
      </c>
      <c r="AG154" s="46">
        <v>7.5979787999999999</v>
      </c>
      <c r="AH154" s="46">
        <v>0.83189550000000001</v>
      </c>
      <c r="AI154" s="47">
        <f>AB154+AC154</f>
        <v>17.174020200000001</v>
      </c>
      <c r="AJ154" s="47">
        <f>AD154+AE154+AF154+AG154+AH154</f>
        <v>82.825979799999999</v>
      </c>
      <c r="AK154" s="46">
        <v>4.4005241000000002</v>
      </c>
      <c r="AL154" s="46">
        <v>17.110722899999999</v>
      </c>
      <c r="AM154" s="46">
        <v>1.9873335000000001</v>
      </c>
      <c r="AN154" s="46">
        <v>2.0583097000000001</v>
      </c>
      <c r="AO154" s="46">
        <v>67.383708200000001</v>
      </c>
      <c r="AP154" s="46">
        <v>6.1803887</v>
      </c>
      <c r="AQ154" s="46">
        <v>0.87901289999999999</v>
      </c>
      <c r="AR154" s="48">
        <f t="shared" ref="AR154:AR171" si="6">AK154+AL154</f>
        <v>21.511246999999997</v>
      </c>
      <c r="AS154" s="48">
        <f>AM154+AN154+AO154+AP154+AQ154</f>
        <v>78.488753000000003</v>
      </c>
    </row>
    <row r="155" spans="2:45" ht="15" hidden="1" customHeight="1" x14ac:dyDescent="0.25">
      <c r="B155" s="35">
        <v>149</v>
      </c>
      <c r="C155" s="36" t="s">
        <v>31</v>
      </c>
      <c r="D155" s="36" t="s">
        <v>66</v>
      </c>
      <c r="E155" s="36" t="s">
        <v>73</v>
      </c>
      <c r="F155" s="36" t="s">
        <v>74</v>
      </c>
      <c r="G155" s="37" t="s">
        <v>25</v>
      </c>
      <c r="H155" s="38">
        <v>3307</v>
      </c>
      <c r="I155" s="38">
        <v>1122</v>
      </c>
      <c r="J155" s="38">
        <v>1578</v>
      </c>
      <c r="K155" s="38">
        <v>254</v>
      </c>
      <c r="L155" s="38">
        <v>149</v>
      </c>
      <c r="M155" s="38">
        <v>159</v>
      </c>
      <c r="N155" s="38">
        <v>26</v>
      </c>
      <c r="O155" s="38">
        <v>19</v>
      </c>
      <c r="P155" s="38"/>
      <c r="Q155" s="38"/>
      <c r="R155" s="38">
        <v>3554</v>
      </c>
      <c r="S155" s="38">
        <v>474</v>
      </c>
      <c r="T155" s="38">
        <v>2924</v>
      </c>
      <c r="U155" s="38">
        <v>43</v>
      </c>
      <c r="V155" s="38">
        <v>13</v>
      </c>
      <c r="W155" s="38">
        <v>88</v>
      </c>
      <c r="X155" s="38">
        <v>5</v>
      </c>
      <c r="Y155" s="38">
        <v>7</v>
      </c>
      <c r="Z155" s="38"/>
      <c r="AA155" s="38">
        <f t="shared" si="5"/>
        <v>3398</v>
      </c>
      <c r="AB155" s="39">
        <v>33.928031400000002</v>
      </c>
      <c r="AC155" s="39">
        <v>47.716963999999997</v>
      </c>
      <c r="AD155" s="39">
        <v>7.6806774000000004</v>
      </c>
      <c r="AE155" s="39">
        <v>4.5055942</v>
      </c>
      <c r="AF155" s="39">
        <v>4.8079831000000004</v>
      </c>
      <c r="AG155" s="39">
        <v>0.78621110000000005</v>
      </c>
      <c r="AH155" s="39">
        <v>0.57453889999999996</v>
      </c>
      <c r="AI155" s="39"/>
      <c r="AJ155" s="39"/>
      <c r="AK155" s="39">
        <v>13.337085</v>
      </c>
      <c r="AL155" s="39">
        <v>82.273494700000001</v>
      </c>
      <c r="AM155" s="39">
        <v>1.2099043</v>
      </c>
      <c r="AN155" s="39">
        <v>0.36578500000000003</v>
      </c>
      <c r="AO155" s="39">
        <v>2.4760833</v>
      </c>
      <c r="AP155" s="39">
        <v>0.14068659999999999</v>
      </c>
      <c r="AQ155" s="39">
        <v>0.1969612</v>
      </c>
      <c r="AR155" s="40">
        <f t="shared" si="6"/>
        <v>95.610579700000002</v>
      </c>
      <c r="AS155" s="40"/>
    </row>
    <row r="156" spans="2:45" ht="15" hidden="1" customHeight="1" x14ac:dyDescent="0.25">
      <c r="B156" s="35">
        <v>150</v>
      </c>
      <c r="C156" s="36" t="s">
        <v>31</v>
      </c>
      <c r="D156" s="36" t="s">
        <v>66</v>
      </c>
      <c r="E156" s="36" t="s">
        <v>73</v>
      </c>
      <c r="F156" s="36" t="s">
        <v>74</v>
      </c>
      <c r="G156" s="37" t="s">
        <v>26</v>
      </c>
      <c r="H156" s="38">
        <v>12921</v>
      </c>
      <c r="I156" s="38">
        <v>57</v>
      </c>
      <c r="J156" s="38">
        <v>30</v>
      </c>
      <c r="K156" s="38">
        <v>769</v>
      </c>
      <c r="L156" s="38">
        <v>1251</v>
      </c>
      <c r="M156" s="38">
        <v>9491</v>
      </c>
      <c r="N156" s="38">
        <v>1207</v>
      </c>
      <c r="O156" s="38">
        <v>116</v>
      </c>
      <c r="P156" s="38"/>
      <c r="Q156" s="38">
        <f t="shared" ref="Q156:Q157" si="7">I156+J156</f>
        <v>87</v>
      </c>
      <c r="R156" s="38">
        <v>14762</v>
      </c>
      <c r="S156" s="38">
        <v>332</v>
      </c>
      <c r="T156" s="38">
        <v>210</v>
      </c>
      <c r="U156" s="38">
        <v>321</v>
      </c>
      <c r="V156" s="38">
        <v>364</v>
      </c>
      <c r="W156" s="38">
        <v>12254</v>
      </c>
      <c r="X156" s="38">
        <v>1127</v>
      </c>
      <c r="Y156" s="38">
        <v>154</v>
      </c>
      <c r="Z156" s="38"/>
      <c r="AA156" s="38"/>
      <c r="AB156" s="39">
        <v>0.44114229999999999</v>
      </c>
      <c r="AC156" s="39">
        <v>0.2321802</v>
      </c>
      <c r="AD156" s="39">
        <v>5.9515516999999996</v>
      </c>
      <c r="AE156" s="39">
        <v>9.6819132000000003</v>
      </c>
      <c r="AF156" s="39">
        <v>73.454066999999995</v>
      </c>
      <c r="AG156" s="39">
        <v>9.3413822</v>
      </c>
      <c r="AH156" s="39">
        <v>0.89776330000000004</v>
      </c>
      <c r="AI156" s="39"/>
      <c r="AJ156" s="39"/>
      <c r="AK156" s="39">
        <v>2.2490177</v>
      </c>
      <c r="AL156" s="39">
        <v>1.4225715000000001</v>
      </c>
      <c r="AM156" s="39">
        <v>2.1745021000000002</v>
      </c>
      <c r="AN156" s="39">
        <v>2.4657905000000002</v>
      </c>
      <c r="AO156" s="39">
        <v>83.010432199999997</v>
      </c>
      <c r="AP156" s="39">
        <v>7.6344668999999996</v>
      </c>
      <c r="AQ156" s="39">
        <v>1.0432191</v>
      </c>
      <c r="AR156" s="40">
        <f t="shared" si="6"/>
        <v>3.6715892000000001</v>
      </c>
      <c r="AS156" s="40"/>
    </row>
    <row r="157" spans="2:45" ht="15" customHeight="1" x14ac:dyDescent="0.25">
      <c r="B157" s="41">
        <v>151</v>
      </c>
      <c r="C157" s="42" t="s">
        <v>31</v>
      </c>
      <c r="D157" s="51" t="s">
        <v>66</v>
      </c>
      <c r="E157" s="51" t="s">
        <v>73</v>
      </c>
      <c r="F157" s="51" t="s">
        <v>75</v>
      </c>
      <c r="G157" s="52" t="s">
        <v>75</v>
      </c>
      <c r="H157" s="43">
        <v>5027</v>
      </c>
      <c r="I157" s="43">
        <v>54</v>
      </c>
      <c r="J157" s="43">
        <v>11</v>
      </c>
      <c r="K157" s="43">
        <v>277</v>
      </c>
      <c r="L157" s="43">
        <v>933</v>
      </c>
      <c r="M157" s="43">
        <v>3154</v>
      </c>
      <c r="N157" s="43">
        <v>413</v>
      </c>
      <c r="O157" s="43">
        <v>185</v>
      </c>
      <c r="P157" s="44">
        <f>K157+L157+M157+N157+O157</f>
        <v>4962</v>
      </c>
      <c r="Q157" s="44">
        <f t="shared" si="7"/>
        <v>65</v>
      </c>
      <c r="R157" s="43">
        <v>6737</v>
      </c>
      <c r="S157" s="43">
        <v>256</v>
      </c>
      <c r="T157" s="43">
        <v>47</v>
      </c>
      <c r="U157" s="43">
        <v>157</v>
      </c>
      <c r="V157" s="43">
        <v>524</v>
      </c>
      <c r="W157" s="43">
        <v>5017</v>
      </c>
      <c r="X157" s="43">
        <v>669</v>
      </c>
      <c r="Y157" s="43">
        <v>67</v>
      </c>
      <c r="Z157" s="45">
        <f>U157+V157+W157+X157+Y157</f>
        <v>6434</v>
      </c>
      <c r="AA157" s="45">
        <f t="shared" ref="AA157:AA158" si="8">S157+T157</f>
        <v>303</v>
      </c>
      <c r="AB157" s="46">
        <v>1.0741993000000001</v>
      </c>
      <c r="AC157" s="46">
        <v>0.2188184</v>
      </c>
      <c r="AD157" s="46">
        <v>5.5102447000000003</v>
      </c>
      <c r="AE157" s="46">
        <v>18.559777199999999</v>
      </c>
      <c r="AF157" s="46">
        <v>62.741197499999998</v>
      </c>
      <c r="AG157" s="46">
        <v>8.2156356000000006</v>
      </c>
      <c r="AH157" s="46">
        <v>3.6801273000000001</v>
      </c>
      <c r="AI157" s="47">
        <f>AB157+AC157</f>
        <v>1.2930177</v>
      </c>
      <c r="AJ157" s="47">
        <f>AD157+AE157+AF157+AG157+AH157</f>
        <v>98.706982299999993</v>
      </c>
      <c r="AK157" s="46">
        <v>3.7999109</v>
      </c>
      <c r="AL157" s="46">
        <v>0.69763989999999998</v>
      </c>
      <c r="AM157" s="46">
        <v>2.3304141</v>
      </c>
      <c r="AN157" s="46">
        <v>7.7779426999999997</v>
      </c>
      <c r="AO157" s="46">
        <v>74.469348400000001</v>
      </c>
      <c r="AP157" s="46">
        <v>9.9302360000000007</v>
      </c>
      <c r="AQ157" s="46">
        <v>0.9945079</v>
      </c>
      <c r="AR157" s="48">
        <f t="shared" si="6"/>
        <v>4.4975508</v>
      </c>
      <c r="AS157" s="48">
        <f>AM157+AN157+AO157+AP157+AQ157</f>
        <v>95.502449100000007</v>
      </c>
    </row>
    <row r="158" spans="2:45" ht="15" hidden="1" customHeight="1" x14ac:dyDescent="0.25">
      <c r="B158" s="35">
        <v>152</v>
      </c>
      <c r="C158" s="36" t="s">
        <v>31</v>
      </c>
      <c r="D158" s="36" t="s">
        <v>66</v>
      </c>
      <c r="E158" s="36" t="s">
        <v>73</v>
      </c>
      <c r="F158" s="36" t="s">
        <v>75</v>
      </c>
      <c r="G158" s="37" t="s">
        <v>25</v>
      </c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>
        <f t="shared" si="8"/>
        <v>0</v>
      </c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40">
        <f t="shared" si="6"/>
        <v>0</v>
      </c>
      <c r="AS158" s="40"/>
    </row>
    <row r="159" spans="2:45" ht="15" hidden="1" customHeight="1" x14ac:dyDescent="0.25">
      <c r="B159" s="35">
        <v>153</v>
      </c>
      <c r="C159" s="36" t="s">
        <v>31</v>
      </c>
      <c r="D159" s="36" t="s">
        <v>66</v>
      </c>
      <c r="E159" s="36" t="s">
        <v>73</v>
      </c>
      <c r="F159" s="36" t="s">
        <v>75</v>
      </c>
      <c r="G159" s="37" t="s">
        <v>26</v>
      </c>
      <c r="H159" s="38">
        <v>5027</v>
      </c>
      <c r="I159" s="38">
        <v>54</v>
      </c>
      <c r="J159" s="38">
        <v>11</v>
      </c>
      <c r="K159" s="38">
        <v>277</v>
      </c>
      <c r="L159" s="38">
        <v>933</v>
      </c>
      <c r="M159" s="38">
        <v>3154</v>
      </c>
      <c r="N159" s="38">
        <v>413</v>
      </c>
      <c r="O159" s="38">
        <v>185</v>
      </c>
      <c r="P159" s="38"/>
      <c r="Q159" s="38">
        <f t="shared" ref="Q159:Q160" si="9">I159+J159</f>
        <v>65</v>
      </c>
      <c r="R159" s="38">
        <v>6737</v>
      </c>
      <c r="S159" s="38">
        <v>256</v>
      </c>
      <c r="T159" s="38">
        <v>47</v>
      </c>
      <c r="U159" s="38">
        <v>157</v>
      </c>
      <c r="V159" s="38">
        <v>524</v>
      </c>
      <c r="W159" s="38">
        <v>5017</v>
      </c>
      <c r="X159" s="38">
        <v>669</v>
      </c>
      <c r="Y159" s="38">
        <v>67</v>
      </c>
      <c r="Z159" s="38"/>
      <c r="AA159" s="38"/>
      <c r="AB159" s="39">
        <v>1.0741993000000001</v>
      </c>
      <c r="AC159" s="39">
        <v>0.2188184</v>
      </c>
      <c r="AD159" s="39">
        <v>5.5102447000000003</v>
      </c>
      <c r="AE159" s="39">
        <v>18.559777199999999</v>
      </c>
      <c r="AF159" s="39">
        <v>62.741197499999998</v>
      </c>
      <c r="AG159" s="39">
        <v>8.2156356000000006</v>
      </c>
      <c r="AH159" s="39">
        <v>3.6801273000000001</v>
      </c>
      <c r="AI159" s="39"/>
      <c r="AJ159" s="39"/>
      <c r="AK159" s="39">
        <v>3.7999109</v>
      </c>
      <c r="AL159" s="39">
        <v>0.69763989999999998</v>
      </c>
      <c r="AM159" s="39">
        <v>2.3304141</v>
      </c>
      <c r="AN159" s="39">
        <v>7.7779426999999997</v>
      </c>
      <c r="AO159" s="39">
        <v>74.469348400000001</v>
      </c>
      <c r="AP159" s="39">
        <v>9.9302360000000007</v>
      </c>
      <c r="AQ159" s="39">
        <v>0.9945079</v>
      </c>
      <c r="AR159" s="40">
        <f t="shared" si="6"/>
        <v>4.4975508</v>
      </c>
      <c r="AS159" s="40"/>
    </row>
    <row r="160" spans="2:45" ht="15" customHeight="1" x14ac:dyDescent="0.25">
      <c r="B160" s="41">
        <v>154</v>
      </c>
      <c r="C160" s="42" t="s">
        <v>31</v>
      </c>
      <c r="D160" s="51" t="s">
        <v>66</v>
      </c>
      <c r="E160" s="51" t="s">
        <v>73</v>
      </c>
      <c r="F160" s="51" t="s">
        <v>76</v>
      </c>
      <c r="G160" s="52" t="s">
        <v>76</v>
      </c>
      <c r="H160" s="43">
        <v>3297</v>
      </c>
      <c r="I160" s="43">
        <v>22</v>
      </c>
      <c r="J160" s="43">
        <v>13</v>
      </c>
      <c r="K160" s="43">
        <v>114</v>
      </c>
      <c r="L160" s="43">
        <v>374</v>
      </c>
      <c r="M160" s="43">
        <v>2434</v>
      </c>
      <c r="N160" s="43">
        <v>284</v>
      </c>
      <c r="O160" s="43">
        <v>56</v>
      </c>
      <c r="P160" s="44">
        <f>K160+L160+M160+N160+O160</f>
        <v>3262</v>
      </c>
      <c r="Q160" s="44">
        <f t="shared" si="9"/>
        <v>35</v>
      </c>
      <c r="R160" s="43">
        <v>3956</v>
      </c>
      <c r="S160" s="43">
        <v>679</v>
      </c>
      <c r="T160" s="43">
        <v>39</v>
      </c>
      <c r="U160" s="43">
        <v>65</v>
      </c>
      <c r="V160" s="43">
        <v>60</v>
      </c>
      <c r="W160" s="43">
        <v>2748</v>
      </c>
      <c r="X160" s="43">
        <v>332</v>
      </c>
      <c r="Y160" s="43">
        <v>33</v>
      </c>
      <c r="Z160" s="45">
        <f>U160+V160+W160+X160+Y160</f>
        <v>3238</v>
      </c>
      <c r="AA160" s="45">
        <f t="shared" ref="AA160:AA161" si="10">S160+T160</f>
        <v>718</v>
      </c>
      <c r="AB160" s="46">
        <v>0.66727329999999996</v>
      </c>
      <c r="AC160" s="46">
        <v>0.39429779999999998</v>
      </c>
      <c r="AD160" s="46">
        <v>3.4576888000000001</v>
      </c>
      <c r="AE160" s="46">
        <v>11.3436457</v>
      </c>
      <c r="AF160" s="46">
        <v>73.824689100000001</v>
      </c>
      <c r="AG160" s="46">
        <v>8.6138914</v>
      </c>
      <c r="AH160" s="46">
        <v>1.6985138</v>
      </c>
      <c r="AI160" s="47">
        <f>AB160+AC160</f>
        <v>1.0615710999999999</v>
      </c>
      <c r="AJ160" s="47">
        <f>AD160+AE160+AF160+AG160+AH160</f>
        <v>98.938428799999997</v>
      </c>
      <c r="AK160" s="46">
        <v>17.163801800000002</v>
      </c>
      <c r="AL160" s="46">
        <v>0.98584430000000001</v>
      </c>
      <c r="AM160" s="46">
        <v>1.6430738</v>
      </c>
      <c r="AN160" s="46">
        <v>1.5166835000000001</v>
      </c>
      <c r="AO160" s="46">
        <v>69.464105200000006</v>
      </c>
      <c r="AP160" s="46">
        <v>8.3923155000000005</v>
      </c>
      <c r="AQ160" s="46">
        <v>0.83417589999999997</v>
      </c>
      <c r="AR160" s="48">
        <f t="shared" si="6"/>
        <v>18.149646100000002</v>
      </c>
      <c r="AS160" s="48">
        <f>AM160+AN160+AO160+AP160+AQ160</f>
        <v>81.850353900000002</v>
      </c>
    </row>
    <row r="161" spans="2:45" ht="15" hidden="1" customHeight="1" x14ac:dyDescent="0.25">
      <c r="B161" s="35">
        <v>155</v>
      </c>
      <c r="C161" s="36" t="s">
        <v>31</v>
      </c>
      <c r="D161" s="36" t="s">
        <v>66</v>
      </c>
      <c r="E161" s="36" t="s">
        <v>73</v>
      </c>
      <c r="F161" s="36" t="s">
        <v>76</v>
      </c>
      <c r="G161" s="37" t="s">
        <v>25</v>
      </c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>
        <f t="shared" si="10"/>
        <v>0</v>
      </c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40">
        <f t="shared" si="6"/>
        <v>0</v>
      </c>
      <c r="AS161" s="40"/>
    </row>
    <row r="162" spans="2:45" ht="15" hidden="1" customHeight="1" x14ac:dyDescent="0.25">
      <c r="B162" s="35">
        <v>156</v>
      </c>
      <c r="C162" s="36" t="s">
        <v>31</v>
      </c>
      <c r="D162" s="36" t="s">
        <v>66</v>
      </c>
      <c r="E162" s="36" t="s">
        <v>73</v>
      </c>
      <c r="F162" s="36" t="s">
        <v>76</v>
      </c>
      <c r="G162" s="37" t="s">
        <v>26</v>
      </c>
      <c r="H162" s="38">
        <v>3297</v>
      </c>
      <c r="I162" s="38">
        <v>22</v>
      </c>
      <c r="J162" s="38">
        <v>13</v>
      </c>
      <c r="K162" s="38">
        <v>114</v>
      </c>
      <c r="L162" s="38">
        <v>374</v>
      </c>
      <c r="M162" s="38">
        <v>2434</v>
      </c>
      <c r="N162" s="38">
        <v>284</v>
      </c>
      <c r="O162" s="38">
        <v>56</v>
      </c>
      <c r="P162" s="38"/>
      <c r="Q162" s="38">
        <f t="shared" ref="Q162:Q163" si="11">I162+J162</f>
        <v>35</v>
      </c>
      <c r="R162" s="38">
        <v>3956</v>
      </c>
      <c r="S162" s="38">
        <v>679</v>
      </c>
      <c r="T162" s="38">
        <v>39</v>
      </c>
      <c r="U162" s="38">
        <v>65</v>
      </c>
      <c r="V162" s="38">
        <v>60</v>
      </c>
      <c r="W162" s="38">
        <v>2748</v>
      </c>
      <c r="X162" s="38">
        <v>332</v>
      </c>
      <c r="Y162" s="38">
        <v>33</v>
      </c>
      <c r="Z162" s="38"/>
      <c r="AA162" s="38"/>
      <c r="AB162" s="39">
        <v>0.66727329999999996</v>
      </c>
      <c r="AC162" s="39">
        <v>0.39429779999999998</v>
      </c>
      <c r="AD162" s="39">
        <v>3.4576888000000001</v>
      </c>
      <c r="AE162" s="39">
        <v>11.3436457</v>
      </c>
      <c r="AF162" s="39">
        <v>73.824689100000001</v>
      </c>
      <c r="AG162" s="39">
        <v>8.6138914</v>
      </c>
      <c r="AH162" s="39">
        <v>1.6985138</v>
      </c>
      <c r="AI162" s="39"/>
      <c r="AJ162" s="39"/>
      <c r="AK162" s="39">
        <v>17.163801800000002</v>
      </c>
      <c r="AL162" s="39">
        <v>0.98584430000000001</v>
      </c>
      <c r="AM162" s="39">
        <v>1.6430738</v>
      </c>
      <c r="AN162" s="39">
        <v>1.5166835000000001</v>
      </c>
      <c r="AO162" s="39">
        <v>69.464105200000006</v>
      </c>
      <c r="AP162" s="39">
        <v>8.3923155000000005</v>
      </c>
      <c r="AQ162" s="39">
        <v>0.83417589999999997</v>
      </c>
      <c r="AR162" s="40">
        <f t="shared" si="6"/>
        <v>18.149646100000002</v>
      </c>
      <c r="AS162" s="40"/>
    </row>
    <row r="163" spans="2:45" ht="15" customHeight="1" x14ac:dyDescent="0.25">
      <c r="B163" s="41">
        <v>157</v>
      </c>
      <c r="C163" s="42" t="s">
        <v>31</v>
      </c>
      <c r="D163" s="51" t="s">
        <v>66</v>
      </c>
      <c r="E163" s="51" t="s">
        <v>73</v>
      </c>
      <c r="F163" s="51" t="s">
        <v>77</v>
      </c>
      <c r="G163" s="52" t="s">
        <v>77</v>
      </c>
      <c r="H163" s="43">
        <v>3797</v>
      </c>
      <c r="I163" s="43">
        <v>204</v>
      </c>
      <c r="J163" s="43">
        <v>7</v>
      </c>
      <c r="K163" s="43">
        <v>102</v>
      </c>
      <c r="L163" s="43">
        <v>215</v>
      </c>
      <c r="M163" s="43">
        <v>2894</v>
      </c>
      <c r="N163" s="43">
        <v>348</v>
      </c>
      <c r="O163" s="43">
        <v>27</v>
      </c>
      <c r="P163" s="44">
        <f>K163+L163+M163+N163+O163</f>
        <v>3586</v>
      </c>
      <c r="Q163" s="44">
        <f t="shared" si="11"/>
        <v>211</v>
      </c>
      <c r="R163" s="43">
        <v>4479</v>
      </c>
      <c r="S163" s="43">
        <v>695</v>
      </c>
      <c r="T163" s="43">
        <v>43</v>
      </c>
      <c r="U163" s="43">
        <v>71</v>
      </c>
      <c r="V163" s="43">
        <v>51</v>
      </c>
      <c r="W163" s="43">
        <v>3236</v>
      </c>
      <c r="X163" s="43">
        <v>333</v>
      </c>
      <c r="Y163" s="43">
        <v>50</v>
      </c>
      <c r="Z163" s="45">
        <f>U163+V163+W163+X163+Y163</f>
        <v>3741</v>
      </c>
      <c r="AA163" s="45">
        <f t="shared" ref="AA163:AA164" si="12">S163+T163</f>
        <v>738</v>
      </c>
      <c r="AB163" s="46">
        <v>5.3726626</v>
      </c>
      <c r="AC163" s="46">
        <v>0.18435609999999999</v>
      </c>
      <c r="AD163" s="46">
        <v>2.6863313</v>
      </c>
      <c r="AE163" s="46">
        <v>5.6623650000000003</v>
      </c>
      <c r="AF163" s="46">
        <v>76.218066899999997</v>
      </c>
      <c r="AG163" s="46">
        <v>9.1651304000000007</v>
      </c>
      <c r="AH163" s="46">
        <v>0.71108769999999999</v>
      </c>
      <c r="AI163" s="47">
        <f>AB163+AC163</f>
        <v>5.5570186999999995</v>
      </c>
      <c r="AJ163" s="47">
        <f>AD163+AE163+AF163+AG163+AH163</f>
        <v>94.442981299999985</v>
      </c>
      <c r="AK163" s="46">
        <v>15.5168564</v>
      </c>
      <c r="AL163" s="46">
        <v>0.96003570000000005</v>
      </c>
      <c r="AM163" s="46">
        <v>1.5851753</v>
      </c>
      <c r="AN163" s="46">
        <v>1.138647</v>
      </c>
      <c r="AO163" s="46">
        <v>72.248269699999994</v>
      </c>
      <c r="AP163" s="46">
        <v>7.4346952000000002</v>
      </c>
      <c r="AQ163" s="46">
        <v>1.1163206000000001</v>
      </c>
      <c r="AR163" s="48">
        <f t="shared" si="6"/>
        <v>16.476892100000001</v>
      </c>
      <c r="AS163" s="48">
        <f>AM163+AN163+AO163+AP163+AQ163</f>
        <v>83.523107799999991</v>
      </c>
    </row>
    <row r="164" spans="2:45" ht="15" hidden="1" customHeight="1" x14ac:dyDescent="0.25">
      <c r="B164" s="35">
        <v>158</v>
      </c>
      <c r="C164" s="36" t="s">
        <v>31</v>
      </c>
      <c r="D164" s="36" t="s">
        <v>66</v>
      </c>
      <c r="E164" s="36" t="s">
        <v>73</v>
      </c>
      <c r="F164" s="36" t="s">
        <v>77</v>
      </c>
      <c r="G164" s="37" t="s">
        <v>25</v>
      </c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>
        <f t="shared" si="12"/>
        <v>0</v>
      </c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40">
        <f t="shared" si="6"/>
        <v>0</v>
      </c>
      <c r="AS164" s="40"/>
    </row>
    <row r="165" spans="2:45" ht="15" hidden="1" customHeight="1" x14ac:dyDescent="0.25">
      <c r="B165" s="35">
        <v>159</v>
      </c>
      <c r="C165" s="36" t="s">
        <v>31</v>
      </c>
      <c r="D165" s="36" t="s">
        <v>66</v>
      </c>
      <c r="E165" s="36" t="s">
        <v>73</v>
      </c>
      <c r="F165" s="36" t="s">
        <v>77</v>
      </c>
      <c r="G165" s="37" t="s">
        <v>26</v>
      </c>
      <c r="H165" s="38">
        <v>3797</v>
      </c>
      <c r="I165" s="38">
        <v>204</v>
      </c>
      <c r="J165" s="38">
        <v>7</v>
      </c>
      <c r="K165" s="38">
        <v>102</v>
      </c>
      <c r="L165" s="38">
        <v>215</v>
      </c>
      <c r="M165" s="38">
        <v>2894</v>
      </c>
      <c r="N165" s="38">
        <v>348</v>
      </c>
      <c r="O165" s="38">
        <v>27</v>
      </c>
      <c r="P165" s="38"/>
      <c r="Q165" s="38">
        <f t="shared" ref="Q165:Q166" si="13">I165+J165</f>
        <v>211</v>
      </c>
      <c r="R165" s="38">
        <v>4479</v>
      </c>
      <c r="S165" s="38">
        <v>695</v>
      </c>
      <c r="T165" s="38">
        <v>43</v>
      </c>
      <c r="U165" s="38">
        <v>71</v>
      </c>
      <c r="V165" s="38">
        <v>51</v>
      </c>
      <c r="W165" s="38">
        <v>3236</v>
      </c>
      <c r="X165" s="38">
        <v>333</v>
      </c>
      <c r="Y165" s="38">
        <v>50</v>
      </c>
      <c r="Z165" s="38"/>
      <c r="AA165" s="38"/>
      <c r="AB165" s="39">
        <v>5.3726626</v>
      </c>
      <c r="AC165" s="39">
        <v>0.18435609999999999</v>
      </c>
      <c r="AD165" s="39">
        <v>2.6863313</v>
      </c>
      <c r="AE165" s="39">
        <v>5.6623650000000003</v>
      </c>
      <c r="AF165" s="39">
        <v>76.218066899999997</v>
      </c>
      <c r="AG165" s="39">
        <v>9.1651304000000007</v>
      </c>
      <c r="AH165" s="39">
        <v>0.71108769999999999</v>
      </c>
      <c r="AI165" s="39"/>
      <c r="AJ165" s="39"/>
      <c r="AK165" s="39">
        <v>15.5168564</v>
      </c>
      <c r="AL165" s="39">
        <v>0.96003570000000005</v>
      </c>
      <c r="AM165" s="39">
        <v>1.5851753</v>
      </c>
      <c r="AN165" s="39">
        <v>1.138647</v>
      </c>
      <c r="AO165" s="39">
        <v>72.248269699999994</v>
      </c>
      <c r="AP165" s="39">
        <v>7.4346952000000002</v>
      </c>
      <c r="AQ165" s="39">
        <v>1.1163206000000001</v>
      </c>
      <c r="AR165" s="40">
        <f t="shared" si="6"/>
        <v>16.476892100000001</v>
      </c>
      <c r="AS165" s="40"/>
    </row>
    <row r="166" spans="2:45" ht="15" customHeight="1" x14ac:dyDescent="0.25">
      <c r="B166" s="41">
        <v>160</v>
      </c>
      <c r="C166" s="42" t="s">
        <v>31</v>
      </c>
      <c r="D166" s="51" t="s">
        <v>66</v>
      </c>
      <c r="E166" s="51" t="s">
        <v>73</v>
      </c>
      <c r="F166" s="51" t="s">
        <v>78</v>
      </c>
      <c r="G166" s="52" t="s">
        <v>78</v>
      </c>
      <c r="H166" s="43">
        <v>1662</v>
      </c>
      <c r="I166" s="43">
        <v>3</v>
      </c>
      <c r="J166" s="43">
        <v>1</v>
      </c>
      <c r="K166" s="43">
        <v>103</v>
      </c>
      <c r="L166" s="43">
        <v>280</v>
      </c>
      <c r="M166" s="43">
        <v>1205</v>
      </c>
      <c r="N166" s="43">
        <v>64</v>
      </c>
      <c r="O166" s="43">
        <v>6</v>
      </c>
      <c r="P166" s="44">
        <f>K166+L166+M166+N166+O166</f>
        <v>1658</v>
      </c>
      <c r="Q166" s="44">
        <f t="shared" si="13"/>
        <v>4</v>
      </c>
      <c r="R166" s="43">
        <v>2509</v>
      </c>
      <c r="S166" s="43">
        <v>1171</v>
      </c>
      <c r="T166" s="43">
        <v>416</v>
      </c>
      <c r="U166" s="43">
        <v>44</v>
      </c>
      <c r="V166" s="43">
        <v>69</v>
      </c>
      <c r="W166" s="43">
        <v>695</v>
      </c>
      <c r="X166" s="43">
        <v>88</v>
      </c>
      <c r="Y166" s="43">
        <v>26</v>
      </c>
      <c r="Z166" s="45">
        <f>U166+V166+W166+X166+Y166</f>
        <v>922</v>
      </c>
      <c r="AA166" s="45">
        <f t="shared" ref="AA166:AA167" si="14">S166+T166</f>
        <v>1587</v>
      </c>
      <c r="AB166" s="46">
        <v>0.18050540000000001</v>
      </c>
      <c r="AC166" s="46">
        <v>6.01685E-2</v>
      </c>
      <c r="AD166" s="46">
        <v>6.1973526000000003</v>
      </c>
      <c r="AE166" s="46">
        <v>16.847172100000002</v>
      </c>
      <c r="AF166" s="46">
        <v>72.503008399999999</v>
      </c>
      <c r="AG166" s="46">
        <v>3.8507821999999998</v>
      </c>
      <c r="AH166" s="46">
        <v>0.36101080000000002</v>
      </c>
      <c r="AI166" s="47">
        <f>AB166+AC166</f>
        <v>0.2406739</v>
      </c>
      <c r="AJ166" s="47">
        <f>AD166+AE166+AF166+AG166+AH166</f>
        <v>99.75932610000001</v>
      </c>
      <c r="AK166" s="46">
        <v>46.671980900000001</v>
      </c>
      <c r="AL166" s="46">
        <v>16.580310900000001</v>
      </c>
      <c r="AM166" s="46">
        <v>1.7536867</v>
      </c>
      <c r="AN166" s="46">
        <v>2.7500996</v>
      </c>
      <c r="AO166" s="46">
        <v>27.700278999999998</v>
      </c>
      <c r="AP166" s="46">
        <v>3.5073734999999999</v>
      </c>
      <c r="AQ166" s="46">
        <v>1.0362693999999999</v>
      </c>
      <c r="AR166" s="48">
        <f t="shared" si="6"/>
        <v>63.252291800000002</v>
      </c>
      <c r="AS166" s="48">
        <f>AM166+AN166+AO166+AP166+AQ166</f>
        <v>36.747708199999998</v>
      </c>
    </row>
    <row r="167" spans="2:45" ht="15" hidden="1" customHeight="1" x14ac:dyDescent="0.25">
      <c r="B167" s="35">
        <v>161</v>
      </c>
      <c r="C167" s="36" t="s">
        <v>31</v>
      </c>
      <c r="D167" s="36" t="s">
        <v>66</v>
      </c>
      <c r="E167" s="36" t="s">
        <v>73</v>
      </c>
      <c r="F167" s="36" t="s">
        <v>78</v>
      </c>
      <c r="G167" s="37" t="s">
        <v>25</v>
      </c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>
        <f t="shared" si="14"/>
        <v>0</v>
      </c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40">
        <f t="shared" si="6"/>
        <v>0</v>
      </c>
      <c r="AS167" s="40"/>
    </row>
    <row r="168" spans="2:45" ht="15" hidden="1" customHeight="1" x14ac:dyDescent="0.25">
      <c r="B168" s="35">
        <v>162</v>
      </c>
      <c r="C168" s="36" t="s">
        <v>31</v>
      </c>
      <c r="D168" s="36" t="s">
        <v>66</v>
      </c>
      <c r="E168" s="36" t="s">
        <v>73</v>
      </c>
      <c r="F168" s="36" t="s">
        <v>78</v>
      </c>
      <c r="G168" s="37" t="s">
        <v>26</v>
      </c>
      <c r="H168" s="38">
        <v>1662</v>
      </c>
      <c r="I168" s="38">
        <v>3</v>
      </c>
      <c r="J168" s="38">
        <v>1</v>
      </c>
      <c r="K168" s="38">
        <v>103</v>
      </c>
      <c r="L168" s="38">
        <v>280</v>
      </c>
      <c r="M168" s="38">
        <v>1205</v>
      </c>
      <c r="N168" s="38">
        <v>64</v>
      </c>
      <c r="O168" s="38">
        <v>6</v>
      </c>
      <c r="P168" s="38"/>
      <c r="Q168" s="38">
        <f t="shared" ref="Q168:Q169" si="15">I168+J168</f>
        <v>4</v>
      </c>
      <c r="R168" s="38">
        <v>2509</v>
      </c>
      <c r="S168" s="38">
        <v>1171</v>
      </c>
      <c r="T168" s="38">
        <v>416</v>
      </c>
      <c r="U168" s="38">
        <v>44</v>
      </c>
      <c r="V168" s="38">
        <v>69</v>
      </c>
      <c r="W168" s="38">
        <v>695</v>
      </c>
      <c r="X168" s="38">
        <v>88</v>
      </c>
      <c r="Y168" s="38">
        <v>26</v>
      </c>
      <c r="Z168" s="38"/>
      <c r="AA168" s="38"/>
      <c r="AB168" s="39">
        <v>0.18050540000000001</v>
      </c>
      <c r="AC168" s="39">
        <v>6.01685E-2</v>
      </c>
      <c r="AD168" s="39">
        <v>6.1973526000000003</v>
      </c>
      <c r="AE168" s="39">
        <v>16.847172100000002</v>
      </c>
      <c r="AF168" s="39">
        <v>72.503008399999999</v>
      </c>
      <c r="AG168" s="39">
        <v>3.8507821999999998</v>
      </c>
      <c r="AH168" s="39">
        <v>0.36101080000000002</v>
      </c>
      <c r="AI168" s="39"/>
      <c r="AJ168" s="39"/>
      <c r="AK168" s="39">
        <v>46.671980900000001</v>
      </c>
      <c r="AL168" s="39">
        <v>16.580310900000001</v>
      </c>
      <c r="AM168" s="39">
        <v>1.7536867</v>
      </c>
      <c r="AN168" s="39">
        <v>2.7500996</v>
      </c>
      <c r="AO168" s="39">
        <v>27.700278999999998</v>
      </c>
      <c r="AP168" s="39">
        <v>3.5073734999999999</v>
      </c>
      <c r="AQ168" s="39">
        <v>1.0362693999999999</v>
      </c>
      <c r="AR168" s="40">
        <f t="shared" si="6"/>
        <v>63.252291800000002</v>
      </c>
      <c r="AS168" s="40"/>
    </row>
    <row r="169" spans="2:45" ht="15" customHeight="1" x14ac:dyDescent="0.25">
      <c r="B169" s="41">
        <v>163</v>
      </c>
      <c r="C169" s="42" t="s">
        <v>31</v>
      </c>
      <c r="D169" s="51" t="s">
        <v>66</v>
      </c>
      <c r="E169" s="51" t="s">
        <v>73</v>
      </c>
      <c r="F169" s="51" t="s">
        <v>79</v>
      </c>
      <c r="G169" s="52" t="s">
        <v>79</v>
      </c>
      <c r="H169" s="43">
        <v>2032</v>
      </c>
      <c r="I169" s="43">
        <v>15</v>
      </c>
      <c r="J169" s="43">
        <v>3</v>
      </c>
      <c r="K169" s="43">
        <v>29</v>
      </c>
      <c r="L169" s="43">
        <v>280</v>
      </c>
      <c r="M169" s="43">
        <v>1569</v>
      </c>
      <c r="N169" s="43">
        <v>130</v>
      </c>
      <c r="O169" s="43">
        <v>6</v>
      </c>
      <c r="P169" s="44">
        <f>K169+L169+M169+N169+O169</f>
        <v>2014</v>
      </c>
      <c r="Q169" s="44">
        <f t="shared" si="15"/>
        <v>18</v>
      </c>
      <c r="R169" s="43">
        <v>2631</v>
      </c>
      <c r="S169" s="43">
        <v>265</v>
      </c>
      <c r="T169" s="43">
        <v>334</v>
      </c>
      <c r="U169" s="43">
        <v>65</v>
      </c>
      <c r="V169" s="43">
        <v>81</v>
      </c>
      <c r="W169" s="43">
        <v>1672</v>
      </c>
      <c r="X169" s="43">
        <v>163</v>
      </c>
      <c r="Y169" s="43">
        <v>51</v>
      </c>
      <c r="Z169" s="45">
        <f>U169+V169+W169+X169+Y169</f>
        <v>2032</v>
      </c>
      <c r="AA169" s="45">
        <f t="shared" ref="AA169:AA170" si="16">S169+T169</f>
        <v>599</v>
      </c>
      <c r="AB169" s="46">
        <v>0.73818899999999998</v>
      </c>
      <c r="AC169" s="46">
        <v>0.14763780000000001</v>
      </c>
      <c r="AD169" s="46">
        <v>1.4271654</v>
      </c>
      <c r="AE169" s="46">
        <v>13.7795276</v>
      </c>
      <c r="AF169" s="46">
        <v>77.214566899999994</v>
      </c>
      <c r="AG169" s="46">
        <v>6.3976378</v>
      </c>
      <c r="AH169" s="46">
        <v>0.29527560000000003</v>
      </c>
      <c r="AI169" s="47">
        <f>AB169+AC169</f>
        <v>0.88582680000000003</v>
      </c>
      <c r="AJ169" s="47">
        <f>AD169+AE169+AF169+AG169+AH169</f>
        <v>99.11417329999999</v>
      </c>
      <c r="AK169" s="46">
        <v>10.0722159</v>
      </c>
      <c r="AL169" s="46">
        <v>12.694792899999999</v>
      </c>
      <c r="AM169" s="46">
        <v>2.4705434999999998</v>
      </c>
      <c r="AN169" s="46">
        <v>3.0786772999999998</v>
      </c>
      <c r="AO169" s="46">
        <v>63.549981000000002</v>
      </c>
      <c r="AP169" s="46">
        <v>6.1953630000000004</v>
      </c>
      <c r="AQ169" s="46">
        <v>1.9384265000000001</v>
      </c>
      <c r="AR169" s="48">
        <f t="shared" si="6"/>
        <v>22.767008799999999</v>
      </c>
      <c r="AS169" s="48">
        <f>AM169+AN169+AO169+AP169+AQ169</f>
        <v>77.232991300000009</v>
      </c>
    </row>
    <row r="170" spans="2:45" ht="15" hidden="1" customHeight="1" x14ac:dyDescent="0.25">
      <c r="B170" s="35">
        <v>164</v>
      </c>
      <c r="C170" s="36" t="s">
        <v>31</v>
      </c>
      <c r="D170" s="36" t="s">
        <v>66</v>
      </c>
      <c r="E170" s="36" t="s">
        <v>73</v>
      </c>
      <c r="F170" s="36" t="s">
        <v>79</v>
      </c>
      <c r="G170" s="37" t="s">
        <v>25</v>
      </c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>
        <f t="shared" si="16"/>
        <v>0</v>
      </c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40">
        <f t="shared" si="6"/>
        <v>0</v>
      </c>
      <c r="AS170" s="40"/>
    </row>
    <row r="171" spans="2:45" ht="15" hidden="1" customHeight="1" x14ac:dyDescent="0.25">
      <c r="B171" s="35">
        <v>165</v>
      </c>
      <c r="C171" s="36" t="s">
        <v>31</v>
      </c>
      <c r="D171" s="36" t="s">
        <v>66</v>
      </c>
      <c r="E171" s="36" t="s">
        <v>73</v>
      </c>
      <c r="F171" s="36" t="s">
        <v>79</v>
      </c>
      <c r="G171" s="37" t="s">
        <v>26</v>
      </c>
      <c r="H171" s="38">
        <v>2032</v>
      </c>
      <c r="I171" s="38">
        <v>15</v>
      </c>
      <c r="J171" s="38">
        <v>3</v>
      </c>
      <c r="K171" s="38">
        <v>29</v>
      </c>
      <c r="L171" s="38">
        <v>280</v>
      </c>
      <c r="M171" s="38">
        <v>1569</v>
      </c>
      <c r="N171" s="38">
        <v>130</v>
      </c>
      <c r="O171" s="38">
        <v>6</v>
      </c>
      <c r="P171" s="38"/>
      <c r="Q171" s="38">
        <f>I171+J171</f>
        <v>18</v>
      </c>
      <c r="R171" s="38">
        <v>2631</v>
      </c>
      <c r="S171" s="38">
        <v>265</v>
      </c>
      <c r="T171" s="38">
        <v>334</v>
      </c>
      <c r="U171" s="38">
        <v>65</v>
      </c>
      <c r="V171" s="38">
        <v>81</v>
      </c>
      <c r="W171" s="38">
        <v>1672</v>
      </c>
      <c r="X171" s="38">
        <v>163</v>
      </c>
      <c r="Y171" s="38">
        <v>51</v>
      </c>
      <c r="Z171" s="38"/>
      <c r="AA171" s="38"/>
      <c r="AB171" s="39">
        <v>0.73818899999999998</v>
      </c>
      <c r="AC171" s="39">
        <v>0.14763780000000001</v>
      </c>
      <c r="AD171" s="39">
        <v>1.4271654</v>
      </c>
      <c r="AE171" s="39">
        <v>13.7795276</v>
      </c>
      <c r="AF171" s="39">
        <v>77.214566899999994</v>
      </c>
      <c r="AG171" s="39">
        <v>6.3976378</v>
      </c>
      <c r="AH171" s="39">
        <v>0.29527560000000003</v>
      </c>
      <c r="AI171" s="39"/>
      <c r="AJ171" s="39"/>
      <c r="AK171" s="39">
        <v>10.0722159</v>
      </c>
      <c r="AL171" s="39">
        <v>12.694792899999999</v>
      </c>
      <c r="AM171" s="39">
        <v>2.4705434999999998</v>
      </c>
      <c r="AN171" s="39">
        <v>3.0786772999999998</v>
      </c>
      <c r="AO171" s="39">
        <v>63.549981000000002</v>
      </c>
      <c r="AP171" s="39">
        <v>6.1953630000000004</v>
      </c>
      <c r="AQ171" s="39">
        <v>1.9384265000000001</v>
      </c>
      <c r="AR171" s="40">
        <f t="shared" si="6"/>
        <v>22.767008799999999</v>
      </c>
      <c r="AS171" s="40"/>
    </row>
    <row r="172" spans="2:45" ht="15" hidden="1" customHeight="1" x14ac:dyDescent="0.25">
      <c r="B172" s="30">
        <v>166</v>
      </c>
      <c r="C172" s="31" t="s">
        <v>29</v>
      </c>
      <c r="D172" s="50" t="s">
        <v>66</v>
      </c>
      <c r="E172" s="50" t="s">
        <v>80</v>
      </c>
      <c r="F172" s="50"/>
      <c r="G172" s="31" t="s">
        <v>80</v>
      </c>
      <c r="H172" s="32">
        <v>18161</v>
      </c>
      <c r="I172" s="32">
        <v>270</v>
      </c>
      <c r="J172" s="32">
        <v>206</v>
      </c>
      <c r="K172" s="32">
        <v>898</v>
      </c>
      <c r="L172" s="32">
        <v>4229</v>
      </c>
      <c r="M172" s="32">
        <v>9898</v>
      </c>
      <c r="N172" s="32">
        <v>2205</v>
      </c>
      <c r="O172" s="32">
        <v>455</v>
      </c>
      <c r="P172" s="32"/>
      <c r="Q172" s="32"/>
      <c r="R172" s="32">
        <v>25502</v>
      </c>
      <c r="S172" s="32">
        <v>1515</v>
      </c>
      <c r="T172" s="32">
        <v>86</v>
      </c>
      <c r="U172" s="32">
        <v>609</v>
      </c>
      <c r="V172" s="32">
        <v>1129</v>
      </c>
      <c r="W172" s="32">
        <v>17630</v>
      </c>
      <c r="X172" s="32">
        <v>4060</v>
      </c>
      <c r="Y172" s="32">
        <v>473</v>
      </c>
      <c r="Z172" s="32"/>
      <c r="AA172" s="32"/>
      <c r="AB172" s="33">
        <v>1.4867022999999999</v>
      </c>
      <c r="AC172" s="33">
        <v>1.1342988000000001</v>
      </c>
      <c r="AD172" s="33">
        <v>4.9446615999999999</v>
      </c>
      <c r="AE172" s="33">
        <v>23.286162699999998</v>
      </c>
      <c r="AF172" s="33">
        <v>54.501404100000002</v>
      </c>
      <c r="AG172" s="33">
        <v>12.1414019</v>
      </c>
      <c r="AH172" s="33">
        <v>2.5053686000000002</v>
      </c>
      <c r="AI172" s="33"/>
      <c r="AJ172" s="33"/>
      <c r="AK172" s="33">
        <v>5.9407104999999998</v>
      </c>
      <c r="AL172" s="33">
        <v>0.33722849999999999</v>
      </c>
      <c r="AM172" s="33">
        <v>2.3880479999999999</v>
      </c>
      <c r="AN172" s="33">
        <v>4.4271038000000003</v>
      </c>
      <c r="AO172" s="33">
        <v>69.131832799999998</v>
      </c>
      <c r="AP172" s="33">
        <v>15.92032</v>
      </c>
      <c r="AQ172" s="33">
        <v>1.8547564999999999</v>
      </c>
      <c r="AR172" s="34"/>
      <c r="AS172" s="34"/>
    </row>
    <row r="173" spans="2:45" ht="15" hidden="1" customHeight="1" x14ac:dyDescent="0.25">
      <c r="B173" s="35">
        <v>167</v>
      </c>
      <c r="C173" s="36" t="s">
        <v>29</v>
      </c>
      <c r="D173" s="36" t="s">
        <v>66</v>
      </c>
      <c r="E173" s="36" t="s">
        <v>80</v>
      </c>
      <c r="F173" s="36"/>
      <c r="G173" s="37" t="s">
        <v>25</v>
      </c>
      <c r="H173" s="38">
        <v>362</v>
      </c>
      <c r="I173" s="38">
        <v>14</v>
      </c>
      <c r="J173" s="38">
        <v>0</v>
      </c>
      <c r="K173" s="38">
        <v>90</v>
      </c>
      <c r="L173" s="38">
        <v>46</v>
      </c>
      <c r="M173" s="38">
        <v>178</v>
      </c>
      <c r="N173" s="38">
        <v>33</v>
      </c>
      <c r="O173" s="38">
        <v>1</v>
      </c>
      <c r="P173" s="38"/>
      <c r="Q173" s="38"/>
      <c r="R173" s="38">
        <v>1345</v>
      </c>
      <c r="S173" s="38">
        <v>747</v>
      </c>
      <c r="T173" s="38">
        <v>12</v>
      </c>
      <c r="U173" s="38">
        <v>50</v>
      </c>
      <c r="V173" s="38">
        <v>66</v>
      </c>
      <c r="W173" s="38">
        <v>384</v>
      </c>
      <c r="X173" s="38">
        <v>65</v>
      </c>
      <c r="Y173" s="38">
        <v>21</v>
      </c>
      <c r="Z173" s="38"/>
      <c r="AA173" s="38"/>
      <c r="AB173" s="39">
        <v>3.8674032999999999</v>
      </c>
      <c r="AC173" s="39">
        <v>0</v>
      </c>
      <c r="AD173" s="39">
        <v>24.8618785</v>
      </c>
      <c r="AE173" s="39">
        <v>12.707182299999999</v>
      </c>
      <c r="AF173" s="39">
        <v>49.171270700000001</v>
      </c>
      <c r="AG173" s="39">
        <v>9.1160221000000003</v>
      </c>
      <c r="AH173" s="39">
        <v>0.27624310000000002</v>
      </c>
      <c r="AI173" s="39"/>
      <c r="AJ173" s="39"/>
      <c r="AK173" s="39">
        <v>55.539033500000002</v>
      </c>
      <c r="AL173" s="39">
        <v>0.89219329999999997</v>
      </c>
      <c r="AM173" s="39">
        <v>3.7174721000000002</v>
      </c>
      <c r="AN173" s="39">
        <v>4.9070631999999996</v>
      </c>
      <c r="AO173" s="39">
        <v>28.550185899999999</v>
      </c>
      <c r="AP173" s="39">
        <v>4.8327137999999996</v>
      </c>
      <c r="AQ173" s="39">
        <v>1.5613383000000001</v>
      </c>
      <c r="AR173" s="40"/>
      <c r="AS173" s="40"/>
    </row>
    <row r="174" spans="2:45" ht="15" hidden="1" customHeight="1" x14ac:dyDescent="0.25">
      <c r="B174" s="35">
        <v>168</v>
      </c>
      <c r="C174" s="36" t="s">
        <v>29</v>
      </c>
      <c r="D174" s="36" t="s">
        <v>66</v>
      </c>
      <c r="E174" s="36" t="s">
        <v>80</v>
      </c>
      <c r="F174" s="36"/>
      <c r="G174" s="37" t="s">
        <v>26</v>
      </c>
      <c r="H174" s="38">
        <v>17799</v>
      </c>
      <c r="I174" s="38">
        <v>256</v>
      </c>
      <c r="J174" s="38">
        <v>206</v>
      </c>
      <c r="K174" s="38">
        <v>808</v>
      </c>
      <c r="L174" s="38">
        <v>4183</v>
      </c>
      <c r="M174" s="38">
        <v>9720</v>
      </c>
      <c r="N174" s="38">
        <v>2172</v>
      </c>
      <c r="O174" s="38">
        <v>454</v>
      </c>
      <c r="P174" s="38"/>
      <c r="Q174" s="38"/>
      <c r="R174" s="38">
        <v>24157</v>
      </c>
      <c r="S174" s="38">
        <v>768</v>
      </c>
      <c r="T174" s="38">
        <v>74</v>
      </c>
      <c r="U174" s="38">
        <v>559</v>
      </c>
      <c r="V174" s="38">
        <v>1063</v>
      </c>
      <c r="W174" s="38">
        <v>17246</v>
      </c>
      <c r="X174" s="38">
        <v>3995</v>
      </c>
      <c r="Y174" s="38">
        <v>452</v>
      </c>
      <c r="Z174" s="38"/>
      <c r="AA174" s="38"/>
      <c r="AB174" s="39">
        <v>1.438283</v>
      </c>
      <c r="AC174" s="39">
        <v>1.1573684</v>
      </c>
      <c r="AD174" s="39">
        <v>4.5395808999999998</v>
      </c>
      <c r="AE174" s="39">
        <v>23.5013203</v>
      </c>
      <c r="AF174" s="39">
        <v>54.609809499999997</v>
      </c>
      <c r="AG174" s="39">
        <v>12.2029327</v>
      </c>
      <c r="AH174" s="39">
        <v>2.5507051000000001</v>
      </c>
      <c r="AI174" s="39"/>
      <c r="AJ174" s="39"/>
      <c r="AK174" s="39">
        <v>3.1792026999999998</v>
      </c>
      <c r="AL174" s="39">
        <v>0.30632939999999997</v>
      </c>
      <c r="AM174" s="39">
        <v>2.3140290999999999</v>
      </c>
      <c r="AN174" s="39">
        <v>4.4003807999999998</v>
      </c>
      <c r="AO174" s="39">
        <v>71.3913151</v>
      </c>
      <c r="AP174" s="39">
        <v>16.537649500000001</v>
      </c>
      <c r="AQ174" s="39">
        <v>1.8710933000000001</v>
      </c>
      <c r="AR174" s="40"/>
      <c r="AS174" s="40"/>
    </row>
    <row r="175" spans="2:45" ht="15" customHeight="1" x14ac:dyDescent="0.25">
      <c r="B175" s="41">
        <v>169</v>
      </c>
      <c r="C175" s="42" t="s">
        <v>31</v>
      </c>
      <c r="D175" s="51" t="s">
        <v>66</v>
      </c>
      <c r="E175" s="51" t="s">
        <v>80</v>
      </c>
      <c r="F175" s="51" t="s">
        <v>81</v>
      </c>
      <c r="G175" s="52" t="s">
        <v>81</v>
      </c>
      <c r="H175" s="43">
        <v>3740</v>
      </c>
      <c r="I175" s="43">
        <v>84</v>
      </c>
      <c r="J175" s="43">
        <v>191</v>
      </c>
      <c r="K175" s="43">
        <v>121</v>
      </c>
      <c r="L175" s="43">
        <v>1400</v>
      </c>
      <c r="M175" s="43">
        <v>1533</v>
      </c>
      <c r="N175" s="43">
        <v>345</v>
      </c>
      <c r="O175" s="43">
        <v>66</v>
      </c>
      <c r="P175" s="44">
        <f>K175+L175+M175+N175+O175</f>
        <v>3465</v>
      </c>
      <c r="Q175" s="44">
        <f>I175+J175</f>
        <v>275</v>
      </c>
      <c r="R175" s="43">
        <v>5244</v>
      </c>
      <c r="S175" s="43">
        <v>727</v>
      </c>
      <c r="T175" s="43">
        <v>25</v>
      </c>
      <c r="U175" s="43">
        <v>110</v>
      </c>
      <c r="V175" s="43">
        <v>421</v>
      </c>
      <c r="W175" s="43">
        <v>3237</v>
      </c>
      <c r="X175" s="43">
        <v>640</v>
      </c>
      <c r="Y175" s="43">
        <v>84</v>
      </c>
      <c r="Z175" s="45">
        <f>U175+V175+W175+X175+Y175</f>
        <v>4492</v>
      </c>
      <c r="AA175" s="45">
        <f>S175+T175</f>
        <v>752</v>
      </c>
      <c r="AB175" s="46">
        <v>2.2459893000000002</v>
      </c>
      <c r="AC175" s="46">
        <v>5.1069519000000003</v>
      </c>
      <c r="AD175" s="46">
        <v>3.2352941</v>
      </c>
      <c r="AE175" s="46">
        <v>37.4331551</v>
      </c>
      <c r="AF175" s="46">
        <v>40.989304799999999</v>
      </c>
      <c r="AG175" s="46">
        <v>9.2245989000000002</v>
      </c>
      <c r="AH175" s="46">
        <v>1.7647059</v>
      </c>
      <c r="AI175" s="47">
        <f>AB175+AC175</f>
        <v>7.3529412000000001</v>
      </c>
      <c r="AJ175" s="47">
        <f>AD175+AE175+AF175+AG175+AH175</f>
        <v>92.647058799999996</v>
      </c>
      <c r="AK175" s="46">
        <v>13.863462999999999</v>
      </c>
      <c r="AL175" s="46">
        <v>0.47673529999999997</v>
      </c>
      <c r="AM175" s="46">
        <v>2.0976354000000001</v>
      </c>
      <c r="AN175" s="46">
        <v>8.0282227000000006</v>
      </c>
      <c r="AO175" s="46">
        <v>61.727688800000003</v>
      </c>
      <c r="AP175" s="46">
        <v>12.204424100000001</v>
      </c>
      <c r="AQ175" s="46">
        <v>1.6018307000000001</v>
      </c>
      <c r="AR175" s="48">
        <f>AK175+AL175</f>
        <v>14.340198299999999</v>
      </c>
      <c r="AS175" s="48">
        <f>AM175+AN175+AO175+AP175+AQ175</f>
        <v>85.659801699999989</v>
      </c>
    </row>
    <row r="176" spans="2:45" ht="15" hidden="1" customHeight="1" x14ac:dyDescent="0.25">
      <c r="B176" s="35">
        <v>170</v>
      </c>
      <c r="C176" s="36" t="s">
        <v>31</v>
      </c>
      <c r="D176" s="36" t="s">
        <v>66</v>
      </c>
      <c r="E176" s="36" t="s">
        <v>80</v>
      </c>
      <c r="F176" s="36" t="s">
        <v>81</v>
      </c>
      <c r="G176" s="37" t="s">
        <v>25</v>
      </c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>
        <v>857</v>
      </c>
      <c r="S176" s="38">
        <v>654</v>
      </c>
      <c r="T176" s="38">
        <v>10</v>
      </c>
      <c r="U176" s="38">
        <v>24</v>
      </c>
      <c r="V176" s="38">
        <v>51</v>
      </c>
      <c r="W176" s="38">
        <v>98</v>
      </c>
      <c r="X176" s="38">
        <v>12</v>
      </c>
      <c r="Y176" s="38">
        <v>8</v>
      </c>
      <c r="Z176" s="38"/>
      <c r="AA176" s="38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>
        <v>76.312718799999999</v>
      </c>
      <c r="AL176" s="39">
        <v>1.1668611</v>
      </c>
      <c r="AM176" s="39">
        <v>2.8004666999999999</v>
      </c>
      <c r="AN176" s="39">
        <v>5.9509917999999997</v>
      </c>
      <c r="AO176" s="39">
        <v>11.4352392</v>
      </c>
      <c r="AP176" s="39">
        <v>1.4002334000000001</v>
      </c>
      <c r="AQ176" s="39">
        <v>0.93348889999999995</v>
      </c>
      <c r="AR176" s="40"/>
      <c r="AS176" s="40"/>
    </row>
    <row r="177" spans="2:45" ht="15" hidden="1" customHeight="1" x14ac:dyDescent="0.25">
      <c r="B177" s="35">
        <v>171</v>
      </c>
      <c r="C177" s="36" t="s">
        <v>31</v>
      </c>
      <c r="D177" s="36" t="s">
        <v>66</v>
      </c>
      <c r="E177" s="36" t="s">
        <v>80</v>
      </c>
      <c r="F177" s="36" t="s">
        <v>81</v>
      </c>
      <c r="G177" s="37" t="s">
        <v>26</v>
      </c>
      <c r="H177" s="38">
        <v>3740</v>
      </c>
      <c r="I177" s="38">
        <v>84</v>
      </c>
      <c r="J177" s="38">
        <v>191</v>
      </c>
      <c r="K177" s="38">
        <v>121</v>
      </c>
      <c r="L177" s="38">
        <v>1400</v>
      </c>
      <c r="M177" s="38">
        <v>1533</v>
      </c>
      <c r="N177" s="38">
        <v>345</v>
      </c>
      <c r="O177" s="38">
        <v>66</v>
      </c>
      <c r="P177" s="38"/>
      <c r="Q177" s="38"/>
      <c r="R177" s="38">
        <v>4387</v>
      </c>
      <c r="S177" s="38">
        <v>73</v>
      </c>
      <c r="T177" s="38">
        <v>15</v>
      </c>
      <c r="U177" s="38">
        <v>86</v>
      </c>
      <c r="V177" s="38">
        <v>370</v>
      </c>
      <c r="W177" s="38">
        <v>3139</v>
      </c>
      <c r="X177" s="38">
        <v>628</v>
      </c>
      <c r="Y177" s="38">
        <v>76</v>
      </c>
      <c r="Z177" s="38"/>
      <c r="AA177" s="38"/>
      <c r="AB177" s="39">
        <v>2.2459893000000002</v>
      </c>
      <c r="AC177" s="39">
        <v>5.1069519000000003</v>
      </c>
      <c r="AD177" s="39">
        <v>3.2352941</v>
      </c>
      <c r="AE177" s="39">
        <v>37.4331551</v>
      </c>
      <c r="AF177" s="39">
        <v>40.989304799999999</v>
      </c>
      <c r="AG177" s="39">
        <v>9.2245989000000002</v>
      </c>
      <c r="AH177" s="39">
        <v>1.7647059</v>
      </c>
      <c r="AI177" s="39"/>
      <c r="AJ177" s="39"/>
      <c r="AK177" s="39">
        <v>1.6640073</v>
      </c>
      <c r="AL177" s="39">
        <v>0.34191929999999998</v>
      </c>
      <c r="AM177" s="39">
        <v>1.9603374</v>
      </c>
      <c r="AN177" s="39">
        <v>8.4340095999999996</v>
      </c>
      <c r="AO177" s="39">
        <v>71.552313699999999</v>
      </c>
      <c r="AP177" s="39">
        <v>14.315021700000001</v>
      </c>
      <c r="AQ177" s="39">
        <v>1.7323911999999999</v>
      </c>
      <c r="AR177" s="40"/>
      <c r="AS177" s="40"/>
    </row>
    <row r="178" spans="2:45" ht="15" customHeight="1" x14ac:dyDescent="0.25">
      <c r="B178" s="41">
        <v>172</v>
      </c>
      <c r="C178" s="42" t="s">
        <v>31</v>
      </c>
      <c r="D178" s="51" t="s">
        <v>66</v>
      </c>
      <c r="E178" s="51" t="s">
        <v>80</v>
      </c>
      <c r="F178" s="51" t="s">
        <v>82</v>
      </c>
      <c r="G178" s="52" t="s">
        <v>82</v>
      </c>
      <c r="H178" s="43">
        <v>4269</v>
      </c>
      <c r="I178" s="43">
        <v>37</v>
      </c>
      <c r="J178" s="43">
        <v>1</v>
      </c>
      <c r="K178" s="43">
        <v>181</v>
      </c>
      <c r="L178" s="43">
        <v>856</v>
      </c>
      <c r="M178" s="43">
        <v>2576</v>
      </c>
      <c r="N178" s="43">
        <v>540</v>
      </c>
      <c r="O178" s="43">
        <v>78</v>
      </c>
      <c r="P178" s="44">
        <f>K178+L178+M178+N178+O178</f>
        <v>4231</v>
      </c>
      <c r="Q178" s="44">
        <f>I178+J178</f>
        <v>38</v>
      </c>
      <c r="R178" s="43">
        <v>5233</v>
      </c>
      <c r="S178" s="43">
        <v>296</v>
      </c>
      <c r="T178" s="43">
        <v>20</v>
      </c>
      <c r="U178" s="43">
        <v>113</v>
      </c>
      <c r="V178" s="43">
        <v>196</v>
      </c>
      <c r="W178" s="43">
        <v>3477</v>
      </c>
      <c r="X178" s="43">
        <v>1042</v>
      </c>
      <c r="Y178" s="43">
        <v>89</v>
      </c>
      <c r="Z178" s="45">
        <f>U178+V178+W178+X178+Y178</f>
        <v>4917</v>
      </c>
      <c r="AA178" s="45">
        <f>S178+T178</f>
        <v>316</v>
      </c>
      <c r="AB178" s="46">
        <v>0.86671350000000003</v>
      </c>
      <c r="AC178" s="46">
        <v>2.34247E-2</v>
      </c>
      <c r="AD178" s="46">
        <v>4.2398688</v>
      </c>
      <c r="AE178" s="46">
        <v>20.0515343</v>
      </c>
      <c r="AF178" s="46">
        <v>60.342000499999997</v>
      </c>
      <c r="AG178" s="46">
        <v>12.6493324</v>
      </c>
      <c r="AH178" s="46">
        <v>1.8271257999999999</v>
      </c>
      <c r="AI178" s="47">
        <f>AB178+AC178</f>
        <v>0.89013819999999999</v>
      </c>
      <c r="AJ178" s="47">
        <f>AD178+AE178+AF178+AG178+AH178</f>
        <v>99.109861800000004</v>
      </c>
      <c r="AK178" s="46">
        <v>5.6564112</v>
      </c>
      <c r="AL178" s="46">
        <v>0.38218990000000003</v>
      </c>
      <c r="AM178" s="46">
        <v>2.1593732000000001</v>
      </c>
      <c r="AN178" s="46">
        <v>3.7454615000000002</v>
      </c>
      <c r="AO178" s="46">
        <v>66.443722500000007</v>
      </c>
      <c r="AP178" s="46">
        <v>19.912096300000002</v>
      </c>
      <c r="AQ178" s="46">
        <v>1.7007452999999999</v>
      </c>
      <c r="AR178" s="48">
        <f>AK178+AL178</f>
        <v>6.0386011000000002</v>
      </c>
      <c r="AS178" s="48">
        <f>AM178+AN178+AO178+AP178+AQ178</f>
        <v>93.961398799999998</v>
      </c>
    </row>
    <row r="179" spans="2:45" ht="15" hidden="1" customHeight="1" x14ac:dyDescent="0.25">
      <c r="B179" s="35">
        <v>173</v>
      </c>
      <c r="C179" s="36" t="s">
        <v>31</v>
      </c>
      <c r="D179" s="36" t="s">
        <v>66</v>
      </c>
      <c r="E179" s="36" t="s">
        <v>80</v>
      </c>
      <c r="F179" s="36" t="s">
        <v>82</v>
      </c>
      <c r="G179" s="37" t="s">
        <v>25</v>
      </c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40"/>
      <c r="AS179" s="40"/>
    </row>
    <row r="180" spans="2:45" ht="15" hidden="1" customHeight="1" x14ac:dyDescent="0.25">
      <c r="B180" s="35">
        <v>174</v>
      </c>
      <c r="C180" s="36" t="s">
        <v>31</v>
      </c>
      <c r="D180" s="36" t="s">
        <v>66</v>
      </c>
      <c r="E180" s="36" t="s">
        <v>80</v>
      </c>
      <c r="F180" s="36" t="s">
        <v>82</v>
      </c>
      <c r="G180" s="37" t="s">
        <v>26</v>
      </c>
      <c r="H180" s="38">
        <v>4269</v>
      </c>
      <c r="I180" s="38">
        <v>37</v>
      </c>
      <c r="J180" s="38">
        <v>1</v>
      </c>
      <c r="K180" s="38">
        <v>181</v>
      </c>
      <c r="L180" s="38">
        <v>856</v>
      </c>
      <c r="M180" s="38">
        <v>2576</v>
      </c>
      <c r="N180" s="38">
        <v>540</v>
      </c>
      <c r="O180" s="38">
        <v>78</v>
      </c>
      <c r="P180" s="38"/>
      <c r="Q180" s="38"/>
      <c r="R180" s="38">
        <v>5233</v>
      </c>
      <c r="S180" s="38">
        <v>296</v>
      </c>
      <c r="T180" s="38">
        <v>20</v>
      </c>
      <c r="U180" s="38">
        <v>113</v>
      </c>
      <c r="V180" s="38">
        <v>196</v>
      </c>
      <c r="W180" s="38">
        <v>3477</v>
      </c>
      <c r="X180" s="38">
        <v>1042</v>
      </c>
      <c r="Y180" s="38">
        <v>89</v>
      </c>
      <c r="Z180" s="38"/>
      <c r="AA180" s="38"/>
      <c r="AB180" s="39">
        <v>0.86671350000000003</v>
      </c>
      <c r="AC180" s="39">
        <v>2.34247E-2</v>
      </c>
      <c r="AD180" s="39">
        <v>4.2398688</v>
      </c>
      <c r="AE180" s="39">
        <v>20.0515343</v>
      </c>
      <c r="AF180" s="39">
        <v>60.342000499999997</v>
      </c>
      <c r="AG180" s="39">
        <v>12.6493324</v>
      </c>
      <c r="AH180" s="39">
        <v>1.8271257999999999</v>
      </c>
      <c r="AI180" s="39"/>
      <c r="AJ180" s="39"/>
      <c r="AK180" s="39">
        <v>5.6564112</v>
      </c>
      <c r="AL180" s="39">
        <v>0.38218990000000003</v>
      </c>
      <c r="AM180" s="39">
        <v>2.1593732000000001</v>
      </c>
      <c r="AN180" s="39">
        <v>3.7454615000000002</v>
      </c>
      <c r="AO180" s="39">
        <v>66.443722500000007</v>
      </c>
      <c r="AP180" s="39">
        <v>19.912096300000002</v>
      </c>
      <c r="AQ180" s="39">
        <v>1.7007452999999999</v>
      </c>
      <c r="AR180" s="40"/>
      <c r="AS180" s="40"/>
    </row>
    <row r="181" spans="2:45" ht="15" customHeight="1" x14ac:dyDescent="0.25">
      <c r="B181" s="41">
        <v>175</v>
      </c>
      <c r="C181" s="42" t="s">
        <v>31</v>
      </c>
      <c r="D181" s="51" t="s">
        <v>66</v>
      </c>
      <c r="E181" s="51" t="s">
        <v>80</v>
      </c>
      <c r="F181" s="51" t="s">
        <v>83</v>
      </c>
      <c r="G181" s="52" t="s">
        <v>83</v>
      </c>
      <c r="H181" s="43">
        <v>3533</v>
      </c>
      <c r="I181" s="43">
        <v>60</v>
      </c>
      <c r="J181" s="43">
        <v>3</v>
      </c>
      <c r="K181" s="43">
        <v>127</v>
      </c>
      <c r="L181" s="43">
        <v>500</v>
      </c>
      <c r="M181" s="43">
        <v>2154</v>
      </c>
      <c r="N181" s="43">
        <v>536</v>
      </c>
      <c r="O181" s="43">
        <v>153</v>
      </c>
      <c r="P181" s="44">
        <f>K181+L181+M181+N181+O181</f>
        <v>3470</v>
      </c>
      <c r="Q181" s="44">
        <f>I181+J181</f>
        <v>63</v>
      </c>
      <c r="R181" s="43">
        <v>5108</v>
      </c>
      <c r="S181" s="43">
        <v>109</v>
      </c>
      <c r="T181" s="43">
        <v>10</v>
      </c>
      <c r="U181" s="43">
        <v>103</v>
      </c>
      <c r="V181" s="43">
        <v>118</v>
      </c>
      <c r="W181" s="43">
        <v>3550</v>
      </c>
      <c r="X181" s="43">
        <v>1066</v>
      </c>
      <c r="Y181" s="43">
        <v>152</v>
      </c>
      <c r="Z181" s="45">
        <f>U181+V181+W181+X181+Y181</f>
        <v>4989</v>
      </c>
      <c r="AA181" s="45">
        <f>S181+T181</f>
        <v>119</v>
      </c>
      <c r="AB181" s="46">
        <v>1.6982733999999999</v>
      </c>
      <c r="AC181" s="46">
        <v>8.4913699999999995E-2</v>
      </c>
      <c r="AD181" s="46">
        <v>3.5946786999999998</v>
      </c>
      <c r="AE181" s="46">
        <v>14.1522785</v>
      </c>
      <c r="AF181" s="46">
        <v>60.968015899999997</v>
      </c>
      <c r="AG181" s="46">
        <v>15.171242599999999</v>
      </c>
      <c r="AH181" s="46">
        <v>4.3305971999999997</v>
      </c>
      <c r="AI181" s="47">
        <f>AB181+AC181</f>
        <v>1.7831870999999999</v>
      </c>
      <c r="AJ181" s="47">
        <f>AD181+AE181+AF181+AG181+AH181</f>
        <v>98.216812899999994</v>
      </c>
      <c r="AK181" s="46">
        <v>2.1339076000000001</v>
      </c>
      <c r="AL181" s="46">
        <v>0.19577130000000001</v>
      </c>
      <c r="AM181" s="46">
        <v>2.0164447999999999</v>
      </c>
      <c r="AN181" s="46">
        <v>2.3101018</v>
      </c>
      <c r="AO181" s="46">
        <v>69.498825400000001</v>
      </c>
      <c r="AP181" s="46">
        <v>20.8692247</v>
      </c>
      <c r="AQ181" s="46">
        <v>2.9757243999999998</v>
      </c>
      <c r="AR181" s="48">
        <f>AK181+AL181</f>
        <v>2.3296789000000002</v>
      </c>
      <c r="AS181" s="48">
        <f>AM181+AN181+AO181+AP181+AQ181</f>
        <v>97.67032110000001</v>
      </c>
    </row>
    <row r="182" spans="2:45" ht="15" hidden="1" customHeight="1" x14ac:dyDescent="0.25">
      <c r="B182" s="35">
        <v>176</v>
      </c>
      <c r="C182" s="36" t="s">
        <v>31</v>
      </c>
      <c r="D182" s="36" t="s">
        <v>66</v>
      </c>
      <c r="E182" s="36" t="s">
        <v>80</v>
      </c>
      <c r="F182" s="36" t="s">
        <v>83</v>
      </c>
      <c r="G182" s="37" t="s">
        <v>25</v>
      </c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40"/>
      <c r="AS182" s="40"/>
    </row>
    <row r="183" spans="2:45" ht="15" hidden="1" customHeight="1" x14ac:dyDescent="0.25">
      <c r="B183" s="35">
        <v>177</v>
      </c>
      <c r="C183" s="36" t="s">
        <v>31</v>
      </c>
      <c r="D183" s="36" t="s">
        <v>66</v>
      </c>
      <c r="E183" s="36" t="s">
        <v>80</v>
      </c>
      <c r="F183" s="36" t="s">
        <v>83</v>
      </c>
      <c r="G183" s="37" t="s">
        <v>26</v>
      </c>
      <c r="H183" s="38">
        <v>3533</v>
      </c>
      <c r="I183" s="38">
        <v>60</v>
      </c>
      <c r="J183" s="38">
        <v>3</v>
      </c>
      <c r="K183" s="38">
        <v>127</v>
      </c>
      <c r="L183" s="38">
        <v>500</v>
      </c>
      <c r="M183" s="38">
        <v>2154</v>
      </c>
      <c r="N183" s="38">
        <v>536</v>
      </c>
      <c r="O183" s="38">
        <v>153</v>
      </c>
      <c r="P183" s="38"/>
      <c r="Q183" s="38"/>
      <c r="R183" s="38">
        <v>5108</v>
      </c>
      <c r="S183" s="38">
        <v>109</v>
      </c>
      <c r="T183" s="38">
        <v>10</v>
      </c>
      <c r="U183" s="38">
        <v>103</v>
      </c>
      <c r="V183" s="38">
        <v>118</v>
      </c>
      <c r="W183" s="38">
        <v>3550</v>
      </c>
      <c r="X183" s="38">
        <v>1066</v>
      </c>
      <c r="Y183" s="38">
        <v>152</v>
      </c>
      <c r="Z183" s="38"/>
      <c r="AA183" s="38"/>
      <c r="AB183" s="39">
        <v>1.6982733999999999</v>
      </c>
      <c r="AC183" s="39">
        <v>8.4913699999999995E-2</v>
      </c>
      <c r="AD183" s="39">
        <v>3.5946786999999998</v>
      </c>
      <c r="AE183" s="39">
        <v>14.1522785</v>
      </c>
      <c r="AF183" s="39">
        <v>60.968015899999997</v>
      </c>
      <c r="AG183" s="39">
        <v>15.171242599999999</v>
      </c>
      <c r="AH183" s="39">
        <v>4.3305971999999997</v>
      </c>
      <c r="AI183" s="39"/>
      <c r="AJ183" s="39"/>
      <c r="AK183" s="39">
        <v>2.1339076000000001</v>
      </c>
      <c r="AL183" s="39">
        <v>0.19577130000000001</v>
      </c>
      <c r="AM183" s="39">
        <v>2.0164447999999999</v>
      </c>
      <c r="AN183" s="39">
        <v>2.3101018</v>
      </c>
      <c r="AO183" s="39">
        <v>69.498825400000001</v>
      </c>
      <c r="AP183" s="39">
        <v>20.8692247</v>
      </c>
      <c r="AQ183" s="39">
        <v>2.9757243999999998</v>
      </c>
      <c r="AR183" s="40"/>
      <c r="AS183" s="40"/>
    </row>
    <row r="184" spans="2:45" ht="15" customHeight="1" x14ac:dyDescent="0.25">
      <c r="B184" s="41">
        <v>178</v>
      </c>
      <c r="C184" s="42" t="s">
        <v>31</v>
      </c>
      <c r="D184" s="51" t="s">
        <v>66</v>
      </c>
      <c r="E184" s="51" t="s">
        <v>80</v>
      </c>
      <c r="F184" s="51" t="s">
        <v>84</v>
      </c>
      <c r="G184" s="52" t="s">
        <v>84</v>
      </c>
      <c r="H184" s="43">
        <v>1311</v>
      </c>
      <c r="I184" s="43">
        <v>20</v>
      </c>
      <c r="J184" s="43">
        <v>3</v>
      </c>
      <c r="K184" s="43">
        <v>33</v>
      </c>
      <c r="L184" s="43">
        <v>317</v>
      </c>
      <c r="M184" s="43">
        <v>682</v>
      </c>
      <c r="N184" s="43">
        <v>221</v>
      </c>
      <c r="O184" s="43">
        <v>35</v>
      </c>
      <c r="P184" s="44">
        <f>K184+L184+M184+N184+O184</f>
        <v>1288</v>
      </c>
      <c r="Q184" s="44">
        <f>I184+J184</f>
        <v>23</v>
      </c>
      <c r="R184" s="43">
        <v>1930</v>
      </c>
      <c r="S184" s="43">
        <v>44</v>
      </c>
      <c r="T184" s="43">
        <v>7</v>
      </c>
      <c r="U184" s="43">
        <v>70</v>
      </c>
      <c r="V184" s="43">
        <v>64</v>
      </c>
      <c r="W184" s="43">
        <v>1449</v>
      </c>
      <c r="X184" s="43">
        <v>266</v>
      </c>
      <c r="Y184" s="43">
        <v>30</v>
      </c>
      <c r="Z184" s="45">
        <f>U184+V184+W184+X184+Y184</f>
        <v>1879</v>
      </c>
      <c r="AA184" s="45">
        <f t="shared" ref="AA184:AA185" si="17">S184+T184</f>
        <v>51</v>
      </c>
      <c r="AB184" s="46">
        <v>1.5255529999999999</v>
      </c>
      <c r="AC184" s="46">
        <v>0.22883300000000001</v>
      </c>
      <c r="AD184" s="46">
        <v>2.5171625</v>
      </c>
      <c r="AE184" s="46">
        <v>24.180015300000001</v>
      </c>
      <c r="AF184" s="46">
        <v>52.021357700000003</v>
      </c>
      <c r="AG184" s="46">
        <v>16.857360799999999</v>
      </c>
      <c r="AH184" s="46">
        <v>2.6697177999999999</v>
      </c>
      <c r="AI184" s="47">
        <f>AB184+AC184</f>
        <v>1.754386</v>
      </c>
      <c r="AJ184" s="47">
        <f>AD184+AE184+AF184+AG184+AH184</f>
        <v>98.245614099999997</v>
      </c>
      <c r="AK184" s="46">
        <v>2.2797926999999998</v>
      </c>
      <c r="AL184" s="46">
        <v>0.36269430000000003</v>
      </c>
      <c r="AM184" s="46">
        <v>3.6269429999999998</v>
      </c>
      <c r="AN184" s="46">
        <v>3.3160622000000002</v>
      </c>
      <c r="AO184" s="46">
        <v>75.077720200000002</v>
      </c>
      <c r="AP184" s="46">
        <v>13.782383400000001</v>
      </c>
      <c r="AQ184" s="46">
        <v>1.5544041</v>
      </c>
      <c r="AR184" s="48">
        <f t="shared" ref="AR184:AR187" si="18">AK184+AL184</f>
        <v>2.642487</v>
      </c>
      <c r="AS184" s="48">
        <f>AM184+AN184+AO184+AP184+AQ184</f>
        <v>97.357512900000003</v>
      </c>
    </row>
    <row r="185" spans="2:45" ht="15" hidden="1" customHeight="1" x14ac:dyDescent="0.25">
      <c r="B185" s="35">
        <v>179</v>
      </c>
      <c r="C185" s="36" t="s">
        <v>31</v>
      </c>
      <c r="D185" s="36" t="s">
        <v>66</v>
      </c>
      <c r="E185" s="36" t="s">
        <v>80</v>
      </c>
      <c r="F185" s="36" t="s">
        <v>84</v>
      </c>
      <c r="G185" s="37" t="s">
        <v>25</v>
      </c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>
        <f t="shared" si="17"/>
        <v>0</v>
      </c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40">
        <f t="shared" si="18"/>
        <v>0</v>
      </c>
      <c r="AS185" s="40"/>
    </row>
    <row r="186" spans="2:45" ht="15" hidden="1" customHeight="1" x14ac:dyDescent="0.25">
      <c r="B186" s="35">
        <v>180</v>
      </c>
      <c r="C186" s="36" t="s">
        <v>31</v>
      </c>
      <c r="D186" s="36" t="s">
        <v>66</v>
      </c>
      <c r="E186" s="36" t="s">
        <v>80</v>
      </c>
      <c r="F186" s="36" t="s">
        <v>84</v>
      </c>
      <c r="G186" s="37" t="s">
        <v>26</v>
      </c>
      <c r="H186" s="38">
        <v>1311</v>
      </c>
      <c r="I186" s="38">
        <v>20</v>
      </c>
      <c r="J186" s="38">
        <v>3</v>
      </c>
      <c r="K186" s="38">
        <v>33</v>
      </c>
      <c r="L186" s="38">
        <v>317</v>
      </c>
      <c r="M186" s="38">
        <v>682</v>
      </c>
      <c r="N186" s="38">
        <v>221</v>
      </c>
      <c r="O186" s="38">
        <v>35</v>
      </c>
      <c r="P186" s="38"/>
      <c r="Q186" s="38">
        <f t="shared" ref="Q186:Q187" si="19">I186+J186</f>
        <v>23</v>
      </c>
      <c r="R186" s="38">
        <v>1930</v>
      </c>
      <c r="S186" s="38">
        <v>44</v>
      </c>
      <c r="T186" s="38">
        <v>7</v>
      </c>
      <c r="U186" s="38">
        <v>70</v>
      </c>
      <c r="V186" s="38">
        <v>64</v>
      </c>
      <c r="W186" s="38">
        <v>1449</v>
      </c>
      <c r="X186" s="38">
        <v>266</v>
      </c>
      <c r="Y186" s="38">
        <v>30</v>
      </c>
      <c r="Z186" s="38"/>
      <c r="AA186" s="38"/>
      <c r="AB186" s="39">
        <v>1.5255529999999999</v>
      </c>
      <c r="AC186" s="39">
        <v>0.22883300000000001</v>
      </c>
      <c r="AD186" s="39">
        <v>2.5171625</v>
      </c>
      <c r="AE186" s="39">
        <v>24.180015300000001</v>
      </c>
      <c r="AF186" s="39">
        <v>52.021357700000003</v>
      </c>
      <c r="AG186" s="39">
        <v>16.857360799999999</v>
      </c>
      <c r="AH186" s="39">
        <v>2.6697177999999999</v>
      </c>
      <c r="AI186" s="39"/>
      <c r="AJ186" s="39"/>
      <c r="AK186" s="39">
        <v>2.2797926999999998</v>
      </c>
      <c r="AL186" s="39">
        <v>0.36269430000000003</v>
      </c>
      <c r="AM186" s="39">
        <v>3.6269429999999998</v>
      </c>
      <c r="AN186" s="39">
        <v>3.3160622000000002</v>
      </c>
      <c r="AO186" s="39">
        <v>75.077720200000002</v>
      </c>
      <c r="AP186" s="39">
        <v>13.782383400000001</v>
      </c>
      <c r="AQ186" s="39">
        <v>1.5544041</v>
      </c>
      <c r="AR186" s="40">
        <f t="shared" si="18"/>
        <v>2.642487</v>
      </c>
      <c r="AS186" s="40"/>
    </row>
    <row r="187" spans="2:45" ht="15" customHeight="1" x14ac:dyDescent="0.25">
      <c r="B187" s="41">
        <v>181</v>
      </c>
      <c r="C187" s="42" t="s">
        <v>31</v>
      </c>
      <c r="D187" s="51" t="s">
        <v>66</v>
      </c>
      <c r="E187" s="51" t="s">
        <v>80</v>
      </c>
      <c r="F187" s="51" t="s">
        <v>85</v>
      </c>
      <c r="G187" s="52" t="s">
        <v>85</v>
      </c>
      <c r="H187" s="43">
        <v>1159</v>
      </c>
      <c r="I187" s="43">
        <v>22</v>
      </c>
      <c r="J187" s="43">
        <v>3</v>
      </c>
      <c r="K187" s="43">
        <v>157</v>
      </c>
      <c r="L187" s="43">
        <v>74</v>
      </c>
      <c r="M187" s="43">
        <v>697</v>
      </c>
      <c r="N187" s="43">
        <v>153</v>
      </c>
      <c r="O187" s="43">
        <v>53</v>
      </c>
      <c r="P187" s="44">
        <f>K187+L187+M187+N187+O187</f>
        <v>1134</v>
      </c>
      <c r="Q187" s="44">
        <f t="shared" si="19"/>
        <v>25</v>
      </c>
      <c r="R187" s="43">
        <v>1742</v>
      </c>
      <c r="S187" s="43">
        <v>96</v>
      </c>
      <c r="T187" s="43">
        <v>8</v>
      </c>
      <c r="U187" s="43">
        <v>79</v>
      </c>
      <c r="V187" s="43">
        <v>4</v>
      </c>
      <c r="W187" s="43">
        <v>1305</v>
      </c>
      <c r="X187" s="43">
        <v>208</v>
      </c>
      <c r="Y187" s="43">
        <v>42</v>
      </c>
      <c r="Z187" s="45">
        <f>U187+V187+W187+X187+Y187</f>
        <v>1638</v>
      </c>
      <c r="AA187" s="45">
        <f>S187+T187</f>
        <v>104</v>
      </c>
      <c r="AB187" s="46">
        <v>1.8981881</v>
      </c>
      <c r="AC187" s="46">
        <v>0.25884380000000001</v>
      </c>
      <c r="AD187" s="46">
        <v>13.546160499999999</v>
      </c>
      <c r="AE187" s="46">
        <v>6.3848145000000001</v>
      </c>
      <c r="AF187" s="46">
        <v>60.13805</v>
      </c>
      <c r="AG187" s="46">
        <v>13.2010354</v>
      </c>
      <c r="AH187" s="46">
        <v>4.5729077</v>
      </c>
      <c r="AI187" s="47">
        <f>AB187+AC187</f>
        <v>2.1570319000000002</v>
      </c>
      <c r="AJ187" s="47">
        <f>AD187+AE187+AF187+AG187+AH187</f>
        <v>97.842968099999993</v>
      </c>
      <c r="AK187" s="46">
        <v>5.5109069999999996</v>
      </c>
      <c r="AL187" s="46">
        <v>0.45924229999999999</v>
      </c>
      <c r="AM187" s="46">
        <v>4.5350172000000004</v>
      </c>
      <c r="AN187" s="46">
        <v>0.22962109999999999</v>
      </c>
      <c r="AO187" s="46">
        <v>74.913892099999998</v>
      </c>
      <c r="AP187" s="46">
        <v>11.940298500000001</v>
      </c>
      <c r="AQ187" s="46">
        <v>2.4110217999999999</v>
      </c>
      <c r="AR187" s="48">
        <f t="shared" si="18"/>
        <v>5.9701492999999992</v>
      </c>
      <c r="AS187" s="48">
        <f>AM187+AN187+AO187+AP187+AQ187</f>
        <v>94.029850699999997</v>
      </c>
    </row>
    <row r="188" spans="2:45" ht="15" hidden="1" customHeight="1" x14ac:dyDescent="0.25">
      <c r="B188" s="35">
        <v>182</v>
      </c>
      <c r="C188" s="36" t="s">
        <v>31</v>
      </c>
      <c r="D188" s="36" t="s">
        <v>66</v>
      </c>
      <c r="E188" s="36" t="s">
        <v>80</v>
      </c>
      <c r="F188" s="36" t="s">
        <v>85</v>
      </c>
      <c r="G188" s="37" t="s">
        <v>25</v>
      </c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40"/>
      <c r="AS188" s="40"/>
    </row>
    <row r="189" spans="2:45" ht="15" hidden="1" customHeight="1" x14ac:dyDescent="0.25">
      <c r="B189" s="35">
        <v>183</v>
      </c>
      <c r="C189" s="36" t="s">
        <v>31</v>
      </c>
      <c r="D189" s="36" t="s">
        <v>66</v>
      </c>
      <c r="E189" s="36" t="s">
        <v>80</v>
      </c>
      <c r="F189" s="36" t="s">
        <v>85</v>
      </c>
      <c r="G189" s="37" t="s">
        <v>26</v>
      </c>
      <c r="H189" s="38">
        <v>1159</v>
      </c>
      <c r="I189" s="38">
        <v>22</v>
      </c>
      <c r="J189" s="38">
        <v>3</v>
      </c>
      <c r="K189" s="38">
        <v>157</v>
      </c>
      <c r="L189" s="38">
        <v>74</v>
      </c>
      <c r="M189" s="38">
        <v>697</v>
      </c>
      <c r="N189" s="38">
        <v>153</v>
      </c>
      <c r="O189" s="38">
        <v>53</v>
      </c>
      <c r="P189" s="38"/>
      <c r="Q189" s="38"/>
      <c r="R189" s="38">
        <v>1742</v>
      </c>
      <c r="S189" s="38">
        <v>96</v>
      </c>
      <c r="T189" s="38">
        <v>8</v>
      </c>
      <c r="U189" s="38">
        <v>79</v>
      </c>
      <c r="V189" s="38">
        <v>4</v>
      </c>
      <c r="W189" s="38">
        <v>1305</v>
      </c>
      <c r="X189" s="38">
        <v>208</v>
      </c>
      <c r="Y189" s="38">
        <v>42</v>
      </c>
      <c r="Z189" s="38"/>
      <c r="AA189" s="38"/>
      <c r="AB189" s="39">
        <v>1.8981881</v>
      </c>
      <c r="AC189" s="39">
        <v>0.25884380000000001</v>
      </c>
      <c r="AD189" s="39">
        <v>13.546160499999999</v>
      </c>
      <c r="AE189" s="39">
        <v>6.3848145000000001</v>
      </c>
      <c r="AF189" s="39">
        <v>60.13805</v>
      </c>
      <c r="AG189" s="39">
        <v>13.2010354</v>
      </c>
      <c r="AH189" s="39">
        <v>4.5729077</v>
      </c>
      <c r="AI189" s="39"/>
      <c r="AJ189" s="39"/>
      <c r="AK189" s="39">
        <v>5.5109069999999996</v>
      </c>
      <c r="AL189" s="39">
        <v>0.45924229999999999</v>
      </c>
      <c r="AM189" s="39">
        <v>4.5350172000000004</v>
      </c>
      <c r="AN189" s="39">
        <v>0.22962109999999999</v>
      </c>
      <c r="AO189" s="39">
        <v>74.913892099999998</v>
      </c>
      <c r="AP189" s="39">
        <v>11.940298500000001</v>
      </c>
      <c r="AQ189" s="39">
        <v>2.4110217999999999</v>
      </c>
      <c r="AR189" s="40"/>
      <c r="AS189" s="40"/>
    </row>
    <row r="190" spans="2:45" ht="15" customHeight="1" x14ac:dyDescent="0.25">
      <c r="B190" s="41">
        <v>184</v>
      </c>
      <c r="C190" s="42" t="s">
        <v>31</v>
      </c>
      <c r="D190" s="51" t="s">
        <v>66</v>
      </c>
      <c r="E190" s="51" t="s">
        <v>80</v>
      </c>
      <c r="F190" s="51" t="s">
        <v>86</v>
      </c>
      <c r="G190" s="52" t="s">
        <v>86</v>
      </c>
      <c r="H190" s="43">
        <v>1070</v>
      </c>
      <c r="I190" s="43">
        <v>16</v>
      </c>
      <c r="J190" s="43">
        <v>2</v>
      </c>
      <c r="K190" s="43">
        <v>122</v>
      </c>
      <c r="L190" s="43">
        <v>242</v>
      </c>
      <c r="M190" s="43">
        <v>549</v>
      </c>
      <c r="N190" s="43">
        <v>134</v>
      </c>
      <c r="O190" s="43">
        <v>5</v>
      </c>
      <c r="P190" s="44">
        <f>K190+L190+M190+N190+O190</f>
        <v>1052</v>
      </c>
      <c r="Q190" s="44">
        <f>I190+J190</f>
        <v>18</v>
      </c>
      <c r="R190" s="43">
        <v>1463</v>
      </c>
      <c r="S190" s="43">
        <v>154</v>
      </c>
      <c r="T190" s="43">
        <v>3</v>
      </c>
      <c r="U190" s="43">
        <v>32</v>
      </c>
      <c r="V190" s="43">
        <v>78</v>
      </c>
      <c r="W190" s="43">
        <v>993</v>
      </c>
      <c r="X190" s="43">
        <v>180</v>
      </c>
      <c r="Y190" s="43">
        <v>23</v>
      </c>
      <c r="Z190" s="45">
        <f>U190+V190+W190+X190+Y190</f>
        <v>1306</v>
      </c>
      <c r="AA190" s="45">
        <f>S190+T190</f>
        <v>157</v>
      </c>
      <c r="AB190" s="46">
        <v>1.4953270999999999</v>
      </c>
      <c r="AC190" s="46">
        <v>0.1869159</v>
      </c>
      <c r="AD190" s="46">
        <v>11.4018692</v>
      </c>
      <c r="AE190" s="46">
        <v>22.6168224</v>
      </c>
      <c r="AF190" s="46">
        <v>51.308411200000002</v>
      </c>
      <c r="AG190" s="46">
        <v>12.5233645</v>
      </c>
      <c r="AH190" s="46">
        <v>0.46728969999999997</v>
      </c>
      <c r="AI190" s="47">
        <f>AB190+AC190</f>
        <v>1.6822429999999999</v>
      </c>
      <c r="AJ190" s="47">
        <f>AD190+AE190+AF190+AG190+AH190</f>
        <v>98.317757</v>
      </c>
      <c r="AK190" s="46">
        <v>10.526315800000001</v>
      </c>
      <c r="AL190" s="46">
        <v>0.20505809999999999</v>
      </c>
      <c r="AM190" s="46">
        <v>2.1872864000000001</v>
      </c>
      <c r="AN190" s="46">
        <v>5.3315105999999997</v>
      </c>
      <c r="AO190" s="46">
        <v>67.874230999999995</v>
      </c>
      <c r="AP190" s="46">
        <v>12.303485999999999</v>
      </c>
      <c r="AQ190" s="46">
        <v>1.5721121</v>
      </c>
      <c r="AR190" s="48">
        <f>AK190+AL190</f>
        <v>10.731373900000001</v>
      </c>
      <c r="AS190" s="48">
        <f>AM190+AN190+AO190+AP190+AQ190</f>
        <v>89.268626099999977</v>
      </c>
    </row>
    <row r="191" spans="2:45" ht="15" hidden="1" customHeight="1" x14ac:dyDescent="0.25">
      <c r="B191" s="35">
        <v>185</v>
      </c>
      <c r="C191" s="36" t="s">
        <v>31</v>
      </c>
      <c r="D191" s="36" t="s">
        <v>66</v>
      </c>
      <c r="E191" s="36" t="s">
        <v>80</v>
      </c>
      <c r="F191" s="36" t="s">
        <v>86</v>
      </c>
      <c r="G191" s="37" t="s">
        <v>25</v>
      </c>
      <c r="H191" s="38">
        <v>362</v>
      </c>
      <c r="I191" s="38">
        <v>14</v>
      </c>
      <c r="J191" s="38">
        <v>0</v>
      </c>
      <c r="K191" s="38">
        <v>90</v>
      </c>
      <c r="L191" s="38">
        <v>46</v>
      </c>
      <c r="M191" s="38">
        <v>178</v>
      </c>
      <c r="N191" s="38">
        <v>33</v>
      </c>
      <c r="O191" s="38">
        <v>1</v>
      </c>
      <c r="P191" s="38"/>
      <c r="Q191" s="38"/>
      <c r="R191" s="38">
        <v>488</v>
      </c>
      <c r="S191" s="38">
        <v>93</v>
      </c>
      <c r="T191" s="38">
        <v>2</v>
      </c>
      <c r="U191" s="38">
        <v>26</v>
      </c>
      <c r="V191" s="38">
        <v>15</v>
      </c>
      <c r="W191" s="38">
        <v>286</v>
      </c>
      <c r="X191" s="38">
        <v>53</v>
      </c>
      <c r="Y191" s="38">
        <v>13</v>
      </c>
      <c r="Z191" s="38"/>
      <c r="AA191" s="38"/>
      <c r="AB191" s="39">
        <v>3.8674032999999999</v>
      </c>
      <c r="AC191" s="39">
        <v>0</v>
      </c>
      <c r="AD191" s="39">
        <v>24.8618785</v>
      </c>
      <c r="AE191" s="39">
        <v>12.707182299999999</v>
      </c>
      <c r="AF191" s="39">
        <v>49.171270700000001</v>
      </c>
      <c r="AG191" s="39">
        <v>9.1160221000000003</v>
      </c>
      <c r="AH191" s="39">
        <v>0.27624310000000002</v>
      </c>
      <c r="AI191" s="39"/>
      <c r="AJ191" s="39"/>
      <c r="AK191" s="39">
        <v>19.057376999999999</v>
      </c>
      <c r="AL191" s="39">
        <v>0.40983609999999998</v>
      </c>
      <c r="AM191" s="39">
        <v>5.3278689000000004</v>
      </c>
      <c r="AN191" s="39">
        <v>3.0737705000000002</v>
      </c>
      <c r="AO191" s="39">
        <v>58.6065574</v>
      </c>
      <c r="AP191" s="39">
        <v>10.860655700000001</v>
      </c>
      <c r="AQ191" s="39">
        <v>2.6639344</v>
      </c>
      <c r="AR191" s="40"/>
      <c r="AS191" s="40"/>
    </row>
    <row r="192" spans="2:45" ht="15" hidden="1" customHeight="1" x14ac:dyDescent="0.25">
      <c r="B192" s="35">
        <v>186</v>
      </c>
      <c r="C192" s="36" t="s">
        <v>31</v>
      </c>
      <c r="D192" s="36" t="s">
        <v>66</v>
      </c>
      <c r="E192" s="36" t="s">
        <v>80</v>
      </c>
      <c r="F192" s="36" t="s">
        <v>86</v>
      </c>
      <c r="G192" s="37" t="s">
        <v>26</v>
      </c>
      <c r="H192" s="38">
        <v>708</v>
      </c>
      <c r="I192" s="38">
        <v>2</v>
      </c>
      <c r="J192" s="38">
        <v>2</v>
      </c>
      <c r="K192" s="38">
        <v>32</v>
      </c>
      <c r="L192" s="38">
        <v>196</v>
      </c>
      <c r="M192" s="38">
        <v>371</v>
      </c>
      <c r="N192" s="38">
        <v>101</v>
      </c>
      <c r="O192" s="38">
        <v>4</v>
      </c>
      <c r="P192" s="38"/>
      <c r="Q192" s="38"/>
      <c r="R192" s="38">
        <v>975</v>
      </c>
      <c r="S192" s="38">
        <v>61</v>
      </c>
      <c r="T192" s="38">
        <v>1</v>
      </c>
      <c r="U192" s="38">
        <v>6</v>
      </c>
      <c r="V192" s="38">
        <v>63</v>
      </c>
      <c r="W192" s="38">
        <v>707</v>
      </c>
      <c r="X192" s="38">
        <v>127</v>
      </c>
      <c r="Y192" s="38">
        <v>10</v>
      </c>
      <c r="Z192" s="38"/>
      <c r="AA192" s="38"/>
      <c r="AB192" s="39">
        <v>0.28248590000000001</v>
      </c>
      <c r="AC192" s="39">
        <v>0.28248590000000001</v>
      </c>
      <c r="AD192" s="39">
        <v>4.519774</v>
      </c>
      <c r="AE192" s="39">
        <v>27.683615799999998</v>
      </c>
      <c r="AF192" s="39">
        <v>52.401129900000001</v>
      </c>
      <c r="AG192" s="39">
        <v>14.2655367</v>
      </c>
      <c r="AH192" s="39">
        <v>0.56497180000000002</v>
      </c>
      <c r="AI192" s="39"/>
      <c r="AJ192" s="39"/>
      <c r="AK192" s="39">
        <v>6.2564102999999998</v>
      </c>
      <c r="AL192" s="39">
        <v>0.10256410000000001</v>
      </c>
      <c r="AM192" s="39">
        <v>0.61538459999999995</v>
      </c>
      <c r="AN192" s="39">
        <v>6.4615384999999996</v>
      </c>
      <c r="AO192" s="39">
        <v>72.512820500000004</v>
      </c>
      <c r="AP192" s="39">
        <v>13.025641</v>
      </c>
      <c r="AQ192" s="39">
        <v>1.025641</v>
      </c>
      <c r="AR192" s="40"/>
      <c r="AS192" s="40"/>
    </row>
    <row r="193" spans="2:45" ht="15" customHeight="1" x14ac:dyDescent="0.25">
      <c r="B193" s="41">
        <v>187</v>
      </c>
      <c r="C193" s="42" t="s">
        <v>31</v>
      </c>
      <c r="D193" s="51" t="s">
        <v>66</v>
      </c>
      <c r="E193" s="51" t="s">
        <v>80</v>
      </c>
      <c r="F193" s="51" t="s">
        <v>87</v>
      </c>
      <c r="G193" s="52" t="s">
        <v>87</v>
      </c>
      <c r="H193" s="43">
        <v>289</v>
      </c>
      <c r="I193" s="43">
        <v>30</v>
      </c>
      <c r="J193" s="43">
        <v>0</v>
      </c>
      <c r="K193" s="43">
        <v>39</v>
      </c>
      <c r="L193" s="43">
        <v>25</v>
      </c>
      <c r="M193" s="43">
        <v>126</v>
      </c>
      <c r="N193" s="43">
        <v>66</v>
      </c>
      <c r="O193" s="43">
        <v>3</v>
      </c>
      <c r="P193" s="44">
        <f>K193+L193+M193+N193+O193</f>
        <v>259</v>
      </c>
      <c r="Q193" s="44">
        <f>I193+J193</f>
        <v>30</v>
      </c>
      <c r="R193" s="43">
        <v>1213</v>
      </c>
      <c r="S193" s="43">
        <v>62</v>
      </c>
      <c r="T193" s="43">
        <v>5</v>
      </c>
      <c r="U193" s="43">
        <v>14</v>
      </c>
      <c r="V193" s="43">
        <v>52</v>
      </c>
      <c r="W193" s="43">
        <v>914</v>
      </c>
      <c r="X193" s="43">
        <v>147</v>
      </c>
      <c r="Y193" s="43">
        <v>19</v>
      </c>
      <c r="Z193" s="45">
        <f>U193+V193+W193+X193+Y193</f>
        <v>1146</v>
      </c>
      <c r="AA193" s="45">
        <f>S193+T193</f>
        <v>67</v>
      </c>
      <c r="AB193" s="46">
        <v>10.380622799999999</v>
      </c>
      <c r="AC193" s="46">
        <v>0</v>
      </c>
      <c r="AD193" s="46">
        <v>13.494809699999999</v>
      </c>
      <c r="AE193" s="46">
        <v>8.6505189999999992</v>
      </c>
      <c r="AF193" s="46">
        <v>43.598615899999999</v>
      </c>
      <c r="AG193" s="46">
        <v>22.837370199999999</v>
      </c>
      <c r="AH193" s="46">
        <v>1.0380623</v>
      </c>
      <c r="AI193" s="47">
        <f>AB193+AC193</f>
        <v>10.380622799999999</v>
      </c>
      <c r="AJ193" s="47">
        <f>AD193+AE193+AF193+AG193+AH193</f>
        <v>89.61937709999998</v>
      </c>
      <c r="AK193" s="46">
        <v>5.1112943</v>
      </c>
      <c r="AL193" s="46">
        <v>0.41220119999999999</v>
      </c>
      <c r="AM193" s="46">
        <v>1.1541631999999999</v>
      </c>
      <c r="AN193" s="46">
        <v>4.2868919999999999</v>
      </c>
      <c r="AO193" s="46">
        <v>75.350370999999996</v>
      </c>
      <c r="AP193" s="46">
        <v>12.118713899999999</v>
      </c>
      <c r="AQ193" s="46">
        <v>1.5663644000000001</v>
      </c>
      <c r="AR193" s="48">
        <f>AK193+AL193</f>
        <v>5.5234955000000001</v>
      </c>
      <c r="AS193" s="48">
        <f>AM193+AN193+AO193+AP193+AQ193</f>
        <v>94.47650449999999</v>
      </c>
    </row>
    <row r="194" spans="2:45" ht="15" hidden="1" customHeight="1" x14ac:dyDescent="0.25">
      <c r="B194" s="35">
        <v>188</v>
      </c>
      <c r="C194" s="36" t="s">
        <v>31</v>
      </c>
      <c r="D194" s="36" t="s">
        <v>66</v>
      </c>
      <c r="E194" s="36" t="s">
        <v>80</v>
      </c>
      <c r="F194" s="36" t="s">
        <v>87</v>
      </c>
      <c r="G194" s="37" t="s">
        <v>25</v>
      </c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40"/>
      <c r="AS194" s="40"/>
    </row>
    <row r="195" spans="2:45" ht="15" hidden="1" customHeight="1" x14ac:dyDescent="0.25">
      <c r="B195" s="35">
        <v>189</v>
      </c>
      <c r="C195" s="36" t="s">
        <v>31</v>
      </c>
      <c r="D195" s="36" t="s">
        <v>66</v>
      </c>
      <c r="E195" s="36" t="s">
        <v>80</v>
      </c>
      <c r="F195" s="36" t="s">
        <v>87</v>
      </c>
      <c r="G195" s="37" t="s">
        <v>26</v>
      </c>
      <c r="H195" s="38">
        <v>289</v>
      </c>
      <c r="I195" s="38">
        <v>30</v>
      </c>
      <c r="J195" s="38">
        <v>0</v>
      </c>
      <c r="K195" s="38">
        <v>39</v>
      </c>
      <c r="L195" s="38">
        <v>25</v>
      </c>
      <c r="M195" s="38">
        <v>126</v>
      </c>
      <c r="N195" s="38">
        <v>66</v>
      </c>
      <c r="O195" s="38">
        <v>3</v>
      </c>
      <c r="P195" s="38"/>
      <c r="Q195" s="38"/>
      <c r="R195" s="38">
        <v>1213</v>
      </c>
      <c r="S195" s="38">
        <v>62</v>
      </c>
      <c r="T195" s="38">
        <v>5</v>
      </c>
      <c r="U195" s="38">
        <v>14</v>
      </c>
      <c r="V195" s="38">
        <v>52</v>
      </c>
      <c r="W195" s="38">
        <v>914</v>
      </c>
      <c r="X195" s="38">
        <v>147</v>
      </c>
      <c r="Y195" s="38">
        <v>19</v>
      </c>
      <c r="Z195" s="38"/>
      <c r="AA195" s="38"/>
      <c r="AB195" s="39">
        <v>10.380622799999999</v>
      </c>
      <c r="AC195" s="39">
        <v>0</v>
      </c>
      <c r="AD195" s="39">
        <v>13.494809699999999</v>
      </c>
      <c r="AE195" s="39">
        <v>8.6505189999999992</v>
      </c>
      <c r="AF195" s="39">
        <v>43.598615899999999</v>
      </c>
      <c r="AG195" s="39">
        <v>22.837370199999999</v>
      </c>
      <c r="AH195" s="39">
        <v>1.0380623</v>
      </c>
      <c r="AI195" s="39"/>
      <c r="AJ195" s="39"/>
      <c r="AK195" s="39">
        <v>5.1112943</v>
      </c>
      <c r="AL195" s="39">
        <v>0.41220119999999999</v>
      </c>
      <c r="AM195" s="39">
        <v>1.1541631999999999</v>
      </c>
      <c r="AN195" s="39">
        <v>4.2868919999999999</v>
      </c>
      <c r="AO195" s="39">
        <v>75.350370999999996</v>
      </c>
      <c r="AP195" s="39">
        <v>12.118713899999999</v>
      </c>
      <c r="AQ195" s="39">
        <v>1.5663644000000001</v>
      </c>
      <c r="AR195" s="40"/>
      <c r="AS195" s="40"/>
    </row>
    <row r="196" spans="2:45" ht="15" customHeight="1" x14ac:dyDescent="0.25">
      <c r="B196" s="41">
        <v>190</v>
      </c>
      <c r="C196" s="42" t="s">
        <v>31</v>
      </c>
      <c r="D196" s="51" t="s">
        <v>66</v>
      </c>
      <c r="E196" s="51" t="s">
        <v>80</v>
      </c>
      <c r="F196" s="51" t="s">
        <v>88</v>
      </c>
      <c r="G196" s="52" t="s">
        <v>88</v>
      </c>
      <c r="H196" s="43">
        <v>2790</v>
      </c>
      <c r="I196" s="43">
        <v>1</v>
      </c>
      <c r="J196" s="43">
        <v>3</v>
      </c>
      <c r="K196" s="43">
        <v>118</v>
      </c>
      <c r="L196" s="43">
        <v>815</v>
      </c>
      <c r="M196" s="43">
        <v>1581</v>
      </c>
      <c r="N196" s="43">
        <v>210</v>
      </c>
      <c r="O196" s="43">
        <v>62</v>
      </c>
      <c r="P196" s="44">
        <f>K196+L196+M196+N196+O196</f>
        <v>2786</v>
      </c>
      <c r="Q196" s="44">
        <f>I196+J196</f>
        <v>4</v>
      </c>
      <c r="R196" s="43">
        <v>3569</v>
      </c>
      <c r="S196" s="43">
        <v>27</v>
      </c>
      <c r="T196" s="43">
        <v>8</v>
      </c>
      <c r="U196" s="43">
        <v>88</v>
      </c>
      <c r="V196" s="43">
        <v>196</v>
      </c>
      <c r="W196" s="43">
        <v>2705</v>
      </c>
      <c r="X196" s="43">
        <v>511</v>
      </c>
      <c r="Y196" s="43">
        <v>34</v>
      </c>
      <c r="Z196" s="45">
        <f>U196+V196+W196+X196+Y196</f>
        <v>3534</v>
      </c>
      <c r="AA196" s="45">
        <f>S196+T196</f>
        <v>35</v>
      </c>
      <c r="AB196" s="46">
        <v>3.5842300000000001E-2</v>
      </c>
      <c r="AC196" s="46">
        <v>0.10752689999999999</v>
      </c>
      <c r="AD196" s="46">
        <v>4.2293906999999997</v>
      </c>
      <c r="AE196" s="46">
        <v>29.2114695</v>
      </c>
      <c r="AF196" s="46">
        <v>56.6666667</v>
      </c>
      <c r="AG196" s="46">
        <v>7.5268816999999997</v>
      </c>
      <c r="AH196" s="46">
        <v>2.2222222</v>
      </c>
      <c r="AI196" s="47">
        <f>AB196+AC196</f>
        <v>0.1433692</v>
      </c>
      <c r="AJ196" s="47">
        <f>AD196+AE196+AF196+AG196+AH196</f>
        <v>99.856630800000019</v>
      </c>
      <c r="AK196" s="46">
        <v>0.75651440000000003</v>
      </c>
      <c r="AL196" s="46">
        <v>0.2241524</v>
      </c>
      <c r="AM196" s="46">
        <v>2.4656766999999999</v>
      </c>
      <c r="AN196" s="46">
        <v>5.4917344000000003</v>
      </c>
      <c r="AO196" s="46">
        <v>75.791538200000005</v>
      </c>
      <c r="AP196" s="46">
        <v>14.317736099999999</v>
      </c>
      <c r="AQ196" s="46">
        <v>0.95264780000000004</v>
      </c>
      <c r="AR196" s="48">
        <f>AK196+AL196</f>
        <v>0.98066680000000006</v>
      </c>
      <c r="AS196" s="48">
        <f>AM196+AN196+AO196+AP196+AQ196</f>
        <v>99.019333200000005</v>
      </c>
    </row>
    <row r="197" spans="2:45" ht="15" hidden="1" customHeight="1" x14ac:dyDescent="0.25">
      <c r="B197" s="35">
        <v>191</v>
      </c>
      <c r="C197" s="36" t="s">
        <v>31</v>
      </c>
      <c r="D197" s="36" t="s">
        <v>66</v>
      </c>
      <c r="E197" s="36" t="s">
        <v>80</v>
      </c>
      <c r="F197" s="36" t="s">
        <v>88</v>
      </c>
      <c r="G197" s="37" t="s">
        <v>25</v>
      </c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40"/>
      <c r="AS197" s="40"/>
    </row>
    <row r="198" spans="2:45" ht="15" hidden="1" customHeight="1" x14ac:dyDescent="0.25">
      <c r="B198" s="35">
        <v>192</v>
      </c>
      <c r="C198" s="36" t="s">
        <v>31</v>
      </c>
      <c r="D198" s="36" t="s">
        <v>66</v>
      </c>
      <c r="E198" s="36" t="s">
        <v>80</v>
      </c>
      <c r="F198" s="36" t="s">
        <v>88</v>
      </c>
      <c r="G198" s="37" t="s">
        <v>26</v>
      </c>
      <c r="H198" s="38">
        <v>2790</v>
      </c>
      <c r="I198" s="38">
        <v>1</v>
      </c>
      <c r="J198" s="38">
        <v>3</v>
      </c>
      <c r="K198" s="38">
        <v>118</v>
      </c>
      <c r="L198" s="38">
        <v>815</v>
      </c>
      <c r="M198" s="38">
        <v>1581</v>
      </c>
      <c r="N198" s="38">
        <v>210</v>
      </c>
      <c r="O198" s="38">
        <v>62</v>
      </c>
      <c r="P198" s="38"/>
      <c r="Q198" s="38"/>
      <c r="R198" s="38">
        <v>3569</v>
      </c>
      <c r="S198" s="38">
        <v>27</v>
      </c>
      <c r="T198" s="38">
        <v>8</v>
      </c>
      <c r="U198" s="38">
        <v>88</v>
      </c>
      <c r="V198" s="38">
        <v>196</v>
      </c>
      <c r="W198" s="38">
        <v>2705</v>
      </c>
      <c r="X198" s="38">
        <v>511</v>
      </c>
      <c r="Y198" s="38">
        <v>34</v>
      </c>
      <c r="Z198" s="38"/>
      <c r="AA198" s="38"/>
      <c r="AB198" s="39">
        <v>3.5842300000000001E-2</v>
      </c>
      <c r="AC198" s="39">
        <v>0.10752689999999999</v>
      </c>
      <c r="AD198" s="39">
        <v>4.2293906999999997</v>
      </c>
      <c r="AE198" s="39">
        <v>29.2114695</v>
      </c>
      <c r="AF198" s="39">
        <v>56.6666667</v>
      </c>
      <c r="AG198" s="39">
        <v>7.5268816999999997</v>
      </c>
      <c r="AH198" s="39">
        <v>2.2222222</v>
      </c>
      <c r="AI198" s="39"/>
      <c r="AJ198" s="39"/>
      <c r="AK198" s="39">
        <v>0.75651440000000003</v>
      </c>
      <c r="AL198" s="39">
        <v>0.2241524</v>
      </c>
      <c r="AM198" s="39">
        <v>2.4656766999999999</v>
      </c>
      <c r="AN198" s="39">
        <v>5.4917344000000003</v>
      </c>
      <c r="AO198" s="39">
        <v>75.791538200000005</v>
      </c>
      <c r="AP198" s="39">
        <v>14.317736099999999</v>
      </c>
      <c r="AQ198" s="39">
        <v>0.95264780000000004</v>
      </c>
      <c r="AR198" s="40"/>
      <c r="AS198" s="40"/>
    </row>
    <row r="199" spans="2:45" ht="15" hidden="1" customHeight="1" x14ac:dyDescent="0.25">
      <c r="B199" s="30">
        <v>193</v>
      </c>
      <c r="C199" s="31" t="s">
        <v>29</v>
      </c>
      <c r="D199" s="50" t="s">
        <v>66</v>
      </c>
      <c r="E199" s="50" t="s">
        <v>89</v>
      </c>
      <c r="F199" s="50"/>
      <c r="G199" s="31" t="s">
        <v>89</v>
      </c>
      <c r="H199" s="32">
        <v>22099</v>
      </c>
      <c r="I199" s="32">
        <v>617</v>
      </c>
      <c r="J199" s="32">
        <v>231</v>
      </c>
      <c r="K199" s="32">
        <v>1821</v>
      </c>
      <c r="L199" s="32">
        <v>3680</v>
      </c>
      <c r="M199" s="32">
        <v>13510</v>
      </c>
      <c r="N199" s="32">
        <v>1852</v>
      </c>
      <c r="O199" s="32">
        <v>388</v>
      </c>
      <c r="P199" s="32"/>
      <c r="Q199" s="32"/>
      <c r="R199" s="32">
        <v>28325</v>
      </c>
      <c r="S199" s="32">
        <v>1356</v>
      </c>
      <c r="T199" s="32">
        <v>660</v>
      </c>
      <c r="U199" s="32">
        <v>1168</v>
      </c>
      <c r="V199" s="32">
        <v>1476</v>
      </c>
      <c r="W199" s="32">
        <v>20760</v>
      </c>
      <c r="X199" s="32">
        <v>2490</v>
      </c>
      <c r="Y199" s="32">
        <v>415</v>
      </c>
      <c r="Z199" s="32"/>
      <c r="AA199" s="32"/>
      <c r="AB199" s="33">
        <v>2.7919814999999999</v>
      </c>
      <c r="AC199" s="33">
        <v>1.0452961999999999</v>
      </c>
      <c r="AD199" s="33">
        <v>8.2401918999999992</v>
      </c>
      <c r="AE199" s="33">
        <v>16.652337200000002</v>
      </c>
      <c r="AF199" s="33">
        <v>61.133988000000002</v>
      </c>
      <c r="AG199" s="33">
        <v>8.3804697000000008</v>
      </c>
      <c r="AH199" s="33">
        <v>1.7557356</v>
      </c>
      <c r="AI199" s="33"/>
      <c r="AJ199" s="33"/>
      <c r="AK199" s="33">
        <v>4.7872903999999998</v>
      </c>
      <c r="AL199" s="33">
        <v>2.3300971000000001</v>
      </c>
      <c r="AM199" s="33">
        <v>4.1235657999999997</v>
      </c>
      <c r="AN199" s="33">
        <v>5.2109443999999998</v>
      </c>
      <c r="AO199" s="33">
        <v>73.292144699999994</v>
      </c>
      <c r="AP199" s="33">
        <v>8.7908208000000005</v>
      </c>
      <c r="AQ199" s="33">
        <v>1.4651368</v>
      </c>
      <c r="AR199" s="34"/>
      <c r="AS199" s="34"/>
    </row>
    <row r="200" spans="2:45" ht="15" hidden="1" customHeight="1" x14ac:dyDescent="0.25">
      <c r="B200" s="35">
        <v>194</v>
      </c>
      <c r="C200" s="36" t="s">
        <v>29</v>
      </c>
      <c r="D200" s="36" t="s">
        <v>66</v>
      </c>
      <c r="E200" s="36" t="s">
        <v>89</v>
      </c>
      <c r="F200" s="36"/>
      <c r="G200" s="37" t="s">
        <v>25</v>
      </c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40"/>
      <c r="AS200" s="40"/>
    </row>
    <row r="201" spans="2:45" ht="15" hidden="1" customHeight="1" x14ac:dyDescent="0.25">
      <c r="B201" s="35">
        <v>195</v>
      </c>
      <c r="C201" s="36" t="s">
        <v>29</v>
      </c>
      <c r="D201" s="36" t="s">
        <v>66</v>
      </c>
      <c r="E201" s="36" t="s">
        <v>89</v>
      </c>
      <c r="F201" s="36"/>
      <c r="G201" s="37" t="s">
        <v>26</v>
      </c>
      <c r="H201" s="38">
        <v>22099</v>
      </c>
      <c r="I201" s="38">
        <v>617</v>
      </c>
      <c r="J201" s="38">
        <v>231</v>
      </c>
      <c r="K201" s="38">
        <v>1821</v>
      </c>
      <c r="L201" s="38">
        <v>3680</v>
      </c>
      <c r="M201" s="38">
        <v>13510</v>
      </c>
      <c r="N201" s="38">
        <v>1852</v>
      </c>
      <c r="O201" s="38">
        <v>388</v>
      </c>
      <c r="P201" s="38"/>
      <c r="Q201" s="38"/>
      <c r="R201" s="38">
        <v>28325</v>
      </c>
      <c r="S201" s="38">
        <v>1356</v>
      </c>
      <c r="T201" s="38">
        <v>660</v>
      </c>
      <c r="U201" s="38">
        <v>1168</v>
      </c>
      <c r="V201" s="38">
        <v>1476</v>
      </c>
      <c r="W201" s="38">
        <v>20760</v>
      </c>
      <c r="X201" s="38">
        <v>2490</v>
      </c>
      <c r="Y201" s="38">
        <v>415</v>
      </c>
      <c r="Z201" s="38"/>
      <c r="AA201" s="38"/>
      <c r="AB201" s="39">
        <v>2.7919814999999999</v>
      </c>
      <c r="AC201" s="39">
        <v>1.0452961999999999</v>
      </c>
      <c r="AD201" s="39">
        <v>8.2401918999999992</v>
      </c>
      <c r="AE201" s="39">
        <v>16.652337200000002</v>
      </c>
      <c r="AF201" s="39">
        <v>61.133988000000002</v>
      </c>
      <c r="AG201" s="39">
        <v>8.3804697000000008</v>
      </c>
      <c r="AH201" s="39">
        <v>1.7557356</v>
      </c>
      <c r="AI201" s="39"/>
      <c r="AJ201" s="39"/>
      <c r="AK201" s="39">
        <v>4.7872903999999998</v>
      </c>
      <c r="AL201" s="39">
        <v>2.3300971000000001</v>
      </c>
      <c r="AM201" s="39">
        <v>4.1235657999999997</v>
      </c>
      <c r="AN201" s="39">
        <v>5.2109443999999998</v>
      </c>
      <c r="AO201" s="39">
        <v>73.292144699999994</v>
      </c>
      <c r="AP201" s="39">
        <v>8.7908208000000005</v>
      </c>
      <c r="AQ201" s="39">
        <v>1.4651368</v>
      </c>
      <c r="AR201" s="40"/>
      <c r="AS201" s="40"/>
    </row>
    <row r="202" spans="2:45" ht="15" customHeight="1" x14ac:dyDescent="0.25">
      <c r="B202" s="41">
        <v>196</v>
      </c>
      <c r="C202" s="42" t="s">
        <v>31</v>
      </c>
      <c r="D202" s="51" t="s">
        <v>66</v>
      </c>
      <c r="E202" s="51" t="s">
        <v>89</v>
      </c>
      <c r="F202" s="51" t="s">
        <v>90</v>
      </c>
      <c r="G202" s="52" t="s">
        <v>90</v>
      </c>
      <c r="H202" s="43">
        <v>5011</v>
      </c>
      <c r="I202" s="43">
        <v>405</v>
      </c>
      <c r="J202" s="43">
        <v>17</v>
      </c>
      <c r="K202" s="43">
        <v>428</v>
      </c>
      <c r="L202" s="43">
        <v>531</v>
      </c>
      <c r="M202" s="43">
        <v>3230</v>
      </c>
      <c r="N202" s="43">
        <v>347</v>
      </c>
      <c r="O202" s="43">
        <v>53</v>
      </c>
      <c r="P202" s="44">
        <f>K202+L202+M202+N202+O202</f>
        <v>4589</v>
      </c>
      <c r="Q202" s="44">
        <f>I202+J202</f>
        <v>422</v>
      </c>
      <c r="R202" s="43">
        <v>6604</v>
      </c>
      <c r="S202" s="43">
        <v>495</v>
      </c>
      <c r="T202" s="43">
        <v>40</v>
      </c>
      <c r="U202" s="43">
        <v>193</v>
      </c>
      <c r="V202" s="43">
        <v>170</v>
      </c>
      <c r="W202" s="43">
        <v>5018</v>
      </c>
      <c r="X202" s="43">
        <v>618</v>
      </c>
      <c r="Y202" s="43">
        <v>70</v>
      </c>
      <c r="Z202" s="45">
        <f>U202+V202+W202+X202+Y202</f>
        <v>6069</v>
      </c>
      <c r="AA202" s="45">
        <f t="shared" ref="AA202:AA203" si="20">S202+T202</f>
        <v>535</v>
      </c>
      <c r="AB202" s="46">
        <v>8.0822190999999997</v>
      </c>
      <c r="AC202" s="46">
        <v>0.33925359999999999</v>
      </c>
      <c r="AD202" s="46">
        <v>8.5412093000000002</v>
      </c>
      <c r="AE202" s="46">
        <v>10.596687299999999</v>
      </c>
      <c r="AF202" s="46">
        <v>64.458191999999997</v>
      </c>
      <c r="AG202" s="46">
        <v>6.9247655000000004</v>
      </c>
      <c r="AH202" s="46">
        <v>1.0576730999999999</v>
      </c>
      <c r="AI202" s="47">
        <f>AB202+AC202</f>
        <v>8.4214726999999989</v>
      </c>
      <c r="AJ202" s="47">
        <f>AD202+AE202+AF202+AG202+AH202</f>
        <v>91.578527200000011</v>
      </c>
      <c r="AK202" s="46">
        <v>7.4954573</v>
      </c>
      <c r="AL202" s="46">
        <v>0.6056935</v>
      </c>
      <c r="AM202" s="46">
        <v>2.9224711999999999</v>
      </c>
      <c r="AN202" s="46">
        <v>2.5741974999999999</v>
      </c>
      <c r="AO202" s="46">
        <v>75.984251999999998</v>
      </c>
      <c r="AP202" s="46">
        <v>9.3579649000000007</v>
      </c>
      <c r="AQ202" s="46">
        <v>1.0599637</v>
      </c>
      <c r="AR202" s="48">
        <f t="shared" ref="AR202:AR216" si="21">AK202+AL202</f>
        <v>8.1011507999999992</v>
      </c>
      <c r="AS202" s="48">
        <f>AM202+AN202+AO202+AP202+AQ202</f>
        <v>91.898849299999995</v>
      </c>
    </row>
    <row r="203" spans="2:45" ht="15" hidden="1" customHeight="1" x14ac:dyDescent="0.25">
      <c r="B203" s="35">
        <v>197</v>
      </c>
      <c r="C203" s="36" t="s">
        <v>31</v>
      </c>
      <c r="D203" s="36" t="s">
        <v>66</v>
      </c>
      <c r="E203" s="36" t="s">
        <v>89</v>
      </c>
      <c r="F203" s="36" t="s">
        <v>90</v>
      </c>
      <c r="G203" s="37" t="s">
        <v>25</v>
      </c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>
        <f t="shared" si="20"/>
        <v>0</v>
      </c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40">
        <f t="shared" si="21"/>
        <v>0</v>
      </c>
      <c r="AS203" s="40"/>
    </row>
    <row r="204" spans="2:45" ht="15" hidden="1" customHeight="1" x14ac:dyDescent="0.25">
      <c r="B204" s="35">
        <v>198</v>
      </c>
      <c r="C204" s="36" t="s">
        <v>31</v>
      </c>
      <c r="D204" s="36" t="s">
        <v>66</v>
      </c>
      <c r="E204" s="36" t="s">
        <v>89</v>
      </c>
      <c r="F204" s="36" t="s">
        <v>90</v>
      </c>
      <c r="G204" s="37" t="s">
        <v>26</v>
      </c>
      <c r="H204" s="38">
        <v>5011</v>
      </c>
      <c r="I204" s="38">
        <v>405</v>
      </c>
      <c r="J204" s="38">
        <v>17</v>
      </c>
      <c r="K204" s="38">
        <v>428</v>
      </c>
      <c r="L204" s="38">
        <v>531</v>
      </c>
      <c r="M204" s="38">
        <v>3230</v>
      </c>
      <c r="N204" s="38">
        <v>347</v>
      </c>
      <c r="O204" s="38">
        <v>53</v>
      </c>
      <c r="P204" s="38"/>
      <c r="Q204" s="38">
        <f t="shared" ref="Q204:Q205" si="22">I204+J204</f>
        <v>422</v>
      </c>
      <c r="R204" s="38">
        <v>6604</v>
      </c>
      <c r="S204" s="38">
        <v>495</v>
      </c>
      <c r="T204" s="38">
        <v>40</v>
      </c>
      <c r="U204" s="38">
        <v>193</v>
      </c>
      <c r="V204" s="38">
        <v>170</v>
      </c>
      <c r="W204" s="38">
        <v>5018</v>
      </c>
      <c r="X204" s="38">
        <v>618</v>
      </c>
      <c r="Y204" s="38">
        <v>70</v>
      </c>
      <c r="Z204" s="38"/>
      <c r="AA204" s="38"/>
      <c r="AB204" s="39">
        <v>8.0822190999999997</v>
      </c>
      <c r="AC204" s="39">
        <v>0.33925359999999999</v>
      </c>
      <c r="AD204" s="39">
        <v>8.5412093000000002</v>
      </c>
      <c r="AE204" s="39">
        <v>10.596687299999999</v>
      </c>
      <c r="AF204" s="39">
        <v>64.458191999999997</v>
      </c>
      <c r="AG204" s="39">
        <v>6.9247655000000004</v>
      </c>
      <c r="AH204" s="39">
        <v>1.0576730999999999</v>
      </c>
      <c r="AI204" s="39"/>
      <c r="AJ204" s="39"/>
      <c r="AK204" s="39">
        <v>7.4954573</v>
      </c>
      <c r="AL204" s="39">
        <v>0.6056935</v>
      </c>
      <c r="AM204" s="39">
        <v>2.9224711999999999</v>
      </c>
      <c r="AN204" s="39">
        <v>2.5741974999999999</v>
      </c>
      <c r="AO204" s="39">
        <v>75.984251999999998</v>
      </c>
      <c r="AP204" s="39">
        <v>9.3579649000000007</v>
      </c>
      <c r="AQ204" s="39">
        <v>1.0599637</v>
      </c>
      <c r="AR204" s="40">
        <f t="shared" si="21"/>
        <v>8.1011507999999992</v>
      </c>
      <c r="AS204" s="40"/>
    </row>
    <row r="205" spans="2:45" ht="15" customHeight="1" x14ac:dyDescent="0.25">
      <c r="B205" s="41">
        <v>199</v>
      </c>
      <c r="C205" s="42" t="s">
        <v>31</v>
      </c>
      <c r="D205" s="51" t="s">
        <v>66</v>
      </c>
      <c r="E205" s="51" t="s">
        <v>89</v>
      </c>
      <c r="F205" s="51" t="s">
        <v>91</v>
      </c>
      <c r="G205" s="52" t="s">
        <v>91</v>
      </c>
      <c r="H205" s="43">
        <v>6606</v>
      </c>
      <c r="I205" s="43">
        <v>58</v>
      </c>
      <c r="J205" s="43">
        <v>4</v>
      </c>
      <c r="K205" s="43">
        <v>473</v>
      </c>
      <c r="L205" s="43">
        <v>1275</v>
      </c>
      <c r="M205" s="43">
        <v>3981</v>
      </c>
      <c r="N205" s="43">
        <v>677</v>
      </c>
      <c r="O205" s="43">
        <v>138</v>
      </c>
      <c r="P205" s="44">
        <f>K205+L205+M205+N205+O205</f>
        <v>6544</v>
      </c>
      <c r="Q205" s="44">
        <f t="shared" si="22"/>
        <v>62</v>
      </c>
      <c r="R205" s="43">
        <v>8013</v>
      </c>
      <c r="S205" s="43">
        <v>365</v>
      </c>
      <c r="T205" s="43">
        <v>17</v>
      </c>
      <c r="U205" s="43">
        <v>359</v>
      </c>
      <c r="V205" s="43">
        <v>528</v>
      </c>
      <c r="W205" s="43">
        <v>5628</v>
      </c>
      <c r="X205" s="43">
        <v>939</v>
      </c>
      <c r="Y205" s="43">
        <v>177</v>
      </c>
      <c r="Z205" s="45">
        <f>U205+V205+W205+X205+Y205</f>
        <v>7631</v>
      </c>
      <c r="AA205" s="45">
        <f t="shared" ref="AA205:AA206" si="23">S205+T205</f>
        <v>382</v>
      </c>
      <c r="AB205" s="46">
        <v>0.87798969999999998</v>
      </c>
      <c r="AC205" s="46">
        <v>6.0551000000000001E-2</v>
      </c>
      <c r="AD205" s="46">
        <v>7.1601574000000001</v>
      </c>
      <c r="AE205" s="46">
        <v>19.300635799999998</v>
      </c>
      <c r="AF205" s="46">
        <v>60.263396899999996</v>
      </c>
      <c r="AG205" s="46">
        <v>10.2482592</v>
      </c>
      <c r="AH205" s="46">
        <v>2.08901</v>
      </c>
      <c r="AI205" s="47">
        <f>AB205+AC205</f>
        <v>0.93854070000000001</v>
      </c>
      <c r="AJ205" s="47">
        <f>AD205+AE205+AF205+AG205+AH205</f>
        <v>99.061459299999996</v>
      </c>
      <c r="AK205" s="46">
        <v>4.5550980000000001</v>
      </c>
      <c r="AL205" s="46">
        <v>0.21215519999999999</v>
      </c>
      <c r="AM205" s="46">
        <v>4.4802195999999999</v>
      </c>
      <c r="AN205" s="46">
        <v>6.5892923999999997</v>
      </c>
      <c r="AO205" s="46">
        <v>70.235866700000003</v>
      </c>
      <c r="AP205" s="46">
        <v>11.7184575</v>
      </c>
      <c r="AQ205" s="46">
        <v>2.2089105</v>
      </c>
      <c r="AR205" s="48">
        <f t="shared" si="21"/>
        <v>4.7672531999999999</v>
      </c>
      <c r="AS205" s="48">
        <f>AM205+AN205+AO205+AP205+AQ205</f>
        <v>95.232746700000007</v>
      </c>
    </row>
    <row r="206" spans="2:45" ht="15" hidden="1" customHeight="1" x14ac:dyDescent="0.25">
      <c r="B206" s="35">
        <v>200</v>
      </c>
      <c r="C206" s="36" t="s">
        <v>31</v>
      </c>
      <c r="D206" s="36" t="s">
        <v>66</v>
      </c>
      <c r="E206" s="36" t="s">
        <v>89</v>
      </c>
      <c r="F206" s="36" t="s">
        <v>91</v>
      </c>
      <c r="G206" s="37" t="s">
        <v>25</v>
      </c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>
        <f t="shared" si="23"/>
        <v>0</v>
      </c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40">
        <f t="shared" si="21"/>
        <v>0</v>
      </c>
      <c r="AS206" s="40"/>
    </row>
    <row r="207" spans="2:45" ht="15" hidden="1" customHeight="1" x14ac:dyDescent="0.25">
      <c r="B207" s="35">
        <v>201</v>
      </c>
      <c r="C207" s="36" t="s">
        <v>31</v>
      </c>
      <c r="D207" s="36" t="s">
        <v>66</v>
      </c>
      <c r="E207" s="36" t="s">
        <v>89</v>
      </c>
      <c r="F207" s="36" t="s">
        <v>91</v>
      </c>
      <c r="G207" s="37" t="s">
        <v>26</v>
      </c>
      <c r="H207" s="38">
        <v>6606</v>
      </c>
      <c r="I207" s="38">
        <v>58</v>
      </c>
      <c r="J207" s="38">
        <v>4</v>
      </c>
      <c r="K207" s="38">
        <v>473</v>
      </c>
      <c r="L207" s="38">
        <v>1275</v>
      </c>
      <c r="M207" s="38">
        <v>3981</v>
      </c>
      <c r="N207" s="38">
        <v>677</v>
      </c>
      <c r="O207" s="38">
        <v>138</v>
      </c>
      <c r="P207" s="38"/>
      <c r="Q207" s="38">
        <f t="shared" ref="Q207:Q208" si="24">I207+J207</f>
        <v>62</v>
      </c>
      <c r="R207" s="38">
        <v>8013</v>
      </c>
      <c r="S207" s="38">
        <v>365</v>
      </c>
      <c r="T207" s="38">
        <v>17</v>
      </c>
      <c r="U207" s="38">
        <v>359</v>
      </c>
      <c r="V207" s="38">
        <v>528</v>
      </c>
      <c r="W207" s="38">
        <v>5628</v>
      </c>
      <c r="X207" s="38">
        <v>939</v>
      </c>
      <c r="Y207" s="38">
        <v>177</v>
      </c>
      <c r="Z207" s="38"/>
      <c r="AA207" s="38"/>
      <c r="AB207" s="39">
        <v>0.87798969999999998</v>
      </c>
      <c r="AC207" s="39">
        <v>6.0551000000000001E-2</v>
      </c>
      <c r="AD207" s="39">
        <v>7.1601574000000001</v>
      </c>
      <c r="AE207" s="39">
        <v>19.300635799999998</v>
      </c>
      <c r="AF207" s="39">
        <v>60.263396899999996</v>
      </c>
      <c r="AG207" s="39">
        <v>10.2482592</v>
      </c>
      <c r="AH207" s="39">
        <v>2.08901</v>
      </c>
      <c r="AI207" s="39"/>
      <c r="AJ207" s="39"/>
      <c r="AK207" s="39">
        <v>4.5550980000000001</v>
      </c>
      <c r="AL207" s="39">
        <v>0.21215519999999999</v>
      </c>
      <c r="AM207" s="39">
        <v>4.4802195999999999</v>
      </c>
      <c r="AN207" s="39">
        <v>6.5892923999999997</v>
      </c>
      <c r="AO207" s="39">
        <v>70.235866700000003</v>
      </c>
      <c r="AP207" s="39">
        <v>11.7184575</v>
      </c>
      <c r="AQ207" s="39">
        <v>2.2089105</v>
      </c>
      <c r="AR207" s="40">
        <f t="shared" si="21"/>
        <v>4.7672531999999999</v>
      </c>
      <c r="AS207" s="40"/>
    </row>
    <row r="208" spans="2:45" ht="15" customHeight="1" x14ac:dyDescent="0.25">
      <c r="B208" s="41">
        <v>202</v>
      </c>
      <c r="C208" s="42" t="s">
        <v>31</v>
      </c>
      <c r="D208" s="51" t="s">
        <v>66</v>
      </c>
      <c r="E208" s="51" t="s">
        <v>89</v>
      </c>
      <c r="F208" s="51" t="s">
        <v>92</v>
      </c>
      <c r="G208" s="52" t="s">
        <v>92</v>
      </c>
      <c r="H208" s="43">
        <v>5347</v>
      </c>
      <c r="I208" s="43">
        <v>64</v>
      </c>
      <c r="J208" s="43">
        <v>8</v>
      </c>
      <c r="K208" s="43">
        <v>511</v>
      </c>
      <c r="L208" s="43">
        <v>1257</v>
      </c>
      <c r="M208" s="43">
        <v>3098</v>
      </c>
      <c r="N208" s="43">
        <v>338</v>
      </c>
      <c r="O208" s="43">
        <v>71</v>
      </c>
      <c r="P208" s="44">
        <f>K208+L208+M208+N208+O208</f>
        <v>5275</v>
      </c>
      <c r="Q208" s="44">
        <f t="shared" si="24"/>
        <v>72</v>
      </c>
      <c r="R208" s="43">
        <v>7065</v>
      </c>
      <c r="S208" s="43">
        <v>249</v>
      </c>
      <c r="T208" s="43">
        <v>44</v>
      </c>
      <c r="U208" s="43">
        <v>184</v>
      </c>
      <c r="V208" s="43">
        <v>585</v>
      </c>
      <c r="W208" s="43">
        <v>5394</v>
      </c>
      <c r="X208" s="43">
        <v>514</v>
      </c>
      <c r="Y208" s="43">
        <v>95</v>
      </c>
      <c r="Z208" s="45">
        <f>U208+V208+W208+X208+Y208</f>
        <v>6772</v>
      </c>
      <c r="AA208" s="45">
        <f t="shared" ref="AA208:AA209" si="25">S208+T208</f>
        <v>293</v>
      </c>
      <c r="AB208" s="46">
        <v>1.1969329</v>
      </c>
      <c r="AC208" s="46">
        <v>0.14961659999999999</v>
      </c>
      <c r="AD208" s="46">
        <v>9.5567607999999993</v>
      </c>
      <c r="AE208" s="46">
        <v>23.508509400000001</v>
      </c>
      <c r="AF208" s="46">
        <v>57.939031200000002</v>
      </c>
      <c r="AG208" s="46">
        <v>6.3213017000000002</v>
      </c>
      <c r="AH208" s="46">
        <v>1.3278474</v>
      </c>
      <c r="AI208" s="47">
        <f>AB208+AC208</f>
        <v>1.3465495000000001</v>
      </c>
      <c r="AJ208" s="47">
        <f>AD208+AE208+AF208+AG208+AH208</f>
        <v>98.653450500000005</v>
      </c>
      <c r="AK208" s="46">
        <v>3.5244160999999998</v>
      </c>
      <c r="AL208" s="46">
        <v>0.62278840000000002</v>
      </c>
      <c r="AM208" s="46">
        <v>2.6043878</v>
      </c>
      <c r="AN208" s="46">
        <v>8.2802547999999998</v>
      </c>
      <c r="AO208" s="46">
        <v>76.3481953</v>
      </c>
      <c r="AP208" s="46">
        <v>7.2753008000000001</v>
      </c>
      <c r="AQ208" s="46">
        <v>1.3446568000000001</v>
      </c>
      <c r="AR208" s="48">
        <f t="shared" si="21"/>
        <v>4.1472045</v>
      </c>
      <c r="AS208" s="48">
        <f>AM208+AN208+AO208+AP208+AQ208</f>
        <v>95.852795499999985</v>
      </c>
    </row>
    <row r="209" spans="2:45" ht="15" hidden="1" customHeight="1" x14ac:dyDescent="0.25">
      <c r="B209" s="35">
        <v>203</v>
      </c>
      <c r="C209" s="36" t="s">
        <v>31</v>
      </c>
      <c r="D209" s="36" t="s">
        <v>66</v>
      </c>
      <c r="E209" s="36" t="s">
        <v>89</v>
      </c>
      <c r="F209" s="36" t="s">
        <v>92</v>
      </c>
      <c r="G209" s="37" t="s">
        <v>25</v>
      </c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>
        <f t="shared" si="25"/>
        <v>0</v>
      </c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40">
        <f t="shared" si="21"/>
        <v>0</v>
      </c>
      <c r="AS209" s="40"/>
    </row>
    <row r="210" spans="2:45" ht="15" hidden="1" customHeight="1" x14ac:dyDescent="0.25">
      <c r="B210" s="35">
        <v>204</v>
      </c>
      <c r="C210" s="36" t="s">
        <v>31</v>
      </c>
      <c r="D210" s="36" t="s">
        <v>66</v>
      </c>
      <c r="E210" s="36" t="s">
        <v>89</v>
      </c>
      <c r="F210" s="36" t="s">
        <v>92</v>
      </c>
      <c r="G210" s="37" t="s">
        <v>26</v>
      </c>
      <c r="H210" s="38">
        <v>5347</v>
      </c>
      <c r="I210" s="38">
        <v>64</v>
      </c>
      <c r="J210" s="38">
        <v>8</v>
      </c>
      <c r="K210" s="38">
        <v>511</v>
      </c>
      <c r="L210" s="38">
        <v>1257</v>
      </c>
      <c r="M210" s="38">
        <v>3098</v>
      </c>
      <c r="N210" s="38">
        <v>338</v>
      </c>
      <c r="O210" s="38">
        <v>71</v>
      </c>
      <c r="P210" s="38"/>
      <c r="Q210" s="38">
        <f t="shared" ref="Q210:Q211" si="26">I210+J210</f>
        <v>72</v>
      </c>
      <c r="R210" s="38">
        <v>7065</v>
      </c>
      <c r="S210" s="38">
        <v>249</v>
      </c>
      <c r="T210" s="38">
        <v>44</v>
      </c>
      <c r="U210" s="38">
        <v>184</v>
      </c>
      <c r="V210" s="38">
        <v>585</v>
      </c>
      <c r="W210" s="38">
        <v>5394</v>
      </c>
      <c r="X210" s="38">
        <v>514</v>
      </c>
      <c r="Y210" s="38">
        <v>95</v>
      </c>
      <c r="Z210" s="38"/>
      <c r="AA210" s="38"/>
      <c r="AB210" s="39">
        <v>1.1969329</v>
      </c>
      <c r="AC210" s="39">
        <v>0.14961659999999999</v>
      </c>
      <c r="AD210" s="39">
        <v>9.5567607999999993</v>
      </c>
      <c r="AE210" s="39">
        <v>23.508509400000001</v>
      </c>
      <c r="AF210" s="39">
        <v>57.939031200000002</v>
      </c>
      <c r="AG210" s="39">
        <v>6.3213017000000002</v>
      </c>
      <c r="AH210" s="39">
        <v>1.3278474</v>
      </c>
      <c r="AI210" s="39"/>
      <c r="AJ210" s="39"/>
      <c r="AK210" s="39">
        <v>3.5244160999999998</v>
      </c>
      <c r="AL210" s="39">
        <v>0.62278840000000002</v>
      </c>
      <c r="AM210" s="39">
        <v>2.6043878</v>
      </c>
      <c r="AN210" s="39">
        <v>8.2802547999999998</v>
      </c>
      <c r="AO210" s="39">
        <v>76.3481953</v>
      </c>
      <c r="AP210" s="39">
        <v>7.2753008000000001</v>
      </c>
      <c r="AQ210" s="39">
        <v>1.3446568000000001</v>
      </c>
      <c r="AR210" s="40">
        <f t="shared" si="21"/>
        <v>4.1472045</v>
      </c>
      <c r="AS210" s="40"/>
    </row>
    <row r="211" spans="2:45" ht="15" customHeight="1" x14ac:dyDescent="0.25">
      <c r="B211" s="41">
        <v>205</v>
      </c>
      <c r="C211" s="42" t="s">
        <v>31</v>
      </c>
      <c r="D211" s="51" t="s">
        <v>66</v>
      </c>
      <c r="E211" s="51" t="s">
        <v>89</v>
      </c>
      <c r="F211" s="51" t="s">
        <v>93</v>
      </c>
      <c r="G211" s="52" t="s">
        <v>93</v>
      </c>
      <c r="H211" s="43">
        <v>2108</v>
      </c>
      <c r="I211" s="43">
        <v>44</v>
      </c>
      <c r="J211" s="43">
        <v>3</v>
      </c>
      <c r="K211" s="43">
        <v>56</v>
      </c>
      <c r="L211" s="43">
        <v>214</v>
      </c>
      <c r="M211" s="43">
        <v>1495</v>
      </c>
      <c r="N211" s="43">
        <v>246</v>
      </c>
      <c r="O211" s="43">
        <v>50</v>
      </c>
      <c r="P211" s="44">
        <f>K211+L211+M211+N211+O211</f>
        <v>2061</v>
      </c>
      <c r="Q211" s="44">
        <f t="shared" si="26"/>
        <v>47</v>
      </c>
      <c r="R211" s="43">
        <v>2527</v>
      </c>
      <c r="S211" s="43">
        <v>88</v>
      </c>
      <c r="T211" s="43">
        <v>7</v>
      </c>
      <c r="U211" s="43">
        <v>52</v>
      </c>
      <c r="V211" s="43">
        <v>69</v>
      </c>
      <c r="W211" s="43">
        <v>2110</v>
      </c>
      <c r="X211" s="43">
        <v>190</v>
      </c>
      <c r="Y211" s="43">
        <v>11</v>
      </c>
      <c r="Z211" s="45">
        <f>U211+V211+W211+X211+Y211</f>
        <v>2432</v>
      </c>
      <c r="AA211" s="45">
        <f t="shared" ref="AA211:AA212" si="27">S211+T211</f>
        <v>95</v>
      </c>
      <c r="AB211" s="46">
        <v>2.0872864999999998</v>
      </c>
      <c r="AC211" s="46">
        <v>0.142315</v>
      </c>
      <c r="AD211" s="46">
        <v>2.6565465000000001</v>
      </c>
      <c r="AE211" s="46">
        <v>10.151802699999999</v>
      </c>
      <c r="AF211" s="46">
        <v>70.920303599999997</v>
      </c>
      <c r="AG211" s="46">
        <v>11.669829200000001</v>
      </c>
      <c r="AH211" s="46">
        <v>2.3719165000000002</v>
      </c>
      <c r="AI211" s="47">
        <f>AB211+AC211</f>
        <v>2.2296014999999998</v>
      </c>
      <c r="AJ211" s="47">
        <f>AD211+AE211+AF211+AG211+AH211</f>
        <v>97.770398499999985</v>
      </c>
      <c r="AK211" s="46">
        <v>3.4823902000000002</v>
      </c>
      <c r="AL211" s="46">
        <v>0.27700829999999999</v>
      </c>
      <c r="AM211" s="46">
        <v>2.057776</v>
      </c>
      <c r="AN211" s="46">
        <v>2.7305104999999998</v>
      </c>
      <c r="AO211" s="46">
        <v>83.498219199999994</v>
      </c>
      <c r="AP211" s="46">
        <v>7.5187970000000002</v>
      </c>
      <c r="AQ211" s="46">
        <v>0.43529879999999999</v>
      </c>
      <c r="AR211" s="48">
        <f t="shared" si="21"/>
        <v>3.7593985000000001</v>
      </c>
      <c r="AS211" s="48">
        <f>AM211+AN211+AO211+AP211+AQ211</f>
        <v>96.240601499999997</v>
      </c>
    </row>
    <row r="212" spans="2:45" ht="15" hidden="1" customHeight="1" x14ac:dyDescent="0.25">
      <c r="B212" s="35">
        <v>206</v>
      </c>
      <c r="C212" s="36" t="s">
        <v>31</v>
      </c>
      <c r="D212" s="36" t="s">
        <v>66</v>
      </c>
      <c r="E212" s="36" t="s">
        <v>89</v>
      </c>
      <c r="F212" s="36" t="s">
        <v>93</v>
      </c>
      <c r="G212" s="37" t="s">
        <v>25</v>
      </c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>
        <f t="shared" si="27"/>
        <v>0</v>
      </c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40">
        <f t="shared" si="21"/>
        <v>0</v>
      </c>
      <c r="AS212" s="40"/>
    </row>
    <row r="213" spans="2:45" ht="15" hidden="1" customHeight="1" x14ac:dyDescent="0.25">
      <c r="B213" s="35">
        <v>207</v>
      </c>
      <c r="C213" s="36" t="s">
        <v>31</v>
      </c>
      <c r="D213" s="36" t="s">
        <v>66</v>
      </c>
      <c r="E213" s="36" t="s">
        <v>89</v>
      </c>
      <c r="F213" s="36" t="s">
        <v>93</v>
      </c>
      <c r="G213" s="37" t="s">
        <v>26</v>
      </c>
      <c r="H213" s="38">
        <v>2108</v>
      </c>
      <c r="I213" s="38">
        <v>44</v>
      </c>
      <c r="J213" s="38">
        <v>3</v>
      </c>
      <c r="K213" s="38">
        <v>56</v>
      </c>
      <c r="L213" s="38">
        <v>214</v>
      </c>
      <c r="M213" s="38">
        <v>1495</v>
      </c>
      <c r="N213" s="38">
        <v>246</v>
      </c>
      <c r="O213" s="38">
        <v>50</v>
      </c>
      <c r="P213" s="38"/>
      <c r="Q213" s="38">
        <f t="shared" ref="Q213:Q214" si="28">I213+J213</f>
        <v>47</v>
      </c>
      <c r="R213" s="38">
        <v>2527</v>
      </c>
      <c r="S213" s="38">
        <v>88</v>
      </c>
      <c r="T213" s="38">
        <v>7</v>
      </c>
      <c r="U213" s="38">
        <v>52</v>
      </c>
      <c r="V213" s="38">
        <v>69</v>
      </c>
      <c r="W213" s="38">
        <v>2110</v>
      </c>
      <c r="X213" s="38">
        <v>190</v>
      </c>
      <c r="Y213" s="38">
        <v>11</v>
      </c>
      <c r="Z213" s="38"/>
      <c r="AA213" s="38"/>
      <c r="AB213" s="39">
        <v>2.0872864999999998</v>
      </c>
      <c r="AC213" s="39">
        <v>0.142315</v>
      </c>
      <c r="AD213" s="39">
        <v>2.6565465000000001</v>
      </c>
      <c r="AE213" s="39">
        <v>10.151802699999999</v>
      </c>
      <c r="AF213" s="39">
        <v>70.920303599999997</v>
      </c>
      <c r="AG213" s="39">
        <v>11.669829200000001</v>
      </c>
      <c r="AH213" s="39">
        <v>2.3719165000000002</v>
      </c>
      <c r="AI213" s="39"/>
      <c r="AJ213" s="39"/>
      <c r="AK213" s="39">
        <v>3.4823902000000002</v>
      </c>
      <c r="AL213" s="39">
        <v>0.27700829999999999</v>
      </c>
      <c r="AM213" s="39">
        <v>2.057776</v>
      </c>
      <c r="AN213" s="39">
        <v>2.7305104999999998</v>
      </c>
      <c r="AO213" s="39">
        <v>83.498219199999994</v>
      </c>
      <c r="AP213" s="39">
        <v>7.5187970000000002</v>
      </c>
      <c r="AQ213" s="39">
        <v>0.43529879999999999</v>
      </c>
      <c r="AR213" s="40">
        <f t="shared" si="21"/>
        <v>3.7593985000000001</v>
      </c>
      <c r="AS213" s="40"/>
    </row>
    <row r="214" spans="2:45" ht="15" customHeight="1" x14ac:dyDescent="0.25">
      <c r="B214" s="41">
        <v>208</v>
      </c>
      <c r="C214" s="42" t="s">
        <v>31</v>
      </c>
      <c r="D214" s="51" t="s">
        <v>66</v>
      </c>
      <c r="E214" s="51" t="s">
        <v>89</v>
      </c>
      <c r="F214" s="51" t="s">
        <v>94</v>
      </c>
      <c r="G214" s="52" t="s">
        <v>94</v>
      </c>
      <c r="H214" s="43">
        <v>3027</v>
      </c>
      <c r="I214" s="43">
        <v>46</v>
      </c>
      <c r="J214" s="43">
        <v>199</v>
      </c>
      <c r="K214" s="43">
        <v>353</v>
      </c>
      <c r="L214" s="43">
        <v>403</v>
      </c>
      <c r="M214" s="43">
        <v>1706</v>
      </c>
      <c r="N214" s="43">
        <v>244</v>
      </c>
      <c r="O214" s="43">
        <v>76</v>
      </c>
      <c r="P214" s="44">
        <f>K214+L214+M214+N214+O214</f>
        <v>2782</v>
      </c>
      <c r="Q214" s="44">
        <f t="shared" si="28"/>
        <v>245</v>
      </c>
      <c r="R214" s="43">
        <v>4116</v>
      </c>
      <c r="S214" s="43">
        <v>159</v>
      </c>
      <c r="T214" s="43">
        <v>552</v>
      </c>
      <c r="U214" s="43">
        <v>380</v>
      </c>
      <c r="V214" s="43">
        <v>124</v>
      </c>
      <c r="W214" s="43">
        <v>2610</v>
      </c>
      <c r="X214" s="43">
        <v>229</v>
      </c>
      <c r="Y214" s="43">
        <v>62</v>
      </c>
      <c r="Z214" s="45">
        <f>U214+V214+W214+X214+Y214</f>
        <v>3405</v>
      </c>
      <c r="AA214" s="45">
        <f t="shared" ref="AA214:AA215" si="29">S214+T214</f>
        <v>711</v>
      </c>
      <c r="AB214" s="46">
        <v>1.5196563999999999</v>
      </c>
      <c r="AC214" s="46">
        <v>6.5741658000000003</v>
      </c>
      <c r="AD214" s="46">
        <v>11.6617113</v>
      </c>
      <c r="AE214" s="46">
        <v>13.313511699999999</v>
      </c>
      <c r="AF214" s="46">
        <v>56.359431800000003</v>
      </c>
      <c r="AG214" s="46">
        <v>8.0607863000000002</v>
      </c>
      <c r="AH214" s="46">
        <v>2.5107366999999998</v>
      </c>
      <c r="AI214" s="47">
        <f>AB214+AC214</f>
        <v>8.0938222</v>
      </c>
      <c r="AJ214" s="47">
        <f>AD214+AE214+AF214+AG214+AH214</f>
        <v>91.906177800000009</v>
      </c>
      <c r="AK214" s="46">
        <v>3.8629737999999998</v>
      </c>
      <c r="AL214" s="46">
        <v>13.411078699999999</v>
      </c>
      <c r="AM214" s="46">
        <v>9.2322643000000006</v>
      </c>
      <c r="AN214" s="46">
        <v>3.0126336</v>
      </c>
      <c r="AO214" s="46">
        <v>63.411078699999997</v>
      </c>
      <c r="AP214" s="46">
        <v>5.5636539999999997</v>
      </c>
      <c r="AQ214" s="46">
        <v>1.5063168</v>
      </c>
      <c r="AR214" s="48">
        <f t="shared" si="21"/>
        <v>17.2740525</v>
      </c>
      <c r="AS214" s="48">
        <f>AM214+AN214+AO214+AP214+AQ214</f>
        <v>82.725947399999995</v>
      </c>
    </row>
    <row r="215" spans="2:45" ht="15" hidden="1" customHeight="1" x14ac:dyDescent="0.25">
      <c r="B215" s="35">
        <v>209</v>
      </c>
      <c r="C215" s="36" t="s">
        <v>31</v>
      </c>
      <c r="D215" s="36" t="s">
        <v>66</v>
      </c>
      <c r="E215" s="36" t="s">
        <v>89</v>
      </c>
      <c r="F215" s="36" t="s">
        <v>94</v>
      </c>
      <c r="G215" s="37" t="s">
        <v>25</v>
      </c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>
        <f t="shared" si="29"/>
        <v>0</v>
      </c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40">
        <f t="shared" si="21"/>
        <v>0</v>
      </c>
      <c r="AS215" s="40"/>
    </row>
    <row r="216" spans="2:45" ht="15" hidden="1" customHeight="1" x14ac:dyDescent="0.25">
      <c r="B216" s="35">
        <v>210</v>
      </c>
      <c r="C216" s="36" t="s">
        <v>31</v>
      </c>
      <c r="D216" s="36" t="s">
        <v>66</v>
      </c>
      <c r="E216" s="36" t="s">
        <v>89</v>
      </c>
      <c r="F216" s="36" t="s">
        <v>94</v>
      </c>
      <c r="G216" s="37" t="s">
        <v>26</v>
      </c>
      <c r="H216" s="38">
        <v>3027</v>
      </c>
      <c r="I216" s="38">
        <v>46</v>
      </c>
      <c r="J216" s="38">
        <v>199</v>
      </c>
      <c r="K216" s="38">
        <v>353</v>
      </c>
      <c r="L216" s="38">
        <v>403</v>
      </c>
      <c r="M216" s="38">
        <v>1706</v>
      </c>
      <c r="N216" s="38">
        <v>244</v>
      </c>
      <c r="O216" s="38">
        <v>76</v>
      </c>
      <c r="P216" s="38"/>
      <c r="Q216" s="38">
        <f>I216+J216</f>
        <v>245</v>
      </c>
      <c r="R216" s="38">
        <v>4116</v>
      </c>
      <c r="S216" s="38">
        <v>159</v>
      </c>
      <c r="T216" s="38">
        <v>552</v>
      </c>
      <c r="U216" s="38">
        <v>380</v>
      </c>
      <c r="V216" s="38">
        <v>124</v>
      </c>
      <c r="W216" s="38">
        <v>2610</v>
      </c>
      <c r="X216" s="38">
        <v>229</v>
      </c>
      <c r="Y216" s="38">
        <v>62</v>
      </c>
      <c r="Z216" s="38"/>
      <c r="AA216" s="38"/>
      <c r="AB216" s="39">
        <v>1.5196563999999999</v>
      </c>
      <c r="AC216" s="39">
        <v>6.5741658000000003</v>
      </c>
      <c r="AD216" s="39">
        <v>11.6617113</v>
      </c>
      <c r="AE216" s="39">
        <v>13.313511699999999</v>
      </c>
      <c r="AF216" s="39">
        <v>56.359431800000003</v>
      </c>
      <c r="AG216" s="39">
        <v>8.0607863000000002</v>
      </c>
      <c r="AH216" s="39">
        <v>2.5107366999999998</v>
      </c>
      <c r="AI216" s="39"/>
      <c r="AJ216" s="39"/>
      <c r="AK216" s="39">
        <v>3.8629737999999998</v>
      </c>
      <c r="AL216" s="39">
        <v>13.411078699999999</v>
      </c>
      <c r="AM216" s="39">
        <v>9.2322643000000006</v>
      </c>
      <c r="AN216" s="39">
        <v>3.0126336</v>
      </c>
      <c r="AO216" s="39">
        <v>63.411078699999997</v>
      </c>
      <c r="AP216" s="39">
        <v>5.5636539999999997</v>
      </c>
      <c r="AQ216" s="39">
        <v>1.5063168</v>
      </c>
      <c r="AR216" s="40">
        <f t="shared" si="21"/>
        <v>17.2740525</v>
      </c>
      <c r="AS216" s="40"/>
    </row>
    <row r="217" spans="2:45" ht="15" hidden="1" customHeight="1" x14ac:dyDescent="0.25">
      <c r="B217" s="30">
        <v>211</v>
      </c>
      <c r="C217" s="31" t="s">
        <v>29</v>
      </c>
      <c r="D217" s="50" t="s">
        <v>66</v>
      </c>
      <c r="E217" s="50" t="s">
        <v>95</v>
      </c>
      <c r="F217" s="50"/>
      <c r="G217" s="31" t="s">
        <v>95</v>
      </c>
      <c r="H217" s="32">
        <v>8623</v>
      </c>
      <c r="I217" s="32">
        <v>128</v>
      </c>
      <c r="J217" s="32">
        <v>24</v>
      </c>
      <c r="K217" s="32">
        <v>1493</v>
      </c>
      <c r="L217" s="32">
        <v>1834</v>
      </c>
      <c r="M217" s="32">
        <v>4281</v>
      </c>
      <c r="N217" s="32">
        <v>609</v>
      </c>
      <c r="O217" s="32">
        <v>254</v>
      </c>
      <c r="P217" s="32"/>
      <c r="Q217" s="32"/>
      <c r="R217" s="32">
        <v>12382</v>
      </c>
      <c r="S217" s="32">
        <v>690</v>
      </c>
      <c r="T217" s="32">
        <v>97</v>
      </c>
      <c r="U217" s="32">
        <v>1068</v>
      </c>
      <c r="V217" s="32">
        <v>1020</v>
      </c>
      <c r="W217" s="32">
        <v>8275</v>
      </c>
      <c r="X217" s="32">
        <v>977</v>
      </c>
      <c r="Y217" s="32">
        <v>255</v>
      </c>
      <c r="Z217" s="32"/>
      <c r="AA217" s="32"/>
      <c r="AB217" s="33">
        <v>1.4844021999999999</v>
      </c>
      <c r="AC217" s="33">
        <v>0.2783254</v>
      </c>
      <c r="AD217" s="33">
        <v>17.314159799999999</v>
      </c>
      <c r="AE217" s="33">
        <v>21.268699999999999</v>
      </c>
      <c r="AF217" s="33">
        <v>49.6462948</v>
      </c>
      <c r="AG217" s="33">
        <v>7.0625071999999998</v>
      </c>
      <c r="AH217" s="33">
        <v>2.9456106000000002</v>
      </c>
      <c r="AI217" s="33"/>
      <c r="AJ217" s="33"/>
      <c r="AK217" s="33">
        <v>5.5726053999999996</v>
      </c>
      <c r="AL217" s="33">
        <v>0.78339530000000002</v>
      </c>
      <c r="AM217" s="33">
        <v>8.6254240000000006</v>
      </c>
      <c r="AN217" s="33">
        <v>8.2377645000000008</v>
      </c>
      <c r="AO217" s="33">
        <v>66.830883499999999</v>
      </c>
      <c r="AP217" s="33">
        <v>7.8904861999999998</v>
      </c>
      <c r="AQ217" s="33">
        <v>2.0594410999999999</v>
      </c>
      <c r="AR217" s="34"/>
      <c r="AS217" s="34"/>
    </row>
    <row r="218" spans="2:45" ht="15" hidden="1" customHeight="1" x14ac:dyDescent="0.25">
      <c r="B218" s="35">
        <v>212</v>
      </c>
      <c r="C218" s="36" t="s">
        <v>29</v>
      </c>
      <c r="D218" s="36" t="s">
        <v>66</v>
      </c>
      <c r="E218" s="36" t="s">
        <v>95</v>
      </c>
      <c r="F218" s="36"/>
      <c r="G218" s="37" t="s">
        <v>25</v>
      </c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40"/>
      <c r="AS218" s="40"/>
    </row>
    <row r="219" spans="2:45" ht="15" hidden="1" customHeight="1" x14ac:dyDescent="0.25">
      <c r="B219" s="35">
        <v>213</v>
      </c>
      <c r="C219" s="36" t="s">
        <v>29</v>
      </c>
      <c r="D219" s="36" t="s">
        <v>66</v>
      </c>
      <c r="E219" s="36" t="s">
        <v>95</v>
      </c>
      <c r="F219" s="36"/>
      <c r="G219" s="37" t="s">
        <v>26</v>
      </c>
      <c r="H219" s="38">
        <v>8623</v>
      </c>
      <c r="I219" s="38">
        <v>128</v>
      </c>
      <c r="J219" s="38">
        <v>24</v>
      </c>
      <c r="K219" s="38">
        <v>1493</v>
      </c>
      <c r="L219" s="38">
        <v>1834</v>
      </c>
      <c r="M219" s="38">
        <v>4281</v>
      </c>
      <c r="N219" s="38">
        <v>609</v>
      </c>
      <c r="O219" s="38">
        <v>254</v>
      </c>
      <c r="P219" s="38"/>
      <c r="Q219" s="38"/>
      <c r="R219" s="38">
        <v>12382</v>
      </c>
      <c r="S219" s="38">
        <v>690</v>
      </c>
      <c r="T219" s="38">
        <v>97</v>
      </c>
      <c r="U219" s="38">
        <v>1068</v>
      </c>
      <c r="V219" s="38">
        <v>1020</v>
      </c>
      <c r="W219" s="38">
        <v>8275</v>
      </c>
      <c r="X219" s="38">
        <v>977</v>
      </c>
      <c r="Y219" s="38">
        <v>255</v>
      </c>
      <c r="Z219" s="38"/>
      <c r="AA219" s="38"/>
      <c r="AB219" s="39">
        <v>1.4844021999999999</v>
      </c>
      <c r="AC219" s="39">
        <v>0.2783254</v>
      </c>
      <c r="AD219" s="39">
        <v>17.314159799999999</v>
      </c>
      <c r="AE219" s="39">
        <v>21.268699999999999</v>
      </c>
      <c r="AF219" s="39">
        <v>49.6462948</v>
      </c>
      <c r="AG219" s="39">
        <v>7.0625071999999998</v>
      </c>
      <c r="AH219" s="39">
        <v>2.9456106000000002</v>
      </c>
      <c r="AI219" s="39"/>
      <c r="AJ219" s="39"/>
      <c r="AK219" s="39">
        <v>5.5726053999999996</v>
      </c>
      <c r="AL219" s="39">
        <v>0.78339530000000002</v>
      </c>
      <c r="AM219" s="39">
        <v>8.6254240000000006</v>
      </c>
      <c r="AN219" s="39">
        <v>8.2377645000000008</v>
      </c>
      <c r="AO219" s="39">
        <v>66.830883499999999</v>
      </c>
      <c r="AP219" s="39">
        <v>7.8904861999999998</v>
      </c>
      <c r="AQ219" s="39">
        <v>2.0594410999999999</v>
      </c>
      <c r="AR219" s="40"/>
      <c r="AS219" s="40"/>
    </row>
    <row r="220" spans="2:45" ht="15" customHeight="1" x14ac:dyDescent="0.25">
      <c r="B220" s="41">
        <v>214</v>
      </c>
      <c r="C220" s="42" t="s">
        <v>31</v>
      </c>
      <c r="D220" s="51" t="s">
        <v>66</v>
      </c>
      <c r="E220" s="51" t="s">
        <v>95</v>
      </c>
      <c r="F220" s="51" t="s">
        <v>96</v>
      </c>
      <c r="G220" s="52" t="s">
        <v>96</v>
      </c>
      <c r="H220" s="43">
        <v>3938</v>
      </c>
      <c r="I220" s="43">
        <v>29</v>
      </c>
      <c r="J220" s="43">
        <v>1</v>
      </c>
      <c r="K220" s="43">
        <v>541</v>
      </c>
      <c r="L220" s="43">
        <v>649</v>
      </c>
      <c r="M220" s="43">
        <v>2317</v>
      </c>
      <c r="N220" s="43">
        <v>322</v>
      </c>
      <c r="O220" s="43">
        <v>79</v>
      </c>
      <c r="P220" s="44">
        <f>K220+L220+M220+N220+O220</f>
        <v>3908</v>
      </c>
      <c r="Q220" s="44">
        <f>I220+J220</f>
        <v>30</v>
      </c>
      <c r="R220" s="43">
        <v>6388</v>
      </c>
      <c r="S220" s="43">
        <v>298</v>
      </c>
      <c r="T220" s="43">
        <v>75</v>
      </c>
      <c r="U220" s="43">
        <v>442</v>
      </c>
      <c r="V220" s="43">
        <v>570</v>
      </c>
      <c r="W220" s="43">
        <v>4389</v>
      </c>
      <c r="X220" s="43">
        <v>484</v>
      </c>
      <c r="Y220" s="43">
        <v>130</v>
      </c>
      <c r="Z220" s="45">
        <f>U220+V220+W220+X220+Y220</f>
        <v>6015</v>
      </c>
      <c r="AA220" s="45">
        <f t="shared" ref="AA220:AA221" si="30">S220+T220</f>
        <v>373</v>
      </c>
      <c r="AB220" s="46">
        <v>0.73641440000000002</v>
      </c>
      <c r="AC220" s="46">
        <v>2.5393599999999999E-2</v>
      </c>
      <c r="AD220" s="46">
        <v>13.737938</v>
      </c>
      <c r="AE220" s="46">
        <v>16.4804469</v>
      </c>
      <c r="AF220" s="46">
        <v>58.836973100000002</v>
      </c>
      <c r="AG220" s="46">
        <v>8.1767395</v>
      </c>
      <c r="AH220" s="46">
        <v>2.0060945000000001</v>
      </c>
      <c r="AI220" s="47">
        <f>AB220+AC220</f>
        <v>0.76180800000000004</v>
      </c>
      <c r="AJ220" s="47">
        <f>AD220+AE220+AF220+AG220+AH220</f>
        <v>99.238191999999998</v>
      </c>
      <c r="AK220" s="46">
        <v>4.6649969000000002</v>
      </c>
      <c r="AL220" s="46">
        <v>1.1740763999999999</v>
      </c>
      <c r="AM220" s="46">
        <v>6.9192235000000002</v>
      </c>
      <c r="AN220" s="46">
        <v>8.9229806000000007</v>
      </c>
      <c r="AO220" s="46">
        <v>68.706950500000005</v>
      </c>
      <c r="AP220" s="46">
        <v>7.5767062999999997</v>
      </c>
      <c r="AQ220" s="46">
        <v>2.0350657000000001</v>
      </c>
      <c r="AR220" s="48">
        <f t="shared" ref="AR220:AR223" si="31">AK220+AL220</f>
        <v>5.8390732999999999</v>
      </c>
      <c r="AS220" s="48">
        <f>AM220+AN220+AO220+AP220+AQ220</f>
        <v>94.16092660000001</v>
      </c>
    </row>
    <row r="221" spans="2:45" ht="15" hidden="1" customHeight="1" x14ac:dyDescent="0.25">
      <c r="B221" s="35">
        <v>215</v>
      </c>
      <c r="C221" s="36" t="s">
        <v>31</v>
      </c>
      <c r="D221" s="36" t="s">
        <v>66</v>
      </c>
      <c r="E221" s="36" t="s">
        <v>95</v>
      </c>
      <c r="F221" s="36" t="s">
        <v>96</v>
      </c>
      <c r="G221" s="37" t="s">
        <v>25</v>
      </c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>
        <f t="shared" si="30"/>
        <v>0</v>
      </c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40">
        <f t="shared" si="31"/>
        <v>0</v>
      </c>
      <c r="AS221" s="40"/>
    </row>
    <row r="222" spans="2:45" ht="15" hidden="1" customHeight="1" x14ac:dyDescent="0.25">
      <c r="B222" s="35">
        <v>216</v>
      </c>
      <c r="C222" s="36" t="s">
        <v>31</v>
      </c>
      <c r="D222" s="36" t="s">
        <v>66</v>
      </c>
      <c r="E222" s="36" t="s">
        <v>95</v>
      </c>
      <c r="F222" s="36" t="s">
        <v>96</v>
      </c>
      <c r="G222" s="37" t="s">
        <v>26</v>
      </c>
      <c r="H222" s="38">
        <v>3938</v>
      </c>
      <c r="I222" s="38">
        <v>29</v>
      </c>
      <c r="J222" s="38">
        <v>1</v>
      </c>
      <c r="K222" s="38">
        <v>541</v>
      </c>
      <c r="L222" s="38">
        <v>649</v>
      </c>
      <c r="M222" s="38">
        <v>2317</v>
      </c>
      <c r="N222" s="38">
        <v>322</v>
      </c>
      <c r="O222" s="38">
        <v>79</v>
      </c>
      <c r="P222" s="38"/>
      <c r="Q222" s="38">
        <f t="shared" ref="Q222:Q223" si="32">I222+J222</f>
        <v>30</v>
      </c>
      <c r="R222" s="38">
        <v>6388</v>
      </c>
      <c r="S222" s="38">
        <v>298</v>
      </c>
      <c r="T222" s="38">
        <v>75</v>
      </c>
      <c r="U222" s="38">
        <v>442</v>
      </c>
      <c r="V222" s="38">
        <v>570</v>
      </c>
      <c r="W222" s="38">
        <v>4389</v>
      </c>
      <c r="X222" s="38">
        <v>484</v>
      </c>
      <c r="Y222" s="38">
        <v>130</v>
      </c>
      <c r="Z222" s="38"/>
      <c r="AA222" s="38"/>
      <c r="AB222" s="39">
        <v>0.73641440000000002</v>
      </c>
      <c r="AC222" s="39">
        <v>2.5393599999999999E-2</v>
      </c>
      <c r="AD222" s="39">
        <v>13.737938</v>
      </c>
      <c r="AE222" s="39">
        <v>16.4804469</v>
      </c>
      <c r="AF222" s="39">
        <v>58.836973100000002</v>
      </c>
      <c r="AG222" s="39">
        <v>8.1767395</v>
      </c>
      <c r="AH222" s="39">
        <v>2.0060945000000001</v>
      </c>
      <c r="AI222" s="39"/>
      <c r="AJ222" s="39"/>
      <c r="AK222" s="39">
        <v>4.6649969000000002</v>
      </c>
      <c r="AL222" s="39">
        <v>1.1740763999999999</v>
      </c>
      <c r="AM222" s="39">
        <v>6.9192235000000002</v>
      </c>
      <c r="AN222" s="39">
        <v>8.9229806000000007</v>
      </c>
      <c r="AO222" s="39">
        <v>68.706950500000005</v>
      </c>
      <c r="AP222" s="39">
        <v>7.5767062999999997</v>
      </c>
      <c r="AQ222" s="39">
        <v>2.0350657000000001</v>
      </c>
      <c r="AR222" s="40">
        <f t="shared" si="31"/>
        <v>5.8390732999999999</v>
      </c>
      <c r="AS222" s="40"/>
    </row>
    <row r="223" spans="2:45" ht="15" customHeight="1" x14ac:dyDescent="0.25">
      <c r="B223" s="41">
        <v>217</v>
      </c>
      <c r="C223" s="42" t="s">
        <v>31</v>
      </c>
      <c r="D223" s="51" t="s">
        <v>66</v>
      </c>
      <c r="E223" s="51" t="s">
        <v>95</v>
      </c>
      <c r="F223" s="51" t="s">
        <v>97</v>
      </c>
      <c r="G223" s="52" t="s">
        <v>97</v>
      </c>
      <c r="H223" s="43">
        <v>2747</v>
      </c>
      <c r="I223" s="43">
        <v>29</v>
      </c>
      <c r="J223" s="43">
        <v>2</v>
      </c>
      <c r="K223" s="43">
        <v>443</v>
      </c>
      <c r="L223" s="43">
        <v>823</v>
      </c>
      <c r="M223" s="43">
        <v>1230</v>
      </c>
      <c r="N223" s="43">
        <v>155</v>
      </c>
      <c r="O223" s="43">
        <v>65</v>
      </c>
      <c r="P223" s="44">
        <f>K223+L223+M223+N223+O223</f>
        <v>2716</v>
      </c>
      <c r="Q223" s="44">
        <f t="shared" si="32"/>
        <v>31</v>
      </c>
      <c r="R223" s="43">
        <v>3494</v>
      </c>
      <c r="S223" s="43">
        <v>92</v>
      </c>
      <c r="T223" s="43">
        <v>15</v>
      </c>
      <c r="U223" s="43">
        <v>286</v>
      </c>
      <c r="V223" s="43">
        <v>288</v>
      </c>
      <c r="W223" s="43">
        <v>2440</v>
      </c>
      <c r="X223" s="43">
        <v>298</v>
      </c>
      <c r="Y223" s="43">
        <v>75</v>
      </c>
      <c r="Z223" s="45">
        <f>U223+V223+W223+X223+Y223</f>
        <v>3387</v>
      </c>
      <c r="AA223" s="45">
        <f>S223+T223</f>
        <v>107</v>
      </c>
      <c r="AB223" s="46">
        <v>1.0556970999999999</v>
      </c>
      <c r="AC223" s="46">
        <v>7.2806700000000002E-2</v>
      </c>
      <c r="AD223" s="46">
        <v>16.126683700000001</v>
      </c>
      <c r="AE223" s="46">
        <v>29.959956300000002</v>
      </c>
      <c r="AF223" s="46">
        <v>44.776119399999999</v>
      </c>
      <c r="AG223" s="46">
        <v>5.6425191000000003</v>
      </c>
      <c r="AH223" s="46">
        <v>2.3662177</v>
      </c>
      <c r="AI223" s="47">
        <f>AB223+AC223</f>
        <v>1.1285037999999998</v>
      </c>
      <c r="AJ223" s="47">
        <f>AD223+AE223+AF223+AG223+AH223</f>
        <v>98.871496199999996</v>
      </c>
      <c r="AK223" s="46">
        <v>2.6330852999999999</v>
      </c>
      <c r="AL223" s="46">
        <v>0.42930740000000001</v>
      </c>
      <c r="AM223" s="46">
        <v>8.1854607999999995</v>
      </c>
      <c r="AN223" s="46">
        <v>8.2427018000000007</v>
      </c>
      <c r="AO223" s="46">
        <v>69.834001099999995</v>
      </c>
      <c r="AP223" s="46">
        <v>8.5289067000000003</v>
      </c>
      <c r="AQ223" s="46">
        <v>2.1465369000000001</v>
      </c>
      <c r="AR223" s="48">
        <f t="shared" si="31"/>
        <v>3.0623926999999997</v>
      </c>
      <c r="AS223" s="48">
        <f>AM223+AN223+AO223+AP223+AQ223</f>
        <v>96.937607299999996</v>
      </c>
    </row>
    <row r="224" spans="2:45" ht="15" hidden="1" customHeight="1" x14ac:dyDescent="0.25">
      <c r="B224" s="35">
        <v>218</v>
      </c>
      <c r="C224" s="36" t="s">
        <v>31</v>
      </c>
      <c r="D224" s="36" t="s">
        <v>66</v>
      </c>
      <c r="E224" s="36" t="s">
        <v>95</v>
      </c>
      <c r="F224" s="36" t="s">
        <v>97</v>
      </c>
      <c r="G224" s="37" t="s">
        <v>25</v>
      </c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40"/>
      <c r="AS224" s="40"/>
    </row>
    <row r="225" spans="2:45" ht="15" hidden="1" customHeight="1" x14ac:dyDescent="0.25">
      <c r="B225" s="35">
        <v>219</v>
      </c>
      <c r="C225" s="36" t="s">
        <v>31</v>
      </c>
      <c r="D225" s="36" t="s">
        <v>66</v>
      </c>
      <c r="E225" s="36" t="s">
        <v>95</v>
      </c>
      <c r="F225" s="36" t="s">
        <v>97</v>
      </c>
      <c r="G225" s="37" t="s">
        <v>26</v>
      </c>
      <c r="H225" s="38">
        <v>2747</v>
      </c>
      <c r="I225" s="38">
        <v>29</v>
      </c>
      <c r="J225" s="38">
        <v>2</v>
      </c>
      <c r="K225" s="38">
        <v>443</v>
      </c>
      <c r="L225" s="38">
        <v>823</v>
      </c>
      <c r="M225" s="38">
        <v>1230</v>
      </c>
      <c r="N225" s="38">
        <v>155</v>
      </c>
      <c r="O225" s="38">
        <v>65</v>
      </c>
      <c r="P225" s="38"/>
      <c r="Q225" s="38"/>
      <c r="R225" s="38">
        <v>3494</v>
      </c>
      <c r="S225" s="38">
        <v>92</v>
      </c>
      <c r="T225" s="38">
        <v>15</v>
      </c>
      <c r="U225" s="38">
        <v>286</v>
      </c>
      <c r="V225" s="38">
        <v>288</v>
      </c>
      <c r="W225" s="38">
        <v>2440</v>
      </c>
      <c r="X225" s="38">
        <v>298</v>
      </c>
      <c r="Y225" s="38">
        <v>75</v>
      </c>
      <c r="Z225" s="38"/>
      <c r="AA225" s="38"/>
      <c r="AB225" s="39">
        <v>1.0556970999999999</v>
      </c>
      <c r="AC225" s="39">
        <v>7.2806700000000002E-2</v>
      </c>
      <c r="AD225" s="39">
        <v>16.126683700000001</v>
      </c>
      <c r="AE225" s="39">
        <v>29.959956300000002</v>
      </c>
      <c r="AF225" s="39">
        <v>44.776119399999999</v>
      </c>
      <c r="AG225" s="39">
        <v>5.6425191000000003</v>
      </c>
      <c r="AH225" s="39">
        <v>2.3662177</v>
      </c>
      <c r="AI225" s="39"/>
      <c r="AJ225" s="39"/>
      <c r="AK225" s="39">
        <v>2.6330852999999999</v>
      </c>
      <c r="AL225" s="39">
        <v>0.42930740000000001</v>
      </c>
      <c r="AM225" s="39">
        <v>8.1854607999999995</v>
      </c>
      <c r="AN225" s="39">
        <v>8.2427018000000007</v>
      </c>
      <c r="AO225" s="39">
        <v>69.834001099999995</v>
      </c>
      <c r="AP225" s="39">
        <v>8.5289067000000003</v>
      </c>
      <c r="AQ225" s="39">
        <v>2.1465369000000001</v>
      </c>
      <c r="AR225" s="40"/>
      <c r="AS225" s="40"/>
    </row>
    <row r="226" spans="2:45" ht="15" customHeight="1" x14ac:dyDescent="0.25">
      <c r="B226" s="41">
        <v>220</v>
      </c>
      <c r="C226" s="42" t="s">
        <v>31</v>
      </c>
      <c r="D226" s="51" t="s">
        <v>66</v>
      </c>
      <c r="E226" s="51" t="s">
        <v>95</v>
      </c>
      <c r="F226" s="51" t="s">
        <v>98</v>
      </c>
      <c r="G226" s="52" t="s">
        <v>98</v>
      </c>
      <c r="H226" s="43">
        <v>1938</v>
      </c>
      <c r="I226" s="43">
        <v>70</v>
      </c>
      <c r="J226" s="43">
        <v>21</v>
      </c>
      <c r="K226" s="43">
        <v>509</v>
      </c>
      <c r="L226" s="43">
        <v>362</v>
      </c>
      <c r="M226" s="43">
        <v>734</v>
      </c>
      <c r="N226" s="43">
        <v>132</v>
      </c>
      <c r="O226" s="43">
        <v>110</v>
      </c>
      <c r="P226" s="44">
        <f>K226+L226+M226+N226+O226</f>
        <v>1847</v>
      </c>
      <c r="Q226" s="44">
        <f>I226+J226</f>
        <v>91</v>
      </c>
      <c r="R226" s="43">
        <v>2500</v>
      </c>
      <c r="S226" s="43">
        <v>300</v>
      </c>
      <c r="T226" s="43">
        <v>7</v>
      </c>
      <c r="U226" s="43">
        <v>340</v>
      </c>
      <c r="V226" s="43">
        <v>162</v>
      </c>
      <c r="W226" s="43">
        <v>1446</v>
      </c>
      <c r="X226" s="43">
        <v>195</v>
      </c>
      <c r="Y226" s="43">
        <v>50</v>
      </c>
      <c r="Z226" s="45">
        <f>U226+V226+W226+X226+Y226</f>
        <v>2193</v>
      </c>
      <c r="AA226" s="45">
        <f>S226+T226</f>
        <v>307</v>
      </c>
      <c r="AB226" s="46">
        <v>3.6119710999999999</v>
      </c>
      <c r="AC226" s="46">
        <v>1.0835912999999999</v>
      </c>
      <c r="AD226" s="46">
        <v>26.264189900000002</v>
      </c>
      <c r="AE226" s="46">
        <v>18.6790506</v>
      </c>
      <c r="AF226" s="46">
        <v>37.874096999999999</v>
      </c>
      <c r="AG226" s="46">
        <v>6.8111455000000003</v>
      </c>
      <c r="AH226" s="46">
        <v>5.6759545999999999</v>
      </c>
      <c r="AI226" s="47">
        <f>AB226+AC226</f>
        <v>4.6955624</v>
      </c>
      <c r="AJ226" s="47">
        <f>AD226+AE226+AF226+AG226+AH226</f>
        <v>95.3044376</v>
      </c>
      <c r="AK226" s="46">
        <v>12</v>
      </c>
      <c r="AL226" s="46">
        <v>0.28000000000000003</v>
      </c>
      <c r="AM226" s="46">
        <v>13.6</v>
      </c>
      <c r="AN226" s="46">
        <v>6.48</v>
      </c>
      <c r="AO226" s="46">
        <v>57.84</v>
      </c>
      <c r="AP226" s="46">
        <v>7.8</v>
      </c>
      <c r="AQ226" s="46">
        <v>2</v>
      </c>
      <c r="AR226" s="48">
        <f>AK226+AL226</f>
        <v>12.28</v>
      </c>
      <c r="AS226" s="48">
        <f>AM226+AN226+AO226+AP226+AQ226</f>
        <v>87.72</v>
      </c>
    </row>
    <row r="227" spans="2:45" ht="15" hidden="1" customHeight="1" x14ac:dyDescent="0.25">
      <c r="B227" s="35">
        <v>221</v>
      </c>
      <c r="C227" s="36" t="s">
        <v>31</v>
      </c>
      <c r="D227" s="36" t="s">
        <v>66</v>
      </c>
      <c r="E227" s="36" t="s">
        <v>95</v>
      </c>
      <c r="F227" s="36" t="s">
        <v>98</v>
      </c>
      <c r="G227" s="37" t="s">
        <v>25</v>
      </c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40"/>
      <c r="AS227" s="40"/>
    </row>
    <row r="228" spans="2:45" ht="15" hidden="1" customHeight="1" x14ac:dyDescent="0.25">
      <c r="B228" s="35">
        <v>222</v>
      </c>
      <c r="C228" s="36" t="s">
        <v>31</v>
      </c>
      <c r="D228" s="36" t="s">
        <v>66</v>
      </c>
      <c r="E228" s="36" t="s">
        <v>95</v>
      </c>
      <c r="F228" s="36" t="s">
        <v>98</v>
      </c>
      <c r="G228" s="37" t="s">
        <v>26</v>
      </c>
      <c r="H228" s="38">
        <v>1938</v>
      </c>
      <c r="I228" s="38">
        <v>70</v>
      </c>
      <c r="J228" s="38">
        <v>21</v>
      </c>
      <c r="K228" s="38">
        <v>509</v>
      </c>
      <c r="L228" s="38">
        <v>362</v>
      </c>
      <c r="M228" s="38">
        <v>734</v>
      </c>
      <c r="N228" s="38">
        <v>132</v>
      </c>
      <c r="O228" s="38">
        <v>110</v>
      </c>
      <c r="P228" s="38"/>
      <c r="Q228" s="38"/>
      <c r="R228" s="38">
        <v>2500</v>
      </c>
      <c r="S228" s="38">
        <v>300</v>
      </c>
      <c r="T228" s="38">
        <v>7</v>
      </c>
      <c r="U228" s="38">
        <v>340</v>
      </c>
      <c r="V228" s="38">
        <v>162</v>
      </c>
      <c r="W228" s="38">
        <v>1446</v>
      </c>
      <c r="X228" s="38">
        <v>195</v>
      </c>
      <c r="Y228" s="38">
        <v>50</v>
      </c>
      <c r="Z228" s="38"/>
      <c r="AA228" s="38"/>
      <c r="AB228" s="39">
        <v>3.6119710999999999</v>
      </c>
      <c r="AC228" s="39">
        <v>1.0835912999999999</v>
      </c>
      <c r="AD228" s="39">
        <v>26.264189900000002</v>
      </c>
      <c r="AE228" s="39">
        <v>18.6790506</v>
      </c>
      <c r="AF228" s="39">
        <v>37.874096999999999</v>
      </c>
      <c r="AG228" s="39">
        <v>6.8111455000000003</v>
      </c>
      <c r="AH228" s="39">
        <v>5.6759545999999999</v>
      </c>
      <c r="AI228" s="39"/>
      <c r="AJ228" s="39"/>
      <c r="AK228" s="39">
        <v>12</v>
      </c>
      <c r="AL228" s="39">
        <v>0.28000000000000003</v>
      </c>
      <c r="AM228" s="39">
        <v>13.6</v>
      </c>
      <c r="AN228" s="39">
        <v>6.48</v>
      </c>
      <c r="AO228" s="39">
        <v>57.84</v>
      </c>
      <c r="AP228" s="39">
        <v>7.8</v>
      </c>
      <c r="AQ228" s="39">
        <v>2</v>
      </c>
      <c r="AR228" s="40"/>
      <c r="AS228" s="40"/>
    </row>
    <row r="229" spans="2:45" ht="15" hidden="1" customHeight="1" x14ac:dyDescent="0.25">
      <c r="B229" s="30">
        <v>223</v>
      </c>
      <c r="C229" s="31" t="s">
        <v>29</v>
      </c>
      <c r="D229" s="50" t="s">
        <v>66</v>
      </c>
      <c r="E229" s="50" t="s">
        <v>99</v>
      </c>
      <c r="F229" s="50"/>
      <c r="G229" s="31" t="s">
        <v>99</v>
      </c>
      <c r="H229" s="32">
        <v>29451</v>
      </c>
      <c r="I229" s="32">
        <v>1098</v>
      </c>
      <c r="J229" s="32">
        <v>2774</v>
      </c>
      <c r="K229" s="32">
        <v>4458</v>
      </c>
      <c r="L229" s="32">
        <v>7634</v>
      </c>
      <c r="M229" s="32">
        <v>10176</v>
      </c>
      <c r="N229" s="32">
        <v>2505</v>
      </c>
      <c r="O229" s="32">
        <v>806</v>
      </c>
      <c r="P229" s="32"/>
      <c r="Q229" s="32"/>
      <c r="R229" s="32">
        <v>39439</v>
      </c>
      <c r="S229" s="32">
        <v>3174</v>
      </c>
      <c r="T229" s="32">
        <v>6124</v>
      </c>
      <c r="U229" s="32">
        <v>3971</v>
      </c>
      <c r="V229" s="32">
        <v>3511</v>
      </c>
      <c r="W229" s="32">
        <v>17315</v>
      </c>
      <c r="X229" s="32">
        <v>4567</v>
      </c>
      <c r="Y229" s="32">
        <v>777</v>
      </c>
      <c r="Z229" s="32"/>
      <c r="AA229" s="32"/>
      <c r="AB229" s="33">
        <v>3.7282264999999999</v>
      </c>
      <c r="AC229" s="33">
        <v>9.4190349999999992</v>
      </c>
      <c r="AD229" s="33">
        <v>15.137007199999999</v>
      </c>
      <c r="AE229" s="33">
        <v>25.921021400000001</v>
      </c>
      <c r="AF229" s="33">
        <v>34.552307200000001</v>
      </c>
      <c r="AG229" s="33">
        <v>8.5056534999999993</v>
      </c>
      <c r="AH229" s="33">
        <v>2.7367492000000002</v>
      </c>
      <c r="AI229" s="33"/>
      <c r="AJ229" s="33"/>
      <c r="AK229" s="33">
        <v>8.0478714</v>
      </c>
      <c r="AL229" s="33">
        <v>15.5277771</v>
      </c>
      <c r="AM229" s="33">
        <v>10.0687137</v>
      </c>
      <c r="AN229" s="33">
        <v>8.9023555000000005</v>
      </c>
      <c r="AO229" s="33">
        <v>43.903243000000003</v>
      </c>
      <c r="AP229" s="33">
        <v>11.5799082</v>
      </c>
      <c r="AQ229" s="33">
        <v>1.9701310999999999</v>
      </c>
      <c r="AR229" s="34"/>
      <c r="AS229" s="34"/>
    </row>
    <row r="230" spans="2:45" ht="15" hidden="1" customHeight="1" x14ac:dyDescent="0.25">
      <c r="B230" s="35">
        <v>224</v>
      </c>
      <c r="C230" s="36" t="s">
        <v>29</v>
      </c>
      <c r="D230" s="36" t="s">
        <v>66</v>
      </c>
      <c r="E230" s="36" t="s">
        <v>99</v>
      </c>
      <c r="F230" s="36"/>
      <c r="G230" s="37" t="s">
        <v>25</v>
      </c>
      <c r="H230" s="38">
        <v>4928</v>
      </c>
      <c r="I230" s="38">
        <v>613</v>
      </c>
      <c r="J230" s="38">
        <v>2153</v>
      </c>
      <c r="K230" s="38">
        <v>502</v>
      </c>
      <c r="L230" s="38">
        <v>815</v>
      </c>
      <c r="M230" s="38">
        <v>724</v>
      </c>
      <c r="N230" s="38">
        <v>76</v>
      </c>
      <c r="O230" s="38">
        <v>45</v>
      </c>
      <c r="P230" s="38"/>
      <c r="Q230" s="38"/>
      <c r="R230" s="38">
        <v>8590</v>
      </c>
      <c r="S230" s="38">
        <v>1322</v>
      </c>
      <c r="T230" s="38">
        <v>4637</v>
      </c>
      <c r="U230" s="38">
        <v>427</v>
      </c>
      <c r="V230" s="38">
        <v>572</v>
      </c>
      <c r="W230" s="38">
        <v>1394</v>
      </c>
      <c r="X230" s="38">
        <v>112</v>
      </c>
      <c r="Y230" s="38">
        <v>126</v>
      </c>
      <c r="Z230" s="38"/>
      <c r="AA230" s="38"/>
      <c r="AB230" s="39">
        <v>12.4391234</v>
      </c>
      <c r="AC230" s="39">
        <v>43.6891234</v>
      </c>
      <c r="AD230" s="39">
        <v>10.1866883</v>
      </c>
      <c r="AE230" s="39">
        <v>16.538149400000002</v>
      </c>
      <c r="AF230" s="39">
        <v>14.6915584</v>
      </c>
      <c r="AG230" s="39">
        <v>1.5422077999999999</v>
      </c>
      <c r="AH230" s="39">
        <v>0.9131494</v>
      </c>
      <c r="AI230" s="39"/>
      <c r="AJ230" s="39"/>
      <c r="AK230" s="39">
        <v>15.3899884</v>
      </c>
      <c r="AL230" s="39">
        <v>53.981373699999999</v>
      </c>
      <c r="AM230" s="39">
        <v>4.9708964</v>
      </c>
      <c r="AN230" s="39">
        <v>6.6589057</v>
      </c>
      <c r="AO230" s="39">
        <v>16.228172300000001</v>
      </c>
      <c r="AP230" s="39">
        <v>1.3038417</v>
      </c>
      <c r="AQ230" s="39">
        <v>1.4668219</v>
      </c>
      <c r="AR230" s="40"/>
      <c r="AS230" s="40"/>
    </row>
    <row r="231" spans="2:45" ht="15" hidden="1" customHeight="1" x14ac:dyDescent="0.25">
      <c r="B231" s="35">
        <v>225</v>
      </c>
      <c r="C231" s="36" t="s">
        <v>29</v>
      </c>
      <c r="D231" s="36" t="s">
        <v>66</v>
      </c>
      <c r="E231" s="36" t="s">
        <v>99</v>
      </c>
      <c r="F231" s="36"/>
      <c r="G231" s="37" t="s">
        <v>26</v>
      </c>
      <c r="H231" s="38">
        <v>24523</v>
      </c>
      <c r="I231" s="38">
        <v>485</v>
      </c>
      <c r="J231" s="38">
        <v>621</v>
      </c>
      <c r="K231" s="38">
        <v>3956</v>
      </c>
      <c r="L231" s="38">
        <v>6819</v>
      </c>
      <c r="M231" s="38">
        <v>9452</v>
      </c>
      <c r="N231" s="38">
        <v>2429</v>
      </c>
      <c r="O231" s="38">
        <v>761</v>
      </c>
      <c r="P231" s="38"/>
      <c r="Q231" s="38"/>
      <c r="R231" s="38">
        <v>30849</v>
      </c>
      <c r="S231" s="38">
        <v>1852</v>
      </c>
      <c r="T231" s="38">
        <v>1487</v>
      </c>
      <c r="U231" s="38">
        <v>3544</v>
      </c>
      <c r="V231" s="38">
        <v>2939</v>
      </c>
      <c r="W231" s="38">
        <v>15921</v>
      </c>
      <c r="X231" s="38">
        <v>4455</v>
      </c>
      <c r="Y231" s="38">
        <v>651</v>
      </c>
      <c r="Z231" s="38"/>
      <c r="AA231" s="38"/>
      <c r="AB231" s="39">
        <v>1.9777351999999999</v>
      </c>
      <c r="AC231" s="39">
        <v>2.5323166000000001</v>
      </c>
      <c r="AD231" s="39">
        <v>16.131794599999999</v>
      </c>
      <c r="AE231" s="39">
        <v>27.806549</v>
      </c>
      <c r="AF231" s="39">
        <v>38.543408200000002</v>
      </c>
      <c r="AG231" s="39">
        <v>9.9049872000000008</v>
      </c>
      <c r="AH231" s="39">
        <v>3.1032091999999998</v>
      </c>
      <c r="AI231" s="39"/>
      <c r="AJ231" s="39"/>
      <c r="AK231" s="39">
        <v>6.0034361000000001</v>
      </c>
      <c r="AL231" s="39">
        <v>4.8202534999999997</v>
      </c>
      <c r="AM231" s="39">
        <v>11.4882168</v>
      </c>
      <c r="AN231" s="39">
        <v>9.5270510999999996</v>
      </c>
      <c r="AO231" s="39">
        <v>51.609452500000003</v>
      </c>
      <c r="AP231" s="39">
        <v>14.4413109</v>
      </c>
      <c r="AQ231" s="39">
        <v>2.1102791000000001</v>
      </c>
      <c r="AR231" s="40"/>
      <c r="AS231" s="40"/>
    </row>
    <row r="232" spans="2:45" ht="15" customHeight="1" x14ac:dyDescent="0.25">
      <c r="B232" s="41">
        <v>226</v>
      </c>
      <c r="C232" s="42" t="s">
        <v>31</v>
      </c>
      <c r="D232" s="51" t="s">
        <v>66</v>
      </c>
      <c r="E232" s="51" t="s">
        <v>99</v>
      </c>
      <c r="F232" s="51" t="s">
        <v>100</v>
      </c>
      <c r="G232" s="52" t="s">
        <v>100</v>
      </c>
      <c r="H232" s="43">
        <v>8775</v>
      </c>
      <c r="I232" s="43">
        <v>402</v>
      </c>
      <c r="J232" s="43">
        <v>602</v>
      </c>
      <c r="K232" s="43">
        <v>1048</v>
      </c>
      <c r="L232" s="43">
        <v>2028</v>
      </c>
      <c r="M232" s="43">
        <v>3795</v>
      </c>
      <c r="N232" s="43">
        <v>678</v>
      </c>
      <c r="O232" s="43">
        <v>222</v>
      </c>
      <c r="P232" s="44">
        <f>K232+L232+M232+N232+O232</f>
        <v>7771</v>
      </c>
      <c r="Q232" s="44">
        <f>I232+J232</f>
        <v>1004</v>
      </c>
      <c r="R232" s="43">
        <v>11459</v>
      </c>
      <c r="S232" s="43">
        <v>1134</v>
      </c>
      <c r="T232" s="43">
        <v>1248</v>
      </c>
      <c r="U232" s="43">
        <v>631</v>
      </c>
      <c r="V232" s="43">
        <v>735</v>
      </c>
      <c r="W232" s="43">
        <v>5736</v>
      </c>
      <c r="X232" s="43">
        <v>1682</v>
      </c>
      <c r="Y232" s="43">
        <v>293</v>
      </c>
      <c r="Z232" s="45">
        <f>U232+V232+W232+X232+Y232</f>
        <v>9077</v>
      </c>
      <c r="AA232" s="45">
        <f t="shared" ref="AA232:AA233" si="33">S232+T232</f>
        <v>2382</v>
      </c>
      <c r="AB232" s="46">
        <v>4.5811966000000002</v>
      </c>
      <c r="AC232" s="46">
        <v>6.8603988999999999</v>
      </c>
      <c r="AD232" s="46">
        <v>11.943019899999999</v>
      </c>
      <c r="AE232" s="46">
        <v>23.111111099999999</v>
      </c>
      <c r="AF232" s="46">
        <v>43.247863199999998</v>
      </c>
      <c r="AG232" s="46">
        <v>7.7264957000000001</v>
      </c>
      <c r="AH232" s="46">
        <v>2.5299144999999998</v>
      </c>
      <c r="AI232" s="47">
        <f>AB232+AC232</f>
        <v>11.4415955</v>
      </c>
      <c r="AJ232" s="47">
        <f>AD232+AE232+AF232+AG232+AH232</f>
        <v>88.558404400000001</v>
      </c>
      <c r="AK232" s="46">
        <v>9.8961515000000002</v>
      </c>
      <c r="AL232" s="46">
        <v>10.8910027</v>
      </c>
      <c r="AM232" s="46">
        <v>5.5065887</v>
      </c>
      <c r="AN232" s="46">
        <v>6.4141722999999997</v>
      </c>
      <c r="AO232" s="46">
        <v>50.056724000000003</v>
      </c>
      <c r="AP232" s="46">
        <v>14.6784187</v>
      </c>
      <c r="AQ232" s="46">
        <v>2.5569421000000001</v>
      </c>
      <c r="AR232" s="48">
        <f t="shared" ref="AR232:AR238" si="34">AK232+AL232</f>
        <v>20.7871542</v>
      </c>
      <c r="AS232" s="48">
        <f>AM232+AN232+AO232+AP232+AQ232</f>
        <v>79.212845799999997</v>
      </c>
    </row>
    <row r="233" spans="2:45" ht="15" hidden="1" customHeight="1" x14ac:dyDescent="0.25">
      <c r="B233" s="35">
        <v>227</v>
      </c>
      <c r="C233" s="36" t="s">
        <v>31</v>
      </c>
      <c r="D233" s="36" t="s">
        <v>66</v>
      </c>
      <c r="E233" s="36" t="s">
        <v>99</v>
      </c>
      <c r="F233" s="36" t="s">
        <v>100</v>
      </c>
      <c r="G233" s="37" t="s">
        <v>25</v>
      </c>
      <c r="H233" s="38">
        <v>1125</v>
      </c>
      <c r="I233" s="38">
        <v>352</v>
      </c>
      <c r="J233" s="38">
        <v>577</v>
      </c>
      <c r="K233" s="38">
        <v>16</v>
      </c>
      <c r="L233" s="38">
        <v>25</v>
      </c>
      <c r="M233" s="38">
        <v>138</v>
      </c>
      <c r="N233" s="38">
        <v>14</v>
      </c>
      <c r="O233" s="38">
        <v>3</v>
      </c>
      <c r="P233" s="38"/>
      <c r="Q233" s="38"/>
      <c r="R233" s="38">
        <v>1792</v>
      </c>
      <c r="S233" s="38">
        <v>465</v>
      </c>
      <c r="T233" s="38">
        <v>1122</v>
      </c>
      <c r="U233" s="38">
        <v>10</v>
      </c>
      <c r="V233" s="38">
        <v>2</v>
      </c>
      <c r="W233" s="38">
        <v>153</v>
      </c>
      <c r="X233" s="38">
        <v>19</v>
      </c>
      <c r="Y233" s="38">
        <v>21</v>
      </c>
      <c r="Z233" s="38"/>
      <c r="AA233" s="38">
        <f t="shared" si="33"/>
        <v>1587</v>
      </c>
      <c r="AB233" s="39">
        <v>31.2888889</v>
      </c>
      <c r="AC233" s="39">
        <v>51.288888900000003</v>
      </c>
      <c r="AD233" s="39">
        <v>1.4222222</v>
      </c>
      <c r="AE233" s="39">
        <v>2.2222222</v>
      </c>
      <c r="AF233" s="39">
        <v>12.2666667</v>
      </c>
      <c r="AG233" s="39">
        <v>1.2444443999999999</v>
      </c>
      <c r="AH233" s="39">
        <v>0.26666669999999998</v>
      </c>
      <c r="AI233" s="39"/>
      <c r="AJ233" s="39"/>
      <c r="AK233" s="39">
        <v>25.948660700000001</v>
      </c>
      <c r="AL233" s="39">
        <v>62.611607100000001</v>
      </c>
      <c r="AM233" s="39">
        <v>0.55803570000000002</v>
      </c>
      <c r="AN233" s="39">
        <v>0.1116071</v>
      </c>
      <c r="AO233" s="39">
        <v>8.5379463999999992</v>
      </c>
      <c r="AP233" s="39">
        <v>1.0602678999999999</v>
      </c>
      <c r="AQ233" s="39">
        <v>1.171875</v>
      </c>
      <c r="AR233" s="40">
        <f t="shared" si="34"/>
        <v>88.560267800000005</v>
      </c>
      <c r="AS233" s="40"/>
    </row>
    <row r="234" spans="2:45" ht="15" hidden="1" customHeight="1" x14ac:dyDescent="0.25">
      <c r="B234" s="35">
        <v>228</v>
      </c>
      <c r="C234" s="36" t="s">
        <v>31</v>
      </c>
      <c r="D234" s="36" t="s">
        <v>66</v>
      </c>
      <c r="E234" s="36" t="s">
        <v>99</v>
      </c>
      <c r="F234" s="36" t="s">
        <v>100</v>
      </c>
      <c r="G234" s="37" t="s">
        <v>26</v>
      </c>
      <c r="H234" s="38">
        <v>7650</v>
      </c>
      <c r="I234" s="38">
        <v>50</v>
      </c>
      <c r="J234" s="38">
        <v>25</v>
      </c>
      <c r="K234" s="38">
        <v>1032</v>
      </c>
      <c r="L234" s="38">
        <v>2003</v>
      </c>
      <c r="M234" s="38">
        <v>3657</v>
      </c>
      <c r="N234" s="38">
        <v>664</v>
      </c>
      <c r="O234" s="38">
        <v>219</v>
      </c>
      <c r="P234" s="38"/>
      <c r="Q234" s="38">
        <f t="shared" ref="Q234:Q235" si="35">I234+J234</f>
        <v>75</v>
      </c>
      <c r="R234" s="38">
        <v>9667</v>
      </c>
      <c r="S234" s="38">
        <v>669</v>
      </c>
      <c r="T234" s="38">
        <v>126</v>
      </c>
      <c r="U234" s="38">
        <v>621</v>
      </c>
      <c r="V234" s="38">
        <v>733</v>
      </c>
      <c r="W234" s="38">
        <v>5583</v>
      </c>
      <c r="X234" s="38">
        <v>1663</v>
      </c>
      <c r="Y234" s="38">
        <v>272</v>
      </c>
      <c r="Z234" s="38"/>
      <c r="AA234" s="38"/>
      <c r="AB234" s="39">
        <v>0.65359480000000003</v>
      </c>
      <c r="AC234" s="39">
        <v>0.32679740000000002</v>
      </c>
      <c r="AD234" s="39">
        <v>13.4901961</v>
      </c>
      <c r="AE234" s="39">
        <v>26.183006500000001</v>
      </c>
      <c r="AF234" s="39">
        <v>47.803921600000002</v>
      </c>
      <c r="AG234" s="39">
        <v>8.6797386000000003</v>
      </c>
      <c r="AH234" s="39">
        <v>2.8627451000000002</v>
      </c>
      <c r="AI234" s="39"/>
      <c r="AJ234" s="39"/>
      <c r="AK234" s="39">
        <v>6.9204509999999999</v>
      </c>
      <c r="AL234" s="39">
        <v>1.3034033</v>
      </c>
      <c r="AM234" s="39">
        <v>6.4239164000000004</v>
      </c>
      <c r="AN234" s="39">
        <v>7.5824971999999997</v>
      </c>
      <c r="AO234" s="39">
        <v>57.753180899999997</v>
      </c>
      <c r="AP234" s="39">
        <v>17.202855100000001</v>
      </c>
      <c r="AQ234" s="39">
        <v>2.8136961</v>
      </c>
      <c r="AR234" s="40">
        <f t="shared" si="34"/>
        <v>8.2238542999999993</v>
      </c>
      <c r="AS234" s="40"/>
    </row>
    <row r="235" spans="2:45" ht="15" customHeight="1" x14ac:dyDescent="0.25">
      <c r="B235" s="41">
        <v>229</v>
      </c>
      <c r="C235" s="42" t="s">
        <v>31</v>
      </c>
      <c r="D235" s="51" t="s">
        <v>66</v>
      </c>
      <c r="E235" s="51" t="s">
        <v>99</v>
      </c>
      <c r="F235" s="51" t="s">
        <v>101</v>
      </c>
      <c r="G235" s="52" t="s">
        <v>101</v>
      </c>
      <c r="H235" s="43">
        <v>4681</v>
      </c>
      <c r="I235" s="43">
        <v>190</v>
      </c>
      <c r="J235" s="43">
        <v>600</v>
      </c>
      <c r="K235" s="43">
        <v>885</v>
      </c>
      <c r="L235" s="43">
        <v>1096</v>
      </c>
      <c r="M235" s="43">
        <v>1293</v>
      </c>
      <c r="N235" s="43">
        <v>527</v>
      </c>
      <c r="O235" s="43">
        <v>90</v>
      </c>
      <c r="P235" s="44">
        <f>K235+L235+M235+N235+O235</f>
        <v>3891</v>
      </c>
      <c r="Q235" s="44">
        <f t="shared" si="35"/>
        <v>790</v>
      </c>
      <c r="R235" s="43">
        <v>6269</v>
      </c>
      <c r="S235" s="43">
        <v>394</v>
      </c>
      <c r="T235" s="43">
        <v>1012</v>
      </c>
      <c r="U235" s="43">
        <v>903</v>
      </c>
      <c r="V235" s="43">
        <v>631</v>
      </c>
      <c r="W235" s="43">
        <v>2449</v>
      </c>
      <c r="X235" s="43">
        <v>786</v>
      </c>
      <c r="Y235" s="43">
        <v>94</v>
      </c>
      <c r="Z235" s="45">
        <f>U235+V235+W235+X235+Y235</f>
        <v>4863</v>
      </c>
      <c r="AA235" s="45">
        <f t="shared" ref="AA235:AA236" si="36">S235+T235</f>
        <v>1406</v>
      </c>
      <c r="AB235" s="46">
        <v>4.0589617999999996</v>
      </c>
      <c r="AC235" s="46">
        <v>12.817774</v>
      </c>
      <c r="AD235" s="46">
        <v>18.9062166</v>
      </c>
      <c r="AE235" s="46">
        <v>23.413800500000001</v>
      </c>
      <c r="AF235" s="46">
        <v>27.622302900000001</v>
      </c>
      <c r="AG235" s="46">
        <v>11.2582781</v>
      </c>
      <c r="AH235" s="46">
        <v>1.9226661</v>
      </c>
      <c r="AI235" s="47">
        <f>AB235+AC235</f>
        <v>16.876735799999999</v>
      </c>
      <c r="AJ235" s="47">
        <f>AD235+AE235+AF235+AG235+AH235</f>
        <v>83.123264199999994</v>
      </c>
      <c r="AK235" s="46">
        <v>6.2848939000000001</v>
      </c>
      <c r="AL235" s="46">
        <v>16.1429255</v>
      </c>
      <c r="AM235" s="46">
        <v>14.404211200000001</v>
      </c>
      <c r="AN235" s="46">
        <v>10.0654012</v>
      </c>
      <c r="AO235" s="46">
        <v>39.065241700000001</v>
      </c>
      <c r="AP235" s="46">
        <v>12.5378848</v>
      </c>
      <c r="AQ235" s="46">
        <v>1.4994417</v>
      </c>
      <c r="AR235" s="48">
        <f t="shared" si="34"/>
        <v>22.427819400000001</v>
      </c>
      <c r="AS235" s="48">
        <f>AM235+AN235+AO235+AP235+AQ235</f>
        <v>77.57218060000001</v>
      </c>
    </row>
    <row r="236" spans="2:45" ht="15" hidden="1" customHeight="1" x14ac:dyDescent="0.25">
      <c r="B236" s="35">
        <v>230</v>
      </c>
      <c r="C236" s="36" t="s">
        <v>31</v>
      </c>
      <c r="D236" s="36" t="s">
        <v>66</v>
      </c>
      <c r="E236" s="36" t="s">
        <v>99</v>
      </c>
      <c r="F236" s="36" t="s">
        <v>101</v>
      </c>
      <c r="G236" s="37" t="s">
        <v>25</v>
      </c>
      <c r="H236" s="38">
        <v>1290</v>
      </c>
      <c r="I236" s="38">
        <v>109</v>
      </c>
      <c r="J236" s="38">
        <v>591</v>
      </c>
      <c r="K236" s="38">
        <v>115</v>
      </c>
      <c r="L236" s="38">
        <v>361</v>
      </c>
      <c r="M236" s="38">
        <v>69</v>
      </c>
      <c r="N236" s="38">
        <v>35</v>
      </c>
      <c r="O236" s="38">
        <v>10</v>
      </c>
      <c r="P236" s="38"/>
      <c r="Q236" s="38"/>
      <c r="R236" s="38">
        <v>1505</v>
      </c>
      <c r="S236" s="38">
        <v>256</v>
      </c>
      <c r="T236" s="38">
        <v>833</v>
      </c>
      <c r="U236" s="38">
        <v>74</v>
      </c>
      <c r="V236" s="38">
        <v>208</v>
      </c>
      <c r="W236" s="38">
        <v>109</v>
      </c>
      <c r="X236" s="38">
        <v>4</v>
      </c>
      <c r="Y236" s="38">
        <v>21</v>
      </c>
      <c r="Z236" s="38"/>
      <c r="AA236" s="38">
        <f t="shared" si="36"/>
        <v>1089</v>
      </c>
      <c r="AB236" s="39">
        <v>8.4496123999999995</v>
      </c>
      <c r="AC236" s="39">
        <v>45.813953499999997</v>
      </c>
      <c r="AD236" s="39">
        <v>8.9147286999999995</v>
      </c>
      <c r="AE236" s="39">
        <v>27.984496100000001</v>
      </c>
      <c r="AF236" s="39">
        <v>5.3488372000000002</v>
      </c>
      <c r="AG236" s="39">
        <v>2.7131783</v>
      </c>
      <c r="AH236" s="39">
        <v>0.77519380000000004</v>
      </c>
      <c r="AI236" s="39"/>
      <c r="AJ236" s="39"/>
      <c r="AK236" s="39">
        <v>17.009966800000001</v>
      </c>
      <c r="AL236" s="39">
        <v>55.348837199999998</v>
      </c>
      <c r="AM236" s="39">
        <v>4.9169435000000004</v>
      </c>
      <c r="AN236" s="39">
        <v>13.820598</v>
      </c>
      <c r="AO236" s="39">
        <v>7.2425249000000003</v>
      </c>
      <c r="AP236" s="39">
        <v>0.26578069999999998</v>
      </c>
      <c r="AQ236" s="39">
        <v>1.3953488000000001</v>
      </c>
      <c r="AR236" s="40">
        <f t="shared" si="34"/>
        <v>72.358803999999992</v>
      </c>
      <c r="AS236" s="40"/>
    </row>
    <row r="237" spans="2:45" ht="15" hidden="1" customHeight="1" x14ac:dyDescent="0.25">
      <c r="B237" s="35">
        <v>231</v>
      </c>
      <c r="C237" s="36" t="s">
        <v>31</v>
      </c>
      <c r="D237" s="36" t="s">
        <v>66</v>
      </c>
      <c r="E237" s="36" t="s">
        <v>99</v>
      </c>
      <c r="F237" s="36" t="s">
        <v>101</v>
      </c>
      <c r="G237" s="37" t="s">
        <v>26</v>
      </c>
      <c r="H237" s="38">
        <v>3391</v>
      </c>
      <c r="I237" s="38">
        <v>81</v>
      </c>
      <c r="J237" s="38">
        <v>9</v>
      </c>
      <c r="K237" s="38">
        <v>770</v>
      </c>
      <c r="L237" s="38">
        <v>735</v>
      </c>
      <c r="M237" s="38">
        <v>1224</v>
      </c>
      <c r="N237" s="38">
        <v>492</v>
      </c>
      <c r="O237" s="38">
        <v>80</v>
      </c>
      <c r="P237" s="38"/>
      <c r="Q237" s="38">
        <f t="shared" ref="Q237:Q238" si="37">I237+J237</f>
        <v>90</v>
      </c>
      <c r="R237" s="38">
        <v>4764</v>
      </c>
      <c r="S237" s="38">
        <v>138</v>
      </c>
      <c r="T237" s="38">
        <v>179</v>
      </c>
      <c r="U237" s="38">
        <v>829</v>
      </c>
      <c r="V237" s="38">
        <v>423</v>
      </c>
      <c r="W237" s="38">
        <v>2340</v>
      </c>
      <c r="X237" s="38">
        <v>782</v>
      </c>
      <c r="Y237" s="38">
        <v>73</v>
      </c>
      <c r="Z237" s="38"/>
      <c r="AA237" s="38"/>
      <c r="AB237" s="39">
        <v>2.3886759</v>
      </c>
      <c r="AC237" s="39">
        <v>0.26540839999999999</v>
      </c>
      <c r="AD237" s="39">
        <v>22.707166000000001</v>
      </c>
      <c r="AE237" s="39">
        <v>21.6750221</v>
      </c>
      <c r="AF237" s="39">
        <v>36.095547000000003</v>
      </c>
      <c r="AG237" s="39">
        <v>14.508994400000001</v>
      </c>
      <c r="AH237" s="39">
        <v>2.3591861000000001</v>
      </c>
      <c r="AI237" s="39"/>
      <c r="AJ237" s="39"/>
      <c r="AK237" s="39">
        <v>2.8967253999999998</v>
      </c>
      <c r="AL237" s="39">
        <v>3.7573468000000001</v>
      </c>
      <c r="AM237" s="39">
        <v>17.401343399999998</v>
      </c>
      <c r="AN237" s="39">
        <v>8.8790931999999998</v>
      </c>
      <c r="AO237" s="39">
        <v>49.118387900000002</v>
      </c>
      <c r="AP237" s="39">
        <v>16.4147775</v>
      </c>
      <c r="AQ237" s="39">
        <v>1.5323258</v>
      </c>
      <c r="AR237" s="40">
        <f t="shared" si="34"/>
        <v>6.6540721999999999</v>
      </c>
      <c r="AS237" s="40"/>
    </row>
    <row r="238" spans="2:45" ht="15" customHeight="1" x14ac:dyDescent="0.25">
      <c r="B238" s="41">
        <v>232</v>
      </c>
      <c r="C238" s="42" t="s">
        <v>31</v>
      </c>
      <c r="D238" s="51" t="s">
        <v>66</v>
      </c>
      <c r="E238" s="51" t="s">
        <v>99</v>
      </c>
      <c r="F238" s="51" t="s">
        <v>102</v>
      </c>
      <c r="G238" s="52" t="s">
        <v>102</v>
      </c>
      <c r="H238" s="43">
        <v>2980</v>
      </c>
      <c r="I238" s="43">
        <v>130</v>
      </c>
      <c r="J238" s="43">
        <v>6</v>
      </c>
      <c r="K238" s="43">
        <v>562</v>
      </c>
      <c r="L238" s="43">
        <v>705</v>
      </c>
      <c r="M238" s="43">
        <v>1311</v>
      </c>
      <c r="N238" s="43">
        <v>184</v>
      </c>
      <c r="O238" s="43">
        <v>82</v>
      </c>
      <c r="P238" s="44">
        <f>K238+L238+M238+N238+O238</f>
        <v>2844</v>
      </c>
      <c r="Q238" s="44">
        <f t="shared" si="37"/>
        <v>136</v>
      </c>
      <c r="R238" s="43">
        <v>4152</v>
      </c>
      <c r="S238" s="43">
        <v>279</v>
      </c>
      <c r="T238" s="43">
        <v>70</v>
      </c>
      <c r="U238" s="43">
        <v>423</v>
      </c>
      <c r="V238" s="43">
        <v>273</v>
      </c>
      <c r="W238" s="43">
        <v>2305</v>
      </c>
      <c r="X238" s="43">
        <v>738</v>
      </c>
      <c r="Y238" s="43">
        <v>64</v>
      </c>
      <c r="Z238" s="45">
        <f>U238+V238+W238+X238+Y238</f>
        <v>3803</v>
      </c>
      <c r="AA238" s="45">
        <f>S238+T238</f>
        <v>349</v>
      </c>
      <c r="AB238" s="46">
        <v>4.3624160999999999</v>
      </c>
      <c r="AC238" s="46">
        <v>0.2013423</v>
      </c>
      <c r="AD238" s="46">
        <v>18.859060400000001</v>
      </c>
      <c r="AE238" s="46">
        <v>23.6577181</v>
      </c>
      <c r="AF238" s="46">
        <v>43.9932886</v>
      </c>
      <c r="AG238" s="46">
        <v>6.1744966000000003</v>
      </c>
      <c r="AH238" s="46">
        <v>2.7516778999999998</v>
      </c>
      <c r="AI238" s="47">
        <f>AB238+AC238</f>
        <v>4.5637584000000002</v>
      </c>
      <c r="AJ238" s="47">
        <f>AD238+AE238+AF238+AG238+AH238</f>
        <v>95.436241600000002</v>
      </c>
      <c r="AK238" s="46">
        <v>6.7196531999999998</v>
      </c>
      <c r="AL238" s="46">
        <v>1.6859344999999999</v>
      </c>
      <c r="AM238" s="46">
        <v>10.1878613</v>
      </c>
      <c r="AN238" s="46">
        <v>6.5751445000000004</v>
      </c>
      <c r="AO238" s="46">
        <v>55.515414300000003</v>
      </c>
      <c r="AP238" s="46">
        <v>17.774566499999999</v>
      </c>
      <c r="AQ238" s="46">
        <v>1.5414258000000001</v>
      </c>
      <c r="AR238" s="48">
        <f t="shared" si="34"/>
        <v>8.4055876999999999</v>
      </c>
      <c r="AS238" s="48">
        <f>AM238+AN238+AO238+AP238+AQ238</f>
        <v>91.594412399999996</v>
      </c>
    </row>
    <row r="239" spans="2:45" ht="15" hidden="1" customHeight="1" x14ac:dyDescent="0.25">
      <c r="B239" s="35">
        <v>233</v>
      </c>
      <c r="C239" s="36" t="s">
        <v>31</v>
      </c>
      <c r="D239" s="36" t="s">
        <v>66</v>
      </c>
      <c r="E239" s="36" t="s">
        <v>99</v>
      </c>
      <c r="F239" s="36" t="s">
        <v>102</v>
      </c>
      <c r="G239" s="37" t="s">
        <v>25</v>
      </c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40"/>
      <c r="AS239" s="40"/>
    </row>
    <row r="240" spans="2:45" ht="15" hidden="1" customHeight="1" x14ac:dyDescent="0.25">
      <c r="B240" s="35">
        <v>234</v>
      </c>
      <c r="C240" s="36" t="s">
        <v>31</v>
      </c>
      <c r="D240" s="36" t="s">
        <v>66</v>
      </c>
      <c r="E240" s="36" t="s">
        <v>99</v>
      </c>
      <c r="F240" s="36" t="s">
        <v>102</v>
      </c>
      <c r="G240" s="37" t="s">
        <v>26</v>
      </c>
      <c r="H240" s="38">
        <v>2980</v>
      </c>
      <c r="I240" s="38">
        <v>130</v>
      </c>
      <c r="J240" s="38">
        <v>6</v>
      </c>
      <c r="K240" s="38">
        <v>562</v>
      </c>
      <c r="L240" s="38">
        <v>705</v>
      </c>
      <c r="M240" s="38">
        <v>1311</v>
      </c>
      <c r="N240" s="38">
        <v>184</v>
      </c>
      <c r="O240" s="38">
        <v>82</v>
      </c>
      <c r="P240" s="38"/>
      <c r="Q240" s="38"/>
      <c r="R240" s="38">
        <v>4152</v>
      </c>
      <c r="S240" s="38">
        <v>279</v>
      </c>
      <c r="T240" s="38">
        <v>70</v>
      </c>
      <c r="U240" s="38">
        <v>423</v>
      </c>
      <c r="V240" s="38">
        <v>273</v>
      </c>
      <c r="W240" s="38">
        <v>2305</v>
      </c>
      <c r="X240" s="38">
        <v>738</v>
      </c>
      <c r="Y240" s="38">
        <v>64</v>
      </c>
      <c r="Z240" s="38"/>
      <c r="AA240" s="38"/>
      <c r="AB240" s="39">
        <v>4.3624160999999999</v>
      </c>
      <c r="AC240" s="39">
        <v>0.2013423</v>
      </c>
      <c r="AD240" s="39">
        <v>18.859060400000001</v>
      </c>
      <c r="AE240" s="39">
        <v>23.6577181</v>
      </c>
      <c r="AF240" s="39">
        <v>43.9932886</v>
      </c>
      <c r="AG240" s="39">
        <v>6.1744966000000003</v>
      </c>
      <c r="AH240" s="39">
        <v>2.7516778999999998</v>
      </c>
      <c r="AI240" s="39"/>
      <c r="AJ240" s="39"/>
      <c r="AK240" s="39">
        <v>6.7196531999999998</v>
      </c>
      <c r="AL240" s="39">
        <v>1.6859344999999999</v>
      </c>
      <c r="AM240" s="39">
        <v>10.1878613</v>
      </c>
      <c r="AN240" s="39">
        <v>6.5751445000000004</v>
      </c>
      <c r="AO240" s="39">
        <v>55.515414300000003</v>
      </c>
      <c r="AP240" s="39">
        <v>17.774566499999999</v>
      </c>
      <c r="AQ240" s="39">
        <v>1.5414258000000001</v>
      </c>
      <c r="AR240" s="40"/>
      <c r="AS240" s="40"/>
    </row>
    <row r="241" spans="2:45" ht="15" customHeight="1" x14ac:dyDescent="0.25">
      <c r="B241" s="41">
        <v>235</v>
      </c>
      <c r="C241" s="42" t="s">
        <v>31</v>
      </c>
      <c r="D241" s="51" t="s">
        <v>66</v>
      </c>
      <c r="E241" s="51" t="s">
        <v>99</v>
      </c>
      <c r="F241" s="51" t="s">
        <v>103</v>
      </c>
      <c r="G241" s="52" t="s">
        <v>103</v>
      </c>
      <c r="H241" s="43">
        <v>1027</v>
      </c>
      <c r="I241" s="43">
        <v>4</v>
      </c>
      <c r="J241" s="43">
        <v>1</v>
      </c>
      <c r="K241" s="43">
        <v>159</v>
      </c>
      <c r="L241" s="43">
        <v>323</v>
      </c>
      <c r="M241" s="43">
        <v>455</v>
      </c>
      <c r="N241" s="43">
        <v>61</v>
      </c>
      <c r="O241" s="43">
        <v>24</v>
      </c>
      <c r="P241" s="44">
        <f>K241+L241+M241+N241+O241</f>
        <v>1022</v>
      </c>
      <c r="Q241" s="44">
        <f>I241+J241</f>
        <v>5</v>
      </c>
      <c r="R241" s="43">
        <v>1391</v>
      </c>
      <c r="S241" s="43">
        <v>52</v>
      </c>
      <c r="T241" s="43">
        <v>39</v>
      </c>
      <c r="U241" s="43">
        <v>104</v>
      </c>
      <c r="V241" s="43">
        <v>105</v>
      </c>
      <c r="W241" s="43">
        <v>954</v>
      </c>
      <c r="X241" s="43">
        <v>113</v>
      </c>
      <c r="Y241" s="43">
        <v>24</v>
      </c>
      <c r="Z241" s="45">
        <f>U241+V241+W241+X241+Y241</f>
        <v>1300</v>
      </c>
      <c r="AA241" s="45">
        <f>S241+T241</f>
        <v>91</v>
      </c>
      <c r="AB241" s="46">
        <v>0.38948389999999999</v>
      </c>
      <c r="AC241" s="46">
        <v>9.7370999999999999E-2</v>
      </c>
      <c r="AD241" s="46">
        <v>15.4819864</v>
      </c>
      <c r="AE241" s="46">
        <v>31.450827700000001</v>
      </c>
      <c r="AF241" s="46">
        <v>44.303797500000002</v>
      </c>
      <c r="AG241" s="46">
        <v>5.9396300000000002</v>
      </c>
      <c r="AH241" s="46">
        <v>2.3369035999999999</v>
      </c>
      <c r="AI241" s="47">
        <f>AB241+AC241</f>
        <v>0.48685489999999998</v>
      </c>
      <c r="AJ241" s="47">
        <f>AD241+AE241+AF241+AG241+AH241</f>
        <v>99.513145199999997</v>
      </c>
      <c r="AK241" s="46">
        <v>3.7383177999999999</v>
      </c>
      <c r="AL241" s="46">
        <v>2.8037383</v>
      </c>
      <c r="AM241" s="46">
        <v>7.4766355000000004</v>
      </c>
      <c r="AN241" s="46">
        <v>7.5485262000000004</v>
      </c>
      <c r="AO241" s="46">
        <v>68.583752700000005</v>
      </c>
      <c r="AP241" s="46">
        <v>8.1236519999999999</v>
      </c>
      <c r="AQ241" s="46">
        <v>1.7253773999999999</v>
      </c>
      <c r="AR241" s="48">
        <f>AK241+AL241</f>
        <v>6.5420560999999999</v>
      </c>
      <c r="AS241" s="48">
        <f>AM241+AN241+AO241+AP241+AQ241</f>
        <v>93.457943799999995</v>
      </c>
    </row>
    <row r="242" spans="2:45" ht="15" hidden="1" customHeight="1" x14ac:dyDescent="0.25">
      <c r="B242" s="35">
        <v>236</v>
      </c>
      <c r="C242" s="36" t="s">
        <v>31</v>
      </c>
      <c r="D242" s="36" t="s">
        <v>66</v>
      </c>
      <c r="E242" s="36" t="s">
        <v>99</v>
      </c>
      <c r="F242" s="36" t="s">
        <v>103</v>
      </c>
      <c r="G242" s="37" t="s">
        <v>25</v>
      </c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40"/>
      <c r="AS242" s="40"/>
    </row>
    <row r="243" spans="2:45" ht="15" hidden="1" customHeight="1" x14ac:dyDescent="0.25">
      <c r="B243" s="35">
        <v>237</v>
      </c>
      <c r="C243" s="36" t="s">
        <v>31</v>
      </c>
      <c r="D243" s="36" t="s">
        <v>66</v>
      </c>
      <c r="E243" s="36" t="s">
        <v>99</v>
      </c>
      <c r="F243" s="36" t="s">
        <v>103</v>
      </c>
      <c r="G243" s="37" t="s">
        <v>26</v>
      </c>
      <c r="H243" s="38">
        <v>1027</v>
      </c>
      <c r="I243" s="38">
        <v>4</v>
      </c>
      <c r="J243" s="38">
        <v>1</v>
      </c>
      <c r="K243" s="38">
        <v>159</v>
      </c>
      <c r="L243" s="38">
        <v>323</v>
      </c>
      <c r="M243" s="38">
        <v>455</v>
      </c>
      <c r="N243" s="38">
        <v>61</v>
      </c>
      <c r="O243" s="38">
        <v>24</v>
      </c>
      <c r="P243" s="38"/>
      <c r="Q243" s="38"/>
      <c r="R243" s="38">
        <v>1391</v>
      </c>
      <c r="S243" s="38">
        <v>52</v>
      </c>
      <c r="T243" s="38">
        <v>39</v>
      </c>
      <c r="U243" s="38">
        <v>104</v>
      </c>
      <c r="V243" s="38">
        <v>105</v>
      </c>
      <c r="W243" s="38">
        <v>954</v>
      </c>
      <c r="X243" s="38">
        <v>113</v>
      </c>
      <c r="Y243" s="38">
        <v>24</v>
      </c>
      <c r="Z243" s="38"/>
      <c r="AA243" s="38"/>
      <c r="AB243" s="39">
        <v>0.38948389999999999</v>
      </c>
      <c r="AC243" s="39">
        <v>9.7370999999999999E-2</v>
      </c>
      <c r="AD243" s="39">
        <v>15.4819864</v>
      </c>
      <c r="AE243" s="39">
        <v>31.450827700000001</v>
      </c>
      <c r="AF243" s="39">
        <v>44.303797500000002</v>
      </c>
      <c r="AG243" s="39">
        <v>5.9396300000000002</v>
      </c>
      <c r="AH243" s="39">
        <v>2.3369035999999999</v>
      </c>
      <c r="AI243" s="39"/>
      <c r="AJ243" s="39"/>
      <c r="AK243" s="39">
        <v>3.7383177999999999</v>
      </c>
      <c r="AL243" s="39">
        <v>2.8037383</v>
      </c>
      <c r="AM243" s="39">
        <v>7.4766355000000004</v>
      </c>
      <c r="AN243" s="39">
        <v>7.5485262000000004</v>
      </c>
      <c r="AO243" s="39">
        <v>68.583752700000005</v>
      </c>
      <c r="AP243" s="39">
        <v>8.1236519999999999</v>
      </c>
      <c r="AQ243" s="39">
        <v>1.7253773999999999</v>
      </c>
      <c r="AR243" s="40"/>
      <c r="AS243" s="40"/>
    </row>
    <row r="244" spans="2:45" ht="15" customHeight="1" x14ac:dyDescent="0.25">
      <c r="B244" s="41">
        <v>238</v>
      </c>
      <c r="C244" s="42" t="s">
        <v>31</v>
      </c>
      <c r="D244" s="51" t="s">
        <v>66</v>
      </c>
      <c r="E244" s="51" t="s">
        <v>99</v>
      </c>
      <c r="F244" s="51" t="s">
        <v>104</v>
      </c>
      <c r="G244" s="52" t="s">
        <v>104</v>
      </c>
      <c r="H244" s="43">
        <v>994</v>
      </c>
      <c r="I244" s="43">
        <v>2</v>
      </c>
      <c r="J244" s="43">
        <v>1</v>
      </c>
      <c r="K244" s="43">
        <v>347</v>
      </c>
      <c r="L244" s="43">
        <v>389</v>
      </c>
      <c r="M244" s="43">
        <v>209</v>
      </c>
      <c r="N244" s="43">
        <v>39</v>
      </c>
      <c r="O244" s="43">
        <v>7</v>
      </c>
      <c r="P244" s="44">
        <f>K244+L244+M244+N244+O244</f>
        <v>991</v>
      </c>
      <c r="Q244" s="44">
        <f>I244+J244</f>
        <v>3</v>
      </c>
      <c r="R244" s="43">
        <v>1425</v>
      </c>
      <c r="S244" s="43">
        <v>382</v>
      </c>
      <c r="T244" s="43">
        <v>18</v>
      </c>
      <c r="U244" s="43">
        <v>258</v>
      </c>
      <c r="V244" s="43">
        <v>129</v>
      </c>
      <c r="W244" s="43">
        <v>544</v>
      </c>
      <c r="X244" s="43">
        <v>67</v>
      </c>
      <c r="Y244" s="43">
        <v>27</v>
      </c>
      <c r="Z244" s="45">
        <f>U244+V244+W244+X244+Y244</f>
        <v>1025</v>
      </c>
      <c r="AA244" s="45">
        <f>S244+T244</f>
        <v>400</v>
      </c>
      <c r="AB244" s="46">
        <v>0.2012072</v>
      </c>
      <c r="AC244" s="46">
        <v>0.1006036</v>
      </c>
      <c r="AD244" s="46">
        <v>34.9094567</v>
      </c>
      <c r="AE244" s="46">
        <v>39.134808900000003</v>
      </c>
      <c r="AF244" s="46">
        <v>21.0261569</v>
      </c>
      <c r="AG244" s="46">
        <v>3.9235411999999998</v>
      </c>
      <c r="AH244" s="46">
        <v>0.7042254</v>
      </c>
      <c r="AI244" s="47">
        <f>AB244+AC244</f>
        <v>0.30181079999999999</v>
      </c>
      <c r="AJ244" s="47">
        <f>AD244+AE244+AF244+AG244+AH244</f>
        <v>99.698189100000008</v>
      </c>
      <c r="AK244" s="46">
        <v>26.807017500000001</v>
      </c>
      <c r="AL244" s="46">
        <v>1.2631578999999999</v>
      </c>
      <c r="AM244" s="46">
        <v>18.1052632</v>
      </c>
      <c r="AN244" s="46">
        <v>9.0526315999999998</v>
      </c>
      <c r="AO244" s="46">
        <v>38.1754386</v>
      </c>
      <c r="AP244" s="46">
        <v>4.7017543999999996</v>
      </c>
      <c r="AQ244" s="46">
        <v>1.8947368</v>
      </c>
      <c r="AR244" s="48">
        <f>AK244+AL244</f>
        <v>28.0701754</v>
      </c>
      <c r="AS244" s="48">
        <f>AM244+AN244+AO244+AP244+AQ244</f>
        <v>71.929824600000003</v>
      </c>
    </row>
    <row r="245" spans="2:45" ht="15" hidden="1" customHeight="1" x14ac:dyDescent="0.25">
      <c r="B245" s="35">
        <v>239</v>
      </c>
      <c r="C245" s="36" t="s">
        <v>31</v>
      </c>
      <c r="D245" s="36" t="s">
        <v>66</v>
      </c>
      <c r="E245" s="36" t="s">
        <v>99</v>
      </c>
      <c r="F245" s="36" t="s">
        <v>104</v>
      </c>
      <c r="G245" s="37" t="s">
        <v>25</v>
      </c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40"/>
      <c r="AS245" s="40"/>
    </row>
    <row r="246" spans="2:45" ht="15" hidden="1" customHeight="1" x14ac:dyDescent="0.25">
      <c r="B246" s="35">
        <v>240</v>
      </c>
      <c r="C246" s="36" t="s">
        <v>31</v>
      </c>
      <c r="D246" s="36" t="s">
        <v>66</v>
      </c>
      <c r="E246" s="36" t="s">
        <v>99</v>
      </c>
      <c r="F246" s="36" t="s">
        <v>104</v>
      </c>
      <c r="G246" s="37" t="s">
        <v>26</v>
      </c>
      <c r="H246" s="38">
        <v>994</v>
      </c>
      <c r="I246" s="38">
        <v>2</v>
      </c>
      <c r="J246" s="38">
        <v>1</v>
      </c>
      <c r="K246" s="38">
        <v>347</v>
      </c>
      <c r="L246" s="38">
        <v>389</v>
      </c>
      <c r="M246" s="38">
        <v>209</v>
      </c>
      <c r="N246" s="38">
        <v>39</v>
      </c>
      <c r="O246" s="38">
        <v>7</v>
      </c>
      <c r="P246" s="38"/>
      <c r="Q246" s="38"/>
      <c r="R246" s="38">
        <v>1425</v>
      </c>
      <c r="S246" s="38">
        <v>382</v>
      </c>
      <c r="T246" s="38">
        <v>18</v>
      </c>
      <c r="U246" s="38">
        <v>258</v>
      </c>
      <c r="V246" s="38">
        <v>129</v>
      </c>
      <c r="W246" s="38">
        <v>544</v>
      </c>
      <c r="X246" s="38">
        <v>67</v>
      </c>
      <c r="Y246" s="38">
        <v>27</v>
      </c>
      <c r="Z246" s="38"/>
      <c r="AA246" s="38"/>
      <c r="AB246" s="39">
        <v>0.2012072</v>
      </c>
      <c r="AC246" s="39">
        <v>0.1006036</v>
      </c>
      <c r="AD246" s="39">
        <v>34.9094567</v>
      </c>
      <c r="AE246" s="39">
        <v>39.134808900000003</v>
      </c>
      <c r="AF246" s="39">
        <v>21.0261569</v>
      </c>
      <c r="AG246" s="39">
        <v>3.9235411999999998</v>
      </c>
      <c r="AH246" s="39">
        <v>0.7042254</v>
      </c>
      <c r="AI246" s="39"/>
      <c r="AJ246" s="39"/>
      <c r="AK246" s="39">
        <v>26.807017500000001</v>
      </c>
      <c r="AL246" s="39">
        <v>1.2631578999999999</v>
      </c>
      <c r="AM246" s="39">
        <v>18.1052632</v>
      </c>
      <c r="AN246" s="39">
        <v>9.0526315999999998</v>
      </c>
      <c r="AO246" s="39">
        <v>38.1754386</v>
      </c>
      <c r="AP246" s="39">
        <v>4.7017543999999996</v>
      </c>
      <c r="AQ246" s="39">
        <v>1.8947368</v>
      </c>
      <c r="AR246" s="40"/>
      <c r="AS246" s="40"/>
    </row>
    <row r="247" spans="2:45" ht="15" customHeight="1" x14ac:dyDescent="0.25">
      <c r="B247" s="41">
        <v>241</v>
      </c>
      <c r="C247" s="42" t="s">
        <v>31</v>
      </c>
      <c r="D247" s="51" t="s">
        <v>66</v>
      </c>
      <c r="E247" s="51" t="s">
        <v>99</v>
      </c>
      <c r="F247" s="51" t="s">
        <v>105</v>
      </c>
      <c r="G247" s="52" t="s">
        <v>105</v>
      </c>
      <c r="H247" s="43">
        <v>3457</v>
      </c>
      <c r="I247" s="43">
        <v>49</v>
      </c>
      <c r="J247" s="43">
        <v>29</v>
      </c>
      <c r="K247" s="43">
        <v>573</v>
      </c>
      <c r="L247" s="43">
        <v>2243</v>
      </c>
      <c r="M247" s="43">
        <v>401</v>
      </c>
      <c r="N247" s="43">
        <v>68</v>
      </c>
      <c r="O247" s="43">
        <v>94</v>
      </c>
      <c r="P247" s="44">
        <f>K247+L247+M247+N247+O247</f>
        <v>3379</v>
      </c>
      <c r="Q247" s="44">
        <f>I247+J247</f>
        <v>78</v>
      </c>
      <c r="R247" s="43">
        <v>3243</v>
      </c>
      <c r="S247" s="43">
        <v>156</v>
      </c>
      <c r="T247" s="43">
        <v>633</v>
      </c>
      <c r="U247" s="43">
        <v>555</v>
      </c>
      <c r="V247" s="43">
        <v>1038</v>
      </c>
      <c r="W247" s="43">
        <v>658</v>
      </c>
      <c r="X247" s="43">
        <v>155</v>
      </c>
      <c r="Y247" s="43">
        <v>48</v>
      </c>
      <c r="Z247" s="45">
        <f>U247+V247+W247+X247+Y247</f>
        <v>2454</v>
      </c>
      <c r="AA247" s="45">
        <f>S247+T247</f>
        <v>789</v>
      </c>
      <c r="AB247" s="46">
        <v>1.4174138999999999</v>
      </c>
      <c r="AC247" s="46">
        <v>0.8388776</v>
      </c>
      <c r="AD247" s="46">
        <v>16.5750651</v>
      </c>
      <c r="AE247" s="46">
        <v>64.882846400000005</v>
      </c>
      <c r="AF247" s="46">
        <v>11.599652900000001</v>
      </c>
      <c r="AG247" s="46">
        <v>1.9670234</v>
      </c>
      <c r="AH247" s="46">
        <v>2.7191206000000001</v>
      </c>
      <c r="AI247" s="47">
        <f>AB247+AC247</f>
        <v>2.2562914999999997</v>
      </c>
      <c r="AJ247" s="47">
        <f>AD247+AE247+AF247+AG247+AH247</f>
        <v>97.743708400000003</v>
      </c>
      <c r="AK247" s="46">
        <v>4.8103607999999998</v>
      </c>
      <c r="AL247" s="46">
        <v>19.518963899999999</v>
      </c>
      <c r="AM247" s="46">
        <v>17.1137835</v>
      </c>
      <c r="AN247" s="46">
        <v>32.007400599999997</v>
      </c>
      <c r="AO247" s="46">
        <v>20.2898551</v>
      </c>
      <c r="AP247" s="46">
        <v>4.7795250999999999</v>
      </c>
      <c r="AQ247" s="46">
        <v>1.480111</v>
      </c>
      <c r="AR247" s="48">
        <f>AK247+AL247</f>
        <v>24.329324700000001</v>
      </c>
      <c r="AS247" s="48">
        <f>AM247+AN247+AO247+AP247+AQ247</f>
        <v>75.670675299999985</v>
      </c>
    </row>
    <row r="248" spans="2:45" ht="15" hidden="1" customHeight="1" x14ac:dyDescent="0.25">
      <c r="B248" s="35">
        <v>242</v>
      </c>
      <c r="C248" s="36" t="s">
        <v>31</v>
      </c>
      <c r="D248" s="36" t="s">
        <v>66</v>
      </c>
      <c r="E248" s="36" t="s">
        <v>99</v>
      </c>
      <c r="F248" s="36" t="s">
        <v>105</v>
      </c>
      <c r="G248" s="37" t="s">
        <v>25</v>
      </c>
      <c r="H248" s="38">
        <v>740</v>
      </c>
      <c r="I248" s="38">
        <v>23</v>
      </c>
      <c r="J248" s="38">
        <v>9</v>
      </c>
      <c r="K248" s="38">
        <v>244</v>
      </c>
      <c r="L248" s="38">
        <v>362</v>
      </c>
      <c r="M248" s="38">
        <v>86</v>
      </c>
      <c r="N248" s="38">
        <v>1</v>
      </c>
      <c r="O248" s="38">
        <v>15</v>
      </c>
      <c r="P248" s="38"/>
      <c r="Q248" s="38"/>
      <c r="R248" s="38">
        <v>893</v>
      </c>
      <c r="S248" s="38">
        <v>96</v>
      </c>
      <c r="T248" s="38">
        <v>447</v>
      </c>
      <c r="U248" s="38">
        <v>124</v>
      </c>
      <c r="V248" s="38">
        <v>90</v>
      </c>
      <c r="W248" s="38">
        <v>97</v>
      </c>
      <c r="X248" s="38">
        <v>6</v>
      </c>
      <c r="Y248" s="38">
        <v>33</v>
      </c>
      <c r="Z248" s="38"/>
      <c r="AA248" s="38"/>
      <c r="AB248" s="39">
        <v>3.1081080999999999</v>
      </c>
      <c r="AC248" s="39">
        <v>1.2162162000000001</v>
      </c>
      <c r="AD248" s="39">
        <v>32.972973000000003</v>
      </c>
      <c r="AE248" s="39">
        <v>48.918918900000001</v>
      </c>
      <c r="AF248" s="39">
        <v>11.621621599999999</v>
      </c>
      <c r="AG248" s="39">
        <v>0.13513510000000001</v>
      </c>
      <c r="AH248" s="39">
        <v>2.0270269999999999</v>
      </c>
      <c r="AI248" s="39"/>
      <c r="AJ248" s="39"/>
      <c r="AK248" s="39">
        <v>10.75028</v>
      </c>
      <c r="AL248" s="39">
        <v>50.055990999999999</v>
      </c>
      <c r="AM248" s="39">
        <v>13.8857783</v>
      </c>
      <c r="AN248" s="39">
        <v>10.0783875</v>
      </c>
      <c r="AO248" s="39">
        <v>10.862261999999999</v>
      </c>
      <c r="AP248" s="39">
        <v>0.6718925</v>
      </c>
      <c r="AQ248" s="39">
        <v>3.6954087000000002</v>
      </c>
      <c r="AR248" s="40"/>
      <c r="AS248" s="40"/>
    </row>
    <row r="249" spans="2:45" ht="15" hidden="1" customHeight="1" x14ac:dyDescent="0.25">
      <c r="B249" s="35">
        <v>243</v>
      </c>
      <c r="C249" s="36" t="s">
        <v>31</v>
      </c>
      <c r="D249" s="36" t="s">
        <v>66</v>
      </c>
      <c r="E249" s="36" t="s">
        <v>99</v>
      </c>
      <c r="F249" s="36" t="s">
        <v>105</v>
      </c>
      <c r="G249" s="37" t="s">
        <v>26</v>
      </c>
      <c r="H249" s="38">
        <v>2717</v>
      </c>
      <c r="I249" s="38">
        <v>26</v>
      </c>
      <c r="J249" s="38">
        <v>20</v>
      </c>
      <c r="K249" s="38">
        <v>329</v>
      </c>
      <c r="L249" s="38">
        <v>1881</v>
      </c>
      <c r="M249" s="38">
        <v>315</v>
      </c>
      <c r="N249" s="38">
        <v>67</v>
      </c>
      <c r="O249" s="38">
        <v>79</v>
      </c>
      <c r="P249" s="38"/>
      <c r="Q249" s="38"/>
      <c r="R249" s="38">
        <v>2350</v>
      </c>
      <c r="S249" s="38">
        <v>60</v>
      </c>
      <c r="T249" s="38">
        <v>186</v>
      </c>
      <c r="U249" s="38">
        <v>431</v>
      </c>
      <c r="V249" s="38">
        <v>948</v>
      </c>
      <c r="W249" s="38">
        <v>561</v>
      </c>
      <c r="X249" s="38">
        <v>149</v>
      </c>
      <c r="Y249" s="38">
        <v>15</v>
      </c>
      <c r="Z249" s="38"/>
      <c r="AA249" s="38"/>
      <c r="AB249" s="39">
        <v>0.95693779999999995</v>
      </c>
      <c r="AC249" s="39">
        <v>0.73610600000000004</v>
      </c>
      <c r="AD249" s="39">
        <v>12.108943699999999</v>
      </c>
      <c r="AE249" s="39">
        <v>69.230769199999997</v>
      </c>
      <c r="AF249" s="39">
        <v>11.593669500000001</v>
      </c>
      <c r="AG249" s="39">
        <v>2.4659551</v>
      </c>
      <c r="AH249" s="39">
        <v>2.9076187</v>
      </c>
      <c r="AI249" s="39"/>
      <c r="AJ249" s="39"/>
      <c r="AK249" s="39">
        <v>2.5531915000000001</v>
      </c>
      <c r="AL249" s="39">
        <v>7.9148936000000001</v>
      </c>
      <c r="AM249" s="39">
        <v>18.340425499999998</v>
      </c>
      <c r="AN249" s="39">
        <v>40.340425500000002</v>
      </c>
      <c r="AO249" s="39">
        <v>23.872340399999999</v>
      </c>
      <c r="AP249" s="39">
        <v>6.3404255000000003</v>
      </c>
      <c r="AQ249" s="39">
        <v>0.63829789999999997</v>
      </c>
      <c r="AR249" s="40"/>
      <c r="AS249" s="40"/>
    </row>
    <row r="250" spans="2:45" ht="15" customHeight="1" x14ac:dyDescent="0.25">
      <c r="B250" s="41">
        <v>244</v>
      </c>
      <c r="C250" s="42" t="s">
        <v>31</v>
      </c>
      <c r="D250" s="51" t="s">
        <v>66</v>
      </c>
      <c r="E250" s="51" t="s">
        <v>99</v>
      </c>
      <c r="F250" s="51" t="s">
        <v>106</v>
      </c>
      <c r="G250" s="52" t="s">
        <v>106</v>
      </c>
      <c r="H250" s="43">
        <v>4050</v>
      </c>
      <c r="I250" s="43">
        <v>246</v>
      </c>
      <c r="J250" s="43">
        <v>1255</v>
      </c>
      <c r="K250" s="43">
        <v>486</v>
      </c>
      <c r="L250" s="43">
        <v>301</v>
      </c>
      <c r="M250" s="43">
        <v>1347</v>
      </c>
      <c r="N250" s="43">
        <v>287</v>
      </c>
      <c r="O250" s="43">
        <v>128</v>
      </c>
      <c r="P250" s="44">
        <f>K250+L250+M250+N250+O250</f>
        <v>2549</v>
      </c>
      <c r="Q250" s="44">
        <f>I250+J250</f>
        <v>1501</v>
      </c>
      <c r="R250" s="43">
        <v>6898</v>
      </c>
      <c r="S250" s="43">
        <v>658</v>
      </c>
      <c r="T250" s="43">
        <v>2740</v>
      </c>
      <c r="U250" s="43">
        <v>761</v>
      </c>
      <c r="V250" s="43">
        <v>269</v>
      </c>
      <c r="W250" s="43">
        <v>2057</v>
      </c>
      <c r="X250" s="43">
        <v>350</v>
      </c>
      <c r="Y250" s="43">
        <v>63</v>
      </c>
      <c r="Z250" s="45">
        <f>U250+V250+W250+X250+Y250</f>
        <v>3500</v>
      </c>
      <c r="AA250" s="45">
        <f>S250+T250</f>
        <v>3398</v>
      </c>
      <c r="AB250" s="46">
        <v>6.0740740999999998</v>
      </c>
      <c r="AC250" s="46">
        <v>30.987654299999999</v>
      </c>
      <c r="AD250" s="46">
        <v>12</v>
      </c>
      <c r="AE250" s="46">
        <v>7.4320988000000003</v>
      </c>
      <c r="AF250" s="46">
        <v>33.259259299999997</v>
      </c>
      <c r="AG250" s="46">
        <v>7.0864197999999998</v>
      </c>
      <c r="AH250" s="46">
        <v>3.1604937999999998</v>
      </c>
      <c r="AI250" s="47">
        <f>AB250+AC250</f>
        <v>37.0617284</v>
      </c>
      <c r="AJ250" s="47">
        <f>AD250+AE250+AF250+AG250+AH250</f>
        <v>62.938271699999994</v>
      </c>
      <c r="AK250" s="46">
        <v>9.5389967999999996</v>
      </c>
      <c r="AL250" s="46">
        <v>39.721658499999997</v>
      </c>
      <c r="AM250" s="46">
        <v>11.0321832</v>
      </c>
      <c r="AN250" s="46">
        <v>3.8996811</v>
      </c>
      <c r="AO250" s="46">
        <v>29.820237800000001</v>
      </c>
      <c r="AP250" s="46">
        <v>5.0739345</v>
      </c>
      <c r="AQ250" s="46">
        <v>0.91330820000000001</v>
      </c>
      <c r="AR250" s="48">
        <f>AK250+AL250</f>
        <v>49.260655299999996</v>
      </c>
      <c r="AS250" s="48">
        <f>AM250+AN250+AO250+AP250+AQ250</f>
        <v>50.739344800000005</v>
      </c>
    </row>
    <row r="251" spans="2:45" ht="15" hidden="1" customHeight="1" x14ac:dyDescent="0.25">
      <c r="B251" s="35">
        <v>245</v>
      </c>
      <c r="C251" s="36" t="s">
        <v>31</v>
      </c>
      <c r="D251" s="36" t="s">
        <v>66</v>
      </c>
      <c r="E251" s="36" t="s">
        <v>99</v>
      </c>
      <c r="F251" s="36" t="s">
        <v>106</v>
      </c>
      <c r="G251" s="37" t="s">
        <v>25</v>
      </c>
      <c r="H251" s="38">
        <v>1773</v>
      </c>
      <c r="I251" s="38">
        <v>129</v>
      </c>
      <c r="J251" s="38">
        <v>976</v>
      </c>
      <c r="K251" s="38">
        <v>127</v>
      </c>
      <c r="L251" s="38">
        <v>67</v>
      </c>
      <c r="M251" s="38">
        <v>431</v>
      </c>
      <c r="N251" s="38">
        <v>26</v>
      </c>
      <c r="O251" s="38">
        <v>17</v>
      </c>
      <c r="P251" s="38"/>
      <c r="Q251" s="38"/>
      <c r="R251" s="38">
        <v>3465</v>
      </c>
      <c r="S251" s="38">
        <v>476</v>
      </c>
      <c r="T251" s="38">
        <v>2212</v>
      </c>
      <c r="U251" s="38">
        <v>150</v>
      </c>
      <c r="V251" s="38">
        <v>59</v>
      </c>
      <c r="W251" s="38">
        <v>492</v>
      </c>
      <c r="X251" s="38">
        <v>50</v>
      </c>
      <c r="Y251" s="38">
        <v>26</v>
      </c>
      <c r="Z251" s="38"/>
      <c r="AA251" s="38"/>
      <c r="AB251" s="39">
        <v>7.2758037</v>
      </c>
      <c r="AC251" s="39">
        <v>55.047941299999998</v>
      </c>
      <c r="AD251" s="39">
        <v>7.1630006000000002</v>
      </c>
      <c r="AE251" s="39">
        <v>3.7789058</v>
      </c>
      <c r="AF251" s="39">
        <v>24.309080699999999</v>
      </c>
      <c r="AG251" s="39">
        <v>1.4664410999999999</v>
      </c>
      <c r="AH251" s="39">
        <v>0.95882679999999998</v>
      </c>
      <c r="AI251" s="39"/>
      <c r="AJ251" s="39"/>
      <c r="AK251" s="39">
        <v>13.737373699999999</v>
      </c>
      <c r="AL251" s="39">
        <v>63.838383800000003</v>
      </c>
      <c r="AM251" s="39">
        <v>4.3290043000000002</v>
      </c>
      <c r="AN251" s="39">
        <v>1.7027417</v>
      </c>
      <c r="AO251" s="39">
        <v>14.1991342</v>
      </c>
      <c r="AP251" s="39">
        <v>1.4430014</v>
      </c>
      <c r="AQ251" s="39">
        <v>0.75036080000000005</v>
      </c>
      <c r="AR251" s="40"/>
      <c r="AS251" s="40"/>
    </row>
    <row r="252" spans="2:45" ht="15" hidden="1" customHeight="1" x14ac:dyDescent="0.25">
      <c r="B252" s="35">
        <v>246</v>
      </c>
      <c r="C252" s="36" t="s">
        <v>31</v>
      </c>
      <c r="D252" s="36" t="s">
        <v>66</v>
      </c>
      <c r="E252" s="36" t="s">
        <v>99</v>
      </c>
      <c r="F252" s="36" t="s">
        <v>106</v>
      </c>
      <c r="G252" s="37" t="s">
        <v>26</v>
      </c>
      <c r="H252" s="38">
        <v>2277</v>
      </c>
      <c r="I252" s="38">
        <v>117</v>
      </c>
      <c r="J252" s="38">
        <v>279</v>
      </c>
      <c r="K252" s="38">
        <v>359</v>
      </c>
      <c r="L252" s="38">
        <v>234</v>
      </c>
      <c r="M252" s="38">
        <v>916</v>
      </c>
      <c r="N252" s="38">
        <v>261</v>
      </c>
      <c r="O252" s="38">
        <v>111</v>
      </c>
      <c r="P252" s="38"/>
      <c r="Q252" s="38"/>
      <c r="R252" s="38">
        <v>3433</v>
      </c>
      <c r="S252" s="38">
        <v>182</v>
      </c>
      <c r="T252" s="38">
        <v>528</v>
      </c>
      <c r="U252" s="38">
        <v>611</v>
      </c>
      <c r="V252" s="38">
        <v>210</v>
      </c>
      <c r="W252" s="38">
        <v>1565</v>
      </c>
      <c r="X252" s="38">
        <v>300</v>
      </c>
      <c r="Y252" s="38">
        <v>37</v>
      </c>
      <c r="Z252" s="38"/>
      <c r="AA252" s="38"/>
      <c r="AB252" s="39">
        <v>5.1383399000000001</v>
      </c>
      <c r="AC252" s="39">
        <v>12.2529644</v>
      </c>
      <c r="AD252" s="39">
        <v>15.7663592</v>
      </c>
      <c r="AE252" s="39">
        <v>10.2766798</v>
      </c>
      <c r="AF252" s="39">
        <v>40.228370699999999</v>
      </c>
      <c r="AG252" s="39">
        <v>11.4624506</v>
      </c>
      <c r="AH252" s="39">
        <v>4.8748353</v>
      </c>
      <c r="AI252" s="39"/>
      <c r="AJ252" s="39"/>
      <c r="AK252" s="39">
        <v>5.3014856000000004</v>
      </c>
      <c r="AL252" s="39">
        <v>15.380134</v>
      </c>
      <c r="AM252" s="39">
        <v>17.7978445</v>
      </c>
      <c r="AN252" s="39">
        <v>6.1170986999999997</v>
      </c>
      <c r="AO252" s="39">
        <v>45.586950199999997</v>
      </c>
      <c r="AP252" s="39">
        <v>8.7387125000000001</v>
      </c>
      <c r="AQ252" s="39">
        <v>1.0777745000000001</v>
      </c>
      <c r="AR252" s="40"/>
      <c r="AS252" s="40"/>
    </row>
    <row r="253" spans="2:45" ht="15" customHeight="1" x14ac:dyDescent="0.25">
      <c r="B253" s="41">
        <v>247</v>
      </c>
      <c r="C253" s="42" t="s">
        <v>31</v>
      </c>
      <c r="D253" s="51" t="s">
        <v>66</v>
      </c>
      <c r="E253" s="51" t="s">
        <v>99</v>
      </c>
      <c r="F253" s="51" t="s">
        <v>107</v>
      </c>
      <c r="G253" s="52" t="s">
        <v>107</v>
      </c>
      <c r="H253" s="43">
        <v>3487</v>
      </c>
      <c r="I253" s="43">
        <v>75</v>
      </c>
      <c r="J253" s="43">
        <v>280</v>
      </c>
      <c r="K253" s="43">
        <v>398</v>
      </c>
      <c r="L253" s="43">
        <v>549</v>
      </c>
      <c r="M253" s="43">
        <v>1365</v>
      </c>
      <c r="N253" s="43">
        <v>661</v>
      </c>
      <c r="O253" s="43">
        <v>159</v>
      </c>
      <c r="P253" s="44">
        <f>K253+L253+M253+N253+O253</f>
        <v>3132</v>
      </c>
      <c r="Q253" s="44">
        <f>I253+J253</f>
        <v>355</v>
      </c>
      <c r="R253" s="43">
        <v>4602</v>
      </c>
      <c r="S253" s="43">
        <v>119</v>
      </c>
      <c r="T253" s="43">
        <v>364</v>
      </c>
      <c r="U253" s="43">
        <v>336</v>
      </c>
      <c r="V253" s="43">
        <v>331</v>
      </c>
      <c r="W253" s="43">
        <v>2612</v>
      </c>
      <c r="X253" s="43">
        <v>676</v>
      </c>
      <c r="Y253" s="43">
        <v>164</v>
      </c>
      <c r="Z253" s="45">
        <f>U253+V253+W253+X253+Y253</f>
        <v>4119</v>
      </c>
      <c r="AA253" s="45">
        <f>S253+T253</f>
        <v>483</v>
      </c>
      <c r="AB253" s="46">
        <v>2.150846</v>
      </c>
      <c r="AC253" s="46">
        <v>8.0298251</v>
      </c>
      <c r="AD253" s="46">
        <v>11.4138228</v>
      </c>
      <c r="AE253" s="46">
        <v>15.744192699999999</v>
      </c>
      <c r="AF253" s="46">
        <v>39.145397199999998</v>
      </c>
      <c r="AG253" s="46">
        <v>18.956122700000002</v>
      </c>
      <c r="AH253" s="46">
        <v>4.5597934999999996</v>
      </c>
      <c r="AI253" s="47">
        <f>AB253+AC253</f>
        <v>10.1806711</v>
      </c>
      <c r="AJ253" s="47">
        <f>AD253+AE253+AF253+AG253+AH253</f>
        <v>89.819328900000002</v>
      </c>
      <c r="AK253" s="46">
        <v>2.5858322</v>
      </c>
      <c r="AL253" s="46">
        <v>7.9096045000000004</v>
      </c>
      <c r="AM253" s="46">
        <v>7.3011733999999997</v>
      </c>
      <c r="AN253" s="46">
        <v>7.1925249999999998</v>
      </c>
      <c r="AO253" s="46">
        <v>56.757931300000003</v>
      </c>
      <c r="AP253" s="46">
        <v>14.689265499999999</v>
      </c>
      <c r="AQ253" s="46">
        <v>3.5636679999999998</v>
      </c>
      <c r="AR253" s="48">
        <f>AK253+AL253</f>
        <v>10.495436700000001</v>
      </c>
      <c r="AS253" s="48">
        <f>AM253+AN253+AO253+AP253+AQ253</f>
        <v>89.504563200000007</v>
      </c>
    </row>
    <row r="254" spans="2:45" ht="15" hidden="1" customHeight="1" x14ac:dyDescent="0.25">
      <c r="B254" s="35">
        <v>248</v>
      </c>
      <c r="C254" s="36" t="s">
        <v>31</v>
      </c>
      <c r="D254" s="36" t="s">
        <v>66</v>
      </c>
      <c r="E254" s="36" t="s">
        <v>99</v>
      </c>
      <c r="F254" s="36" t="s">
        <v>107</v>
      </c>
      <c r="G254" s="37" t="s">
        <v>25</v>
      </c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>
        <v>935</v>
      </c>
      <c r="S254" s="38">
        <v>29</v>
      </c>
      <c r="T254" s="38">
        <v>23</v>
      </c>
      <c r="U254" s="38">
        <v>69</v>
      </c>
      <c r="V254" s="38">
        <v>213</v>
      </c>
      <c r="W254" s="38">
        <v>543</v>
      </c>
      <c r="X254" s="38">
        <v>33</v>
      </c>
      <c r="Y254" s="38">
        <v>25</v>
      </c>
      <c r="Z254" s="38"/>
      <c r="AA254" s="38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>
        <v>3.1016043</v>
      </c>
      <c r="AL254" s="39">
        <v>2.4598930000000001</v>
      </c>
      <c r="AM254" s="39">
        <v>7.3796790999999997</v>
      </c>
      <c r="AN254" s="39">
        <v>22.7807487</v>
      </c>
      <c r="AO254" s="39">
        <v>58.074866299999996</v>
      </c>
      <c r="AP254" s="39">
        <v>3.5294118000000001</v>
      </c>
      <c r="AQ254" s="39">
        <v>2.6737967999999999</v>
      </c>
      <c r="AR254" s="40"/>
      <c r="AS254" s="40"/>
    </row>
    <row r="255" spans="2:45" ht="15" hidden="1" customHeight="1" x14ac:dyDescent="0.25">
      <c r="B255" s="35">
        <v>249</v>
      </c>
      <c r="C255" s="36" t="s">
        <v>31</v>
      </c>
      <c r="D255" s="36" t="s">
        <v>66</v>
      </c>
      <c r="E255" s="36" t="s">
        <v>99</v>
      </c>
      <c r="F255" s="36" t="s">
        <v>107</v>
      </c>
      <c r="G255" s="37" t="s">
        <v>26</v>
      </c>
      <c r="H255" s="38">
        <v>3487</v>
      </c>
      <c r="I255" s="38">
        <v>75</v>
      </c>
      <c r="J255" s="38">
        <v>280</v>
      </c>
      <c r="K255" s="38">
        <v>398</v>
      </c>
      <c r="L255" s="38">
        <v>549</v>
      </c>
      <c r="M255" s="38">
        <v>1365</v>
      </c>
      <c r="N255" s="38">
        <v>661</v>
      </c>
      <c r="O255" s="38">
        <v>159</v>
      </c>
      <c r="P255" s="38"/>
      <c r="Q255" s="38"/>
      <c r="R255" s="38">
        <v>3667</v>
      </c>
      <c r="S255" s="38">
        <v>90</v>
      </c>
      <c r="T255" s="38">
        <v>341</v>
      </c>
      <c r="U255" s="38">
        <v>267</v>
      </c>
      <c r="V255" s="38">
        <v>118</v>
      </c>
      <c r="W255" s="38">
        <v>2069</v>
      </c>
      <c r="X255" s="38">
        <v>643</v>
      </c>
      <c r="Y255" s="38">
        <v>139</v>
      </c>
      <c r="Z255" s="38"/>
      <c r="AA255" s="38"/>
      <c r="AB255" s="39">
        <v>2.150846</v>
      </c>
      <c r="AC255" s="39">
        <v>8.0298251</v>
      </c>
      <c r="AD255" s="39">
        <v>11.4138228</v>
      </c>
      <c r="AE255" s="39">
        <v>15.744192699999999</v>
      </c>
      <c r="AF255" s="39">
        <v>39.145397199999998</v>
      </c>
      <c r="AG255" s="39">
        <v>18.956122700000002</v>
      </c>
      <c r="AH255" s="39">
        <v>4.5597934999999996</v>
      </c>
      <c r="AI255" s="39"/>
      <c r="AJ255" s="39"/>
      <c r="AK255" s="39">
        <v>2.4543222999999998</v>
      </c>
      <c r="AL255" s="39">
        <v>9.2991545999999996</v>
      </c>
      <c r="AM255" s="39">
        <v>7.2811563000000001</v>
      </c>
      <c r="AN255" s="39">
        <v>3.2178893</v>
      </c>
      <c r="AO255" s="39">
        <v>56.422143400000003</v>
      </c>
      <c r="AP255" s="39">
        <v>17.534769600000001</v>
      </c>
      <c r="AQ255" s="39">
        <v>3.7905644999999999</v>
      </c>
      <c r="AR255" s="40"/>
      <c r="AS255" s="40"/>
    </row>
    <row r="256" spans="2:45" ht="15" hidden="1" customHeight="1" x14ac:dyDescent="0.25">
      <c r="B256" s="30">
        <v>250</v>
      </c>
      <c r="C256" s="31" t="s">
        <v>29</v>
      </c>
      <c r="D256" s="50" t="s">
        <v>66</v>
      </c>
      <c r="E256" s="50" t="s">
        <v>108</v>
      </c>
      <c r="F256" s="50"/>
      <c r="G256" s="31" t="s">
        <v>108</v>
      </c>
      <c r="H256" s="32">
        <v>6855</v>
      </c>
      <c r="I256" s="32">
        <v>681</v>
      </c>
      <c r="J256" s="32">
        <v>917</v>
      </c>
      <c r="K256" s="32">
        <v>992</v>
      </c>
      <c r="L256" s="32">
        <v>342</v>
      </c>
      <c r="M256" s="32">
        <v>2507</v>
      </c>
      <c r="N256" s="32">
        <v>1204</v>
      </c>
      <c r="O256" s="32">
        <v>212</v>
      </c>
      <c r="P256" s="32"/>
      <c r="Q256" s="32"/>
      <c r="R256" s="32">
        <v>9232</v>
      </c>
      <c r="S256" s="32">
        <v>1099</v>
      </c>
      <c r="T256" s="32">
        <v>1486</v>
      </c>
      <c r="U256" s="32">
        <v>706</v>
      </c>
      <c r="V256" s="32">
        <v>242</v>
      </c>
      <c r="W256" s="32">
        <v>4005</v>
      </c>
      <c r="X256" s="32">
        <v>1419</v>
      </c>
      <c r="Y256" s="32">
        <v>275</v>
      </c>
      <c r="Z256" s="32"/>
      <c r="AA256" s="32"/>
      <c r="AB256" s="33">
        <v>9.9343544999999995</v>
      </c>
      <c r="AC256" s="33">
        <v>13.377096999999999</v>
      </c>
      <c r="AD256" s="33">
        <v>14.4711889</v>
      </c>
      <c r="AE256" s="33">
        <v>4.9890591000000004</v>
      </c>
      <c r="AF256" s="33">
        <v>36.571845400000001</v>
      </c>
      <c r="AG256" s="33">
        <v>17.563821999999998</v>
      </c>
      <c r="AH256" s="33">
        <v>3.0926331</v>
      </c>
      <c r="AI256" s="33"/>
      <c r="AJ256" s="33"/>
      <c r="AK256" s="33">
        <v>11.9042461</v>
      </c>
      <c r="AL256" s="33">
        <v>16.096187199999999</v>
      </c>
      <c r="AM256" s="33">
        <v>7.6473136999999998</v>
      </c>
      <c r="AN256" s="33">
        <v>2.6213172</v>
      </c>
      <c r="AO256" s="33">
        <v>43.381715800000002</v>
      </c>
      <c r="AP256" s="33">
        <v>15.3704506</v>
      </c>
      <c r="AQ256" s="33">
        <v>2.9787694999999998</v>
      </c>
      <c r="AR256" s="34"/>
      <c r="AS256" s="34"/>
    </row>
    <row r="257" spans="2:45" ht="15" hidden="1" customHeight="1" x14ac:dyDescent="0.25">
      <c r="B257" s="35">
        <v>251</v>
      </c>
      <c r="C257" s="36" t="s">
        <v>29</v>
      </c>
      <c r="D257" s="36" t="s">
        <v>66</v>
      </c>
      <c r="E257" s="36" t="s">
        <v>108</v>
      </c>
      <c r="F257" s="36"/>
      <c r="G257" s="37" t="s">
        <v>25</v>
      </c>
      <c r="H257" s="38">
        <v>1420</v>
      </c>
      <c r="I257" s="38">
        <v>228</v>
      </c>
      <c r="J257" s="38">
        <v>858</v>
      </c>
      <c r="K257" s="38">
        <v>75</v>
      </c>
      <c r="L257" s="38">
        <v>45</v>
      </c>
      <c r="M257" s="38">
        <v>172</v>
      </c>
      <c r="N257" s="38">
        <v>18</v>
      </c>
      <c r="O257" s="38">
        <v>24</v>
      </c>
      <c r="P257" s="38"/>
      <c r="Q257" s="38"/>
      <c r="R257" s="38">
        <v>1835</v>
      </c>
      <c r="S257" s="38">
        <v>233</v>
      </c>
      <c r="T257" s="38">
        <v>1449</v>
      </c>
      <c r="U257" s="38">
        <v>11</v>
      </c>
      <c r="V257" s="38">
        <v>3</v>
      </c>
      <c r="W257" s="38">
        <v>126</v>
      </c>
      <c r="X257" s="38">
        <v>5</v>
      </c>
      <c r="Y257" s="38">
        <v>8</v>
      </c>
      <c r="Z257" s="38"/>
      <c r="AA257" s="38"/>
      <c r="AB257" s="39">
        <v>16.056338</v>
      </c>
      <c r="AC257" s="39">
        <v>60.422535199999999</v>
      </c>
      <c r="AD257" s="39">
        <v>5.2816900999999996</v>
      </c>
      <c r="AE257" s="39">
        <v>3.1690141000000001</v>
      </c>
      <c r="AF257" s="39">
        <v>12.1126761</v>
      </c>
      <c r="AG257" s="39">
        <v>1.2676056</v>
      </c>
      <c r="AH257" s="39">
        <v>1.6901408</v>
      </c>
      <c r="AI257" s="39"/>
      <c r="AJ257" s="39"/>
      <c r="AK257" s="39">
        <v>12.697547699999999</v>
      </c>
      <c r="AL257" s="39">
        <v>78.964577700000007</v>
      </c>
      <c r="AM257" s="39">
        <v>0.59945499999999996</v>
      </c>
      <c r="AN257" s="39">
        <v>0.16348770000000001</v>
      </c>
      <c r="AO257" s="39">
        <v>6.8664849999999999</v>
      </c>
      <c r="AP257" s="39">
        <v>0.27247959999999999</v>
      </c>
      <c r="AQ257" s="39">
        <v>0.4359673</v>
      </c>
      <c r="AR257" s="40"/>
      <c r="AS257" s="40"/>
    </row>
    <row r="258" spans="2:45" ht="15" hidden="1" customHeight="1" x14ac:dyDescent="0.25">
      <c r="B258" s="35">
        <v>252</v>
      </c>
      <c r="C258" s="36" t="s">
        <v>29</v>
      </c>
      <c r="D258" s="36" t="s">
        <v>66</v>
      </c>
      <c r="E258" s="36" t="s">
        <v>108</v>
      </c>
      <c r="F258" s="36"/>
      <c r="G258" s="37" t="s">
        <v>26</v>
      </c>
      <c r="H258" s="38">
        <v>5435</v>
      </c>
      <c r="I258" s="38">
        <v>453</v>
      </c>
      <c r="J258" s="38">
        <v>59</v>
      </c>
      <c r="K258" s="38">
        <v>917</v>
      </c>
      <c r="L258" s="38">
        <v>297</v>
      </c>
      <c r="M258" s="38">
        <v>2335</v>
      </c>
      <c r="N258" s="38">
        <v>1186</v>
      </c>
      <c r="O258" s="38">
        <v>188</v>
      </c>
      <c r="P258" s="38"/>
      <c r="Q258" s="38"/>
      <c r="R258" s="38">
        <v>7397</v>
      </c>
      <c r="S258" s="38">
        <v>866</v>
      </c>
      <c r="T258" s="38">
        <v>37</v>
      </c>
      <c r="U258" s="38">
        <v>695</v>
      </c>
      <c r="V258" s="38">
        <v>239</v>
      </c>
      <c r="W258" s="38">
        <v>3879</v>
      </c>
      <c r="X258" s="38">
        <v>1414</v>
      </c>
      <c r="Y258" s="38">
        <v>267</v>
      </c>
      <c r="Z258" s="38"/>
      <c r="AA258" s="38"/>
      <c r="AB258" s="39">
        <v>8.3348665999999998</v>
      </c>
      <c r="AC258" s="39">
        <v>1.0855566000000001</v>
      </c>
      <c r="AD258" s="39">
        <v>16.872125100000002</v>
      </c>
      <c r="AE258" s="39">
        <v>5.4645814000000001</v>
      </c>
      <c r="AF258" s="39">
        <v>42.962281500000003</v>
      </c>
      <c r="AG258" s="39">
        <v>21.821527100000001</v>
      </c>
      <c r="AH258" s="39">
        <v>3.4590616000000001</v>
      </c>
      <c r="AI258" s="39"/>
      <c r="AJ258" s="39"/>
      <c r="AK258" s="39">
        <v>11.707449</v>
      </c>
      <c r="AL258" s="39">
        <v>0.50020279999999995</v>
      </c>
      <c r="AM258" s="39">
        <v>9.3957010000000007</v>
      </c>
      <c r="AN258" s="39">
        <v>3.2310395999999999</v>
      </c>
      <c r="AO258" s="39">
        <v>52.440178500000002</v>
      </c>
      <c r="AP258" s="39">
        <v>19.115857800000001</v>
      </c>
      <c r="AQ258" s="39">
        <v>3.6095714000000001</v>
      </c>
      <c r="AR258" s="40"/>
      <c r="AS258" s="40"/>
    </row>
    <row r="259" spans="2:45" ht="15" customHeight="1" x14ac:dyDescent="0.25">
      <c r="B259" s="41">
        <v>253</v>
      </c>
      <c r="C259" s="42" t="s">
        <v>31</v>
      </c>
      <c r="D259" s="51" t="s">
        <v>66</v>
      </c>
      <c r="E259" s="51" t="s">
        <v>108</v>
      </c>
      <c r="F259" s="51" t="s">
        <v>109</v>
      </c>
      <c r="G259" s="52" t="s">
        <v>109</v>
      </c>
      <c r="H259" s="43">
        <v>4625</v>
      </c>
      <c r="I259" s="43">
        <v>311</v>
      </c>
      <c r="J259" s="43">
        <v>909</v>
      </c>
      <c r="K259" s="43">
        <v>919</v>
      </c>
      <c r="L259" s="43">
        <v>177</v>
      </c>
      <c r="M259" s="43">
        <v>1755</v>
      </c>
      <c r="N259" s="43">
        <v>412</v>
      </c>
      <c r="O259" s="43">
        <v>142</v>
      </c>
      <c r="P259" s="44">
        <f>K259+L259+M259+N259+O259</f>
        <v>3405</v>
      </c>
      <c r="Q259" s="44">
        <f>I259+J259</f>
        <v>1220</v>
      </c>
      <c r="R259" s="43">
        <v>6164</v>
      </c>
      <c r="S259" s="43">
        <v>489</v>
      </c>
      <c r="T259" s="43">
        <v>1468</v>
      </c>
      <c r="U259" s="43">
        <v>559</v>
      </c>
      <c r="V259" s="43">
        <v>89</v>
      </c>
      <c r="W259" s="43">
        <v>2902</v>
      </c>
      <c r="X259" s="43">
        <v>465</v>
      </c>
      <c r="Y259" s="43">
        <v>192</v>
      </c>
      <c r="Z259" s="45">
        <f>U259+V259+W259+X259+Y259</f>
        <v>4207</v>
      </c>
      <c r="AA259" s="45">
        <f>S259+T259</f>
        <v>1957</v>
      </c>
      <c r="AB259" s="46">
        <v>6.7243243000000001</v>
      </c>
      <c r="AC259" s="46">
        <v>19.6540541</v>
      </c>
      <c r="AD259" s="46">
        <v>19.870270300000001</v>
      </c>
      <c r="AE259" s="46">
        <v>3.8270270000000002</v>
      </c>
      <c r="AF259" s="46">
        <v>37.945945899999998</v>
      </c>
      <c r="AG259" s="46">
        <v>8.9081080999999998</v>
      </c>
      <c r="AH259" s="46">
        <v>3.0702702999999998</v>
      </c>
      <c r="AI259" s="47">
        <f>AB259+AC259</f>
        <v>26.378378399999999</v>
      </c>
      <c r="AJ259" s="47">
        <f>AD259+AE259+AF259+AG259+AH259</f>
        <v>73.621621599999997</v>
      </c>
      <c r="AK259" s="46">
        <v>7.9331602999999999</v>
      </c>
      <c r="AL259" s="46">
        <v>23.815704100000001</v>
      </c>
      <c r="AM259" s="46">
        <v>9.0687864999999999</v>
      </c>
      <c r="AN259" s="46">
        <v>1.4438675999999999</v>
      </c>
      <c r="AO259" s="46">
        <v>47.079818299999999</v>
      </c>
      <c r="AP259" s="46">
        <v>7.5438026999999996</v>
      </c>
      <c r="AQ259" s="46">
        <v>3.1148604999999998</v>
      </c>
      <c r="AR259" s="48">
        <f>AK259+AL259</f>
        <v>31.748864400000002</v>
      </c>
      <c r="AS259" s="48">
        <f>AM259+AN259+AO259+AP259+AQ259</f>
        <v>68.251135599999998</v>
      </c>
    </row>
    <row r="260" spans="2:45" ht="15" hidden="1" customHeight="1" x14ac:dyDescent="0.25">
      <c r="B260" s="35">
        <v>254</v>
      </c>
      <c r="C260" s="36" t="s">
        <v>31</v>
      </c>
      <c r="D260" s="36" t="s">
        <v>66</v>
      </c>
      <c r="E260" s="36" t="s">
        <v>108</v>
      </c>
      <c r="F260" s="36" t="s">
        <v>109</v>
      </c>
      <c r="G260" s="37" t="s">
        <v>25</v>
      </c>
      <c r="H260" s="38">
        <v>1420</v>
      </c>
      <c r="I260" s="38">
        <v>228</v>
      </c>
      <c r="J260" s="38">
        <v>858</v>
      </c>
      <c r="K260" s="38">
        <v>75</v>
      </c>
      <c r="L260" s="38">
        <v>45</v>
      </c>
      <c r="M260" s="38">
        <v>172</v>
      </c>
      <c r="N260" s="38">
        <v>18</v>
      </c>
      <c r="O260" s="38">
        <v>24</v>
      </c>
      <c r="P260" s="38"/>
      <c r="Q260" s="38"/>
      <c r="R260" s="38">
        <v>1835</v>
      </c>
      <c r="S260" s="38">
        <v>233</v>
      </c>
      <c r="T260" s="38">
        <v>1449</v>
      </c>
      <c r="U260" s="38">
        <v>11</v>
      </c>
      <c r="V260" s="38">
        <v>3</v>
      </c>
      <c r="W260" s="38">
        <v>126</v>
      </c>
      <c r="X260" s="38">
        <v>5</v>
      </c>
      <c r="Y260" s="38">
        <v>8</v>
      </c>
      <c r="Z260" s="38"/>
      <c r="AA260" s="38"/>
      <c r="AB260" s="39">
        <v>16.056338</v>
      </c>
      <c r="AC260" s="39">
        <v>60.422535199999999</v>
      </c>
      <c r="AD260" s="39">
        <v>5.2816900999999996</v>
      </c>
      <c r="AE260" s="39">
        <v>3.1690141000000001</v>
      </c>
      <c r="AF260" s="39">
        <v>12.1126761</v>
      </c>
      <c r="AG260" s="39">
        <v>1.2676056</v>
      </c>
      <c r="AH260" s="39">
        <v>1.6901408</v>
      </c>
      <c r="AI260" s="39"/>
      <c r="AJ260" s="39"/>
      <c r="AK260" s="39">
        <v>12.697547699999999</v>
      </c>
      <c r="AL260" s="39">
        <v>78.964577700000007</v>
      </c>
      <c r="AM260" s="39">
        <v>0.59945499999999996</v>
      </c>
      <c r="AN260" s="39">
        <v>0.16348770000000001</v>
      </c>
      <c r="AO260" s="39">
        <v>6.8664849999999999</v>
      </c>
      <c r="AP260" s="39">
        <v>0.27247959999999999</v>
      </c>
      <c r="AQ260" s="39">
        <v>0.4359673</v>
      </c>
      <c r="AR260" s="40"/>
      <c r="AS260" s="40"/>
    </row>
    <row r="261" spans="2:45" ht="15" hidden="1" customHeight="1" x14ac:dyDescent="0.25">
      <c r="B261" s="35">
        <v>255</v>
      </c>
      <c r="C261" s="36" t="s">
        <v>31</v>
      </c>
      <c r="D261" s="36" t="s">
        <v>66</v>
      </c>
      <c r="E261" s="36" t="s">
        <v>108</v>
      </c>
      <c r="F261" s="36" t="s">
        <v>109</v>
      </c>
      <c r="G261" s="37" t="s">
        <v>26</v>
      </c>
      <c r="H261" s="38">
        <v>3205</v>
      </c>
      <c r="I261" s="38">
        <v>83</v>
      </c>
      <c r="J261" s="38">
        <v>51</v>
      </c>
      <c r="K261" s="38">
        <v>844</v>
      </c>
      <c r="L261" s="38">
        <v>132</v>
      </c>
      <c r="M261" s="38">
        <v>1583</v>
      </c>
      <c r="N261" s="38">
        <v>394</v>
      </c>
      <c r="O261" s="38">
        <v>118</v>
      </c>
      <c r="P261" s="38"/>
      <c r="Q261" s="38"/>
      <c r="R261" s="38">
        <v>4329</v>
      </c>
      <c r="S261" s="38">
        <v>256</v>
      </c>
      <c r="T261" s="38">
        <v>19</v>
      </c>
      <c r="U261" s="38">
        <v>548</v>
      </c>
      <c r="V261" s="38">
        <v>86</v>
      </c>
      <c r="W261" s="38">
        <v>2776</v>
      </c>
      <c r="X261" s="38">
        <v>460</v>
      </c>
      <c r="Y261" s="38">
        <v>184</v>
      </c>
      <c r="Z261" s="38"/>
      <c r="AA261" s="38"/>
      <c r="AB261" s="39">
        <v>2.5897036</v>
      </c>
      <c r="AC261" s="39">
        <v>1.5912637000000001</v>
      </c>
      <c r="AD261" s="39">
        <v>26.333853399999999</v>
      </c>
      <c r="AE261" s="39">
        <v>4.1185647000000003</v>
      </c>
      <c r="AF261" s="39">
        <v>49.391575699999997</v>
      </c>
      <c r="AG261" s="39">
        <v>12.293291699999999</v>
      </c>
      <c r="AH261" s="39">
        <v>3.6817473000000001</v>
      </c>
      <c r="AI261" s="39"/>
      <c r="AJ261" s="39"/>
      <c r="AK261" s="39">
        <v>5.9136059000000003</v>
      </c>
      <c r="AL261" s="39">
        <v>0.43890040000000002</v>
      </c>
      <c r="AM261" s="39">
        <v>12.6588127</v>
      </c>
      <c r="AN261" s="39">
        <v>1.986602</v>
      </c>
      <c r="AO261" s="39">
        <v>64.125664099999995</v>
      </c>
      <c r="AP261" s="39">
        <v>10.626010600000001</v>
      </c>
      <c r="AQ261" s="39">
        <v>4.2504042999999996</v>
      </c>
      <c r="AR261" s="40"/>
      <c r="AS261" s="40"/>
    </row>
    <row r="262" spans="2:45" ht="15" customHeight="1" x14ac:dyDescent="0.25">
      <c r="B262" s="41">
        <v>256</v>
      </c>
      <c r="C262" s="42" t="s">
        <v>31</v>
      </c>
      <c r="D262" s="51" t="s">
        <v>66</v>
      </c>
      <c r="E262" s="51" t="s">
        <v>108</v>
      </c>
      <c r="F262" s="51" t="s">
        <v>110</v>
      </c>
      <c r="G262" s="52" t="s">
        <v>110</v>
      </c>
      <c r="H262" s="43">
        <v>2230</v>
      </c>
      <c r="I262" s="43">
        <v>370</v>
      </c>
      <c r="J262" s="43">
        <v>8</v>
      </c>
      <c r="K262" s="43">
        <v>73</v>
      </c>
      <c r="L262" s="43">
        <v>165</v>
      </c>
      <c r="M262" s="43">
        <v>752</v>
      </c>
      <c r="N262" s="43">
        <v>792</v>
      </c>
      <c r="O262" s="43">
        <v>70</v>
      </c>
      <c r="P262" s="44">
        <f>K262+L262+M262+N262+O262</f>
        <v>1852</v>
      </c>
      <c r="Q262" s="44">
        <f>I262+J262</f>
        <v>378</v>
      </c>
      <c r="R262" s="43">
        <v>3068</v>
      </c>
      <c r="S262" s="43">
        <v>610</v>
      </c>
      <c r="T262" s="43">
        <v>18</v>
      </c>
      <c r="U262" s="43">
        <v>147</v>
      </c>
      <c r="V262" s="43">
        <v>153</v>
      </c>
      <c r="W262" s="43">
        <v>1103</v>
      </c>
      <c r="X262" s="43">
        <v>954</v>
      </c>
      <c r="Y262" s="43">
        <v>83</v>
      </c>
      <c r="Z262" s="45">
        <f>U262+V262+W262+X262+Y262</f>
        <v>2440</v>
      </c>
      <c r="AA262" s="45">
        <f t="shared" ref="AA262:AA263" si="38">S262+T262</f>
        <v>628</v>
      </c>
      <c r="AB262" s="46">
        <v>16.591928299999999</v>
      </c>
      <c r="AC262" s="46">
        <v>0.35874440000000002</v>
      </c>
      <c r="AD262" s="46">
        <v>3.2735425999999999</v>
      </c>
      <c r="AE262" s="46">
        <v>7.3991030999999996</v>
      </c>
      <c r="AF262" s="46">
        <v>33.7219731</v>
      </c>
      <c r="AG262" s="46">
        <v>35.515695100000002</v>
      </c>
      <c r="AH262" s="46">
        <v>3.1390134999999999</v>
      </c>
      <c r="AI262" s="47">
        <f>AB262+AC262</f>
        <v>16.950672699999998</v>
      </c>
      <c r="AJ262" s="47">
        <f>AD262+AE262+AF262+AG262+AH262</f>
        <v>83.04932740000001</v>
      </c>
      <c r="AK262" s="46">
        <v>19.882659700000001</v>
      </c>
      <c r="AL262" s="46">
        <v>0.58670140000000004</v>
      </c>
      <c r="AM262" s="46">
        <v>4.7913949999999996</v>
      </c>
      <c r="AN262" s="46">
        <v>4.9869621999999998</v>
      </c>
      <c r="AO262" s="46">
        <v>35.951760100000001</v>
      </c>
      <c r="AP262" s="46">
        <v>31.095175999999999</v>
      </c>
      <c r="AQ262" s="46">
        <v>2.7053455</v>
      </c>
      <c r="AR262" s="48">
        <f t="shared" ref="AR262:AR264" si="39">AK262+AL262</f>
        <v>20.4693611</v>
      </c>
      <c r="AS262" s="48">
        <f>AM262+AN262+AO262+AP262+AQ262</f>
        <v>79.530638799999991</v>
      </c>
    </row>
    <row r="263" spans="2:45" ht="15" hidden="1" customHeight="1" x14ac:dyDescent="0.25">
      <c r="B263" s="35">
        <v>257</v>
      </c>
      <c r="C263" s="36" t="s">
        <v>31</v>
      </c>
      <c r="D263" s="36" t="s">
        <v>66</v>
      </c>
      <c r="E263" s="36" t="s">
        <v>108</v>
      </c>
      <c r="F263" s="36" t="s">
        <v>110</v>
      </c>
      <c r="G263" s="37" t="s">
        <v>25</v>
      </c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>
        <f t="shared" si="38"/>
        <v>0</v>
      </c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40">
        <f t="shared" si="39"/>
        <v>0</v>
      </c>
      <c r="AS263" s="40"/>
    </row>
    <row r="264" spans="2:45" ht="15" hidden="1" customHeight="1" x14ac:dyDescent="0.25">
      <c r="B264" s="35">
        <v>258</v>
      </c>
      <c r="C264" s="36" t="s">
        <v>31</v>
      </c>
      <c r="D264" s="36" t="s">
        <v>66</v>
      </c>
      <c r="E264" s="36" t="s">
        <v>108</v>
      </c>
      <c r="F264" s="36" t="s">
        <v>110</v>
      </c>
      <c r="G264" s="37" t="s">
        <v>26</v>
      </c>
      <c r="H264" s="38">
        <v>2230</v>
      </c>
      <c r="I264" s="38">
        <v>370</v>
      </c>
      <c r="J264" s="38">
        <v>8</v>
      </c>
      <c r="K264" s="38">
        <v>73</v>
      </c>
      <c r="L264" s="38">
        <v>165</v>
      </c>
      <c r="M264" s="38">
        <v>752</v>
      </c>
      <c r="N264" s="38">
        <v>792</v>
      </c>
      <c r="O264" s="38">
        <v>70</v>
      </c>
      <c r="P264" s="38"/>
      <c r="Q264" s="38">
        <f>I264+J264</f>
        <v>378</v>
      </c>
      <c r="R264" s="38">
        <v>3068</v>
      </c>
      <c r="S264" s="38">
        <v>610</v>
      </c>
      <c r="T264" s="38">
        <v>18</v>
      </c>
      <c r="U264" s="38">
        <v>147</v>
      </c>
      <c r="V264" s="38">
        <v>153</v>
      </c>
      <c r="W264" s="38">
        <v>1103</v>
      </c>
      <c r="X264" s="38">
        <v>954</v>
      </c>
      <c r="Y264" s="38">
        <v>83</v>
      </c>
      <c r="Z264" s="38"/>
      <c r="AA264" s="38"/>
      <c r="AB264" s="39">
        <v>16.591928299999999</v>
      </c>
      <c r="AC264" s="39">
        <v>0.35874440000000002</v>
      </c>
      <c r="AD264" s="39">
        <v>3.2735425999999999</v>
      </c>
      <c r="AE264" s="39">
        <v>7.3991030999999996</v>
      </c>
      <c r="AF264" s="39">
        <v>33.7219731</v>
      </c>
      <c r="AG264" s="39">
        <v>35.515695100000002</v>
      </c>
      <c r="AH264" s="39">
        <v>3.1390134999999999</v>
      </c>
      <c r="AI264" s="39"/>
      <c r="AJ264" s="39"/>
      <c r="AK264" s="39">
        <v>19.882659700000001</v>
      </c>
      <c r="AL264" s="39">
        <v>0.58670140000000004</v>
      </c>
      <c r="AM264" s="39">
        <v>4.7913949999999996</v>
      </c>
      <c r="AN264" s="39">
        <v>4.9869621999999998</v>
      </c>
      <c r="AO264" s="39">
        <v>35.951760100000001</v>
      </c>
      <c r="AP264" s="39">
        <v>31.095175999999999</v>
      </c>
      <c r="AQ264" s="39">
        <v>2.7053455</v>
      </c>
      <c r="AR264" s="40">
        <f t="shared" si="39"/>
        <v>20.4693611</v>
      </c>
      <c r="AS264" s="40"/>
    </row>
    <row r="265" spans="2:45" ht="15" hidden="1" customHeight="1" x14ac:dyDescent="0.25">
      <c r="B265" s="30">
        <v>259</v>
      </c>
      <c r="C265" s="31" t="s">
        <v>29</v>
      </c>
      <c r="D265" s="50" t="s">
        <v>66</v>
      </c>
      <c r="E265" s="50" t="s">
        <v>111</v>
      </c>
      <c r="F265" s="50"/>
      <c r="G265" s="31" t="s">
        <v>111</v>
      </c>
      <c r="H265" s="32">
        <v>44000</v>
      </c>
      <c r="I265" s="32">
        <v>6117</v>
      </c>
      <c r="J265" s="32">
        <v>11213</v>
      </c>
      <c r="K265" s="32">
        <v>2483</v>
      </c>
      <c r="L265" s="32">
        <v>3364</v>
      </c>
      <c r="M265" s="32">
        <v>16470</v>
      </c>
      <c r="N265" s="32">
        <v>3800</v>
      </c>
      <c r="O265" s="32">
        <v>553</v>
      </c>
      <c r="P265" s="32"/>
      <c r="Q265" s="32"/>
      <c r="R265" s="32">
        <v>64052</v>
      </c>
      <c r="S265" s="32">
        <v>8533</v>
      </c>
      <c r="T265" s="32">
        <v>25838</v>
      </c>
      <c r="U265" s="32">
        <v>2046</v>
      </c>
      <c r="V265" s="32">
        <v>1079</v>
      </c>
      <c r="W265" s="32">
        <v>21645</v>
      </c>
      <c r="X265" s="32">
        <v>3923</v>
      </c>
      <c r="Y265" s="32">
        <v>988</v>
      </c>
      <c r="Z265" s="32"/>
      <c r="AA265" s="32"/>
      <c r="AB265" s="33">
        <v>13.902272699999999</v>
      </c>
      <c r="AC265" s="33">
        <v>25.484090900000002</v>
      </c>
      <c r="AD265" s="33">
        <v>5.6431817999999998</v>
      </c>
      <c r="AE265" s="33">
        <v>7.6454544999999996</v>
      </c>
      <c r="AF265" s="33">
        <v>37.431818200000002</v>
      </c>
      <c r="AG265" s="33">
        <v>8.6363635999999993</v>
      </c>
      <c r="AH265" s="33">
        <v>1.2568182000000001</v>
      </c>
      <c r="AI265" s="33"/>
      <c r="AJ265" s="33"/>
      <c r="AK265" s="33">
        <v>13.3219884</v>
      </c>
      <c r="AL265" s="33">
        <v>40.339099500000003</v>
      </c>
      <c r="AM265" s="33">
        <v>3.1942796000000002</v>
      </c>
      <c r="AN265" s="33">
        <v>1.6845688000000001</v>
      </c>
      <c r="AO265" s="33">
        <v>33.792855799999998</v>
      </c>
      <c r="AP265" s="33">
        <v>6.1247112000000001</v>
      </c>
      <c r="AQ265" s="33">
        <v>1.5424967000000001</v>
      </c>
      <c r="AR265" s="34"/>
      <c r="AS265" s="34"/>
    </row>
    <row r="266" spans="2:45" ht="15" hidden="1" customHeight="1" x14ac:dyDescent="0.25">
      <c r="B266" s="35">
        <v>260</v>
      </c>
      <c r="C266" s="36" t="s">
        <v>29</v>
      </c>
      <c r="D266" s="36" t="s">
        <v>66</v>
      </c>
      <c r="E266" s="36" t="s">
        <v>111</v>
      </c>
      <c r="F266" s="36"/>
      <c r="G266" s="37" t="s">
        <v>25</v>
      </c>
      <c r="H266" s="38">
        <v>21261</v>
      </c>
      <c r="I266" s="38">
        <v>5702</v>
      </c>
      <c r="J266" s="38">
        <v>11152</v>
      </c>
      <c r="K266" s="38">
        <v>1576</v>
      </c>
      <c r="L266" s="38">
        <v>680</v>
      </c>
      <c r="M266" s="38">
        <v>1696</v>
      </c>
      <c r="N266" s="38">
        <v>237</v>
      </c>
      <c r="O266" s="38">
        <v>218</v>
      </c>
      <c r="P266" s="38"/>
      <c r="Q266" s="38"/>
      <c r="R266" s="38">
        <v>34456</v>
      </c>
      <c r="S266" s="38">
        <v>6149</v>
      </c>
      <c r="T266" s="38">
        <v>24855</v>
      </c>
      <c r="U266" s="38">
        <v>1356</v>
      </c>
      <c r="V266" s="38">
        <v>123</v>
      </c>
      <c r="W266" s="38">
        <v>1417</v>
      </c>
      <c r="X266" s="38">
        <v>149</v>
      </c>
      <c r="Y266" s="38">
        <v>407</v>
      </c>
      <c r="Z266" s="38"/>
      <c r="AA266" s="38"/>
      <c r="AB266" s="39">
        <v>26.819058399999999</v>
      </c>
      <c r="AC266" s="39">
        <v>52.452847900000002</v>
      </c>
      <c r="AD266" s="39">
        <v>7.4126335000000001</v>
      </c>
      <c r="AE266" s="39">
        <v>3.1983443999999999</v>
      </c>
      <c r="AF266" s="39">
        <v>7.9770472000000003</v>
      </c>
      <c r="AG266" s="39">
        <v>1.1147171</v>
      </c>
      <c r="AH266" s="39">
        <v>1.0253516</v>
      </c>
      <c r="AI266" s="39"/>
      <c r="AJ266" s="39"/>
      <c r="AK266" s="39">
        <v>17.845948499999999</v>
      </c>
      <c r="AL266" s="39">
        <v>72.135477100000003</v>
      </c>
      <c r="AM266" s="39">
        <v>3.9354539000000002</v>
      </c>
      <c r="AN266" s="39">
        <v>0.35697699999999999</v>
      </c>
      <c r="AO266" s="39">
        <v>4.1124913000000003</v>
      </c>
      <c r="AP266" s="39">
        <v>0.43243559999999998</v>
      </c>
      <c r="AQ266" s="39">
        <v>1.1812165999999999</v>
      </c>
      <c r="AR266" s="40"/>
      <c r="AS266" s="40"/>
    </row>
    <row r="267" spans="2:45" ht="15" hidden="1" customHeight="1" x14ac:dyDescent="0.25">
      <c r="B267" s="35">
        <v>261</v>
      </c>
      <c r="C267" s="36" t="s">
        <v>29</v>
      </c>
      <c r="D267" s="36" t="s">
        <v>66</v>
      </c>
      <c r="E267" s="36" t="s">
        <v>111</v>
      </c>
      <c r="F267" s="36"/>
      <c r="G267" s="37" t="s">
        <v>26</v>
      </c>
      <c r="H267" s="38">
        <v>22739</v>
      </c>
      <c r="I267" s="38">
        <v>415</v>
      </c>
      <c r="J267" s="38">
        <v>61</v>
      </c>
      <c r="K267" s="38">
        <v>907</v>
      </c>
      <c r="L267" s="38">
        <v>2684</v>
      </c>
      <c r="M267" s="38">
        <v>14774</v>
      </c>
      <c r="N267" s="38">
        <v>3563</v>
      </c>
      <c r="O267" s="38">
        <v>335</v>
      </c>
      <c r="P267" s="38"/>
      <c r="Q267" s="38"/>
      <c r="R267" s="38">
        <v>29596</v>
      </c>
      <c r="S267" s="38">
        <v>2384</v>
      </c>
      <c r="T267" s="38">
        <v>983</v>
      </c>
      <c r="U267" s="38">
        <v>690</v>
      </c>
      <c r="V267" s="38">
        <v>956</v>
      </c>
      <c r="W267" s="38">
        <v>20228</v>
      </c>
      <c r="X267" s="38">
        <v>3774</v>
      </c>
      <c r="Y267" s="38">
        <v>581</v>
      </c>
      <c r="Z267" s="38"/>
      <c r="AA267" s="38"/>
      <c r="AB267" s="39">
        <v>1.8250583</v>
      </c>
      <c r="AC267" s="39">
        <v>0.26826159999999999</v>
      </c>
      <c r="AD267" s="39">
        <v>3.9887418000000001</v>
      </c>
      <c r="AE267" s="39">
        <v>11.803509399999999</v>
      </c>
      <c r="AF267" s="39">
        <v>64.972074399999997</v>
      </c>
      <c r="AG267" s="39">
        <v>15.6691147</v>
      </c>
      <c r="AH267" s="39">
        <v>1.4732398</v>
      </c>
      <c r="AI267" s="39"/>
      <c r="AJ267" s="39"/>
      <c r="AK267" s="39">
        <v>8.0551425999999999</v>
      </c>
      <c r="AL267" s="39">
        <v>3.3213948000000002</v>
      </c>
      <c r="AM267" s="39">
        <v>2.3313961000000001</v>
      </c>
      <c r="AN267" s="39">
        <v>3.2301662000000002</v>
      </c>
      <c r="AO267" s="39">
        <v>68.347073899999998</v>
      </c>
      <c r="AP267" s="39">
        <v>12.751723200000001</v>
      </c>
      <c r="AQ267" s="39">
        <v>1.9631031000000001</v>
      </c>
      <c r="AR267" s="40"/>
      <c r="AS267" s="40"/>
    </row>
    <row r="268" spans="2:45" ht="15" customHeight="1" x14ac:dyDescent="0.25">
      <c r="B268" s="41">
        <v>262</v>
      </c>
      <c r="C268" s="42" t="s">
        <v>31</v>
      </c>
      <c r="D268" s="51" t="s">
        <v>66</v>
      </c>
      <c r="E268" s="51" t="s">
        <v>111</v>
      </c>
      <c r="F268" s="51" t="s">
        <v>112</v>
      </c>
      <c r="G268" s="52" t="s">
        <v>112</v>
      </c>
      <c r="H268" s="43">
        <v>26248</v>
      </c>
      <c r="I268" s="43">
        <v>5548</v>
      </c>
      <c r="J268" s="43">
        <v>10657</v>
      </c>
      <c r="K268" s="43">
        <v>1557</v>
      </c>
      <c r="L268" s="43">
        <v>1646</v>
      </c>
      <c r="M268" s="43">
        <v>5329</v>
      </c>
      <c r="N268" s="43">
        <v>1223</v>
      </c>
      <c r="O268" s="43">
        <v>288</v>
      </c>
      <c r="P268" s="44">
        <f>K268+L268+M268+N268+O268</f>
        <v>10043</v>
      </c>
      <c r="Q268" s="44">
        <f>I268+J268</f>
        <v>16205</v>
      </c>
      <c r="R268" s="43">
        <v>41941</v>
      </c>
      <c r="S268" s="43">
        <v>6424</v>
      </c>
      <c r="T268" s="43">
        <v>24465</v>
      </c>
      <c r="U268" s="43">
        <v>1520</v>
      </c>
      <c r="V268" s="43">
        <v>578</v>
      </c>
      <c r="W268" s="43">
        <v>7241</v>
      </c>
      <c r="X268" s="43">
        <v>1084</v>
      </c>
      <c r="Y268" s="43">
        <v>629</v>
      </c>
      <c r="Z268" s="45">
        <f>U268+V268+W268+X268+Y268</f>
        <v>11052</v>
      </c>
      <c r="AA268" s="45">
        <f t="shared" ref="AA268:AA269" si="40">S268+T268</f>
        <v>30889</v>
      </c>
      <c r="AB268" s="46">
        <v>21.136848499999999</v>
      </c>
      <c r="AC268" s="46">
        <v>40.601188700000002</v>
      </c>
      <c r="AD268" s="46">
        <v>5.9318805000000001</v>
      </c>
      <c r="AE268" s="46">
        <v>6.2709539999999997</v>
      </c>
      <c r="AF268" s="46">
        <v>20.3024992</v>
      </c>
      <c r="AG268" s="46">
        <v>4.6594025999999999</v>
      </c>
      <c r="AH268" s="46">
        <v>1.0972265000000001</v>
      </c>
      <c r="AI268" s="47">
        <f>AB268+AC268</f>
        <v>61.738037200000001</v>
      </c>
      <c r="AJ268" s="47">
        <f>AD268+AE268+AF268+AG268+AH268</f>
        <v>38.261962799999999</v>
      </c>
      <c r="AK268" s="46">
        <v>15.3167545</v>
      </c>
      <c r="AL268" s="46">
        <v>58.331942499999997</v>
      </c>
      <c r="AM268" s="46">
        <v>3.6241387</v>
      </c>
      <c r="AN268" s="46">
        <v>1.3781264</v>
      </c>
      <c r="AO268" s="46">
        <v>17.264728999999999</v>
      </c>
      <c r="AP268" s="46">
        <v>2.5845831000000001</v>
      </c>
      <c r="AQ268" s="46">
        <v>1.4997258</v>
      </c>
      <c r="AR268" s="48">
        <f t="shared" ref="AR268:AR288" si="41">AK268+AL268</f>
        <v>73.648696999999999</v>
      </c>
      <c r="AS268" s="48">
        <f>AM268+AN268+AO268+AP268+AQ268</f>
        <v>26.351302999999998</v>
      </c>
    </row>
    <row r="269" spans="2:45" ht="15" hidden="1" customHeight="1" x14ac:dyDescent="0.25">
      <c r="B269" s="35">
        <v>263</v>
      </c>
      <c r="C269" s="36" t="s">
        <v>31</v>
      </c>
      <c r="D269" s="36" t="s">
        <v>66</v>
      </c>
      <c r="E269" s="36" t="s">
        <v>111</v>
      </c>
      <c r="F269" s="36" t="s">
        <v>112</v>
      </c>
      <c r="G269" s="37" t="s">
        <v>25</v>
      </c>
      <c r="H269" s="38">
        <v>19740</v>
      </c>
      <c r="I269" s="38">
        <v>5514</v>
      </c>
      <c r="J269" s="38">
        <v>10638</v>
      </c>
      <c r="K269" s="38">
        <v>1375</v>
      </c>
      <c r="L269" s="38">
        <v>476</v>
      </c>
      <c r="M269" s="38">
        <v>1322</v>
      </c>
      <c r="N269" s="38">
        <v>214</v>
      </c>
      <c r="O269" s="38">
        <v>201</v>
      </c>
      <c r="P269" s="38"/>
      <c r="Q269" s="38"/>
      <c r="R269" s="38">
        <v>32953</v>
      </c>
      <c r="S269" s="38">
        <v>5927</v>
      </c>
      <c r="T269" s="38">
        <v>23721</v>
      </c>
      <c r="U269" s="38">
        <v>1320</v>
      </c>
      <c r="V269" s="38">
        <v>121</v>
      </c>
      <c r="W269" s="38">
        <v>1317</v>
      </c>
      <c r="X269" s="38">
        <v>145</v>
      </c>
      <c r="Y269" s="38">
        <v>402</v>
      </c>
      <c r="Z269" s="38"/>
      <c r="AA269" s="38">
        <f t="shared" si="40"/>
        <v>29648</v>
      </c>
      <c r="AB269" s="39">
        <v>27.9331307</v>
      </c>
      <c r="AC269" s="39">
        <v>53.890577499999999</v>
      </c>
      <c r="AD269" s="39">
        <v>6.9655522000000003</v>
      </c>
      <c r="AE269" s="39">
        <v>2.4113475000000002</v>
      </c>
      <c r="AF269" s="39">
        <v>6.6970618000000002</v>
      </c>
      <c r="AG269" s="39">
        <v>1.0840932000000001</v>
      </c>
      <c r="AH269" s="39">
        <v>1.0182370999999999</v>
      </c>
      <c r="AI269" s="39"/>
      <c r="AJ269" s="39"/>
      <c r="AK269" s="39">
        <v>17.9862228</v>
      </c>
      <c r="AL269" s="39">
        <v>71.984341299999997</v>
      </c>
      <c r="AM269" s="39">
        <v>4.0057051000000001</v>
      </c>
      <c r="AN269" s="39">
        <v>0.3671896</v>
      </c>
      <c r="AO269" s="39">
        <v>3.9966012000000002</v>
      </c>
      <c r="AP269" s="39">
        <v>0.44002059999999998</v>
      </c>
      <c r="AQ269" s="39">
        <v>1.2199192999999999</v>
      </c>
      <c r="AR269" s="40">
        <f t="shared" si="41"/>
        <v>89.97056409999999</v>
      </c>
      <c r="AS269" s="40"/>
    </row>
    <row r="270" spans="2:45" ht="15" hidden="1" customHeight="1" x14ac:dyDescent="0.25">
      <c r="B270" s="35">
        <v>264</v>
      </c>
      <c r="C270" s="36" t="s">
        <v>31</v>
      </c>
      <c r="D270" s="36" t="s">
        <v>66</v>
      </c>
      <c r="E270" s="36" t="s">
        <v>111</v>
      </c>
      <c r="F270" s="36" t="s">
        <v>112</v>
      </c>
      <c r="G270" s="37" t="s">
        <v>26</v>
      </c>
      <c r="H270" s="38">
        <v>6508</v>
      </c>
      <c r="I270" s="38">
        <v>34</v>
      </c>
      <c r="J270" s="38">
        <v>19</v>
      </c>
      <c r="K270" s="38">
        <v>182</v>
      </c>
      <c r="L270" s="38">
        <v>1170</v>
      </c>
      <c r="M270" s="38">
        <v>4007</v>
      </c>
      <c r="N270" s="38">
        <v>1009</v>
      </c>
      <c r="O270" s="38">
        <v>87</v>
      </c>
      <c r="P270" s="38"/>
      <c r="Q270" s="38">
        <f t="shared" ref="Q270:Q271" si="42">I270+J270</f>
        <v>53</v>
      </c>
      <c r="R270" s="38">
        <v>8988</v>
      </c>
      <c r="S270" s="38">
        <v>497</v>
      </c>
      <c r="T270" s="38">
        <v>744</v>
      </c>
      <c r="U270" s="38">
        <v>200</v>
      </c>
      <c r="V270" s="38">
        <v>457</v>
      </c>
      <c r="W270" s="38">
        <v>5924</v>
      </c>
      <c r="X270" s="38">
        <v>939</v>
      </c>
      <c r="Y270" s="38">
        <v>227</v>
      </c>
      <c r="Z270" s="38"/>
      <c r="AA270" s="38"/>
      <c r="AB270" s="39">
        <v>0.52243390000000001</v>
      </c>
      <c r="AC270" s="39">
        <v>0.2919484</v>
      </c>
      <c r="AD270" s="39">
        <v>2.7965580999999999</v>
      </c>
      <c r="AE270" s="39">
        <v>17.9778734</v>
      </c>
      <c r="AF270" s="39">
        <v>61.570374899999997</v>
      </c>
      <c r="AG270" s="39">
        <v>15.503995099999999</v>
      </c>
      <c r="AH270" s="39">
        <v>1.3368161999999999</v>
      </c>
      <c r="AI270" s="39"/>
      <c r="AJ270" s="39"/>
      <c r="AK270" s="39">
        <v>5.5295949999999996</v>
      </c>
      <c r="AL270" s="39">
        <v>8.2777036000000006</v>
      </c>
      <c r="AM270" s="39">
        <v>2.2251891000000001</v>
      </c>
      <c r="AN270" s="39">
        <v>5.0845571999999999</v>
      </c>
      <c r="AO270" s="39">
        <v>65.9101024</v>
      </c>
      <c r="AP270" s="39">
        <v>10.447263</v>
      </c>
      <c r="AQ270" s="39">
        <v>2.5255896999999998</v>
      </c>
      <c r="AR270" s="40">
        <f t="shared" si="41"/>
        <v>13.807298599999999</v>
      </c>
      <c r="AS270" s="40"/>
    </row>
    <row r="271" spans="2:45" ht="15" customHeight="1" x14ac:dyDescent="0.25">
      <c r="B271" s="41">
        <v>265</v>
      </c>
      <c r="C271" s="42" t="s">
        <v>31</v>
      </c>
      <c r="D271" s="51" t="s">
        <v>66</v>
      </c>
      <c r="E271" s="51" t="s">
        <v>111</v>
      </c>
      <c r="F271" s="51" t="s">
        <v>113</v>
      </c>
      <c r="G271" s="52" t="s">
        <v>113</v>
      </c>
      <c r="H271" s="43">
        <v>2731</v>
      </c>
      <c r="I271" s="43">
        <v>78</v>
      </c>
      <c r="J271" s="43">
        <v>8</v>
      </c>
      <c r="K271" s="43">
        <v>205</v>
      </c>
      <c r="L271" s="43">
        <v>406</v>
      </c>
      <c r="M271" s="43">
        <v>1669</v>
      </c>
      <c r="N271" s="43">
        <v>336</v>
      </c>
      <c r="O271" s="43">
        <v>29</v>
      </c>
      <c r="P271" s="44">
        <f>K271+L271+M271+N271+O271</f>
        <v>2645</v>
      </c>
      <c r="Q271" s="44">
        <f t="shared" si="42"/>
        <v>86</v>
      </c>
      <c r="R271" s="43">
        <v>3220</v>
      </c>
      <c r="S271" s="43">
        <v>298</v>
      </c>
      <c r="T271" s="43">
        <v>40</v>
      </c>
      <c r="U271" s="43">
        <v>191</v>
      </c>
      <c r="V271" s="43">
        <v>101</v>
      </c>
      <c r="W271" s="43">
        <v>2207</v>
      </c>
      <c r="X271" s="43">
        <v>318</v>
      </c>
      <c r="Y271" s="43">
        <v>65</v>
      </c>
      <c r="Z271" s="45">
        <f>U271+V271+W271+X271+Y271</f>
        <v>2882</v>
      </c>
      <c r="AA271" s="45">
        <f t="shared" ref="AA271:AA272" si="43">S271+T271</f>
        <v>338</v>
      </c>
      <c r="AB271" s="46">
        <v>2.8560967000000002</v>
      </c>
      <c r="AC271" s="46">
        <v>0.292933</v>
      </c>
      <c r="AD271" s="46">
        <v>7.5064079000000001</v>
      </c>
      <c r="AE271" s="46">
        <v>14.8663493</v>
      </c>
      <c r="AF271" s="46">
        <v>61.113145400000001</v>
      </c>
      <c r="AG271" s="46">
        <v>12.303185600000001</v>
      </c>
      <c r="AH271" s="46">
        <v>1.0618821000000001</v>
      </c>
      <c r="AI271" s="47">
        <f>AB271+AC271</f>
        <v>3.1490297000000003</v>
      </c>
      <c r="AJ271" s="47">
        <f>AD271+AE271+AF271+AG271+AH271</f>
        <v>96.850970300000014</v>
      </c>
      <c r="AK271" s="46">
        <v>9.2546584000000003</v>
      </c>
      <c r="AL271" s="46">
        <v>1.2422359999999999</v>
      </c>
      <c r="AM271" s="46">
        <v>5.9316769999999996</v>
      </c>
      <c r="AN271" s="46">
        <v>3.1366459999999998</v>
      </c>
      <c r="AO271" s="46">
        <v>68.540372700000006</v>
      </c>
      <c r="AP271" s="46">
        <v>9.8757763999999995</v>
      </c>
      <c r="AQ271" s="46">
        <v>2.0186335</v>
      </c>
      <c r="AR271" s="48">
        <f t="shared" si="41"/>
        <v>10.4968944</v>
      </c>
      <c r="AS271" s="48">
        <f>AM271+AN271+AO271+AP271+AQ271</f>
        <v>89.503105599999998</v>
      </c>
    </row>
    <row r="272" spans="2:45" ht="15" hidden="1" customHeight="1" x14ac:dyDescent="0.25">
      <c r="B272" s="35">
        <v>266</v>
      </c>
      <c r="C272" s="36" t="s">
        <v>31</v>
      </c>
      <c r="D272" s="36" t="s">
        <v>66</v>
      </c>
      <c r="E272" s="36" t="s">
        <v>111</v>
      </c>
      <c r="F272" s="36" t="s">
        <v>113</v>
      </c>
      <c r="G272" s="37" t="s">
        <v>25</v>
      </c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>
        <f t="shared" si="43"/>
        <v>0</v>
      </c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40">
        <f t="shared" si="41"/>
        <v>0</v>
      </c>
      <c r="AS272" s="40"/>
    </row>
    <row r="273" spans="2:45" ht="15" hidden="1" customHeight="1" x14ac:dyDescent="0.25">
      <c r="B273" s="35">
        <v>267</v>
      </c>
      <c r="C273" s="36" t="s">
        <v>31</v>
      </c>
      <c r="D273" s="36" t="s">
        <v>66</v>
      </c>
      <c r="E273" s="36" t="s">
        <v>111</v>
      </c>
      <c r="F273" s="36" t="s">
        <v>113</v>
      </c>
      <c r="G273" s="37" t="s">
        <v>26</v>
      </c>
      <c r="H273" s="38">
        <v>2731</v>
      </c>
      <c r="I273" s="38">
        <v>78</v>
      </c>
      <c r="J273" s="38">
        <v>8</v>
      </c>
      <c r="K273" s="38">
        <v>205</v>
      </c>
      <c r="L273" s="38">
        <v>406</v>
      </c>
      <c r="M273" s="38">
        <v>1669</v>
      </c>
      <c r="N273" s="38">
        <v>336</v>
      </c>
      <c r="O273" s="38">
        <v>29</v>
      </c>
      <c r="P273" s="38"/>
      <c r="Q273" s="38">
        <f t="shared" ref="Q273:Q274" si="44">I273+J273</f>
        <v>86</v>
      </c>
      <c r="R273" s="38">
        <v>3220</v>
      </c>
      <c r="S273" s="38">
        <v>298</v>
      </c>
      <c r="T273" s="38">
        <v>40</v>
      </c>
      <c r="U273" s="38">
        <v>191</v>
      </c>
      <c r="V273" s="38">
        <v>101</v>
      </c>
      <c r="W273" s="38">
        <v>2207</v>
      </c>
      <c r="X273" s="38">
        <v>318</v>
      </c>
      <c r="Y273" s="38">
        <v>65</v>
      </c>
      <c r="Z273" s="38"/>
      <c r="AA273" s="38"/>
      <c r="AB273" s="39">
        <v>2.8560967000000002</v>
      </c>
      <c r="AC273" s="39">
        <v>0.292933</v>
      </c>
      <c r="AD273" s="39">
        <v>7.5064079000000001</v>
      </c>
      <c r="AE273" s="39">
        <v>14.8663493</v>
      </c>
      <c r="AF273" s="39">
        <v>61.113145400000001</v>
      </c>
      <c r="AG273" s="39">
        <v>12.303185600000001</v>
      </c>
      <c r="AH273" s="39">
        <v>1.0618821000000001</v>
      </c>
      <c r="AI273" s="39"/>
      <c r="AJ273" s="39"/>
      <c r="AK273" s="39">
        <v>9.2546584000000003</v>
      </c>
      <c r="AL273" s="39">
        <v>1.2422359999999999</v>
      </c>
      <c r="AM273" s="39">
        <v>5.9316769999999996</v>
      </c>
      <c r="AN273" s="39">
        <v>3.1366459999999998</v>
      </c>
      <c r="AO273" s="39">
        <v>68.540372700000006</v>
      </c>
      <c r="AP273" s="39">
        <v>9.8757763999999995</v>
      </c>
      <c r="AQ273" s="39">
        <v>2.0186335</v>
      </c>
      <c r="AR273" s="40">
        <f t="shared" si="41"/>
        <v>10.4968944</v>
      </c>
      <c r="AS273" s="40"/>
    </row>
    <row r="274" spans="2:45" ht="15" customHeight="1" x14ac:dyDescent="0.25">
      <c r="B274" s="41">
        <v>268</v>
      </c>
      <c r="C274" s="42" t="s">
        <v>31</v>
      </c>
      <c r="D274" s="51" t="s">
        <v>66</v>
      </c>
      <c r="E274" s="51" t="s">
        <v>111</v>
      </c>
      <c r="F274" s="51" t="s">
        <v>114</v>
      </c>
      <c r="G274" s="52" t="s">
        <v>114</v>
      </c>
      <c r="H274" s="43">
        <v>3594</v>
      </c>
      <c r="I274" s="43">
        <v>86</v>
      </c>
      <c r="J274" s="43">
        <v>22</v>
      </c>
      <c r="K274" s="43">
        <v>210</v>
      </c>
      <c r="L274" s="43">
        <v>439</v>
      </c>
      <c r="M274" s="43">
        <v>2489</v>
      </c>
      <c r="N274" s="43">
        <v>315</v>
      </c>
      <c r="O274" s="43">
        <v>33</v>
      </c>
      <c r="P274" s="44">
        <f>K274+L274+M274+N274+O274</f>
        <v>3486</v>
      </c>
      <c r="Q274" s="44">
        <f t="shared" si="44"/>
        <v>108</v>
      </c>
      <c r="R274" s="43">
        <v>4653</v>
      </c>
      <c r="S274" s="43">
        <v>760</v>
      </c>
      <c r="T274" s="43">
        <v>137</v>
      </c>
      <c r="U274" s="43">
        <v>46</v>
      </c>
      <c r="V274" s="43">
        <v>125</v>
      </c>
      <c r="W274" s="43">
        <v>3160</v>
      </c>
      <c r="X274" s="43">
        <v>383</v>
      </c>
      <c r="Y274" s="43">
        <v>42</v>
      </c>
      <c r="Z274" s="45">
        <f>U274+V274+W274+X274+Y274</f>
        <v>3756</v>
      </c>
      <c r="AA274" s="45">
        <f t="shared" ref="AA274:AA275" si="45">S274+T274</f>
        <v>897</v>
      </c>
      <c r="AB274" s="46">
        <v>2.3928769999999999</v>
      </c>
      <c r="AC274" s="46">
        <v>0.61213130000000004</v>
      </c>
      <c r="AD274" s="46">
        <v>5.8430717999999997</v>
      </c>
      <c r="AE274" s="46">
        <v>12.2148024</v>
      </c>
      <c r="AF274" s="46">
        <v>69.2543127</v>
      </c>
      <c r="AG274" s="46">
        <v>8.7646076999999991</v>
      </c>
      <c r="AH274" s="46">
        <v>0.91819700000000004</v>
      </c>
      <c r="AI274" s="47">
        <f>AB274+AC274</f>
        <v>3.0050083000000001</v>
      </c>
      <c r="AJ274" s="47">
        <f>AD274+AE274+AF274+AG274+AH274</f>
        <v>96.994991600000006</v>
      </c>
      <c r="AK274" s="46">
        <v>16.333548199999999</v>
      </c>
      <c r="AL274" s="46">
        <v>2.944337</v>
      </c>
      <c r="AM274" s="46">
        <v>0.98860950000000003</v>
      </c>
      <c r="AN274" s="46">
        <v>2.6864389000000002</v>
      </c>
      <c r="AO274" s="46">
        <v>67.913174299999994</v>
      </c>
      <c r="AP274" s="46">
        <v>8.2312487000000001</v>
      </c>
      <c r="AQ274" s="46">
        <v>0.90264350000000004</v>
      </c>
      <c r="AR274" s="48">
        <f t="shared" si="41"/>
        <v>19.2778852</v>
      </c>
      <c r="AS274" s="48">
        <f>AM274+AN274+AO274+AP274+AQ274</f>
        <v>80.72211489999998</v>
      </c>
    </row>
    <row r="275" spans="2:45" ht="15" hidden="1" customHeight="1" x14ac:dyDescent="0.25">
      <c r="B275" s="35">
        <v>269</v>
      </c>
      <c r="C275" s="36" t="s">
        <v>31</v>
      </c>
      <c r="D275" s="36" t="s">
        <v>66</v>
      </c>
      <c r="E275" s="36" t="s">
        <v>111</v>
      </c>
      <c r="F275" s="36" t="s">
        <v>114</v>
      </c>
      <c r="G275" s="37" t="s">
        <v>25</v>
      </c>
      <c r="H275" s="38">
        <v>440</v>
      </c>
      <c r="I275" s="38">
        <v>5</v>
      </c>
      <c r="J275" s="38">
        <v>6</v>
      </c>
      <c r="K275" s="38">
        <v>73</v>
      </c>
      <c r="L275" s="38">
        <v>163</v>
      </c>
      <c r="M275" s="38">
        <v>176</v>
      </c>
      <c r="N275" s="38">
        <v>9</v>
      </c>
      <c r="O275" s="38">
        <v>8</v>
      </c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>
        <f t="shared" si="45"/>
        <v>0</v>
      </c>
      <c r="AB275" s="39">
        <v>1.1363635999999999</v>
      </c>
      <c r="AC275" s="39">
        <v>1.3636364000000001</v>
      </c>
      <c r="AD275" s="39">
        <v>16.590909100000001</v>
      </c>
      <c r="AE275" s="39">
        <v>37.045454499999998</v>
      </c>
      <c r="AF275" s="39">
        <v>40</v>
      </c>
      <c r="AG275" s="39">
        <v>2.0454545</v>
      </c>
      <c r="AH275" s="39">
        <v>1.8181818000000001</v>
      </c>
      <c r="AI275" s="39"/>
      <c r="AJ275" s="39"/>
      <c r="AK275" s="39"/>
      <c r="AL275" s="39"/>
      <c r="AM275" s="39"/>
      <c r="AN275" s="39"/>
      <c r="AO275" s="39"/>
      <c r="AP275" s="39"/>
      <c r="AQ275" s="39"/>
      <c r="AR275" s="40">
        <f t="shared" si="41"/>
        <v>0</v>
      </c>
      <c r="AS275" s="40"/>
    </row>
    <row r="276" spans="2:45" ht="15" hidden="1" customHeight="1" x14ac:dyDescent="0.25">
      <c r="B276" s="35">
        <v>270</v>
      </c>
      <c r="C276" s="36" t="s">
        <v>31</v>
      </c>
      <c r="D276" s="36" t="s">
        <v>66</v>
      </c>
      <c r="E276" s="36" t="s">
        <v>111</v>
      </c>
      <c r="F276" s="36" t="s">
        <v>114</v>
      </c>
      <c r="G276" s="37" t="s">
        <v>26</v>
      </c>
      <c r="H276" s="38">
        <v>3154</v>
      </c>
      <c r="I276" s="38">
        <v>81</v>
      </c>
      <c r="J276" s="38">
        <v>16</v>
      </c>
      <c r="K276" s="38">
        <v>137</v>
      </c>
      <c r="L276" s="38">
        <v>276</v>
      </c>
      <c r="M276" s="38">
        <v>2313</v>
      </c>
      <c r="N276" s="38">
        <v>306</v>
      </c>
      <c r="O276" s="38">
        <v>25</v>
      </c>
      <c r="P276" s="38"/>
      <c r="Q276" s="38">
        <f t="shared" ref="Q276:Q277" si="46">I276+J276</f>
        <v>97</v>
      </c>
      <c r="R276" s="38">
        <v>4653</v>
      </c>
      <c r="S276" s="38">
        <v>760</v>
      </c>
      <c r="T276" s="38">
        <v>137</v>
      </c>
      <c r="U276" s="38">
        <v>46</v>
      </c>
      <c r="V276" s="38">
        <v>125</v>
      </c>
      <c r="W276" s="38">
        <v>3160</v>
      </c>
      <c r="X276" s="38">
        <v>383</v>
      </c>
      <c r="Y276" s="38">
        <v>42</v>
      </c>
      <c r="Z276" s="38"/>
      <c r="AA276" s="38"/>
      <c r="AB276" s="39">
        <v>2.5681674000000001</v>
      </c>
      <c r="AC276" s="39">
        <v>0.50729230000000003</v>
      </c>
      <c r="AD276" s="39">
        <v>4.3436906000000004</v>
      </c>
      <c r="AE276" s="39">
        <v>8.7507926000000005</v>
      </c>
      <c r="AF276" s="39">
        <v>73.335447099999996</v>
      </c>
      <c r="AG276" s="39">
        <v>9.7019658</v>
      </c>
      <c r="AH276" s="39">
        <v>0.79264429999999997</v>
      </c>
      <c r="AI276" s="39"/>
      <c r="AJ276" s="39"/>
      <c r="AK276" s="39">
        <v>16.333548199999999</v>
      </c>
      <c r="AL276" s="39">
        <v>2.944337</v>
      </c>
      <c r="AM276" s="39">
        <v>0.98860950000000003</v>
      </c>
      <c r="AN276" s="39">
        <v>2.6864389000000002</v>
      </c>
      <c r="AO276" s="39">
        <v>67.913174299999994</v>
      </c>
      <c r="AP276" s="39">
        <v>8.2312487000000001</v>
      </c>
      <c r="AQ276" s="39">
        <v>0.90264350000000004</v>
      </c>
      <c r="AR276" s="40">
        <f t="shared" si="41"/>
        <v>19.2778852</v>
      </c>
      <c r="AS276" s="40"/>
    </row>
    <row r="277" spans="2:45" ht="15" customHeight="1" x14ac:dyDescent="0.25">
      <c r="B277" s="41">
        <v>271</v>
      </c>
      <c r="C277" s="42" t="s">
        <v>31</v>
      </c>
      <c r="D277" s="51" t="s">
        <v>66</v>
      </c>
      <c r="E277" s="51" t="s">
        <v>111</v>
      </c>
      <c r="F277" s="51" t="s">
        <v>115</v>
      </c>
      <c r="G277" s="52" t="s">
        <v>115</v>
      </c>
      <c r="H277" s="43">
        <v>2250</v>
      </c>
      <c r="I277" s="43">
        <v>183</v>
      </c>
      <c r="J277" s="43">
        <v>508</v>
      </c>
      <c r="K277" s="43">
        <v>140</v>
      </c>
      <c r="L277" s="43">
        <v>124</v>
      </c>
      <c r="M277" s="43">
        <v>1196</v>
      </c>
      <c r="N277" s="43">
        <v>87</v>
      </c>
      <c r="O277" s="43">
        <v>12</v>
      </c>
      <c r="P277" s="44">
        <f>K277+L277+M277+N277+O277</f>
        <v>1559</v>
      </c>
      <c r="Q277" s="44">
        <f t="shared" si="46"/>
        <v>691</v>
      </c>
      <c r="R277" s="43">
        <v>2675</v>
      </c>
      <c r="S277" s="43">
        <v>240</v>
      </c>
      <c r="T277" s="43">
        <v>1136</v>
      </c>
      <c r="U277" s="43">
        <v>42</v>
      </c>
      <c r="V277" s="43">
        <v>15</v>
      </c>
      <c r="W277" s="43">
        <v>1129</v>
      </c>
      <c r="X277" s="43">
        <v>95</v>
      </c>
      <c r="Y277" s="43">
        <v>18</v>
      </c>
      <c r="Z277" s="45">
        <f>U277+V277+W277+X277+Y277</f>
        <v>1299</v>
      </c>
      <c r="AA277" s="45">
        <f t="shared" ref="AA277:AA278" si="47">S277+T277</f>
        <v>1376</v>
      </c>
      <c r="AB277" s="46">
        <v>8.1333333000000003</v>
      </c>
      <c r="AC277" s="46">
        <v>22.5777778</v>
      </c>
      <c r="AD277" s="46">
        <v>6.2222222</v>
      </c>
      <c r="AE277" s="46">
        <v>5.5111110999999999</v>
      </c>
      <c r="AF277" s="46">
        <v>53.1555556</v>
      </c>
      <c r="AG277" s="46">
        <v>3.8666667000000001</v>
      </c>
      <c r="AH277" s="46">
        <v>0.53333330000000001</v>
      </c>
      <c r="AI277" s="47">
        <f>AB277+AC277</f>
        <v>30.7111111</v>
      </c>
      <c r="AJ277" s="47">
        <f>AD277+AE277+AF277+AG277+AH277</f>
        <v>69.288888899999989</v>
      </c>
      <c r="AK277" s="46">
        <v>8.9719625999999995</v>
      </c>
      <c r="AL277" s="46">
        <v>42.467289700000002</v>
      </c>
      <c r="AM277" s="46">
        <v>1.5700935</v>
      </c>
      <c r="AN277" s="46">
        <v>0.56074769999999996</v>
      </c>
      <c r="AO277" s="46">
        <v>42.205607499999999</v>
      </c>
      <c r="AP277" s="46">
        <v>3.5514019000000001</v>
      </c>
      <c r="AQ277" s="46">
        <v>0.67289719999999997</v>
      </c>
      <c r="AR277" s="48">
        <f t="shared" si="41"/>
        <v>51.4392523</v>
      </c>
      <c r="AS277" s="48">
        <f>AM277+AN277+AO277+AP277+AQ277</f>
        <v>48.560747800000001</v>
      </c>
    </row>
    <row r="278" spans="2:45" ht="15" hidden="1" customHeight="1" x14ac:dyDescent="0.25">
      <c r="B278" s="35">
        <v>272</v>
      </c>
      <c r="C278" s="36" t="s">
        <v>31</v>
      </c>
      <c r="D278" s="36" t="s">
        <v>66</v>
      </c>
      <c r="E278" s="36" t="s">
        <v>111</v>
      </c>
      <c r="F278" s="36" t="s">
        <v>115</v>
      </c>
      <c r="G278" s="37" t="s">
        <v>25</v>
      </c>
      <c r="H278" s="38">
        <v>1081</v>
      </c>
      <c r="I278" s="38">
        <v>183</v>
      </c>
      <c r="J278" s="38">
        <v>508</v>
      </c>
      <c r="K278" s="38">
        <v>128</v>
      </c>
      <c r="L278" s="38">
        <v>41</v>
      </c>
      <c r="M278" s="38">
        <v>198</v>
      </c>
      <c r="N278" s="38">
        <v>14</v>
      </c>
      <c r="O278" s="38">
        <v>9</v>
      </c>
      <c r="P278" s="38"/>
      <c r="Q278" s="38"/>
      <c r="R278" s="38">
        <v>1503</v>
      </c>
      <c r="S278" s="38">
        <v>222</v>
      </c>
      <c r="T278" s="38">
        <v>1134</v>
      </c>
      <c r="U278" s="38">
        <v>36</v>
      </c>
      <c r="V278" s="38">
        <v>2</v>
      </c>
      <c r="W278" s="38">
        <v>100</v>
      </c>
      <c r="X278" s="38">
        <v>4</v>
      </c>
      <c r="Y278" s="38">
        <v>5</v>
      </c>
      <c r="Z278" s="38"/>
      <c r="AA278" s="38">
        <f t="shared" si="47"/>
        <v>1356</v>
      </c>
      <c r="AB278" s="39">
        <v>16.9287697</v>
      </c>
      <c r="AC278" s="39">
        <v>46.993524499999999</v>
      </c>
      <c r="AD278" s="39">
        <v>11.840888100000001</v>
      </c>
      <c r="AE278" s="39">
        <v>3.7927844999999998</v>
      </c>
      <c r="AF278" s="39">
        <v>18.3163737</v>
      </c>
      <c r="AG278" s="39">
        <v>1.2950971</v>
      </c>
      <c r="AH278" s="39">
        <v>0.83256240000000004</v>
      </c>
      <c r="AI278" s="39"/>
      <c r="AJ278" s="39"/>
      <c r="AK278" s="39">
        <v>14.7704591</v>
      </c>
      <c r="AL278" s="39">
        <v>75.449101799999994</v>
      </c>
      <c r="AM278" s="39">
        <v>2.3952095999999998</v>
      </c>
      <c r="AN278" s="39">
        <v>0.1330672</v>
      </c>
      <c r="AO278" s="39">
        <v>6.6533598999999999</v>
      </c>
      <c r="AP278" s="39">
        <v>0.26613439999999999</v>
      </c>
      <c r="AQ278" s="39">
        <v>0.33266800000000002</v>
      </c>
      <c r="AR278" s="40">
        <f t="shared" si="41"/>
        <v>90.219560899999991</v>
      </c>
      <c r="AS278" s="40"/>
    </row>
    <row r="279" spans="2:45" ht="15" hidden="1" customHeight="1" x14ac:dyDescent="0.25">
      <c r="B279" s="35">
        <v>273</v>
      </c>
      <c r="C279" s="36" t="s">
        <v>31</v>
      </c>
      <c r="D279" s="36" t="s">
        <v>66</v>
      </c>
      <c r="E279" s="36" t="s">
        <v>111</v>
      </c>
      <c r="F279" s="36" t="s">
        <v>115</v>
      </c>
      <c r="G279" s="37" t="s">
        <v>26</v>
      </c>
      <c r="H279" s="38">
        <v>1169</v>
      </c>
      <c r="I279" s="38">
        <v>0</v>
      </c>
      <c r="J279" s="38">
        <v>0</v>
      </c>
      <c r="K279" s="38">
        <v>12</v>
      </c>
      <c r="L279" s="38">
        <v>83</v>
      </c>
      <c r="M279" s="38">
        <v>998</v>
      </c>
      <c r="N279" s="38">
        <v>73</v>
      </c>
      <c r="O279" s="38">
        <v>3</v>
      </c>
      <c r="P279" s="38"/>
      <c r="Q279" s="38">
        <f t="shared" ref="Q279:Q280" si="48">I279+J279</f>
        <v>0</v>
      </c>
      <c r="R279" s="38">
        <v>1172</v>
      </c>
      <c r="S279" s="38">
        <v>18</v>
      </c>
      <c r="T279" s="38">
        <v>2</v>
      </c>
      <c r="U279" s="38">
        <v>6</v>
      </c>
      <c r="V279" s="38">
        <v>13</v>
      </c>
      <c r="W279" s="38">
        <v>1029</v>
      </c>
      <c r="X279" s="38">
        <v>91</v>
      </c>
      <c r="Y279" s="38">
        <v>13</v>
      </c>
      <c r="Z279" s="38"/>
      <c r="AA279" s="38"/>
      <c r="AB279" s="39">
        <v>0</v>
      </c>
      <c r="AC279" s="39">
        <v>0</v>
      </c>
      <c r="AD279" s="39">
        <v>1.0265184000000001</v>
      </c>
      <c r="AE279" s="39">
        <v>7.1000854999999996</v>
      </c>
      <c r="AF279" s="39">
        <v>85.372112900000005</v>
      </c>
      <c r="AG279" s="39">
        <v>6.2446536000000004</v>
      </c>
      <c r="AH279" s="39">
        <v>0.25662960000000001</v>
      </c>
      <c r="AI279" s="39"/>
      <c r="AJ279" s="39"/>
      <c r="AK279" s="39">
        <v>1.5358362000000001</v>
      </c>
      <c r="AL279" s="39">
        <v>0.17064850000000001</v>
      </c>
      <c r="AM279" s="39">
        <v>0.51194539999999999</v>
      </c>
      <c r="AN279" s="39">
        <v>1.1092150000000001</v>
      </c>
      <c r="AO279" s="39">
        <v>87.798634800000002</v>
      </c>
      <c r="AP279" s="39">
        <v>7.7645051</v>
      </c>
      <c r="AQ279" s="39">
        <v>1.1092150000000001</v>
      </c>
      <c r="AR279" s="40">
        <f t="shared" si="41"/>
        <v>1.7064847000000001</v>
      </c>
      <c r="AS279" s="40"/>
    </row>
    <row r="280" spans="2:45" ht="15" customHeight="1" x14ac:dyDescent="0.25">
      <c r="B280" s="41">
        <v>274</v>
      </c>
      <c r="C280" s="42" t="s">
        <v>31</v>
      </c>
      <c r="D280" s="51" t="s">
        <v>66</v>
      </c>
      <c r="E280" s="51" t="s">
        <v>111</v>
      </c>
      <c r="F280" s="51" t="s">
        <v>116</v>
      </c>
      <c r="G280" s="52" t="s">
        <v>116</v>
      </c>
      <c r="H280" s="43">
        <v>2391</v>
      </c>
      <c r="I280" s="43">
        <v>42</v>
      </c>
      <c r="J280" s="43">
        <v>7</v>
      </c>
      <c r="K280" s="43">
        <v>104</v>
      </c>
      <c r="L280" s="43">
        <v>161</v>
      </c>
      <c r="M280" s="43">
        <v>1274</v>
      </c>
      <c r="N280" s="43">
        <v>684</v>
      </c>
      <c r="O280" s="43">
        <v>119</v>
      </c>
      <c r="P280" s="44">
        <f>K280+L280+M280+N280+O280</f>
        <v>2342</v>
      </c>
      <c r="Q280" s="44">
        <f t="shared" si="48"/>
        <v>49</v>
      </c>
      <c r="R280" s="43">
        <v>3114</v>
      </c>
      <c r="S280" s="43">
        <v>152</v>
      </c>
      <c r="T280" s="43">
        <v>14</v>
      </c>
      <c r="U280" s="43">
        <v>56</v>
      </c>
      <c r="V280" s="43">
        <v>66</v>
      </c>
      <c r="W280" s="43">
        <v>1935</v>
      </c>
      <c r="X280" s="43">
        <v>781</v>
      </c>
      <c r="Y280" s="43">
        <v>110</v>
      </c>
      <c r="Z280" s="45">
        <f>U280+V280+W280+X280+Y280</f>
        <v>2948</v>
      </c>
      <c r="AA280" s="45">
        <f t="shared" ref="AA280:AA281" si="49">S280+T280</f>
        <v>166</v>
      </c>
      <c r="AB280" s="46">
        <v>1.7565872</v>
      </c>
      <c r="AC280" s="46">
        <v>0.29276449999999998</v>
      </c>
      <c r="AD280" s="46">
        <v>4.3496445000000001</v>
      </c>
      <c r="AE280" s="46">
        <v>6.7335843000000004</v>
      </c>
      <c r="AF280" s="46">
        <v>53.283145099999999</v>
      </c>
      <c r="AG280" s="46">
        <v>28.6072773</v>
      </c>
      <c r="AH280" s="46">
        <v>4.9769971000000002</v>
      </c>
      <c r="AI280" s="47">
        <f>AB280+AC280</f>
        <v>2.0493516999999999</v>
      </c>
      <c r="AJ280" s="47">
        <f>AD280+AE280+AF280+AG280+AH280</f>
        <v>97.950648300000012</v>
      </c>
      <c r="AK280" s="46">
        <v>4.8811818000000002</v>
      </c>
      <c r="AL280" s="46">
        <v>0.4495825</v>
      </c>
      <c r="AM280" s="46">
        <v>1.7983301</v>
      </c>
      <c r="AN280" s="46">
        <v>2.1194605000000002</v>
      </c>
      <c r="AO280" s="46">
        <v>62.138728299999997</v>
      </c>
      <c r="AP280" s="46">
        <v>25.0802826</v>
      </c>
      <c r="AQ280" s="46">
        <v>3.5324342</v>
      </c>
      <c r="AR280" s="48">
        <f t="shared" si="41"/>
        <v>5.3307643000000002</v>
      </c>
      <c r="AS280" s="48">
        <f>AM280+AN280+AO280+AP280+AQ280</f>
        <v>94.669235700000002</v>
      </c>
    </row>
    <row r="281" spans="2:45" ht="15" hidden="1" customHeight="1" x14ac:dyDescent="0.25">
      <c r="B281" s="35">
        <v>275</v>
      </c>
      <c r="C281" s="36" t="s">
        <v>31</v>
      </c>
      <c r="D281" s="36" t="s">
        <v>66</v>
      </c>
      <c r="E281" s="36" t="s">
        <v>111</v>
      </c>
      <c r="F281" s="36" t="s">
        <v>116</v>
      </c>
      <c r="G281" s="37" t="s">
        <v>25</v>
      </c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>
        <f t="shared" si="49"/>
        <v>0</v>
      </c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40">
        <f t="shared" si="41"/>
        <v>0</v>
      </c>
      <c r="AS281" s="40"/>
    </row>
    <row r="282" spans="2:45" ht="15" hidden="1" customHeight="1" x14ac:dyDescent="0.25">
      <c r="B282" s="35">
        <v>276</v>
      </c>
      <c r="C282" s="36" t="s">
        <v>31</v>
      </c>
      <c r="D282" s="36" t="s">
        <v>66</v>
      </c>
      <c r="E282" s="36" t="s">
        <v>111</v>
      </c>
      <c r="F282" s="36" t="s">
        <v>116</v>
      </c>
      <c r="G282" s="37" t="s">
        <v>26</v>
      </c>
      <c r="H282" s="38">
        <v>2391</v>
      </c>
      <c r="I282" s="38">
        <v>42</v>
      </c>
      <c r="J282" s="38">
        <v>7</v>
      </c>
      <c r="K282" s="38">
        <v>104</v>
      </c>
      <c r="L282" s="38">
        <v>161</v>
      </c>
      <c r="M282" s="38">
        <v>1274</v>
      </c>
      <c r="N282" s="38">
        <v>684</v>
      </c>
      <c r="O282" s="38">
        <v>119</v>
      </c>
      <c r="P282" s="38"/>
      <c r="Q282" s="38">
        <f t="shared" ref="Q282:Q283" si="50">I282+J282</f>
        <v>49</v>
      </c>
      <c r="R282" s="38">
        <v>3114</v>
      </c>
      <c r="S282" s="38">
        <v>152</v>
      </c>
      <c r="T282" s="38">
        <v>14</v>
      </c>
      <c r="U282" s="38">
        <v>56</v>
      </c>
      <c r="V282" s="38">
        <v>66</v>
      </c>
      <c r="W282" s="38">
        <v>1935</v>
      </c>
      <c r="X282" s="38">
        <v>781</v>
      </c>
      <c r="Y282" s="38">
        <v>110</v>
      </c>
      <c r="Z282" s="38"/>
      <c r="AA282" s="38"/>
      <c r="AB282" s="39">
        <v>1.7565872</v>
      </c>
      <c r="AC282" s="39">
        <v>0.29276449999999998</v>
      </c>
      <c r="AD282" s="39">
        <v>4.3496445000000001</v>
      </c>
      <c r="AE282" s="39">
        <v>6.7335843000000004</v>
      </c>
      <c r="AF282" s="39">
        <v>53.283145099999999</v>
      </c>
      <c r="AG282" s="39">
        <v>28.6072773</v>
      </c>
      <c r="AH282" s="39">
        <v>4.9769971000000002</v>
      </c>
      <c r="AI282" s="39"/>
      <c r="AJ282" s="39"/>
      <c r="AK282" s="39">
        <v>4.8811818000000002</v>
      </c>
      <c r="AL282" s="39">
        <v>0.4495825</v>
      </c>
      <c r="AM282" s="39">
        <v>1.7983301</v>
      </c>
      <c r="AN282" s="39">
        <v>2.1194605000000002</v>
      </c>
      <c r="AO282" s="39">
        <v>62.138728299999997</v>
      </c>
      <c r="AP282" s="39">
        <v>25.0802826</v>
      </c>
      <c r="AQ282" s="39">
        <v>3.5324342</v>
      </c>
      <c r="AR282" s="40">
        <f t="shared" si="41"/>
        <v>5.3307643000000002</v>
      </c>
      <c r="AS282" s="40"/>
    </row>
    <row r="283" spans="2:45" ht="15" customHeight="1" x14ac:dyDescent="0.25">
      <c r="B283" s="41">
        <v>277</v>
      </c>
      <c r="C283" s="42" t="s">
        <v>31</v>
      </c>
      <c r="D283" s="51" t="s">
        <v>66</v>
      </c>
      <c r="E283" s="51" t="s">
        <v>111</v>
      </c>
      <c r="F283" s="51" t="s">
        <v>117</v>
      </c>
      <c r="G283" s="52" t="s">
        <v>117</v>
      </c>
      <c r="H283" s="43">
        <v>4967</v>
      </c>
      <c r="I283" s="43">
        <v>178</v>
      </c>
      <c r="J283" s="43">
        <v>8</v>
      </c>
      <c r="K283" s="43">
        <v>147</v>
      </c>
      <c r="L283" s="43">
        <v>396</v>
      </c>
      <c r="M283" s="43">
        <v>3156</v>
      </c>
      <c r="N283" s="43">
        <v>1029</v>
      </c>
      <c r="O283" s="43">
        <v>53</v>
      </c>
      <c r="P283" s="44">
        <f>K283+L283+M283+N283+O283</f>
        <v>4781</v>
      </c>
      <c r="Q283" s="44">
        <f t="shared" si="50"/>
        <v>186</v>
      </c>
      <c r="R283" s="43">
        <v>5887</v>
      </c>
      <c r="S283" s="43">
        <v>511</v>
      </c>
      <c r="T283" s="43">
        <v>25</v>
      </c>
      <c r="U283" s="43">
        <v>145</v>
      </c>
      <c r="V283" s="43">
        <v>112</v>
      </c>
      <c r="W283" s="43">
        <v>3970</v>
      </c>
      <c r="X283" s="43">
        <v>1032</v>
      </c>
      <c r="Y283" s="43">
        <v>92</v>
      </c>
      <c r="Z283" s="45">
        <f>U283+V283+W283+X283+Y283</f>
        <v>5351</v>
      </c>
      <c r="AA283" s="45">
        <f t="shared" ref="AA283:AA284" si="51">S283+T283</f>
        <v>536</v>
      </c>
      <c r="AB283" s="46">
        <v>3.5836521000000001</v>
      </c>
      <c r="AC283" s="46">
        <v>0.16106300000000001</v>
      </c>
      <c r="AD283" s="46">
        <v>2.9595329000000001</v>
      </c>
      <c r="AE283" s="46">
        <v>7.9726192999999999</v>
      </c>
      <c r="AF283" s="46">
        <v>63.5393598</v>
      </c>
      <c r="AG283" s="46">
        <v>20.716730399999999</v>
      </c>
      <c r="AH283" s="46">
        <v>1.0670424999999999</v>
      </c>
      <c r="AI283" s="47">
        <f>AB283+AC283</f>
        <v>3.7447151000000001</v>
      </c>
      <c r="AJ283" s="47">
        <f>AD283+AE283+AF283+AG283+AH283</f>
        <v>96.255284900000007</v>
      </c>
      <c r="AK283" s="46">
        <v>8.6801426999999993</v>
      </c>
      <c r="AL283" s="46">
        <v>0.4246645</v>
      </c>
      <c r="AM283" s="46">
        <v>2.4630542000000002</v>
      </c>
      <c r="AN283" s="46">
        <v>1.9024970000000001</v>
      </c>
      <c r="AO283" s="46">
        <v>67.436724999999996</v>
      </c>
      <c r="AP283" s="46">
        <v>17.530151199999999</v>
      </c>
      <c r="AQ283" s="46">
        <v>1.5627654</v>
      </c>
      <c r="AR283" s="48">
        <f t="shared" si="41"/>
        <v>9.1048071999999998</v>
      </c>
      <c r="AS283" s="48">
        <f>AM283+AN283+AO283+AP283+AQ283</f>
        <v>90.895192800000004</v>
      </c>
    </row>
    <row r="284" spans="2:45" ht="15" hidden="1" customHeight="1" x14ac:dyDescent="0.25">
      <c r="B284" s="35">
        <v>278</v>
      </c>
      <c r="C284" s="36" t="s">
        <v>31</v>
      </c>
      <c r="D284" s="36" t="s">
        <v>66</v>
      </c>
      <c r="E284" s="36" t="s">
        <v>111</v>
      </c>
      <c r="F284" s="36" t="s">
        <v>117</v>
      </c>
      <c r="G284" s="37" t="s">
        <v>25</v>
      </c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>
        <f t="shared" si="51"/>
        <v>0</v>
      </c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40">
        <f t="shared" si="41"/>
        <v>0</v>
      </c>
      <c r="AS284" s="40"/>
    </row>
    <row r="285" spans="2:45" ht="15" hidden="1" customHeight="1" x14ac:dyDescent="0.25">
      <c r="B285" s="35">
        <v>279</v>
      </c>
      <c r="C285" s="36" t="s">
        <v>31</v>
      </c>
      <c r="D285" s="36" t="s">
        <v>66</v>
      </c>
      <c r="E285" s="36" t="s">
        <v>111</v>
      </c>
      <c r="F285" s="36" t="s">
        <v>117</v>
      </c>
      <c r="G285" s="37" t="s">
        <v>26</v>
      </c>
      <c r="H285" s="38">
        <v>4967</v>
      </c>
      <c r="I285" s="38">
        <v>178</v>
      </c>
      <c r="J285" s="38">
        <v>8</v>
      </c>
      <c r="K285" s="38">
        <v>147</v>
      </c>
      <c r="L285" s="38">
        <v>396</v>
      </c>
      <c r="M285" s="38">
        <v>3156</v>
      </c>
      <c r="N285" s="38">
        <v>1029</v>
      </c>
      <c r="O285" s="38">
        <v>53</v>
      </c>
      <c r="P285" s="38"/>
      <c r="Q285" s="38">
        <f t="shared" ref="Q285:Q286" si="52">I285+J285</f>
        <v>186</v>
      </c>
      <c r="R285" s="38">
        <v>5887</v>
      </c>
      <c r="S285" s="38">
        <v>511</v>
      </c>
      <c r="T285" s="38">
        <v>25</v>
      </c>
      <c r="U285" s="38">
        <v>145</v>
      </c>
      <c r="V285" s="38">
        <v>112</v>
      </c>
      <c r="W285" s="38">
        <v>3970</v>
      </c>
      <c r="X285" s="38">
        <v>1032</v>
      </c>
      <c r="Y285" s="38">
        <v>92</v>
      </c>
      <c r="Z285" s="38"/>
      <c r="AA285" s="38"/>
      <c r="AB285" s="39">
        <v>3.5836521000000001</v>
      </c>
      <c r="AC285" s="39">
        <v>0.16106300000000001</v>
      </c>
      <c r="AD285" s="39">
        <v>2.9595329000000001</v>
      </c>
      <c r="AE285" s="39">
        <v>7.9726192999999999</v>
      </c>
      <c r="AF285" s="39">
        <v>63.5393598</v>
      </c>
      <c r="AG285" s="39">
        <v>20.716730399999999</v>
      </c>
      <c r="AH285" s="39">
        <v>1.0670424999999999</v>
      </c>
      <c r="AI285" s="39"/>
      <c r="AJ285" s="39"/>
      <c r="AK285" s="39">
        <v>8.6801426999999993</v>
      </c>
      <c r="AL285" s="39">
        <v>0.4246645</v>
      </c>
      <c r="AM285" s="39">
        <v>2.4630542000000002</v>
      </c>
      <c r="AN285" s="39">
        <v>1.9024970000000001</v>
      </c>
      <c r="AO285" s="39">
        <v>67.436724999999996</v>
      </c>
      <c r="AP285" s="39">
        <v>17.530151199999999</v>
      </c>
      <c r="AQ285" s="39">
        <v>1.5627654</v>
      </c>
      <c r="AR285" s="40">
        <f t="shared" si="41"/>
        <v>9.1048071999999998</v>
      </c>
      <c r="AS285" s="40"/>
    </row>
    <row r="286" spans="2:45" ht="15" customHeight="1" x14ac:dyDescent="0.25">
      <c r="B286" s="41">
        <v>280</v>
      </c>
      <c r="C286" s="42" t="s">
        <v>31</v>
      </c>
      <c r="D286" s="51" t="s">
        <v>66</v>
      </c>
      <c r="E286" s="51" t="s">
        <v>111</v>
      </c>
      <c r="F286" s="51" t="s">
        <v>118</v>
      </c>
      <c r="G286" s="52" t="s">
        <v>118</v>
      </c>
      <c r="H286" s="43">
        <v>1819</v>
      </c>
      <c r="I286" s="43">
        <v>2</v>
      </c>
      <c r="J286" s="43">
        <v>3</v>
      </c>
      <c r="K286" s="43">
        <v>120</v>
      </c>
      <c r="L286" s="43">
        <v>192</v>
      </c>
      <c r="M286" s="43">
        <v>1357</v>
      </c>
      <c r="N286" s="43">
        <v>126</v>
      </c>
      <c r="O286" s="43">
        <v>19</v>
      </c>
      <c r="P286" s="44">
        <f>K286+L286+M286+N286+O286</f>
        <v>1814</v>
      </c>
      <c r="Q286" s="44">
        <f t="shared" si="52"/>
        <v>5</v>
      </c>
      <c r="R286" s="43">
        <v>2562</v>
      </c>
      <c r="S286" s="43">
        <v>148</v>
      </c>
      <c r="T286" s="43">
        <v>21</v>
      </c>
      <c r="U286" s="43">
        <v>46</v>
      </c>
      <c r="V286" s="43">
        <v>82</v>
      </c>
      <c r="W286" s="43">
        <v>2003</v>
      </c>
      <c r="X286" s="43">
        <v>230</v>
      </c>
      <c r="Y286" s="43">
        <v>32</v>
      </c>
      <c r="Z286" s="45">
        <f>U286+V286+W286+X286+Y286</f>
        <v>2393</v>
      </c>
      <c r="AA286" s="45">
        <f t="shared" ref="AA286:AA287" si="53">S286+T286</f>
        <v>169</v>
      </c>
      <c r="AB286" s="46">
        <v>0.10995050000000001</v>
      </c>
      <c r="AC286" s="46">
        <v>0.16492580000000001</v>
      </c>
      <c r="AD286" s="46">
        <v>6.5970313000000003</v>
      </c>
      <c r="AE286" s="46">
        <v>10.5552501</v>
      </c>
      <c r="AF286" s="46">
        <v>74.601429400000001</v>
      </c>
      <c r="AG286" s="46">
        <v>6.9268828999999998</v>
      </c>
      <c r="AH286" s="46">
        <v>1.04453</v>
      </c>
      <c r="AI286" s="47">
        <f>AB286+AC286</f>
        <v>0.27487630000000002</v>
      </c>
      <c r="AJ286" s="47">
        <f>AD286+AE286+AF286+AG286+AH286</f>
        <v>99.725123699999983</v>
      </c>
      <c r="AK286" s="46">
        <v>5.7767369000000004</v>
      </c>
      <c r="AL286" s="46">
        <v>0.81967210000000001</v>
      </c>
      <c r="AM286" s="46">
        <v>1.7954722999999999</v>
      </c>
      <c r="AN286" s="46">
        <v>3.2006245</v>
      </c>
      <c r="AO286" s="46">
        <v>78.181108499999993</v>
      </c>
      <c r="AP286" s="46">
        <v>8.9773613999999995</v>
      </c>
      <c r="AQ286" s="46">
        <v>1.2490242</v>
      </c>
      <c r="AR286" s="48">
        <f t="shared" si="41"/>
        <v>6.5964090000000004</v>
      </c>
      <c r="AS286" s="48">
        <f>AM286+AN286+AO286+AP286+AQ286</f>
        <v>93.403590899999998</v>
      </c>
    </row>
    <row r="287" spans="2:45" ht="15" hidden="1" customHeight="1" x14ac:dyDescent="0.25">
      <c r="B287" s="35">
        <v>281</v>
      </c>
      <c r="C287" s="36" t="s">
        <v>31</v>
      </c>
      <c r="D287" s="36" t="s">
        <v>66</v>
      </c>
      <c r="E287" s="36" t="s">
        <v>111</v>
      </c>
      <c r="F287" s="36" t="s">
        <v>118</v>
      </c>
      <c r="G287" s="37" t="s">
        <v>25</v>
      </c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>
        <f t="shared" si="53"/>
        <v>0</v>
      </c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40">
        <f t="shared" si="41"/>
        <v>0</v>
      </c>
      <c r="AS287" s="40"/>
    </row>
    <row r="288" spans="2:45" ht="15" hidden="1" customHeight="1" x14ac:dyDescent="0.25">
      <c r="B288" s="35">
        <v>282</v>
      </c>
      <c r="C288" s="36" t="s">
        <v>31</v>
      </c>
      <c r="D288" s="36" t="s">
        <v>66</v>
      </c>
      <c r="E288" s="36" t="s">
        <v>111</v>
      </c>
      <c r="F288" s="36" t="s">
        <v>118</v>
      </c>
      <c r="G288" s="37" t="s">
        <v>26</v>
      </c>
      <c r="H288" s="38">
        <v>1819</v>
      </c>
      <c r="I288" s="38">
        <v>2</v>
      </c>
      <c r="J288" s="38">
        <v>3</v>
      </c>
      <c r="K288" s="38">
        <v>120</v>
      </c>
      <c r="L288" s="38">
        <v>192</v>
      </c>
      <c r="M288" s="38">
        <v>1357</v>
      </c>
      <c r="N288" s="38">
        <v>126</v>
      </c>
      <c r="O288" s="38">
        <v>19</v>
      </c>
      <c r="P288" s="38"/>
      <c r="Q288" s="38">
        <f>I288+J288</f>
        <v>5</v>
      </c>
      <c r="R288" s="38">
        <v>2562</v>
      </c>
      <c r="S288" s="38">
        <v>148</v>
      </c>
      <c r="T288" s="38">
        <v>21</v>
      </c>
      <c r="U288" s="38">
        <v>46</v>
      </c>
      <c r="V288" s="38">
        <v>82</v>
      </c>
      <c r="W288" s="38">
        <v>2003</v>
      </c>
      <c r="X288" s="38">
        <v>230</v>
      </c>
      <c r="Y288" s="38">
        <v>32</v>
      </c>
      <c r="Z288" s="38"/>
      <c r="AA288" s="38"/>
      <c r="AB288" s="39">
        <v>0.10995050000000001</v>
      </c>
      <c r="AC288" s="39">
        <v>0.16492580000000001</v>
      </c>
      <c r="AD288" s="39">
        <v>6.5970313000000003</v>
      </c>
      <c r="AE288" s="39">
        <v>10.5552501</v>
      </c>
      <c r="AF288" s="39">
        <v>74.601429400000001</v>
      </c>
      <c r="AG288" s="39">
        <v>6.9268828999999998</v>
      </c>
      <c r="AH288" s="39">
        <v>1.04453</v>
      </c>
      <c r="AI288" s="39"/>
      <c r="AJ288" s="39"/>
      <c r="AK288" s="39">
        <v>5.7767369000000004</v>
      </c>
      <c r="AL288" s="39">
        <v>0.81967210000000001</v>
      </c>
      <c r="AM288" s="39">
        <v>1.7954722999999999</v>
      </c>
      <c r="AN288" s="39">
        <v>3.2006245</v>
      </c>
      <c r="AO288" s="39">
        <v>78.181108499999993</v>
      </c>
      <c r="AP288" s="39">
        <v>8.9773613999999995</v>
      </c>
      <c r="AQ288" s="39">
        <v>1.2490242</v>
      </c>
      <c r="AR288" s="40">
        <f t="shared" si="41"/>
        <v>6.5964090000000004</v>
      </c>
      <c r="AS288" s="40"/>
    </row>
    <row r="289" spans="2:45" ht="15" hidden="1" customHeight="1" x14ac:dyDescent="0.25">
      <c r="B289" s="30">
        <v>283</v>
      </c>
      <c r="C289" s="31" t="s">
        <v>29</v>
      </c>
      <c r="D289" s="50" t="s">
        <v>66</v>
      </c>
      <c r="E289" s="50" t="s">
        <v>119</v>
      </c>
      <c r="F289" s="50"/>
      <c r="G289" s="31" t="s">
        <v>119</v>
      </c>
      <c r="H289" s="32">
        <v>15147</v>
      </c>
      <c r="I289" s="32">
        <v>106</v>
      </c>
      <c r="J289" s="32">
        <v>571</v>
      </c>
      <c r="K289" s="32">
        <v>838</v>
      </c>
      <c r="L289" s="32">
        <v>6409</v>
      </c>
      <c r="M289" s="32">
        <v>6312</v>
      </c>
      <c r="N289" s="32">
        <v>663</v>
      </c>
      <c r="O289" s="32">
        <v>248</v>
      </c>
      <c r="P289" s="32"/>
      <c r="Q289" s="32"/>
      <c r="R289" s="32">
        <v>21883</v>
      </c>
      <c r="S289" s="32">
        <v>1400</v>
      </c>
      <c r="T289" s="32">
        <v>1076</v>
      </c>
      <c r="U289" s="32">
        <v>683</v>
      </c>
      <c r="V289" s="32">
        <v>2759</v>
      </c>
      <c r="W289" s="32">
        <v>14136</v>
      </c>
      <c r="X289" s="32">
        <v>1389</v>
      </c>
      <c r="Y289" s="32">
        <v>440</v>
      </c>
      <c r="Z289" s="32"/>
      <c r="AA289" s="32"/>
      <c r="AB289" s="33">
        <v>0.69980850000000006</v>
      </c>
      <c r="AC289" s="33">
        <v>3.7697234000000002</v>
      </c>
      <c r="AD289" s="33">
        <v>5.5324486999999998</v>
      </c>
      <c r="AE289" s="33">
        <v>42.312009000000003</v>
      </c>
      <c r="AF289" s="33">
        <v>41.671618100000003</v>
      </c>
      <c r="AG289" s="33">
        <v>4.3771044000000003</v>
      </c>
      <c r="AH289" s="33">
        <v>1.6372879</v>
      </c>
      <c r="AI289" s="33"/>
      <c r="AJ289" s="33"/>
      <c r="AK289" s="33">
        <v>6.3976603000000001</v>
      </c>
      <c r="AL289" s="33">
        <v>4.9170588999999998</v>
      </c>
      <c r="AM289" s="33">
        <v>3.1211443000000001</v>
      </c>
      <c r="AN289" s="33">
        <v>12.607960500000001</v>
      </c>
      <c r="AO289" s="33">
        <v>64.598089799999997</v>
      </c>
      <c r="AP289" s="33">
        <v>6.3473930000000003</v>
      </c>
      <c r="AQ289" s="33">
        <v>2.0106932</v>
      </c>
      <c r="AR289" s="34"/>
      <c r="AS289" s="34"/>
    </row>
    <row r="290" spans="2:45" ht="15" hidden="1" customHeight="1" x14ac:dyDescent="0.25">
      <c r="B290" s="35">
        <v>284</v>
      </c>
      <c r="C290" s="36" t="s">
        <v>29</v>
      </c>
      <c r="D290" s="36" t="s">
        <v>66</v>
      </c>
      <c r="E290" s="36" t="s">
        <v>119</v>
      </c>
      <c r="F290" s="36"/>
      <c r="G290" s="37" t="s">
        <v>25</v>
      </c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>
        <v>444</v>
      </c>
      <c r="S290" s="38">
        <v>323</v>
      </c>
      <c r="T290" s="38">
        <v>12</v>
      </c>
      <c r="U290" s="38">
        <v>7</v>
      </c>
      <c r="V290" s="38">
        <v>32</v>
      </c>
      <c r="W290" s="38">
        <v>61</v>
      </c>
      <c r="X290" s="38">
        <v>5</v>
      </c>
      <c r="Y290" s="38">
        <v>4</v>
      </c>
      <c r="Z290" s="38"/>
      <c r="AA290" s="38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>
        <v>72.747747700000005</v>
      </c>
      <c r="AL290" s="39">
        <v>2.7027027000000001</v>
      </c>
      <c r="AM290" s="39">
        <v>1.5765766000000001</v>
      </c>
      <c r="AN290" s="39">
        <v>7.2072072</v>
      </c>
      <c r="AO290" s="39">
        <v>13.738738700000001</v>
      </c>
      <c r="AP290" s="39">
        <v>1.1261261</v>
      </c>
      <c r="AQ290" s="39">
        <v>0.9009009</v>
      </c>
      <c r="AR290" s="40"/>
      <c r="AS290" s="40"/>
    </row>
    <row r="291" spans="2:45" ht="15" hidden="1" customHeight="1" x14ac:dyDescent="0.25">
      <c r="B291" s="35">
        <v>285</v>
      </c>
      <c r="C291" s="36" t="s">
        <v>29</v>
      </c>
      <c r="D291" s="36" t="s">
        <v>66</v>
      </c>
      <c r="E291" s="36" t="s">
        <v>119</v>
      </c>
      <c r="F291" s="36"/>
      <c r="G291" s="37" t="s">
        <v>26</v>
      </c>
      <c r="H291" s="38">
        <v>15147</v>
      </c>
      <c r="I291" s="38">
        <v>106</v>
      </c>
      <c r="J291" s="38">
        <v>571</v>
      </c>
      <c r="K291" s="38">
        <v>838</v>
      </c>
      <c r="L291" s="38">
        <v>6409</v>
      </c>
      <c r="M291" s="38">
        <v>6312</v>
      </c>
      <c r="N291" s="38">
        <v>663</v>
      </c>
      <c r="O291" s="38">
        <v>248</v>
      </c>
      <c r="P291" s="38"/>
      <c r="Q291" s="38"/>
      <c r="R291" s="38">
        <v>21439</v>
      </c>
      <c r="S291" s="38">
        <v>1077</v>
      </c>
      <c r="T291" s="38">
        <v>1064</v>
      </c>
      <c r="U291" s="38">
        <v>676</v>
      </c>
      <c r="V291" s="38">
        <v>2727</v>
      </c>
      <c r="W291" s="38">
        <v>14075</v>
      </c>
      <c r="X291" s="38">
        <v>1384</v>
      </c>
      <c r="Y291" s="38">
        <v>436</v>
      </c>
      <c r="Z291" s="38"/>
      <c r="AA291" s="38"/>
      <c r="AB291" s="39">
        <v>0.69980850000000006</v>
      </c>
      <c r="AC291" s="39">
        <v>3.7697234000000002</v>
      </c>
      <c r="AD291" s="39">
        <v>5.5324486999999998</v>
      </c>
      <c r="AE291" s="39">
        <v>42.312009000000003</v>
      </c>
      <c r="AF291" s="39">
        <v>41.671618100000003</v>
      </c>
      <c r="AG291" s="39">
        <v>4.3771044000000003</v>
      </c>
      <c r="AH291" s="39">
        <v>1.6372879</v>
      </c>
      <c r="AI291" s="39"/>
      <c r="AJ291" s="39"/>
      <c r="AK291" s="39">
        <v>5.0235551999999997</v>
      </c>
      <c r="AL291" s="39">
        <v>4.9629180000000002</v>
      </c>
      <c r="AM291" s="39">
        <v>3.1531321000000001</v>
      </c>
      <c r="AN291" s="39">
        <v>12.719809700000001</v>
      </c>
      <c r="AO291" s="39">
        <v>65.651382999999996</v>
      </c>
      <c r="AP291" s="39">
        <v>6.4555249999999997</v>
      </c>
      <c r="AQ291" s="39">
        <v>2.0336769000000001</v>
      </c>
      <c r="AR291" s="40"/>
      <c r="AS291" s="40"/>
    </row>
    <row r="292" spans="2:45" ht="15" customHeight="1" x14ac:dyDescent="0.25">
      <c r="B292" s="41">
        <v>286</v>
      </c>
      <c r="C292" s="42" t="s">
        <v>31</v>
      </c>
      <c r="D292" s="51" t="s">
        <v>66</v>
      </c>
      <c r="E292" s="51" t="s">
        <v>119</v>
      </c>
      <c r="F292" s="51" t="s">
        <v>120</v>
      </c>
      <c r="G292" s="52" t="s">
        <v>120</v>
      </c>
      <c r="H292" s="43">
        <v>3913</v>
      </c>
      <c r="I292" s="43">
        <v>31</v>
      </c>
      <c r="J292" s="43">
        <v>7</v>
      </c>
      <c r="K292" s="43">
        <v>116</v>
      </c>
      <c r="L292" s="43">
        <v>1431</v>
      </c>
      <c r="M292" s="43">
        <v>2012</v>
      </c>
      <c r="N292" s="43">
        <v>270</v>
      </c>
      <c r="O292" s="43">
        <v>46</v>
      </c>
      <c r="P292" s="44">
        <f>K292+L292+M292+N292+O292</f>
        <v>3875</v>
      </c>
      <c r="Q292" s="44">
        <f>I292+J292</f>
        <v>38</v>
      </c>
      <c r="R292" s="43">
        <v>4434</v>
      </c>
      <c r="S292" s="43">
        <v>134</v>
      </c>
      <c r="T292" s="43">
        <v>14</v>
      </c>
      <c r="U292" s="43">
        <v>82</v>
      </c>
      <c r="V292" s="43">
        <v>387</v>
      </c>
      <c r="W292" s="43">
        <v>3520</v>
      </c>
      <c r="X292" s="43">
        <v>242</v>
      </c>
      <c r="Y292" s="43">
        <v>55</v>
      </c>
      <c r="Z292" s="45">
        <f>U292+V292+W292+X292+Y292</f>
        <v>4286</v>
      </c>
      <c r="AA292" s="45">
        <f>S292+T292</f>
        <v>148</v>
      </c>
      <c r="AB292" s="46">
        <v>0.79223100000000002</v>
      </c>
      <c r="AC292" s="46">
        <v>0.17889089999999999</v>
      </c>
      <c r="AD292" s="46">
        <v>2.9644773999999998</v>
      </c>
      <c r="AE292" s="46">
        <v>36.570406300000002</v>
      </c>
      <c r="AF292" s="46">
        <v>51.4183491</v>
      </c>
      <c r="AG292" s="46">
        <v>6.9000766999999996</v>
      </c>
      <c r="AH292" s="46">
        <v>1.1755686000000001</v>
      </c>
      <c r="AI292" s="47">
        <f>AB292+AC292</f>
        <v>0.97112189999999998</v>
      </c>
      <c r="AJ292" s="47">
        <f>AD292+AE292+AF292+AG292+AH292</f>
        <v>99.0288781</v>
      </c>
      <c r="AK292" s="46">
        <v>3.0221019</v>
      </c>
      <c r="AL292" s="46">
        <v>0.31574200000000002</v>
      </c>
      <c r="AM292" s="46">
        <v>1.8493459999999999</v>
      </c>
      <c r="AN292" s="46">
        <v>8.7280107999999998</v>
      </c>
      <c r="AO292" s="46">
        <v>79.386558399999998</v>
      </c>
      <c r="AP292" s="46">
        <v>5.4578258999999996</v>
      </c>
      <c r="AQ292" s="46">
        <v>1.240415</v>
      </c>
      <c r="AR292" s="48">
        <f>AK292+AL292</f>
        <v>3.3378439000000002</v>
      </c>
      <c r="AS292" s="48">
        <f>AM292+AN292+AO292+AP292+AQ292</f>
        <v>96.662156100000004</v>
      </c>
    </row>
    <row r="293" spans="2:45" ht="15" hidden="1" customHeight="1" x14ac:dyDescent="0.25">
      <c r="B293" s="35">
        <v>287</v>
      </c>
      <c r="C293" s="36" t="s">
        <v>31</v>
      </c>
      <c r="D293" s="36" t="s">
        <v>66</v>
      </c>
      <c r="E293" s="36" t="s">
        <v>119</v>
      </c>
      <c r="F293" s="36" t="s">
        <v>120</v>
      </c>
      <c r="G293" s="37" t="s">
        <v>25</v>
      </c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40"/>
      <c r="AS293" s="40"/>
    </row>
    <row r="294" spans="2:45" ht="15" hidden="1" customHeight="1" x14ac:dyDescent="0.25">
      <c r="B294" s="35">
        <v>288</v>
      </c>
      <c r="C294" s="36" t="s">
        <v>31</v>
      </c>
      <c r="D294" s="36" t="s">
        <v>66</v>
      </c>
      <c r="E294" s="36" t="s">
        <v>119</v>
      </c>
      <c r="F294" s="36" t="s">
        <v>120</v>
      </c>
      <c r="G294" s="37" t="s">
        <v>26</v>
      </c>
      <c r="H294" s="38">
        <v>3913</v>
      </c>
      <c r="I294" s="38">
        <v>31</v>
      </c>
      <c r="J294" s="38">
        <v>7</v>
      </c>
      <c r="K294" s="38">
        <v>116</v>
      </c>
      <c r="L294" s="38">
        <v>1431</v>
      </c>
      <c r="M294" s="38">
        <v>2012</v>
      </c>
      <c r="N294" s="38">
        <v>270</v>
      </c>
      <c r="O294" s="38">
        <v>46</v>
      </c>
      <c r="P294" s="38"/>
      <c r="Q294" s="38"/>
      <c r="R294" s="38">
        <v>4434</v>
      </c>
      <c r="S294" s="38">
        <v>134</v>
      </c>
      <c r="T294" s="38">
        <v>14</v>
      </c>
      <c r="U294" s="38">
        <v>82</v>
      </c>
      <c r="V294" s="38">
        <v>387</v>
      </c>
      <c r="W294" s="38">
        <v>3520</v>
      </c>
      <c r="X294" s="38">
        <v>242</v>
      </c>
      <c r="Y294" s="38">
        <v>55</v>
      </c>
      <c r="Z294" s="38"/>
      <c r="AA294" s="38"/>
      <c r="AB294" s="39">
        <v>0.79223100000000002</v>
      </c>
      <c r="AC294" s="39">
        <v>0.17889089999999999</v>
      </c>
      <c r="AD294" s="39">
        <v>2.9644773999999998</v>
      </c>
      <c r="AE294" s="39">
        <v>36.570406300000002</v>
      </c>
      <c r="AF294" s="39">
        <v>51.4183491</v>
      </c>
      <c r="AG294" s="39">
        <v>6.9000766999999996</v>
      </c>
      <c r="AH294" s="39">
        <v>1.1755686000000001</v>
      </c>
      <c r="AI294" s="39"/>
      <c r="AJ294" s="39"/>
      <c r="AK294" s="39">
        <v>3.0221019</v>
      </c>
      <c r="AL294" s="39">
        <v>0.31574200000000002</v>
      </c>
      <c r="AM294" s="39">
        <v>1.8493459999999999</v>
      </c>
      <c r="AN294" s="39">
        <v>8.7280107999999998</v>
      </c>
      <c r="AO294" s="39">
        <v>79.386558399999998</v>
      </c>
      <c r="AP294" s="39">
        <v>5.4578258999999996</v>
      </c>
      <c r="AQ294" s="39">
        <v>1.240415</v>
      </c>
      <c r="AR294" s="40"/>
      <c r="AS294" s="40"/>
    </row>
    <row r="295" spans="2:45" ht="15" customHeight="1" x14ac:dyDescent="0.25">
      <c r="B295" s="41">
        <v>289</v>
      </c>
      <c r="C295" s="42" t="s">
        <v>31</v>
      </c>
      <c r="D295" s="51" t="s">
        <v>66</v>
      </c>
      <c r="E295" s="51" t="s">
        <v>119</v>
      </c>
      <c r="F295" s="51" t="s">
        <v>121</v>
      </c>
      <c r="G295" s="52" t="s">
        <v>121</v>
      </c>
      <c r="H295" s="43">
        <v>4624</v>
      </c>
      <c r="I295" s="43">
        <v>3</v>
      </c>
      <c r="J295" s="43">
        <v>5</v>
      </c>
      <c r="K295" s="43">
        <v>163</v>
      </c>
      <c r="L295" s="43">
        <v>2554</v>
      </c>
      <c r="M295" s="43">
        <v>1618</v>
      </c>
      <c r="N295" s="43">
        <v>196</v>
      </c>
      <c r="O295" s="43">
        <v>85</v>
      </c>
      <c r="P295" s="44">
        <f>K295+L295+M295+N295+O295</f>
        <v>4616</v>
      </c>
      <c r="Q295" s="44">
        <f>I295+J295</f>
        <v>8</v>
      </c>
      <c r="R295" s="43">
        <v>6638</v>
      </c>
      <c r="S295" s="43">
        <v>142</v>
      </c>
      <c r="T295" s="43">
        <v>8</v>
      </c>
      <c r="U295" s="43">
        <v>103</v>
      </c>
      <c r="V295" s="43">
        <v>1324</v>
      </c>
      <c r="W295" s="43">
        <v>4603</v>
      </c>
      <c r="X295" s="43">
        <v>349</v>
      </c>
      <c r="Y295" s="43">
        <v>109</v>
      </c>
      <c r="Z295" s="45">
        <f>U295+V295+W295+X295+Y295</f>
        <v>6488</v>
      </c>
      <c r="AA295" s="45">
        <f>S295+T295</f>
        <v>150</v>
      </c>
      <c r="AB295" s="46">
        <v>6.4878900000000003E-2</v>
      </c>
      <c r="AC295" s="46">
        <v>0.10813150000000001</v>
      </c>
      <c r="AD295" s="46">
        <v>3.5250865</v>
      </c>
      <c r="AE295" s="46">
        <v>55.233564000000001</v>
      </c>
      <c r="AF295" s="46">
        <v>34.991349499999998</v>
      </c>
      <c r="AG295" s="46">
        <v>4.2387543000000001</v>
      </c>
      <c r="AH295" s="46">
        <v>1.8382353</v>
      </c>
      <c r="AI295" s="47">
        <f>AB295+AC295</f>
        <v>0.17301040000000001</v>
      </c>
      <c r="AJ295" s="47">
        <f>AD295+AE295+AF295+AG295+AH295</f>
        <v>99.82698959999999</v>
      </c>
      <c r="AK295" s="46">
        <v>2.1391985999999998</v>
      </c>
      <c r="AL295" s="46">
        <v>0.12051820000000001</v>
      </c>
      <c r="AM295" s="46">
        <v>1.5516722000000001</v>
      </c>
      <c r="AN295" s="46">
        <v>19.945766800000001</v>
      </c>
      <c r="AO295" s="46">
        <v>69.343175700000003</v>
      </c>
      <c r="AP295" s="46">
        <v>5.2576077000000003</v>
      </c>
      <c r="AQ295" s="46">
        <v>1.6420608999999999</v>
      </c>
      <c r="AR295" s="48">
        <f>AK295+AL295</f>
        <v>2.2597167999999996</v>
      </c>
      <c r="AS295" s="48">
        <f>AM295+AN295+AO295+AP295+AQ295</f>
        <v>97.740283300000002</v>
      </c>
    </row>
    <row r="296" spans="2:45" ht="15" hidden="1" customHeight="1" x14ac:dyDescent="0.25">
      <c r="B296" s="35">
        <v>290</v>
      </c>
      <c r="C296" s="36" t="s">
        <v>31</v>
      </c>
      <c r="D296" s="36" t="s">
        <v>66</v>
      </c>
      <c r="E296" s="36" t="s">
        <v>119</v>
      </c>
      <c r="F296" s="36" t="s">
        <v>121</v>
      </c>
      <c r="G296" s="37" t="s">
        <v>25</v>
      </c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40"/>
      <c r="AS296" s="40"/>
    </row>
    <row r="297" spans="2:45" ht="15" hidden="1" customHeight="1" x14ac:dyDescent="0.25">
      <c r="B297" s="35">
        <v>291</v>
      </c>
      <c r="C297" s="36" t="s">
        <v>31</v>
      </c>
      <c r="D297" s="36" t="s">
        <v>66</v>
      </c>
      <c r="E297" s="36" t="s">
        <v>119</v>
      </c>
      <c r="F297" s="36" t="s">
        <v>121</v>
      </c>
      <c r="G297" s="37" t="s">
        <v>26</v>
      </c>
      <c r="H297" s="38">
        <v>4624</v>
      </c>
      <c r="I297" s="38">
        <v>3</v>
      </c>
      <c r="J297" s="38">
        <v>5</v>
      </c>
      <c r="K297" s="38">
        <v>163</v>
      </c>
      <c r="L297" s="38">
        <v>2554</v>
      </c>
      <c r="M297" s="38">
        <v>1618</v>
      </c>
      <c r="N297" s="38">
        <v>196</v>
      </c>
      <c r="O297" s="38">
        <v>85</v>
      </c>
      <c r="P297" s="38"/>
      <c r="Q297" s="38"/>
      <c r="R297" s="38">
        <v>6638</v>
      </c>
      <c r="S297" s="38">
        <v>142</v>
      </c>
      <c r="T297" s="38">
        <v>8</v>
      </c>
      <c r="U297" s="38">
        <v>103</v>
      </c>
      <c r="V297" s="38">
        <v>1324</v>
      </c>
      <c r="W297" s="38">
        <v>4603</v>
      </c>
      <c r="X297" s="38">
        <v>349</v>
      </c>
      <c r="Y297" s="38">
        <v>109</v>
      </c>
      <c r="Z297" s="38"/>
      <c r="AA297" s="38"/>
      <c r="AB297" s="39">
        <v>6.4878900000000003E-2</v>
      </c>
      <c r="AC297" s="39">
        <v>0.10813150000000001</v>
      </c>
      <c r="AD297" s="39">
        <v>3.5250865</v>
      </c>
      <c r="AE297" s="39">
        <v>55.233564000000001</v>
      </c>
      <c r="AF297" s="39">
        <v>34.991349499999998</v>
      </c>
      <c r="AG297" s="39">
        <v>4.2387543000000001</v>
      </c>
      <c r="AH297" s="39">
        <v>1.8382353</v>
      </c>
      <c r="AI297" s="39"/>
      <c r="AJ297" s="39"/>
      <c r="AK297" s="39">
        <v>2.1391985999999998</v>
      </c>
      <c r="AL297" s="39">
        <v>0.12051820000000001</v>
      </c>
      <c r="AM297" s="39">
        <v>1.5516722000000001</v>
      </c>
      <c r="AN297" s="39">
        <v>19.945766800000001</v>
      </c>
      <c r="AO297" s="39">
        <v>69.343175700000003</v>
      </c>
      <c r="AP297" s="39">
        <v>5.2576077000000003</v>
      </c>
      <c r="AQ297" s="39">
        <v>1.6420608999999999</v>
      </c>
      <c r="AR297" s="40"/>
      <c r="AS297" s="40"/>
    </row>
    <row r="298" spans="2:45" ht="15" customHeight="1" x14ac:dyDescent="0.25">
      <c r="B298" s="41">
        <v>292</v>
      </c>
      <c r="C298" s="42" t="s">
        <v>31</v>
      </c>
      <c r="D298" s="51" t="s">
        <v>66</v>
      </c>
      <c r="E298" s="51" t="s">
        <v>119</v>
      </c>
      <c r="F298" s="51" t="s">
        <v>122</v>
      </c>
      <c r="G298" s="52" t="s">
        <v>122</v>
      </c>
      <c r="H298" s="43">
        <v>2306</v>
      </c>
      <c r="I298" s="43">
        <v>22</v>
      </c>
      <c r="J298" s="43">
        <v>5</v>
      </c>
      <c r="K298" s="43">
        <v>200</v>
      </c>
      <c r="L298" s="43">
        <v>1129</v>
      </c>
      <c r="M298" s="43">
        <v>858</v>
      </c>
      <c r="N298" s="43">
        <v>67</v>
      </c>
      <c r="O298" s="43">
        <v>25</v>
      </c>
      <c r="P298" s="44">
        <f>K298+L298+M298+N298+O298</f>
        <v>2279</v>
      </c>
      <c r="Q298" s="44">
        <f>I298+J298</f>
        <v>27</v>
      </c>
      <c r="R298" s="43">
        <v>4142</v>
      </c>
      <c r="S298" s="43">
        <v>478</v>
      </c>
      <c r="T298" s="43">
        <v>19</v>
      </c>
      <c r="U298" s="43">
        <v>195</v>
      </c>
      <c r="V298" s="43">
        <v>604</v>
      </c>
      <c r="W298" s="43">
        <v>2405</v>
      </c>
      <c r="X298" s="43">
        <v>301</v>
      </c>
      <c r="Y298" s="43">
        <v>140</v>
      </c>
      <c r="Z298" s="45">
        <f>U298+V298+W298+X298+Y298</f>
        <v>3645</v>
      </c>
      <c r="AA298" s="45">
        <f>S298+T298</f>
        <v>497</v>
      </c>
      <c r="AB298" s="46">
        <v>0.95403300000000002</v>
      </c>
      <c r="AC298" s="46">
        <v>0.21682570000000001</v>
      </c>
      <c r="AD298" s="46">
        <v>8.6730269</v>
      </c>
      <c r="AE298" s="46">
        <v>48.959236799999999</v>
      </c>
      <c r="AF298" s="46">
        <v>37.207285300000002</v>
      </c>
      <c r="AG298" s="46">
        <v>2.9054639999999998</v>
      </c>
      <c r="AH298" s="46">
        <v>1.0841284</v>
      </c>
      <c r="AI298" s="47">
        <f>AB298+AC298</f>
        <v>1.1708587000000001</v>
      </c>
      <c r="AJ298" s="47">
        <f>AD298+AE298+AF298+AG298+AH298</f>
        <v>98.829141399999997</v>
      </c>
      <c r="AK298" s="46">
        <v>11.5403187</v>
      </c>
      <c r="AL298" s="46">
        <v>0.4587156</v>
      </c>
      <c r="AM298" s="46">
        <v>4.7078705999999997</v>
      </c>
      <c r="AN298" s="46">
        <v>14.5823274</v>
      </c>
      <c r="AO298" s="46">
        <v>58.0637373</v>
      </c>
      <c r="AP298" s="46">
        <v>7.2670208000000001</v>
      </c>
      <c r="AQ298" s="46">
        <v>3.3800097</v>
      </c>
      <c r="AR298" s="48">
        <f>AK298+AL298</f>
        <v>11.9990343</v>
      </c>
      <c r="AS298" s="48">
        <f>AM298+AN298+AO298+AP298+AQ298</f>
        <v>88.000965800000003</v>
      </c>
    </row>
    <row r="299" spans="2:45" ht="15" hidden="1" customHeight="1" x14ac:dyDescent="0.25">
      <c r="B299" s="35">
        <v>293</v>
      </c>
      <c r="C299" s="36" t="s">
        <v>31</v>
      </c>
      <c r="D299" s="36" t="s">
        <v>66</v>
      </c>
      <c r="E299" s="36" t="s">
        <v>119</v>
      </c>
      <c r="F299" s="36" t="s">
        <v>122</v>
      </c>
      <c r="G299" s="37" t="s">
        <v>25</v>
      </c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>
        <v>444</v>
      </c>
      <c r="S299" s="38">
        <v>323</v>
      </c>
      <c r="T299" s="38">
        <v>12</v>
      </c>
      <c r="U299" s="38">
        <v>7</v>
      </c>
      <c r="V299" s="38">
        <v>32</v>
      </c>
      <c r="W299" s="38">
        <v>61</v>
      </c>
      <c r="X299" s="38">
        <v>5</v>
      </c>
      <c r="Y299" s="38">
        <v>4</v>
      </c>
      <c r="Z299" s="38"/>
      <c r="AA299" s="38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>
        <v>72.747747700000005</v>
      </c>
      <c r="AL299" s="39">
        <v>2.7027027000000001</v>
      </c>
      <c r="AM299" s="39">
        <v>1.5765766000000001</v>
      </c>
      <c r="AN299" s="39">
        <v>7.2072072</v>
      </c>
      <c r="AO299" s="39">
        <v>13.738738700000001</v>
      </c>
      <c r="AP299" s="39">
        <v>1.1261261</v>
      </c>
      <c r="AQ299" s="39">
        <v>0.9009009</v>
      </c>
      <c r="AR299" s="40"/>
      <c r="AS299" s="40"/>
    </row>
    <row r="300" spans="2:45" ht="15" hidden="1" customHeight="1" x14ac:dyDescent="0.25">
      <c r="B300" s="35">
        <v>294</v>
      </c>
      <c r="C300" s="36" t="s">
        <v>31</v>
      </c>
      <c r="D300" s="36" t="s">
        <v>66</v>
      </c>
      <c r="E300" s="36" t="s">
        <v>119</v>
      </c>
      <c r="F300" s="36" t="s">
        <v>122</v>
      </c>
      <c r="G300" s="37" t="s">
        <v>26</v>
      </c>
      <c r="H300" s="38">
        <v>2306</v>
      </c>
      <c r="I300" s="38">
        <v>22</v>
      </c>
      <c r="J300" s="38">
        <v>5</v>
      </c>
      <c r="K300" s="38">
        <v>200</v>
      </c>
      <c r="L300" s="38">
        <v>1129</v>
      </c>
      <c r="M300" s="38">
        <v>858</v>
      </c>
      <c r="N300" s="38">
        <v>67</v>
      </c>
      <c r="O300" s="38">
        <v>25</v>
      </c>
      <c r="P300" s="38"/>
      <c r="Q300" s="38"/>
      <c r="R300" s="38">
        <v>3698</v>
      </c>
      <c r="S300" s="38">
        <v>155</v>
      </c>
      <c r="T300" s="38">
        <v>7</v>
      </c>
      <c r="U300" s="38">
        <v>188</v>
      </c>
      <c r="V300" s="38">
        <v>572</v>
      </c>
      <c r="W300" s="38">
        <v>2344</v>
      </c>
      <c r="X300" s="38">
        <v>296</v>
      </c>
      <c r="Y300" s="38">
        <v>136</v>
      </c>
      <c r="Z300" s="38"/>
      <c r="AA300" s="38"/>
      <c r="AB300" s="39">
        <v>0.95403300000000002</v>
      </c>
      <c r="AC300" s="39">
        <v>0.21682570000000001</v>
      </c>
      <c r="AD300" s="39">
        <v>8.6730269</v>
      </c>
      <c r="AE300" s="39">
        <v>48.959236799999999</v>
      </c>
      <c r="AF300" s="39">
        <v>37.207285300000002</v>
      </c>
      <c r="AG300" s="39">
        <v>2.9054639999999998</v>
      </c>
      <c r="AH300" s="39">
        <v>1.0841284</v>
      </c>
      <c r="AI300" s="39"/>
      <c r="AJ300" s="39"/>
      <c r="AK300" s="39">
        <v>4.1914547999999998</v>
      </c>
      <c r="AL300" s="39">
        <v>0.1892915</v>
      </c>
      <c r="AM300" s="39">
        <v>5.0838291</v>
      </c>
      <c r="AN300" s="39">
        <v>15.467820400000001</v>
      </c>
      <c r="AO300" s="39">
        <v>63.385613800000002</v>
      </c>
      <c r="AP300" s="39">
        <v>8.0043267</v>
      </c>
      <c r="AQ300" s="39">
        <v>3.6776635999999998</v>
      </c>
      <c r="AR300" s="40"/>
      <c r="AS300" s="40"/>
    </row>
    <row r="301" spans="2:45" ht="15" customHeight="1" x14ac:dyDescent="0.25">
      <c r="B301" s="41">
        <v>295</v>
      </c>
      <c r="C301" s="42" t="s">
        <v>31</v>
      </c>
      <c r="D301" s="51" t="s">
        <v>66</v>
      </c>
      <c r="E301" s="51" t="s">
        <v>119</v>
      </c>
      <c r="F301" s="51" t="s">
        <v>123</v>
      </c>
      <c r="G301" s="52" t="s">
        <v>123</v>
      </c>
      <c r="H301" s="43">
        <v>1234</v>
      </c>
      <c r="I301" s="43">
        <v>20</v>
      </c>
      <c r="J301" s="43">
        <v>3</v>
      </c>
      <c r="K301" s="43">
        <v>109</v>
      </c>
      <c r="L301" s="43">
        <v>558</v>
      </c>
      <c r="M301" s="43">
        <v>453</v>
      </c>
      <c r="N301" s="43">
        <v>67</v>
      </c>
      <c r="O301" s="43">
        <v>24</v>
      </c>
      <c r="P301" s="44">
        <f>K301+L301+M301+N301+O301</f>
        <v>1211</v>
      </c>
      <c r="Q301" s="44">
        <f>I301+J301</f>
        <v>23</v>
      </c>
      <c r="R301" s="43">
        <v>1777</v>
      </c>
      <c r="S301" s="43">
        <v>320</v>
      </c>
      <c r="T301" s="43">
        <v>376</v>
      </c>
      <c r="U301" s="43">
        <v>46</v>
      </c>
      <c r="V301" s="43">
        <v>115</v>
      </c>
      <c r="W301" s="43">
        <v>597</v>
      </c>
      <c r="X301" s="43">
        <v>260</v>
      </c>
      <c r="Y301" s="43">
        <v>63</v>
      </c>
      <c r="Z301" s="45">
        <f>U301+V301+W301+X301+Y301</f>
        <v>1081</v>
      </c>
      <c r="AA301" s="45">
        <f>S301+T301</f>
        <v>696</v>
      </c>
      <c r="AB301" s="46">
        <v>1.6207455</v>
      </c>
      <c r="AC301" s="46">
        <v>0.24311179999999999</v>
      </c>
      <c r="AD301" s="46">
        <v>8.8330631999999998</v>
      </c>
      <c r="AE301" s="46">
        <v>45.218800600000002</v>
      </c>
      <c r="AF301" s="46">
        <v>36.709886500000003</v>
      </c>
      <c r="AG301" s="46">
        <v>5.4294976000000004</v>
      </c>
      <c r="AH301" s="46">
        <v>1.9448947000000001</v>
      </c>
      <c r="AI301" s="47">
        <f>AB301+AC301</f>
        <v>1.8638572999999998</v>
      </c>
      <c r="AJ301" s="47">
        <f>AD301+AE301+AF301+AG301+AH301</f>
        <v>98.136142600000014</v>
      </c>
      <c r="AK301" s="46">
        <v>18.007878399999999</v>
      </c>
      <c r="AL301" s="46">
        <v>21.159257199999999</v>
      </c>
      <c r="AM301" s="46">
        <v>2.5886325000000001</v>
      </c>
      <c r="AN301" s="46">
        <v>6.4715813000000004</v>
      </c>
      <c r="AO301" s="46">
        <v>33.595948200000002</v>
      </c>
      <c r="AP301" s="46">
        <v>14.631401200000001</v>
      </c>
      <c r="AQ301" s="46">
        <v>3.5453011000000001</v>
      </c>
      <c r="AR301" s="48">
        <f>AK301+AL301</f>
        <v>39.167135599999995</v>
      </c>
      <c r="AS301" s="48">
        <f>AM301+AN301+AO301+AP301+AQ301</f>
        <v>60.832864300000004</v>
      </c>
    </row>
    <row r="302" spans="2:45" ht="15" hidden="1" customHeight="1" x14ac:dyDescent="0.25">
      <c r="B302" s="35">
        <v>296</v>
      </c>
      <c r="C302" s="36" t="s">
        <v>31</v>
      </c>
      <c r="D302" s="36" t="s">
        <v>66</v>
      </c>
      <c r="E302" s="36" t="s">
        <v>119</v>
      </c>
      <c r="F302" s="36" t="s">
        <v>123</v>
      </c>
      <c r="G302" s="37" t="s">
        <v>25</v>
      </c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40"/>
      <c r="AS302" s="40"/>
    </row>
    <row r="303" spans="2:45" ht="15" hidden="1" customHeight="1" x14ac:dyDescent="0.25">
      <c r="B303" s="35">
        <v>297</v>
      </c>
      <c r="C303" s="36" t="s">
        <v>31</v>
      </c>
      <c r="D303" s="36" t="s">
        <v>66</v>
      </c>
      <c r="E303" s="36" t="s">
        <v>119</v>
      </c>
      <c r="F303" s="36" t="s">
        <v>123</v>
      </c>
      <c r="G303" s="37" t="s">
        <v>26</v>
      </c>
      <c r="H303" s="38">
        <v>1234</v>
      </c>
      <c r="I303" s="38">
        <v>20</v>
      </c>
      <c r="J303" s="38">
        <v>3</v>
      </c>
      <c r="K303" s="38">
        <v>109</v>
      </c>
      <c r="L303" s="38">
        <v>558</v>
      </c>
      <c r="M303" s="38">
        <v>453</v>
      </c>
      <c r="N303" s="38">
        <v>67</v>
      </c>
      <c r="O303" s="38">
        <v>24</v>
      </c>
      <c r="P303" s="38"/>
      <c r="Q303" s="38"/>
      <c r="R303" s="38">
        <v>1777</v>
      </c>
      <c r="S303" s="38">
        <v>320</v>
      </c>
      <c r="T303" s="38">
        <v>376</v>
      </c>
      <c r="U303" s="38">
        <v>46</v>
      </c>
      <c r="V303" s="38">
        <v>115</v>
      </c>
      <c r="W303" s="38">
        <v>597</v>
      </c>
      <c r="X303" s="38">
        <v>260</v>
      </c>
      <c r="Y303" s="38">
        <v>63</v>
      </c>
      <c r="Z303" s="38"/>
      <c r="AA303" s="38"/>
      <c r="AB303" s="39">
        <v>1.6207455</v>
      </c>
      <c r="AC303" s="39">
        <v>0.24311179999999999</v>
      </c>
      <c r="AD303" s="39">
        <v>8.8330631999999998</v>
      </c>
      <c r="AE303" s="39">
        <v>45.218800600000002</v>
      </c>
      <c r="AF303" s="39">
        <v>36.709886500000003</v>
      </c>
      <c r="AG303" s="39">
        <v>5.4294976000000004</v>
      </c>
      <c r="AH303" s="39">
        <v>1.9448947000000001</v>
      </c>
      <c r="AI303" s="39"/>
      <c r="AJ303" s="39"/>
      <c r="AK303" s="39">
        <v>18.007878399999999</v>
      </c>
      <c r="AL303" s="39">
        <v>21.159257199999999</v>
      </c>
      <c r="AM303" s="39">
        <v>2.5886325000000001</v>
      </c>
      <c r="AN303" s="39">
        <v>6.4715813000000004</v>
      </c>
      <c r="AO303" s="39">
        <v>33.595948200000002</v>
      </c>
      <c r="AP303" s="39">
        <v>14.631401200000001</v>
      </c>
      <c r="AQ303" s="39">
        <v>3.5453011000000001</v>
      </c>
      <c r="AR303" s="40"/>
      <c r="AS303" s="40"/>
    </row>
    <row r="304" spans="2:45" ht="15" customHeight="1" x14ac:dyDescent="0.25">
      <c r="B304" s="41">
        <v>298</v>
      </c>
      <c r="C304" s="42" t="s">
        <v>31</v>
      </c>
      <c r="D304" s="51" t="s">
        <v>66</v>
      </c>
      <c r="E304" s="51" t="s">
        <v>119</v>
      </c>
      <c r="F304" s="51" t="s">
        <v>124</v>
      </c>
      <c r="G304" s="52" t="s">
        <v>124</v>
      </c>
      <c r="H304" s="43">
        <v>3070</v>
      </c>
      <c r="I304" s="43">
        <v>30</v>
      </c>
      <c r="J304" s="43">
        <v>551</v>
      </c>
      <c r="K304" s="43">
        <v>250</v>
      </c>
      <c r="L304" s="43">
        <v>737</v>
      </c>
      <c r="M304" s="43">
        <v>1371</v>
      </c>
      <c r="N304" s="43">
        <v>63</v>
      </c>
      <c r="O304" s="43">
        <v>68</v>
      </c>
      <c r="P304" s="44">
        <f>K304+L304+M304+N304+O304</f>
        <v>2489</v>
      </c>
      <c r="Q304" s="44">
        <f>I304+J304</f>
        <v>581</v>
      </c>
      <c r="R304" s="43">
        <v>4892</v>
      </c>
      <c r="S304" s="43">
        <v>326</v>
      </c>
      <c r="T304" s="43">
        <v>659</v>
      </c>
      <c r="U304" s="43">
        <v>257</v>
      </c>
      <c r="V304" s="43">
        <v>329</v>
      </c>
      <c r="W304" s="43">
        <v>3011</v>
      </c>
      <c r="X304" s="43">
        <v>237</v>
      </c>
      <c r="Y304" s="43">
        <v>73</v>
      </c>
      <c r="Z304" s="45">
        <f>U304+V304+W304+X304+Y304</f>
        <v>3907</v>
      </c>
      <c r="AA304" s="45">
        <f>S304+T304</f>
        <v>985</v>
      </c>
      <c r="AB304" s="46">
        <v>0.97719869999999998</v>
      </c>
      <c r="AC304" s="46">
        <v>17.947882700000001</v>
      </c>
      <c r="AD304" s="46">
        <v>8.1433225</v>
      </c>
      <c r="AE304" s="46">
        <v>24.0065147</v>
      </c>
      <c r="AF304" s="46">
        <v>44.657980500000001</v>
      </c>
      <c r="AG304" s="46">
        <v>2.0521172999999999</v>
      </c>
      <c r="AH304" s="46">
        <v>2.2149836999999999</v>
      </c>
      <c r="AI304" s="47">
        <f>AB304+AC304</f>
        <v>18.9250814</v>
      </c>
      <c r="AJ304" s="47">
        <f>AD304+AE304+AF304+AG304+AH304</f>
        <v>81.074918700000012</v>
      </c>
      <c r="AK304" s="46">
        <v>6.6639410999999997</v>
      </c>
      <c r="AL304" s="46">
        <v>13.470973000000001</v>
      </c>
      <c r="AM304" s="46">
        <v>5.2534751000000002</v>
      </c>
      <c r="AN304" s="46">
        <v>6.7252656999999996</v>
      </c>
      <c r="AO304" s="46">
        <v>61.549468500000003</v>
      </c>
      <c r="AP304" s="46">
        <v>4.8446442999999997</v>
      </c>
      <c r="AQ304" s="46">
        <v>1.4922321999999999</v>
      </c>
      <c r="AR304" s="48">
        <f>AK304+AL304</f>
        <v>20.1349141</v>
      </c>
      <c r="AS304" s="48">
        <f>AM304+AN304+AO304+AP304+AQ304</f>
        <v>79.865085800000003</v>
      </c>
    </row>
    <row r="305" spans="2:45" ht="15" hidden="1" customHeight="1" x14ac:dyDescent="0.25">
      <c r="B305" s="35">
        <v>299</v>
      </c>
      <c r="C305" s="36" t="s">
        <v>31</v>
      </c>
      <c r="D305" s="36" t="s">
        <v>66</v>
      </c>
      <c r="E305" s="36" t="s">
        <v>119</v>
      </c>
      <c r="F305" s="36" t="s">
        <v>124</v>
      </c>
      <c r="G305" s="37" t="s">
        <v>25</v>
      </c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40"/>
      <c r="AS305" s="40"/>
    </row>
    <row r="306" spans="2:45" ht="15" hidden="1" customHeight="1" x14ac:dyDescent="0.25">
      <c r="B306" s="35">
        <v>300</v>
      </c>
      <c r="C306" s="36" t="s">
        <v>31</v>
      </c>
      <c r="D306" s="36" t="s">
        <v>66</v>
      </c>
      <c r="E306" s="36" t="s">
        <v>119</v>
      </c>
      <c r="F306" s="36" t="s">
        <v>124</v>
      </c>
      <c r="G306" s="37" t="s">
        <v>26</v>
      </c>
      <c r="H306" s="38">
        <v>3070</v>
      </c>
      <c r="I306" s="38">
        <v>30</v>
      </c>
      <c r="J306" s="38">
        <v>551</v>
      </c>
      <c r="K306" s="38">
        <v>250</v>
      </c>
      <c r="L306" s="38">
        <v>737</v>
      </c>
      <c r="M306" s="38">
        <v>1371</v>
      </c>
      <c r="N306" s="38">
        <v>63</v>
      </c>
      <c r="O306" s="38">
        <v>68</v>
      </c>
      <c r="P306" s="38"/>
      <c r="Q306" s="38"/>
      <c r="R306" s="38">
        <v>4892</v>
      </c>
      <c r="S306" s="38">
        <v>326</v>
      </c>
      <c r="T306" s="38">
        <v>659</v>
      </c>
      <c r="U306" s="38">
        <v>257</v>
      </c>
      <c r="V306" s="38">
        <v>329</v>
      </c>
      <c r="W306" s="38">
        <v>3011</v>
      </c>
      <c r="X306" s="38">
        <v>237</v>
      </c>
      <c r="Y306" s="38">
        <v>73</v>
      </c>
      <c r="Z306" s="38"/>
      <c r="AA306" s="38"/>
      <c r="AB306" s="39">
        <v>0.97719869999999998</v>
      </c>
      <c r="AC306" s="39">
        <v>17.947882700000001</v>
      </c>
      <c r="AD306" s="39">
        <v>8.1433225</v>
      </c>
      <c r="AE306" s="39">
        <v>24.0065147</v>
      </c>
      <c r="AF306" s="39">
        <v>44.657980500000001</v>
      </c>
      <c r="AG306" s="39">
        <v>2.0521172999999999</v>
      </c>
      <c r="AH306" s="39">
        <v>2.2149836999999999</v>
      </c>
      <c r="AI306" s="39"/>
      <c r="AJ306" s="39"/>
      <c r="AK306" s="39">
        <v>6.6639410999999997</v>
      </c>
      <c r="AL306" s="39">
        <v>13.470973000000001</v>
      </c>
      <c r="AM306" s="39">
        <v>5.2534751000000002</v>
      </c>
      <c r="AN306" s="39">
        <v>6.7252656999999996</v>
      </c>
      <c r="AO306" s="39">
        <v>61.549468500000003</v>
      </c>
      <c r="AP306" s="39">
        <v>4.8446442999999997</v>
      </c>
      <c r="AQ306" s="39">
        <v>1.4922321999999999</v>
      </c>
      <c r="AR306" s="40"/>
      <c r="AS306" s="40"/>
    </row>
    <row r="307" spans="2:45" ht="15" hidden="1" customHeight="1" x14ac:dyDescent="0.25">
      <c r="B307" s="30">
        <v>301</v>
      </c>
      <c r="C307" s="31" t="s">
        <v>29</v>
      </c>
      <c r="D307" s="50" t="s">
        <v>66</v>
      </c>
      <c r="E307" s="50" t="s">
        <v>125</v>
      </c>
      <c r="F307" s="50"/>
      <c r="G307" s="31" t="s">
        <v>125</v>
      </c>
      <c r="H307" s="32">
        <v>19846</v>
      </c>
      <c r="I307" s="32">
        <v>886</v>
      </c>
      <c r="J307" s="32">
        <v>2929</v>
      </c>
      <c r="K307" s="32">
        <v>3809</v>
      </c>
      <c r="L307" s="32">
        <v>5133</v>
      </c>
      <c r="M307" s="32">
        <v>5630</v>
      </c>
      <c r="N307" s="32">
        <v>935</v>
      </c>
      <c r="O307" s="32">
        <v>524</v>
      </c>
      <c r="P307" s="32"/>
      <c r="Q307" s="32"/>
      <c r="R307" s="32">
        <v>30583</v>
      </c>
      <c r="S307" s="32">
        <v>3473</v>
      </c>
      <c r="T307" s="32">
        <v>5161</v>
      </c>
      <c r="U307" s="32">
        <v>1947</v>
      </c>
      <c r="V307" s="32">
        <v>2240</v>
      </c>
      <c r="W307" s="32">
        <v>14739</v>
      </c>
      <c r="X307" s="32">
        <v>2537</v>
      </c>
      <c r="Y307" s="32">
        <v>486</v>
      </c>
      <c r="Z307" s="32"/>
      <c r="AA307" s="32"/>
      <c r="AB307" s="33">
        <v>4.4643756999999997</v>
      </c>
      <c r="AC307" s="33">
        <v>14.7586415</v>
      </c>
      <c r="AD307" s="33">
        <v>19.192784400000001</v>
      </c>
      <c r="AE307" s="33">
        <v>25.864153999999999</v>
      </c>
      <c r="AF307" s="33">
        <v>28.368437</v>
      </c>
      <c r="AG307" s="33">
        <v>4.7112768000000003</v>
      </c>
      <c r="AH307" s="33">
        <v>2.6403305000000001</v>
      </c>
      <c r="AI307" s="33"/>
      <c r="AJ307" s="33"/>
      <c r="AK307" s="33">
        <v>11.3559821</v>
      </c>
      <c r="AL307" s="33">
        <v>16.875388300000001</v>
      </c>
      <c r="AM307" s="33">
        <v>6.3662818999999997</v>
      </c>
      <c r="AN307" s="33">
        <v>7.3243305000000003</v>
      </c>
      <c r="AO307" s="33">
        <v>48.193440799999998</v>
      </c>
      <c r="AP307" s="33">
        <v>8.2954583</v>
      </c>
      <c r="AQ307" s="33">
        <v>1.5891181000000001</v>
      </c>
      <c r="AR307" s="34"/>
      <c r="AS307" s="34"/>
    </row>
    <row r="308" spans="2:45" ht="15" hidden="1" customHeight="1" x14ac:dyDescent="0.25">
      <c r="B308" s="35">
        <v>302</v>
      </c>
      <c r="C308" s="36" t="s">
        <v>29</v>
      </c>
      <c r="D308" s="36" t="s">
        <v>66</v>
      </c>
      <c r="E308" s="36" t="s">
        <v>125</v>
      </c>
      <c r="F308" s="36"/>
      <c r="G308" s="37" t="s">
        <v>25</v>
      </c>
      <c r="H308" s="38">
        <v>3248</v>
      </c>
      <c r="I308" s="38">
        <v>413</v>
      </c>
      <c r="J308" s="38">
        <v>2502</v>
      </c>
      <c r="K308" s="38">
        <v>67</v>
      </c>
      <c r="L308" s="38">
        <v>202</v>
      </c>
      <c r="M308" s="38">
        <v>51</v>
      </c>
      <c r="N308" s="38">
        <v>5</v>
      </c>
      <c r="O308" s="38">
        <v>8</v>
      </c>
      <c r="P308" s="38"/>
      <c r="Q308" s="38"/>
      <c r="R308" s="38">
        <v>5831</v>
      </c>
      <c r="S308" s="38">
        <v>1521</v>
      </c>
      <c r="T308" s="38">
        <v>3294</v>
      </c>
      <c r="U308" s="38">
        <v>136</v>
      </c>
      <c r="V308" s="38">
        <v>167</v>
      </c>
      <c r="W308" s="38">
        <v>619</v>
      </c>
      <c r="X308" s="38">
        <v>49</v>
      </c>
      <c r="Y308" s="38">
        <v>45</v>
      </c>
      <c r="Z308" s="38"/>
      <c r="AA308" s="38"/>
      <c r="AB308" s="39">
        <v>12.715517200000001</v>
      </c>
      <c r="AC308" s="39">
        <v>77.032019700000006</v>
      </c>
      <c r="AD308" s="39">
        <v>2.0628079000000001</v>
      </c>
      <c r="AE308" s="39">
        <v>6.2192118000000001</v>
      </c>
      <c r="AF308" s="39">
        <v>1.5701970000000001</v>
      </c>
      <c r="AG308" s="39">
        <v>0.15394089999999999</v>
      </c>
      <c r="AH308" s="39">
        <v>0.24630540000000001</v>
      </c>
      <c r="AI308" s="39"/>
      <c r="AJ308" s="39"/>
      <c r="AK308" s="39">
        <v>26.0847196</v>
      </c>
      <c r="AL308" s="39">
        <v>56.491167900000001</v>
      </c>
      <c r="AM308" s="39">
        <v>2.3323615000000002</v>
      </c>
      <c r="AN308" s="39">
        <v>2.8640026999999999</v>
      </c>
      <c r="AO308" s="39">
        <v>10.615674800000001</v>
      </c>
      <c r="AP308" s="39">
        <v>0.84033610000000003</v>
      </c>
      <c r="AQ308" s="39">
        <v>0.77173729999999996</v>
      </c>
      <c r="AR308" s="40"/>
      <c r="AS308" s="40"/>
    </row>
    <row r="309" spans="2:45" ht="15" hidden="1" customHeight="1" x14ac:dyDescent="0.25">
      <c r="B309" s="35">
        <v>303</v>
      </c>
      <c r="C309" s="36" t="s">
        <v>29</v>
      </c>
      <c r="D309" s="36" t="s">
        <v>66</v>
      </c>
      <c r="E309" s="36" t="s">
        <v>125</v>
      </c>
      <c r="F309" s="36"/>
      <c r="G309" s="37" t="s">
        <v>26</v>
      </c>
      <c r="H309" s="38">
        <v>16598</v>
      </c>
      <c r="I309" s="38">
        <v>473</v>
      </c>
      <c r="J309" s="38">
        <v>427</v>
      </c>
      <c r="K309" s="38">
        <v>3742</v>
      </c>
      <c r="L309" s="38">
        <v>4931</v>
      </c>
      <c r="M309" s="38">
        <v>5579</v>
      </c>
      <c r="N309" s="38">
        <v>930</v>
      </c>
      <c r="O309" s="38">
        <v>516</v>
      </c>
      <c r="P309" s="38"/>
      <c r="Q309" s="38"/>
      <c r="R309" s="38">
        <v>24752</v>
      </c>
      <c r="S309" s="38">
        <v>1952</v>
      </c>
      <c r="T309" s="38">
        <v>1867</v>
      </c>
      <c r="U309" s="38">
        <v>1811</v>
      </c>
      <c r="V309" s="38">
        <v>2073</v>
      </c>
      <c r="W309" s="38">
        <v>14120</v>
      </c>
      <c r="X309" s="38">
        <v>2488</v>
      </c>
      <c r="Y309" s="38">
        <v>441</v>
      </c>
      <c r="Z309" s="38"/>
      <c r="AA309" s="38"/>
      <c r="AB309" s="39">
        <v>2.8497409</v>
      </c>
      <c r="AC309" s="39">
        <v>2.5725991000000001</v>
      </c>
      <c r="AD309" s="39">
        <v>22.5448849</v>
      </c>
      <c r="AE309" s="39">
        <v>29.708398599999999</v>
      </c>
      <c r="AF309" s="39">
        <v>33.612483400000002</v>
      </c>
      <c r="AG309" s="39">
        <v>5.6030847000000001</v>
      </c>
      <c r="AH309" s="39">
        <v>3.1088083000000002</v>
      </c>
      <c r="AI309" s="39"/>
      <c r="AJ309" s="39"/>
      <c r="AK309" s="39">
        <v>7.8862313999999998</v>
      </c>
      <c r="AL309" s="39">
        <v>7.5428248</v>
      </c>
      <c r="AM309" s="39">
        <v>7.3165804999999997</v>
      </c>
      <c r="AN309" s="39">
        <v>8.3750807999999992</v>
      </c>
      <c r="AO309" s="39">
        <v>57.045895299999998</v>
      </c>
      <c r="AP309" s="39">
        <v>10.051712999999999</v>
      </c>
      <c r="AQ309" s="39">
        <v>1.7816742000000001</v>
      </c>
      <c r="AR309" s="40"/>
      <c r="AS309" s="40"/>
    </row>
    <row r="310" spans="2:45" ht="15" customHeight="1" x14ac:dyDescent="0.25">
      <c r="B310" s="41">
        <v>304</v>
      </c>
      <c r="C310" s="42" t="s">
        <v>31</v>
      </c>
      <c r="D310" s="51" t="s">
        <v>66</v>
      </c>
      <c r="E310" s="51" t="s">
        <v>125</v>
      </c>
      <c r="F310" s="51" t="s">
        <v>125</v>
      </c>
      <c r="G310" s="52" t="s">
        <v>125</v>
      </c>
      <c r="H310" s="43">
        <v>4894</v>
      </c>
      <c r="I310" s="43">
        <v>143</v>
      </c>
      <c r="J310" s="43">
        <v>37</v>
      </c>
      <c r="K310" s="43">
        <v>1165</v>
      </c>
      <c r="L310" s="43">
        <v>944</v>
      </c>
      <c r="M310" s="43">
        <v>2168</v>
      </c>
      <c r="N310" s="43">
        <v>246</v>
      </c>
      <c r="O310" s="43">
        <v>191</v>
      </c>
      <c r="P310" s="44">
        <f>K310+L310+M310+N310+O310</f>
        <v>4714</v>
      </c>
      <c r="Q310" s="44">
        <f>I310+J310</f>
        <v>180</v>
      </c>
      <c r="R310" s="43">
        <v>7144</v>
      </c>
      <c r="S310" s="43">
        <v>434</v>
      </c>
      <c r="T310" s="43">
        <v>66</v>
      </c>
      <c r="U310" s="43">
        <v>707</v>
      </c>
      <c r="V310" s="43">
        <v>604</v>
      </c>
      <c r="W310" s="43">
        <v>4514</v>
      </c>
      <c r="X310" s="43">
        <v>661</v>
      </c>
      <c r="Y310" s="43">
        <v>158</v>
      </c>
      <c r="Z310" s="45">
        <f>U310+V310+W310+X310+Y310</f>
        <v>6644</v>
      </c>
      <c r="AA310" s="45">
        <f>S310+T310</f>
        <v>500</v>
      </c>
      <c r="AB310" s="46">
        <v>2.9219452000000001</v>
      </c>
      <c r="AC310" s="46">
        <v>0.75602780000000003</v>
      </c>
      <c r="AD310" s="46">
        <v>23.804658799999999</v>
      </c>
      <c r="AE310" s="46">
        <v>19.288925200000001</v>
      </c>
      <c r="AF310" s="46">
        <v>44.299141800000001</v>
      </c>
      <c r="AG310" s="46">
        <v>5.0265630999999997</v>
      </c>
      <c r="AH310" s="46">
        <v>3.9027379999999998</v>
      </c>
      <c r="AI310" s="47">
        <f>AB310+AC310</f>
        <v>3.6779730000000002</v>
      </c>
      <c r="AJ310" s="47">
        <f>AD310+AE310+AF310+AG310+AH310</f>
        <v>96.322026899999997</v>
      </c>
      <c r="AK310" s="46">
        <v>6.0750279999999997</v>
      </c>
      <c r="AL310" s="46">
        <v>0.92385220000000001</v>
      </c>
      <c r="AM310" s="46">
        <v>9.8964166000000002</v>
      </c>
      <c r="AN310" s="46">
        <v>8.4546472999999995</v>
      </c>
      <c r="AO310" s="46">
        <v>63.185890299999997</v>
      </c>
      <c r="AP310" s="46">
        <v>9.2525195999999994</v>
      </c>
      <c r="AQ310" s="46">
        <v>2.2116460999999998</v>
      </c>
      <c r="AR310" s="48">
        <f>AK310+AL310</f>
        <v>6.9988801999999994</v>
      </c>
      <c r="AS310" s="48">
        <f>AM310+AN310+AO310+AP310+AQ310</f>
        <v>93.001119899999992</v>
      </c>
    </row>
    <row r="311" spans="2:45" ht="15" hidden="1" customHeight="1" x14ac:dyDescent="0.25">
      <c r="B311" s="35">
        <v>305</v>
      </c>
      <c r="C311" s="36" t="s">
        <v>31</v>
      </c>
      <c r="D311" s="36" t="s">
        <v>66</v>
      </c>
      <c r="E311" s="36" t="s">
        <v>125</v>
      </c>
      <c r="F311" s="36" t="s">
        <v>125</v>
      </c>
      <c r="G311" s="37" t="s">
        <v>25</v>
      </c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40"/>
      <c r="AS311" s="40"/>
    </row>
    <row r="312" spans="2:45" ht="15" hidden="1" customHeight="1" x14ac:dyDescent="0.25">
      <c r="B312" s="35">
        <v>306</v>
      </c>
      <c r="C312" s="36" t="s">
        <v>31</v>
      </c>
      <c r="D312" s="36" t="s">
        <v>66</v>
      </c>
      <c r="E312" s="36" t="s">
        <v>125</v>
      </c>
      <c r="F312" s="36" t="s">
        <v>125</v>
      </c>
      <c r="G312" s="37" t="s">
        <v>26</v>
      </c>
      <c r="H312" s="38">
        <v>4894</v>
      </c>
      <c r="I312" s="38">
        <v>143</v>
      </c>
      <c r="J312" s="38">
        <v>37</v>
      </c>
      <c r="K312" s="38">
        <v>1165</v>
      </c>
      <c r="L312" s="38">
        <v>944</v>
      </c>
      <c r="M312" s="38">
        <v>2168</v>
      </c>
      <c r="N312" s="38">
        <v>246</v>
      </c>
      <c r="O312" s="38">
        <v>191</v>
      </c>
      <c r="P312" s="38"/>
      <c r="Q312" s="38"/>
      <c r="R312" s="38">
        <v>7144</v>
      </c>
      <c r="S312" s="38">
        <v>434</v>
      </c>
      <c r="T312" s="38">
        <v>66</v>
      </c>
      <c r="U312" s="38">
        <v>707</v>
      </c>
      <c r="V312" s="38">
        <v>604</v>
      </c>
      <c r="W312" s="38">
        <v>4514</v>
      </c>
      <c r="X312" s="38">
        <v>661</v>
      </c>
      <c r="Y312" s="38">
        <v>158</v>
      </c>
      <c r="Z312" s="38"/>
      <c r="AA312" s="38"/>
      <c r="AB312" s="39">
        <v>2.9219452000000001</v>
      </c>
      <c r="AC312" s="39">
        <v>0.75602780000000003</v>
      </c>
      <c r="AD312" s="39">
        <v>23.804658799999999</v>
      </c>
      <c r="AE312" s="39">
        <v>19.288925200000001</v>
      </c>
      <c r="AF312" s="39">
        <v>44.299141800000001</v>
      </c>
      <c r="AG312" s="39">
        <v>5.0265630999999997</v>
      </c>
      <c r="AH312" s="39">
        <v>3.9027379999999998</v>
      </c>
      <c r="AI312" s="39"/>
      <c r="AJ312" s="39"/>
      <c r="AK312" s="39">
        <v>6.0750279999999997</v>
      </c>
      <c r="AL312" s="39">
        <v>0.92385220000000001</v>
      </c>
      <c r="AM312" s="39">
        <v>9.8964166000000002</v>
      </c>
      <c r="AN312" s="39">
        <v>8.4546472999999995</v>
      </c>
      <c r="AO312" s="39">
        <v>63.185890299999997</v>
      </c>
      <c r="AP312" s="39">
        <v>9.2525195999999994</v>
      </c>
      <c r="AQ312" s="39">
        <v>2.2116460999999998</v>
      </c>
      <c r="AR312" s="40"/>
      <c r="AS312" s="40"/>
    </row>
    <row r="313" spans="2:45" ht="15" customHeight="1" x14ac:dyDescent="0.25">
      <c r="B313" s="41">
        <v>307</v>
      </c>
      <c r="C313" s="42" t="s">
        <v>31</v>
      </c>
      <c r="D313" s="51" t="s">
        <v>66</v>
      </c>
      <c r="E313" s="51" t="s">
        <v>125</v>
      </c>
      <c r="F313" s="51" t="s">
        <v>126</v>
      </c>
      <c r="G313" s="52" t="s">
        <v>126</v>
      </c>
      <c r="H313" s="43">
        <v>3387</v>
      </c>
      <c r="I313" s="43">
        <v>406</v>
      </c>
      <c r="J313" s="43">
        <v>787</v>
      </c>
      <c r="K313" s="43">
        <v>861</v>
      </c>
      <c r="L313" s="43">
        <v>761</v>
      </c>
      <c r="M313" s="43">
        <v>404</v>
      </c>
      <c r="N313" s="43">
        <v>93</v>
      </c>
      <c r="O313" s="43">
        <v>75</v>
      </c>
      <c r="P313" s="44">
        <f>K313+L313+M313+N313+O313</f>
        <v>2194</v>
      </c>
      <c r="Q313" s="44">
        <f>I313+J313</f>
        <v>1193</v>
      </c>
      <c r="R313" s="43">
        <v>4434</v>
      </c>
      <c r="S313" s="43">
        <v>1405</v>
      </c>
      <c r="T313" s="43">
        <v>1102</v>
      </c>
      <c r="U313" s="43">
        <v>234</v>
      </c>
      <c r="V313" s="43">
        <v>265</v>
      </c>
      <c r="W313" s="43">
        <v>971</v>
      </c>
      <c r="X313" s="43">
        <v>381</v>
      </c>
      <c r="Y313" s="43">
        <v>76</v>
      </c>
      <c r="Z313" s="45">
        <f>U313+V313+W313+X313+Y313</f>
        <v>1927</v>
      </c>
      <c r="AA313" s="45">
        <f>S313+T313</f>
        <v>2507</v>
      </c>
      <c r="AB313" s="46">
        <v>11.987009199999999</v>
      </c>
      <c r="AC313" s="46">
        <v>23.235901999999999</v>
      </c>
      <c r="AD313" s="46">
        <v>25.420726299999998</v>
      </c>
      <c r="AE313" s="46">
        <v>22.468260999999998</v>
      </c>
      <c r="AF313" s="46">
        <v>11.9279598</v>
      </c>
      <c r="AG313" s="46">
        <v>2.7457927</v>
      </c>
      <c r="AH313" s="46">
        <v>2.2143489999999999</v>
      </c>
      <c r="AI313" s="47">
        <f>AB313+AC313</f>
        <v>35.222911199999999</v>
      </c>
      <c r="AJ313" s="47">
        <f>AD313+AE313+AF313+AG313+AH313</f>
        <v>64.777088800000001</v>
      </c>
      <c r="AK313" s="46">
        <v>31.686964400000001</v>
      </c>
      <c r="AL313" s="46">
        <v>24.853405500000001</v>
      </c>
      <c r="AM313" s="46">
        <v>5.2774019000000001</v>
      </c>
      <c r="AN313" s="46">
        <v>5.9765449000000004</v>
      </c>
      <c r="AO313" s="46">
        <v>21.898962600000001</v>
      </c>
      <c r="AP313" s="46">
        <v>8.5926928</v>
      </c>
      <c r="AQ313" s="46">
        <v>1.7140280000000001</v>
      </c>
      <c r="AR313" s="48">
        <f>AK313+AL313</f>
        <v>56.540369900000002</v>
      </c>
      <c r="AS313" s="48">
        <f>AM313+AN313+AO313+AP313+AQ313</f>
        <v>43.459630199999999</v>
      </c>
    </row>
    <row r="314" spans="2:45" ht="15" hidden="1" customHeight="1" x14ac:dyDescent="0.25">
      <c r="B314" s="35">
        <v>308</v>
      </c>
      <c r="C314" s="36" t="s">
        <v>31</v>
      </c>
      <c r="D314" s="36" t="s">
        <v>66</v>
      </c>
      <c r="E314" s="36" t="s">
        <v>125</v>
      </c>
      <c r="F314" s="36" t="s">
        <v>126</v>
      </c>
      <c r="G314" s="37" t="s">
        <v>25</v>
      </c>
      <c r="H314" s="38">
        <v>1158</v>
      </c>
      <c r="I314" s="38">
        <v>212</v>
      </c>
      <c r="J314" s="38">
        <v>737</v>
      </c>
      <c r="K314" s="38">
        <v>17</v>
      </c>
      <c r="L314" s="38">
        <v>163</v>
      </c>
      <c r="M314" s="38">
        <v>24</v>
      </c>
      <c r="N314" s="38">
        <v>2</v>
      </c>
      <c r="O314" s="38">
        <v>3</v>
      </c>
      <c r="P314" s="38"/>
      <c r="Q314" s="38"/>
      <c r="R314" s="38">
        <v>1610</v>
      </c>
      <c r="S314" s="38">
        <v>545</v>
      </c>
      <c r="T314" s="38">
        <v>907</v>
      </c>
      <c r="U314" s="38">
        <v>21</v>
      </c>
      <c r="V314" s="38">
        <v>55</v>
      </c>
      <c r="W314" s="38">
        <v>56</v>
      </c>
      <c r="X314" s="38">
        <v>13</v>
      </c>
      <c r="Y314" s="38">
        <v>13</v>
      </c>
      <c r="Z314" s="38"/>
      <c r="AA314" s="38"/>
      <c r="AB314" s="39">
        <v>18.307426599999999</v>
      </c>
      <c r="AC314" s="39">
        <v>63.6442142</v>
      </c>
      <c r="AD314" s="39">
        <v>1.4680484</v>
      </c>
      <c r="AE314" s="39">
        <v>14.0759931</v>
      </c>
      <c r="AF314" s="39">
        <v>2.0725389000000001</v>
      </c>
      <c r="AG314" s="39">
        <v>0.17271159999999999</v>
      </c>
      <c r="AH314" s="39">
        <v>0.2590674</v>
      </c>
      <c r="AI314" s="39"/>
      <c r="AJ314" s="39"/>
      <c r="AK314" s="39">
        <v>33.850931699999997</v>
      </c>
      <c r="AL314" s="39">
        <v>56.335403700000001</v>
      </c>
      <c r="AM314" s="39">
        <v>1.3043477999999999</v>
      </c>
      <c r="AN314" s="39">
        <v>3.4161491000000002</v>
      </c>
      <c r="AO314" s="39">
        <v>3.4782609</v>
      </c>
      <c r="AP314" s="39">
        <v>0.80745339999999999</v>
      </c>
      <c r="AQ314" s="39">
        <v>0.80745339999999999</v>
      </c>
      <c r="AR314" s="40"/>
      <c r="AS314" s="40"/>
    </row>
    <row r="315" spans="2:45" ht="15" hidden="1" customHeight="1" x14ac:dyDescent="0.25">
      <c r="B315" s="35">
        <v>309</v>
      </c>
      <c r="C315" s="36" t="s">
        <v>31</v>
      </c>
      <c r="D315" s="36" t="s">
        <v>66</v>
      </c>
      <c r="E315" s="36" t="s">
        <v>125</v>
      </c>
      <c r="F315" s="36" t="s">
        <v>126</v>
      </c>
      <c r="G315" s="37" t="s">
        <v>26</v>
      </c>
      <c r="H315" s="38">
        <v>2229</v>
      </c>
      <c r="I315" s="38">
        <v>194</v>
      </c>
      <c r="J315" s="38">
        <v>50</v>
      </c>
      <c r="K315" s="38">
        <v>844</v>
      </c>
      <c r="L315" s="38">
        <v>598</v>
      </c>
      <c r="M315" s="38">
        <v>380</v>
      </c>
      <c r="N315" s="38">
        <v>91</v>
      </c>
      <c r="O315" s="38">
        <v>72</v>
      </c>
      <c r="P315" s="38"/>
      <c r="Q315" s="38"/>
      <c r="R315" s="38">
        <v>2824</v>
      </c>
      <c r="S315" s="38">
        <v>860</v>
      </c>
      <c r="T315" s="38">
        <v>195</v>
      </c>
      <c r="U315" s="38">
        <v>213</v>
      </c>
      <c r="V315" s="38">
        <v>210</v>
      </c>
      <c r="W315" s="38">
        <v>915</v>
      </c>
      <c r="X315" s="38">
        <v>368</v>
      </c>
      <c r="Y315" s="38">
        <v>63</v>
      </c>
      <c r="Z315" s="38"/>
      <c r="AA315" s="38"/>
      <c r="AB315" s="39">
        <v>8.7034544999999994</v>
      </c>
      <c r="AC315" s="39">
        <v>2.2431584</v>
      </c>
      <c r="AD315" s="39">
        <v>37.864513199999998</v>
      </c>
      <c r="AE315" s="39">
        <v>26.828174099999998</v>
      </c>
      <c r="AF315" s="39">
        <v>17.048003600000001</v>
      </c>
      <c r="AG315" s="39">
        <v>4.0825481999999997</v>
      </c>
      <c r="AH315" s="39">
        <v>3.2301479999999998</v>
      </c>
      <c r="AI315" s="39"/>
      <c r="AJ315" s="39"/>
      <c r="AK315" s="39">
        <v>30.453257799999999</v>
      </c>
      <c r="AL315" s="39">
        <v>6.9050992000000004</v>
      </c>
      <c r="AM315" s="39">
        <v>7.5424929000000001</v>
      </c>
      <c r="AN315" s="39">
        <v>7.4362605999999998</v>
      </c>
      <c r="AO315" s="39">
        <v>32.400849899999997</v>
      </c>
      <c r="AP315" s="39">
        <v>13.0311615</v>
      </c>
      <c r="AQ315" s="39">
        <v>2.2308781999999998</v>
      </c>
      <c r="AR315" s="40"/>
      <c r="AS315" s="40"/>
    </row>
    <row r="316" spans="2:45" ht="15" customHeight="1" x14ac:dyDescent="0.25">
      <c r="B316" s="41">
        <v>310</v>
      </c>
      <c r="C316" s="42" t="s">
        <v>31</v>
      </c>
      <c r="D316" s="51" t="s">
        <v>66</v>
      </c>
      <c r="E316" s="51" t="s">
        <v>125</v>
      </c>
      <c r="F316" s="51" t="s">
        <v>127</v>
      </c>
      <c r="G316" s="52" t="s">
        <v>127</v>
      </c>
      <c r="H316" s="43">
        <v>3019</v>
      </c>
      <c r="I316" s="43">
        <v>105</v>
      </c>
      <c r="J316" s="43">
        <v>283</v>
      </c>
      <c r="K316" s="43">
        <v>844</v>
      </c>
      <c r="L316" s="43">
        <v>228</v>
      </c>
      <c r="M316" s="43">
        <v>1218</v>
      </c>
      <c r="N316" s="43">
        <v>206</v>
      </c>
      <c r="O316" s="43">
        <v>135</v>
      </c>
      <c r="P316" s="44">
        <f>K316+L316+M316+N316+O316</f>
        <v>2631</v>
      </c>
      <c r="Q316" s="44">
        <f>I316+J316</f>
        <v>388</v>
      </c>
      <c r="R316" s="43">
        <v>5809</v>
      </c>
      <c r="S316" s="43">
        <v>547</v>
      </c>
      <c r="T316" s="43">
        <v>1947</v>
      </c>
      <c r="U316" s="43">
        <v>416</v>
      </c>
      <c r="V316" s="43">
        <v>61</v>
      </c>
      <c r="W316" s="43">
        <v>2492</v>
      </c>
      <c r="X316" s="43">
        <v>264</v>
      </c>
      <c r="Y316" s="43">
        <v>82</v>
      </c>
      <c r="Z316" s="45">
        <f>U316+V316+W316+X316+Y316</f>
        <v>3315</v>
      </c>
      <c r="AA316" s="45">
        <f>S316+T316</f>
        <v>2494</v>
      </c>
      <c r="AB316" s="46">
        <v>3.4779727999999999</v>
      </c>
      <c r="AC316" s="46">
        <v>9.3739649000000007</v>
      </c>
      <c r="AD316" s="46">
        <v>27.956276899999999</v>
      </c>
      <c r="AE316" s="46">
        <v>7.5521696</v>
      </c>
      <c r="AF316" s="46">
        <v>40.344484899999998</v>
      </c>
      <c r="AG316" s="46">
        <v>6.8234515</v>
      </c>
      <c r="AH316" s="46">
        <v>4.4716794000000002</v>
      </c>
      <c r="AI316" s="47">
        <f>AB316+AC316</f>
        <v>12.851937700000001</v>
      </c>
      <c r="AJ316" s="47">
        <f>AD316+AE316+AF316+AG316+AH316</f>
        <v>87.148062299999992</v>
      </c>
      <c r="AK316" s="46">
        <v>9.4164227999999994</v>
      </c>
      <c r="AL316" s="46">
        <v>33.516956399999998</v>
      </c>
      <c r="AM316" s="46">
        <v>7.1613014000000002</v>
      </c>
      <c r="AN316" s="46">
        <v>1.0500947</v>
      </c>
      <c r="AO316" s="46">
        <v>42.898949899999998</v>
      </c>
      <c r="AP316" s="46">
        <v>4.5446720999999997</v>
      </c>
      <c r="AQ316" s="46">
        <v>1.4116027</v>
      </c>
      <c r="AR316" s="48">
        <f>AK316+AL316</f>
        <v>42.933379199999997</v>
      </c>
      <c r="AS316" s="48">
        <f>AM316+AN316+AO316+AP316+AQ316</f>
        <v>57.066620800000003</v>
      </c>
    </row>
    <row r="317" spans="2:45" ht="15" hidden="1" customHeight="1" x14ac:dyDescent="0.25">
      <c r="B317" s="35">
        <v>311</v>
      </c>
      <c r="C317" s="36" t="s">
        <v>31</v>
      </c>
      <c r="D317" s="36" t="s">
        <v>66</v>
      </c>
      <c r="E317" s="36" t="s">
        <v>125</v>
      </c>
      <c r="F317" s="36" t="s">
        <v>127</v>
      </c>
      <c r="G317" s="37" t="s">
        <v>25</v>
      </c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>
        <v>706</v>
      </c>
      <c r="S317" s="38">
        <v>69</v>
      </c>
      <c r="T317" s="38">
        <v>382</v>
      </c>
      <c r="U317" s="38">
        <v>23</v>
      </c>
      <c r="V317" s="38">
        <v>9</v>
      </c>
      <c r="W317" s="38">
        <v>209</v>
      </c>
      <c r="X317" s="38">
        <v>9</v>
      </c>
      <c r="Y317" s="38">
        <v>5</v>
      </c>
      <c r="Z317" s="38"/>
      <c r="AA317" s="38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>
        <v>9.7733711000000003</v>
      </c>
      <c r="AL317" s="39">
        <v>54.107648699999999</v>
      </c>
      <c r="AM317" s="39">
        <v>3.2577904000000002</v>
      </c>
      <c r="AN317" s="39">
        <v>1.2747875</v>
      </c>
      <c r="AO317" s="39">
        <v>29.603399400000001</v>
      </c>
      <c r="AP317" s="39">
        <v>1.2747875</v>
      </c>
      <c r="AQ317" s="39">
        <v>0.70821529999999999</v>
      </c>
      <c r="AR317" s="40"/>
      <c r="AS317" s="40"/>
    </row>
    <row r="318" spans="2:45" ht="15" hidden="1" customHeight="1" x14ac:dyDescent="0.25">
      <c r="B318" s="35">
        <v>312</v>
      </c>
      <c r="C318" s="36" t="s">
        <v>31</v>
      </c>
      <c r="D318" s="36" t="s">
        <v>66</v>
      </c>
      <c r="E318" s="36" t="s">
        <v>125</v>
      </c>
      <c r="F318" s="36" t="s">
        <v>127</v>
      </c>
      <c r="G318" s="37" t="s">
        <v>26</v>
      </c>
      <c r="H318" s="38">
        <v>3019</v>
      </c>
      <c r="I318" s="38">
        <v>105</v>
      </c>
      <c r="J318" s="38">
        <v>283</v>
      </c>
      <c r="K318" s="38">
        <v>844</v>
      </c>
      <c r="L318" s="38">
        <v>228</v>
      </c>
      <c r="M318" s="38">
        <v>1218</v>
      </c>
      <c r="N318" s="38">
        <v>206</v>
      </c>
      <c r="O318" s="38">
        <v>135</v>
      </c>
      <c r="P318" s="38"/>
      <c r="Q318" s="38"/>
      <c r="R318" s="38">
        <v>5103</v>
      </c>
      <c r="S318" s="38">
        <v>478</v>
      </c>
      <c r="T318" s="38">
        <v>1565</v>
      </c>
      <c r="U318" s="38">
        <v>393</v>
      </c>
      <c r="V318" s="38">
        <v>52</v>
      </c>
      <c r="W318" s="38">
        <v>2283</v>
      </c>
      <c r="X318" s="38">
        <v>255</v>
      </c>
      <c r="Y318" s="38">
        <v>77</v>
      </c>
      <c r="Z318" s="38"/>
      <c r="AA318" s="38"/>
      <c r="AB318" s="39">
        <v>3.4779727999999999</v>
      </c>
      <c r="AC318" s="39">
        <v>9.3739649000000007</v>
      </c>
      <c r="AD318" s="39">
        <v>27.956276899999999</v>
      </c>
      <c r="AE318" s="39">
        <v>7.5521696</v>
      </c>
      <c r="AF318" s="39">
        <v>40.344484899999998</v>
      </c>
      <c r="AG318" s="39">
        <v>6.8234515</v>
      </c>
      <c r="AH318" s="39">
        <v>4.4716794000000002</v>
      </c>
      <c r="AI318" s="39"/>
      <c r="AJ318" s="39"/>
      <c r="AK318" s="39">
        <v>9.3670390000000001</v>
      </c>
      <c r="AL318" s="39">
        <v>30.668234399999999</v>
      </c>
      <c r="AM318" s="39">
        <v>7.7013521000000003</v>
      </c>
      <c r="AN318" s="39">
        <v>1.0190083999999999</v>
      </c>
      <c r="AO318" s="39">
        <v>44.7383892</v>
      </c>
      <c r="AP318" s="39">
        <v>4.9970606000000002</v>
      </c>
      <c r="AQ318" s="39">
        <v>1.5089163000000001</v>
      </c>
      <c r="AR318" s="40"/>
      <c r="AS318" s="40"/>
    </row>
    <row r="319" spans="2:45" ht="15" customHeight="1" x14ac:dyDescent="0.25">
      <c r="B319" s="41">
        <v>313</v>
      </c>
      <c r="C319" s="42" t="s">
        <v>31</v>
      </c>
      <c r="D319" s="51" t="s">
        <v>66</v>
      </c>
      <c r="E319" s="51" t="s">
        <v>125</v>
      </c>
      <c r="F319" s="51" t="s">
        <v>128</v>
      </c>
      <c r="G319" s="52" t="s">
        <v>128</v>
      </c>
      <c r="H319" s="43">
        <v>5830</v>
      </c>
      <c r="I319" s="43">
        <v>194</v>
      </c>
      <c r="J319" s="43">
        <v>1472</v>
      </c>
      <c r="K319" s="43">
        <v>419</v>
      </c>
      <c r="L319" s="43">
        <v>2285</v>
      </c>
      <c r="M319" s="43">
        <v>1172</v>
      </c>
      <c r="N319" s="43">
        <v>242</v>
      </c>
      <c r="O319" s="43">
        <v>46</v>
      </c>
      <c r="P319" s="44">
        <f>K319+L319+M319+N319+O319</f>
        <v>4164</v>
      </c>
      <c r="Q319" s="44">
        <f>I319+J319</f>
        <v>1666</v>
      </c>
      <c r="R319" s="43">
        <v>7870</v>
      </c>
      <c r="S319" s="43">
        <v>364</v>
      </c>
      <c r="T319" s="43">
        <v>1888</v>
      </c>
      <c r="U319" s="43">
        <v>214</v>
      </c>
      <c r="V319" s="43">
        <v>835</v>
      </c>
      <c r="W319" s="43">
        <v>3795</v>
      </c>
      <c r="X319" s="43">
        <v>715</v>
      </c>
      <c r="Y319" s="43">
        <v>59</v>
      </c>
      <c r="Z319" s="45">
        <f>U319+V319+W319+X319+Y319</f>
        <v>5618</v>
      </c>
      <c r="AA319" s="45">
        <f>S319+T319</f>
        <v>2252</v>
      </c>
      <c r="AB319" s="46">
        <v>3.3276157999999998</v>
      </c>
      <c r="AC319" s="46">
        <v>25.248713599999999</v>
      </c>
      <c r="AD319" s="46">
        <v>7.1869639999999997</v>
      </c>
      <c r="AE319" s="46">
        <v>39.193824999999997</v>
      </c>
      <c r="AF319" s="46">
        <v>20.102916</v>
      </c>
      <c r="AG319" s="46">
        <v>4.1509434000000001</v>
      </c>
      <c r="AH319" s="46">
        <v>0.78902229999999995</v>
      </c>
      <c r="AI319" s="47">
        <f>AB319+AC319</f>
        <v>28.576329399999999</v>
      </c>
      <c r="AJ319" s="47">
        <f>AD319+AE319+AF319+AG319+AH319</f>
        <v>71.423670699999988</v>
      </c>
      <c r="AK319" s="46">
        <v>4.6251588000000003</v>
      </c>
      <c r="AL319" s="46">
        <v>23.989834800000001</v>
      </c>
      <c r="AM319" s="46">
        <v>2.7191868000000001</v>
      </c>
      <c r="AN319" s="46">
        <v>10.6099111</v>
      </c>
      <c r="AO319" s="46">
        <v>48.221092800000001</v>
      </c>
      <c r="AP319" s="46">
        <v>9.0851334000000001</v>
      </c>
      <c r="AQ319" s="46">
        <v>0.74968230000000002</v>
      </c>
      <c r="AR319" s="48">
        <f>AK319+AL319</f>
        <v>28.614993600000002</v>
      </c>
      <c r="AS319" s="48">
        <f>AM319+AN319+AO319+AP319+AQ319</f>
        <v>71.385006400000009</v>
      </c>
    </row>
    <row r="320" spans="2:45" ht="15" hidden="1" customHeight="1" x14ac:dyDescent="0.25">
      <c r="B320" s="35">
        <v>314</v>
      </c>
      <c r="C320" s="36" t="s">
        <v>31</v>
      </c>
      <c r="D320" s="36" t="s">
        <v>66</v>
      </c>
      <c r="E320" s="36" t="s">
        <v>125</v>
      </c>
      <c r="F320" s="36" t="s">
        <v>128</v>
      </c>
      <c r="G320" s="37" t="s">
        <v>25</v>
      </c>
      <c r="H320" s="38">
        <v>1728</v>
      </c>
      <c r="I320" s="38">
        <v>176</v>
      </c>
      <c r="J320" s="38">
        <v>1461</v>
      </c>
      <c r="K320" s="38">
        <v>37</v>
      </c>
      <c r="L320" s="38">
        <v>33</v>
      </c>
      <c r="M320" s="38">
        <v>17</v>
      </c>
      <c r="N320" s="38">
        <v>1</v>
      </c>
      <c r="O320" s="38">
        <v>3</v>
      </c>
      <c r="P320" s="38"/>
      <c r="Q320" s="38"/>
      <c r="R320" s="38">
        <v>2222</v>
      </c>
      <c r="S320" s="38">
        <v>326</v>
      </c>
      <c r="T320" s="38">
        <v>1857</v>
      </c>
      <c r="U320" s="38">
        <v>9</v>
      </c>
      <c r="V320" s="38">
        <v>1</v>
      </c>
      <c r="W320" s="38">
        <v>26</v>
      </c>
      <c r="X320" s="38">
        <v>0</v>
      </c>
      <c r="Y320" s="38">
        <v>3</v>
      </c>
      <c r="Z320" s="38"/>
      <c r="AA320" s="38"/>
      <c r="AB320" s="39">
        <v>10.185185199999999</v>
      </c>
      <c r="AC320" s="39">
        <v>84.548611100000002</v>
      </c>
      <c r="AD320" s="39">
        <v>2.1412037000000002</v>
      </c>
      <c r="AE320" s="39">
        <v>1.9097222</v>
      </c>
      <c r="AF320" s="39">
        <v>0.98379629999999996</v>
      </c>
      <c r="AG320" s="39">
        <v>5.7870400000000002E-2</v>
      </c>
      <c r="AH320" s="39">
        <v>0.17361109999999999</v>
      </c>
      <c r="AI320" s="39"/>
      <c r="AJ320" s="39"/>
      <c r="AK320" s="39">
        <v>14.671467099999999</v>
      </c>
      <c r="AL320" s="39">
        <v>83.573357299999998</v>
      </c>
      <c r="AM320" s="39">
        <v>0.40504050000000003</v>
      </c>
      <c r="AN320" s="39">
        <v>4.5004500000000003E-2</v>
      </c>
      <c r="AO320" s="39">
        <v>1.1701170000000001</v>
      </c>
      <c r="AP320" s="39">
        <v>0</v>
      </c>
      <c r="AQ320" s="39">
        <v>0.13501350000000001</v>
      </c>
      <c r="AR320" s="40"/>
      <c r="AS320" s="40"/>
    </row>
    <row r="321" spans="2:45" ht="15" hidden="1" customHeight="1" x14ac:dyDescent="0.25">
      <c r="B321" s="35">
        <v>315</v>
      </c>
      <c r="C321" s="36" t="s">
        <v>31</v>
      </c>
      <c r="D321" s="36" t="s">
        <v>66</v>
      </c>
      <c r="E321" s="36" t="s">
        <v>125</v>
      </c>
      <c r="F321" s="36" t="s">
        <v>128</v>
      </c>
      <c r="G321" s="37" t="s">
        <v>26</v>
      </c>
      <c r="H321" s="38">
        <v>4102</v>
      </c>
      <c r="I321" s="38">
        <v>18</v>
      </c>
      <c r="J321" s="38">
        <v>11</v>
      </c>
      <c r="K321" s="38">
        <v>382</v>
      </c>
      <c r="L321" s="38">
        <v>2252</v>
      </c>
      <c r="M321" s="38">
        <v>1155</v>
      </c>
      <c r="N321" s="38">
        <v>241</v>
      </c>
      <c r="O321" s="38">
        <v>43</v>
      </c>
      <c r="P321" s="38"/>
      <c r="Q321" s="38"/>
      <c r="R321" s="38">
        <v>5648</v>
      </c>
      <c r="S321" s="38">
        <v>38</v>
      </c>
      <c r="T321" s="38">
        <v>31</v>
      </c>
      <c r="U321" s="38">
        <v>205</v>
      </c>
      <c r="V321" s="38">
        <v>834</v>
      </c>
      <c r="W321" s="38">
        <v>3769</v>
      </c>
      <c r="X321" s="38">
        <v>715</v>
      </c>
      <c r="Y321" s="38">
        <v>56</v>
      </c>
      <c r="Z321" s="38"/>
      <c r="AA321" s="38"/>
      <c r="AB321" s="39">
        <v>0.43881029999999999</v>
      </c>
      <c r="AC321" s="39">
        <v>0.26816190000000001</v>
      </c>
      <c r="AD321" s="39">
        <v>9.3125304999999994</v>
      </c>
      <c r="AE321" s="39">
        <v>54.9000488</v>
      </c>
      <c r="AF321" s="39">
        <v>28.156996599999999</v>
      </c>
      <c r="AG321" s="39">
        <v>5.8751828000000001</v>
      </c>
      <c r="AH321" s="39">
        <v>1.0482691</v>
      </c>
      <c r="AI321" s="39"/>
      <c r="AJ321" s="39"/>
      <c r="AK321" s="39">
        <v>0.67280450000000003</v>
      </c>
      <c r="AL321" s="39">
        <v>0.54886690000000005</v>
      </c>
      <c r="AM321" s="39">
        <v>3.6296034000000001</v>
      </c>
      <c r="AN321" s="39">
        <v>14.766289</v>
      </c>
      <c r="AO321" s="39">
        <v>66.731586399999998</v>
      </c>
      <c r="AP321" s="39">
        <v>12.659348400000001</v>
      </c>
      <c r="AQ321" s="39">
        <v>0.99150139999999998</v>
      </c>
      <c r="AR321" s="40"/>
      <c r="AS321" s="40"/>
    </row>
    <row r="322" spans="2:45" ht="15" customHeight="1" x14ac:dyDescent="0.25">
      <c r="B322" s="41">
        <v>316</v>
      </c>
      <c r="C322" s="42" t="s">
        <v>31</v>
      </c>
      <c r="D322" s="51" t="s">
        <v>66</v>
      </c>
      <c r="E322" s="51" t="s">
        <v>125</v>
      </c>
      <c r="F322" s="51" t="s">
        <v>129</v>
      </c>
      <c r="G322" s="52" t="s">
        <v>129</v>
      </c>
      <c r="H322" s="43">
        <v>1695</v>
      </c>
      <c r="I322" s="43">
        <v>6</v>
      </c>
      <c r="J322" s="43">
        <v>4</v>
      </c>
      <c r="K322" s="43">
        <v>263</v>
      </c>
      <c r="L322" s="43">
        <v>874</v>
      </c>
      <c r="M322" s="43">
        <v>448</v>
      </c>
      <c r="N322" s="43">
        <v>73</v>
      </c>
      <c r="O322" s="43">
        <v>27</v>
      </c>
      <c r="P322" s="44">
        <f>K322+L322+M322+N322+O322</f>
        <v>1685</v>
      </c>
      <c r="Q322" s="44">
        <f>I322+J322</f>
        <v>10</v>
      </c>
      <c r="R322" s="43">
        <v>3455</v>
      </c>
      <c r="S322" s="43">
        <v>118</v>
      </c>
      <c r="T322" s="43">
        <v>6</v>
      </c>
      <c r="U322" s="43">
        <v>222</v>
      </c>
      <c r="V322" s="43">
        <v>450</v>
      </c>
      <c r="W322" s="43">
        <v>2195</v>
      </c>
      <c r="X322" s="43">
        <v>385</v>
      </c>
      <c r="Y322" s="43">
        <v>79</v>
      </c>
      <c r="Z322" s="45">
        <f>U322+V322+W322+X322+Y322</f>
        <v>3331</v>
      </c>
      <c r="AA322" s="45">
        <f>S322+T322</f>
        <v>124</v>
      </c>
      <c r="AB322" s="46">
        <v>0.35398230000000003</v>
      </c>
      <c r="AC322" s="46">
        <v>0.23598820000000001</v>
      </c>
      <c r="AD322" s="46">
        <v>15.5162242</v>
      </c>
      <c r="AE322" s="46">
        <v>51.5634218</v>
      </c>
      <c r="AF322" s="46">
        <v>26.430678499999999</v>
      </c>
      <c r="AG322" s="46">
        <v>4.3067846999999997</v>
      </c>
      <c r="AH322" s="46">
        <v>1.5929203999999999</v>
      </c>
      <c r="AI322" s="47">
        <f>AB322+AC322</f>
        <v>0.58997050000000006</v>
      </c>
      <c r="AJ322" s="47">
        <f>AD322+AE322+AF322+AG322+AH322</f>
        <v>99.410029599999987</v>
      </c>
      <c r="AK322" s="46">
        <v>3.4153400999999999</v>
      </c>
      <c r="AL322" s="46">
        <v>0.17366139999999999</v>
      </c>
      <c r="AM322" s="46">
        <v>6.4254702999999997</v>
      </c>
      <c r="AN322" s="46">
        <v>13.024602</v>
      </c>
      <c r="AO322" s="46">
        <v>63.531114299999999</v>
      </c>
      <c r="AP322" s="46">
        <v>11.143270599999999</v>
      </c>
      <c r="AQ322" s="46">
        <v>2.2865411999999998</v>
      </c>
      <c r="AR322" s="48">
        <f>AK322+AL322</f>
        <v>3.5890014999999997</v>
      </c>
      <c r="AS322" s="48">
        <f>AM322+AN322+AO322+AP322+AQ322</f>
        <v>96.410998399999997</v>
      </c>
    </row>
    <row r="323" spans="2:45" ht="15" hidden="1" customHeight="1" x14ac:dyDescent="0.25">
      <c r="B323" s="35">
        <v>317</v>
      </c>
      <c r="C323" s="36" t="s">
        <v>31</v>
      </c>
      <c r="D323" s="36" t="s">
        <v>66</v>
      </c>
      <c r="E323" s="36" t="s">
        <v>125</v>
      </c>
      <c r="F323" s="36" t="s">
        <v>129</v>
      </c>
      <c r="G323" s="37" t="s">
        <v>25</v>
      </c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>
        <v>480</v>
      </c>
      <c r="S323" s="38">
        <v>35</v>
      </c>
      <c r="T323" s="38">
        <v>3</v>
      </c>
      <c r="U323" s="38">
        <v>74</v>
      </c>
      <c r="V323" s="38">
        <v>93</v>
      </c>
      <c r="W323" s="38">
        <v>242</v>
      </c>
      <c r="X323" s="38">
        <v>18</v>
      </c>
      <c r="Y323" s="38">
        <v>15</v>
      </c>
      <c r="Z323" s="38"/>
      <c r="AA323" s="38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>
        <v>7.2916667000000004</v>
      </c>
      <c r="AL323" s="39">
        <v>0.625</v>
      </c>
      <c r="AM323" s="39">
        <v>15.4166667</v>
      </c>
      <c r="AN323" s="39">
        <v>19.375</v>
      </c>
      <c r="AO323" s="39">
        <v>50.4166667</v>
      </c>
      <c r="AP323" s="39">
        <v>3.75</v>
      </c>
      <c r="AQ323" s="39">
        <v>3.125</v>
      </c>
      <c r="AR323" s="40"/>
      <c r="AS323" s="40"/>
    </row>
    <row r="324" spans="2:45" ht="15" hidden="1" customHeight="1" x14ac:dyDescent="0.25">
      <c r="B324" s="35">
        <v>318</v>
      </c>
      <c r="C324" s="36" t="s">
        <v>31</v>
      </c>
      <c r="D324" s="36" t="s">
        <v>66</v>
      </c>
      <c r="E324" s="36" t="s">
        <v>125</v>
      </c>
      <c r="F324" s="36" t="s">
        <v>129</v>
      </c>
      <c r="G324" s="37" t="s">
        <v>26</v>
      </c>
      <c r="H324" s="38">
        <v>1695</v>
      </c>
      <c r="I324" s="38">
        <v>6</v>
      </c>
      <c r="J324" s="38">
        <v>4</v>
      </c>
      <c r="K324" s="38">
        <v>263</v>
      </c>
      <c r="L324" s="38">
        <v>874</v>
      </c>
      <c r="M324" s="38">
        <v>448</v>
      </c>
      <c r="N324" s="38">
        <v>73</v>
      </c>
      <c r="O324" s="38">
        <v>27</v>
      </c>
      <c r="P324" s="38"/>
      <c r="Q324" s="38"/>
      <c r="R324" s="38">
        <v>2975</v>
      </c>
      <c r="S324" s="38">
        <v>83</v>
      </c>
      <c r="T324" s="38">
        <v>3</v>
      </c>
      <c r="U324" s="38">
        <v>148</v>
      </c>
      <c r="V324" s="38">
        <v>357</v>
      </c>
      <c r="W324" s="38">
        <v>1953</v>
      </c>
      <c r="X324" s="38">
        <v>367</v>
      </c>
      <c r="Y324" s="38">
        <v>64</v>
      </c>
      <c r="Z324" s="38"/>
      <c r="AA324" s="38"/>
      <c r="AB324" s="39">
        <v>0.35398230000000003</v>
      </c>
      <c r="AC324" s="39">
        <v>0.23598820000000001</v>
      </c>
      <c r="AD324" s="39">
        <v>15.5162242</v>
      </c>
      <c r="AE324" s="39">
        <v>51.5634218</v>
      </c>
      <c r="AF324" s="39">
        <v>26.430678499999999</v>
      </c>
      <c r="AG324" s="39">
        <v>4.3067846999999997</v>
      </c>
      <c r="AH324" s="39">
        <v>1.5929203999999999</v>
      </c>
      <c r="AI324" s="39"/>
      <c r="AJ324" s="39"/>
      <c r="AK324" s="39">
        <v>2.7899159999999998</v>
      </c>
      <c r="AL324" s="39">
        <v>0.10084029999999999</v>
      </c>
      <c r="AM324" s="39">
        <v>4.9747899000000002</v>
      </c>
      <c r="AN324" s="39">
        <v>12</v>
      </c>
      <c r="AO324" s="39">
        <v>65.647058799999996</v>
      </c>
      <c r="AP324" s="39">
        <v>12.3361345</v>
      </c>
      <c r="AQ324" s="39">
        <v>2.1512604999999998</v>
      </c>
      <c r="AR324" s="40"/>
      <c r="AS324" s="40"/>
    </row>
    <row r="325" spans="2:45" ht="15" customHeight="1" x14ac:dyDescent="0.25">
      <c r="B325" s="41">
        <v>319</v>
      </c>
      <c r="C325" s="42" t="s">
        <v>31</v>
      </c>
      <c r="D325" s="51" t="s">
        <v>66</v>
      </c>
      <c r="E325" s="51" t="s">
        <v>125</v>
      </c>
      <c r="F325" s="51" t="s">
        <v>130</v>
      </c>
      <c r="G325" s="52" t="s">
        <v>130</v>
      </c>
      <c r="H325" s="43">
        <v>1021</v>
      </c>
      <c r="I325" s="43">
        <v>32</v>
      </c>
      <c r="J325" s="43">
        <v>346</v>
      </c>
      <c r="K325" s="43">
        <v>257</v>
      </c>
      <c r="L325" s="43">
        <v>41</v>
      </c>
      <c r="M325" s="43">
        <v>220</v>
      </c>
      <c r="N325" s="43">
        <v>75</v>
      </c>
      <c r="O325" s="43">
        <v>50</v>
      </c>
      <c r="P325" s="44">
        <f>K325+L325+M325+N325+O325</f>
        <v>643</v>
      </c>
      <c r="Q325" s="44">
        <f>I325+J325</f>
        <v>378</v>
      </c>
      <c r="R325" s="43">
        <v>1871</v>
      </c>
      <c r="S325" s="43">
        <v>605</v>
      </c>
      <c r="T325" s="43">
        <v>152</v>
      </c>
      <c r="U325" s="43">
        <v>154</v>
      </c>
      <c r="V325" s="43">
        <v>25</v>
      </c>
      <c r="W325" s="43">
        <v>772</v>
      </c>
      <c r="X325" s="43">
        <v>131</v>
      </c>
      <c r="Y325" s="43">
        <v>32</v>
      </c>
      <c r="Z325" s="45">
        <f>U325+V325+W325+X325+Y325</f>
        <v>1114</v>
      </c>
      <c r="AA325" s="45">
        <f>S325+T325</f>
        <v>757</v>
      </c>
      <c r="AB325" s="46">
        <v>3.1341822000000001</v>
      </c>
      <c r="AC325" s="46">
        <v>33.888344799999999</v>
      </c>
      <c r="AD325" s="46">
        <v>25.171400599999998</v>
      </c>
      <c r="AE325" s="46">
        <v>4.0156708999999999</v>
      </c>
      <c r="AF325" s="46">
        <v>21.547502399999999</v>
      </c>
      <c r="AG325" s="46">
        <v>7.3457394999999996</v>
      </c>
      <c r="AH325" s="46">
        <v>4.8971596000000002</v>
      </c>
      <c r="AI325" s="47">
        <f>AB325+AC325</f>
        <v>37.022526999999997</v>
      </c>
      <c r="AJ325" s="47">
        <f>AD325+AE325+AF325+AG325+AH325</f>
        <v>62.977473000000003</v>
      </c>
      <c r="AK325" s="46">
        <v>32.335649400000001</v>
      </c>
      <c r="AL325" s="46">
        <v>8.1239979000000009</v>
      </c>
      <c r="AM325" s="46">
        <v>8.2308926000000007</v>
      </c>
      <c r="AN325" s="46">
        <v>1.3361839</v>
      </c>
      <c r="AO325" s="46">
        <v>41.261357599999997</v>
      </c>
      <c r="AP325" s="46">
        <v>7.0016033999999996</v>
      </c>
      <c r="AQ325" s="46">
        <v>1.7103153</v>
      </c>
      <c r="AR325" s="48">
        <f>AK325+AL325</f>
        <v>40.4596473</v>
      </c>
      <c r="AS325" s="48">
        <f>AM325+AN325+AO325+AP325+AQ325</f>
        <v>59.540352799999994</v>
      </c>
    </row>
    <row r="326" spans="2:45" ht="15" hidden="1" customHeight="1" x14ac:dyDescent="0.25">
      <c r="B326" s="35">
        <v>320</v>
      </c>
      <c r="C326" s="36" t="s">
        <v>31</v>
      </c>
      <c r="D326" s="36" t="s">
        <v>66</v>
      </c>
      <c r="E326" s="36" t="s">
        <v>125</v>
      </c>
      <c r="F326" s="36" t="s">
        <v>130</v>
      </c>
      <c r="G326" s="37" t="s">
        <v>25</v>
      </c>
      <c r="H326" s="38">
        <v>362</v>
      </c>
      <c r="I326" s="38">
        <v>25</v>
      </c>
      <c r="J326" s="38">
        <v>304</v>
      </c>
      <c r="K326" s="38">
        <v>13</v>
      </c>
      <c r="L326" s="38">
        <v>6</v>
      </c>
      <c r="M326" s="38">
        <v>10</v>
      </c>
      <c r="N326" s="38">
        <v>2</v>
      </c>
      <c r="O326" s="38">
        <v>2</v>
      </c>
      <c r="P326" s="38"/>
      <c r="Q326" s="38"/>
      <c r="R326" s="38">
        <v>813</v>
      </c>
      <c r="S326" s="38">
        <v>546</v>
      </c>
      <c r="T326" s="38">
        <v>145</v>
      </c>
      <c r="U326" s="38">
        <v>9</v>
      </c>
      <c r="V326" s="38">
        <v>9</v>
      </c>
      <c r="W326" s="38">
        <v>86</v>
      </c>
      <c r="X326" s="38">
        <v>9</v>
      </c>
      <c r="Y326" s="38">
        <v>9</v>
      </c>
      <c r="Z326" s="38"/>
      <c r="AA326" s="38"/>
      <c r="AB326" s="39">
        <v>6.9060772999999998</v>
      </c>
      <c r="AC326" s="39">
        <v>83.977900599999998</v>
      </c>
      <c r="AD326" s="39">
        <v>3.5911602</v>
      </c>
      <c r="AE326" s="39">
        <v>1.6574586</v>
      </c>
      <c r="AF326" s="39">
        <v>2.7624309</v>
      </c>
      <c r="AG326" s="39">
        <v>0.55248620000000004</v>
      </c>
      <c r="AH326" s="39">
        <v>0.55248620000000004</v>
      </c>
      <c r="AI326" s="39"/>
      <c r="AJ326" s="39"/>
      <c r="AK326" s="39">
        <v>67.158671600000005</v>
      </c>
      <c r="AL326" s="39">
        <v>17.8351784</v>
      </c>
      <c r="AM326" s="39">
        <v>1.1070111</v>
      </c>
      <c r="AN326" s="39">
        <v>1.1070111</v>
      </c>
      <c r="AO326" s="39">
        <v>10.578105799999999</v>
      </c>
      <c r="AP326" s="39">
        <v>1.1070111</v>
      </c>
      <c r="AQ326" s="39">
        <v>1.1070111</v>
      </c>
      <c r="AR326" s="40"/>
      <c r="AS326" s="40"/>
    </row>
    <row r="327" spans="2:45" ht="15" hidden="1" customHeight="1" x14ac:dyDescent="0.25">
      <c r="B327" s="35">
        <v>321</v>
      </c>
      <c r="C327" s="36" t="s">
        <v>31</v>
      </c>
      <c r="D327" s="36" t="s">
        <v>66</v>
      </c>
      <c r="E327" s="36" t="s">
        <v>125</v>
      </c>
      <c r="F327" s="36" t="s">
        <v>130</v>
      </c>
      <c r="G327" s="37" t="s">
        <v>26</v>
      </c>
      <c r="H327" s="38">
        <v>659</v>
      </c>
      <c r="I327" s="38">
        <v>7</v>
      </c>
      <c r="J327" s="38">
        <v>42</v>
      </c>
      <c r="K327" s="38">
        <v>244</v>
      </c>
      <c r="L327" s="38">
        <v>35</v>
      </c>
      <c r="M327" s="38">
        <v>210</v>
      </c>
      <c r="N327" s="38">
        <v>73</v>
      </c>
      <c r="O327" s="38">
        <v>48</v>
      </c>
      <c r="P327" s="38"/>
      <c r="Q327" s="38"/>
      <c r="R327" s="38">
        <v>1058</v>
      </c>
      <c r="S327" s="38">
        <v>59</v>
      </c>
      <c r="T327" s="38">
        <v>7</v>
      </c>
      <c r="U327" s="38">
        <v>145</v>
      </c>
      <c r="V327" s="38">
        <v>16</v>
      </c>
      <c r="W327" s="38">
        <v>686</v>
      </c>
      <c r="X327" s="38">
        <v>122</v>
      </c>
      <c r="Y327" s="38">
        <v>23</v>
      </c>
      <c r="Z327" s="38"/>
      <c r="AA327" s="38"/>
      <c r="AB327" s="39">
        <v>1.0622155</v>
      </c>
      <c r="AC327" s="39">
        <v>6.3732929</v>
      </c>
      <c r="AD327" s="39">
        <v>37.025796700000001</v>
      </c>
      <c r="AE327" s="39">
        <v>5.3110774000000003</v>
      </c>
      <c r="AF327" s="39">
        <v>31.866464300000001</v>
      </c>
      <c r="AG327" s="39">
        <v>11.077389999999999</v>
      </c>
      <c r="AH327" s="39">
        <v>7.2837633000000004</v>
      </c>
      <c r="AI327" s="39"/>
      <c r="AJ327" s="39"/>
      <c r="AK327" s="39">
        <v>5.5765595000000001</v>
      </c>
      <c r="AL327" s="39">
        <v>0.66162569999999998</v>
      </c>
      <c r="AM327" s="39">
        <v>13.705104</v>
      </c>
      <c r="AN327" s="39">
        <v>1.5122872999999999</v>
      </c>
      <c r="AO327" s="39">
        <v>64.839319500000002</v>
      </c>
      <c r="AP327" s="39">
        <v>11.5311909</v>
      </c>
      <c r="AQ327" s="39">
        <v>2.1739130000000002</v>
      </c>
      <c r="AR327" s="40"/>
      <c r="AS327" s="40"/>
    </row>
    <row r="328" spans="2:45" ht="15" hidden="1" customHeight="1" x14ac:dyDescent="0.25">
      <c r="B328" s="30">
        <v>322</v>
      </c>
      <c r="C328" s="31" t="s">
        <v>29</v>
      </c>
      <c r="D328" s="50" t="s">
        <v>66</v>
      </c>
      <c r="E328" s="50" t="s">
        <v>131</v>
      </c>
      <c r="F328" s="50"/>
      <c r="G328" s="31" t="s">
        <v>131</v>
      </c>
      <c r="H328" s="32">
        <v>37770</v>
      </c>
      <c r="I328" s="32">
        <v>1383</v>
      </c>
      <c r="J328" s="32">
        <v>4704</v>
      </c>
      <c r="K328" s="32">
        <v>7446</v>
      </c>
      <c r="L328" s="32">
        <v>2475</v>
      </c>
      <c r="M328" s="32">
        <v>14785</v>
      </c>
      <c r="N328" s="32">
        <v>4611</v>
      </c>
      <c r="O328" s="32">
        <v>2366</v>
      </c>
      <c r="P328" s="32"/>
      <c r="Q328" s="32"/>
      <c r="R328" s="32">
        <v>49680</v>
      </c>
      <c r="S328" s="32">
        <v>3605</v>
      </c>
      <c r="T328" s="32">
        <v>6663</v>
      </c>
      <c r="U328" s="32">
        <v>3714</v>
      </c>
      <c r="V328" s="32">
        <v>963</v>
      </c>
      <c r="W328" s="32">
        <v>27502</v>
      </c>
      <c r="X328" s="32">
        <v>5210</v>
      </c>
      <c r="Y328" s="32">
        <v>2023</v>
      </c>
      <c r="Z328" s="32"/>
      <c r="AA328" s="32"/>
      <c r="AB328" s="33">
        <v>3.6616361999999998</v>
      </c>
      <c r="AC328" s="33">
        <v>12.454328800000001</v>
      </c>
      <c r="AD328" s="33">
        <v>19.7140588</v>
      </c>
      <c r="AE328" s="33">
        <v>6.5528196999999997</v>
      </c>
      <c r="AF328" s="33">
        <v>39.144823899999999</v>
      </c>
      <c r="AG328" s="33">
        <v>12.2081017</v>
      </c>
      <c r="AH328" s="33">
        <v>6.2642309000000003</v>
      </c>
      <c r="AI328" s="33"/>
      <c r="AJ328" s="33"/>
      <c r="AK328" s="33">
        <v>7.2564412000000003</v>
      </c>
      <c r="AL328" s="33">
        <v>13.411835699999999</v>
      </c>
      <c r="AM328" s="33">
        <v>7.4758453999999999</v>
      </c>
      <c r="AN328" s="33">
        <v>1.9384058</v>
      </c>
      <c r="AO328" s="33">
        <v>55.358293099999997</v>
      </c>
      <c r="AP328" s="33">
        <v>10.487117599999999</v>
      </c>
      <c r="AQ328" s="33">
        <v>4.0720612000000003</v>
      </c>
      <c r="AR328" s="34"/>
      <c r="AS328" s="34"/>
    </row>
    <row r="329" spans="2:45" ht="15" hidden="1" customHeight="1" x14ac:dyDescent="0.25">
      <c r="B329" s="35">
        <v>323</v>
      </c>
      <c r="C329" s="36" t="s">
        <v>29</v>
      </c>
      <c r="D329" s="36" t="s">
        <v>66</v>
      </c>
      <c r="E329" s="36" t="s">
        <v>131</v>
      </c>
      <c r="F329" s="36"/>
      <c r="G329" s="37" t="s">
        <v>25</v>
      </c>
      <c r="H329" s="38">
        <v>3806</v>
      </c>
      <c r="I329" s="38">
        <v>385</v>
      </c>
      <c r="J329" s="38">
        <v>2376</v>
      </c>
      <c r="K329" s="38">
        <v>62</v>
      </c>
      <c r="L329" s="38">
        <v>51</v>
      </c>
      <c r="M329" s="38">
        <v>817</v>
      </c>
      <c r="N329" s="38">
        <v>94</v>
      </c>
      <c r="O329" s="38">
        <v>21</v>
      </c>
      <c r="P329" s="38"/>
      <c r="Q329" s="38"/>
      <c r="R329" s="38">
        <v>6744</v>
      </c>
      <c r="S329" s="38">
        <v>1050</v>
      </c>
      <c r="T329" s="38">
        <v>3749</v>
      </c>
      <c r="U329" s="38">
        <v>86</v>
      </c>
      <c r="V329" s="38">
        <v>19</v>
      </c>
      <c r="W329" s="38">
        <v>1580</v>
      </c>
      <c r="X329" s="38">
        <v>147</v>
      </c>
      <c r="Y329" s="38">
        <v>113</v>
      </c>
      <c r="Z329" s="38"/>
      <c r="AA329" s="38"/>
      <c r="AB329" s="39">
        <v>10.1156069</v>
      </c>
      <c r="AC329" s="39">
        <v>62.427745700000003</v>
      </c>
      <c r="AD329" s="39">
        <v>1.6290068</v>
      </c>
      <c r="AE329" s="39">
        <v>1.3399894999999999</v>
      </c>
      <c r="AF329" s="39">
        <v>21.466106100000001</v>
      </c>
      <c r="AG329" s="39">
        <v>2.4697846000000001</v>
      </c>
      <c r="AH329" s="39">
        <v>0.55176040000000004</v>
      </c>
      <c r="AI329" s="39"/>
      <c r="AJ329" s="39"/>
      <c r="AK329" s="39">
        <v>15.569395</v>
      </c>
      <c r="AL329" s="39">
        <v>55.590154200000001</v>
      </c>
      <c r="AM329" s="39">
        <v>1.2752076000000001</v>
      </c>
      <c r="AN329" s="39">
        <v>0.28173189999999998</v>
      </c>
      <c r="AO329" s="39">
        <v>23.4282325</v>
      </c>
      <c r="AP329" s="39">
        <v>2.1797152999999998</v>
      </c>
      <c r="AQ329" s="39">
        <v>1.6755635</v>
      </c>
      <c r="AR329" s="40"/>
      <c r="AS329" s="40"/>
    </row>
    <row r="330" spans="2:45" ht="15" hidden="1" customHeight="1" x14ac:dyDescent="0.25">
      <c r="B330" s="35">
        <v>324</v>
      </c>
      <c r="C330" s="36" t="s">
        <v>29</v>
      </c>
      <c r="D330" s="36" t="s">
        <v>66</v>
      </c>
      <c r="E330" s="36" t="s">
        <v>131</v>
      </c>
      <c r="F330" s="36"/>
      <c r="G330" s="37" t="s">
        <v>26</v>
      </c>
      <c r="H330" s="38">
        <v>33964</v>
      </c>
      <c r="I330" s="38">
        <v>998</v>
      </c>
      <c r="J330" s="38">
        <v>2328</v>
      </c>
      <c r="K330" s="38">
        <v>7384</v>
      </c>
      <c r="L330" s="38">
        <v>2424</v>
      </c>
      <c r="M330" s="38">
        <v>13968</v>
      </c>
      <c r="N330" s="38">
        <v>4517</v>
      </c>
      <c r="O330" s="38">
        <v>2345</v>
      </c>
      <c r="P330" s="38"/>
      <c r="Q330" s="38"/>
      <c r="R330" s="38">
        <v>42936</v>
      </c>
      <c r="S330" s="38">
        <v>2555</v>
      </c>
      <c r="T330" s="38">
        <v>2914</v>
      </c>
      <c r="U330" s="38">
        <v>3628</v>
      </c>
      <c r="V330" s="38">
        <v>944</v>
      </c>
      <c r="W330" s="38">
        <v>25922</v>
      </c>
      <c r="X330" s="38">
        <v>5063</v>
      </c>
      <c r="Y330" s="38">
        <v>1910</v>
      </c>
      <c r="Z330" s="38"/>
      <c r="AA330" s="38"/>
      <c r="AB330" s="39">
        <v>2.9384054000000002</v>
      </c>
      <c r="AC330" s="39">
        <v>6.8543162999999998</v>
      </c>
      <c r="AD330" s="39">
        <v>21.740666600000001</v>
      </c>
      <c r="AE330" s="39">
        <v>7.1369686000000003</v>
      </c>
      <c r="AF330" s="39">
        <v>41.125897999999999</v>
      </c>
      <c r="AG330" s="39">
        <v>13.2993758</v>
      </c>
      <c r="AH330" s="39">
        <v>6.9043692999999999</v>
      </c>
      <c r="AI330" s="39"/>
      <c r="AJ330" s="39"/>
      <c r="AK330" s="39">
        <v>5.9507173</v>
      </c>
      <c r="AL330" s="39">
        <v>6.7868455000000001</v>
      </c>
      <c r="AM330" s="39">
        <v>8.4497856999999996</v>
      </c>
      <c r="AN330" s="39">
        <v>2.1986211999999998</v>
      </c>
      <c r="AO330" s="39">
        <v>60.373579300000003</v>
      </c>
      <c r="AP330" s="39">
        <v>11.791969399999999</v>
      </c>
      <c r="AQ330" s="39">
        <v>4.4484814999999998</v>
      </c>
      <c r="AR330" s="40"/>
      <c r="AS330" s="40"/>
    </row>
    <row r="331" spans="2:45" ht="15" customHeight="1" x14ac:dyDescent="0.25">
      <c r="B331" s="41">
        <v>325</v>
      </c>
      <c r="C331" s="42" t="s">
        <v>31</v>
      </c>
      <c r="D331" s="51" t="s">
        <v>66</v>
      </c>
      <c r="E331" s="51" t="s">
        <v>131</v>
      </c>
      <c r="F331" s="51" t="s">
        <v>132</v>
      </c>
      <c r="G331" s="52" t="s">
        <v>132</v>
      </c>
      <c r="H331" s="43">
        <v>6079</v>
      </c>
      <c r="I331" s="43">
        <v>308</v>
      </c>
      <c r="J331" s="43">
        <v>842</v>
      </c>
      <c r="K331" s="43">
        <v>1970</v>
      </c>
      <c r="L331" s="43">
        <v>176</v>
      </c>
      <c r="M331" s="43">
        <v>1856</v>
      </c>
      <c r="N331" s="43">
        <v>483</v>
      </c>
      <c r="O331" s="43">
        <v>444</v>
      </c>
      <c r="P331" s="44">
        <f>K331+L331+M331+N331+O331</f>
        <v>4929</v>
      </c>
      <c r="Q331" s="44">
        <f>I331+J331</f>
        <v>1150</v>
      </c>
      <c r="R331" s="43">
        <v>7214</v>
      </c>
      <c r="S331" s="43">
        <v>401</v>
      </c>
      <c r="T331" s="43">
        <v>723</v>
      </c>
      <c r="U331" s="43">
        <v>882</v>
      </c>
      <c r="V331" s="43">
        <v>46</v>
      </c>
      <c r="W331" s="43">
        <v>3912</v>
      </c>
      <c r="X331" s="43">
        <v>539</v>
      </c>
      <c r="Y331" s="43">
        <v>711</v>
      </c>
      <c r="Z331" s="45">
        <f>U331+V331+W331+X331+Y331</f>
        <v>6090</v>
      </c>
      <c r="AA331" s="45">
        <f>S331+T331</f>
        <v>1124</v>
      </c>
      <c r="AB331" s="46">
        <v>5.0666228000000002</v>
      </c>
      <c r="AC331" s="46">
        <v>13.850962300000001</v>
      </c>
      <c r="AD331" s="46">
        <v>32.4066458</v>
      </c>
      <c r="AE331" s="46">
        <v>2.895213</v>
      </c>
      <c r="AF331" s="46">
        <v>30.531337400000002</v>
      </c>
      <c r="AG331" s="46">
        <v>7.9453858000000004</v>
      </c>
      <c r="AH331" s="46">
        <v>7.3038328999999997</v>
      </c>
      <c r="AI331" s="47">
        <f>AB331+AC331</f>
        <v>18.9175851</v>
      </c>
      <c r="AJ331" s="47">
        <f>AD331+AE331+AF331+AG331+AH331</f>
        <v>81.082414900000003</v>
      </c>
      <c r="AK331" s="46">
        <v>5.5586359999999999</v>
      </c>
      <c r="AL331" s="46">
        <v>10.022179100000001</v>
      </c>
      <c r="AM331" s="46">
        <v>12.226226799999999</v>
      </c>
      <c r="AN331" s="46">
        <v>0.63764900000000002</v>
      </c>
      <c r="AO331" s="46">
        <v>54.227890199999997</v>
      </c>
      <c r="AP331" s="46">
        <v>7.4715829999999999</v>
      </c>
      <c r="AQ331" s="46">
        <v>9.8558359000000006</v>
      </c>
      <c r="AR331" s="48">
        <f>AK331+AL331</f>
        <v>15.580815100000001</v>
      </c>
      <c r="AS331" s="48">
        <f>AM331+AN331+AO331+AP331+AQ331</f>
        <v>84.419184899999991</v>
      </c>
    </row>
    <row r="332" spans="2:45" ht="15" hidden="1" customHeight="1" x14ac:dyDescent="0.25">
      <c r="B332" s="35">
        <v>326</v>
      </c>
      <c r="C332" s="36" t="s">
        <v>31</v>
      </c>
      <c r="D332" s="36" t="s">
        <v>66</v>
      </c>
      <c r="E332" s="36" t="s">
        <v>131</v>
      </c>
      <c r="F332" s="36" t="s">
        <v>132</v>
      </c>
      <c r="G332" s="37" t="s">
        <v>25</v>
      </c>
      <c r="H332" s="38">
        <v>760</v>
      </c>
      <c r="I332" s="38">
        <v>211</v>
      </c>
      <c r="J332" s="38">
        <v>490</v>
      </c>
      <c r="K332" s="38">
        <v>23</v>
      </c>
      <c r="L332" s="38">
        <v>2</v>
      </c>
      <c r="M332" s="38">
        <v>24</v>
      </c>
      <c r="N332" s="38">
        <v>9</v>
      </c>
      <c r="O332" s="38">
        <v>1</v>
      </c>
      <c r="P332" s="38"/>
      <c r="Q332" s="38"/>
      <c r="R332" s="38">
        <v>1081</v>
      </c>
      <c r="S332" s="38">
        <v>261</v>
      </c>
      <c r="T332" s="38">
        <v>660</v>
      </c>
      <c r="U332" s="38">
        <v>23</v>
      </c>
      <c r="V332" s="38">
        <v>0</v>
      </c>
      <c r="W332" s="38">
        <v>99</v>
      </c>
      <c r="X332" s="38">
        <v>16</v>
      </c>
      <c r="Y332" s="38">
        <v>22</v>
      </c>
      <c r="Z332" s="38"/>
      <c r="AA332" s="38"/>
      <c r="AB332" s="39">
        <v>27.7631579</v>
      </c>
      <c r="AC332" s="39">
        <v>64.473684199999994</v>
      </c>
      <c r="AD332" s="39">
        <v>3.0263157999999999</v>
      </c>
      <c r="AE332" s="39">
        <v>0.2631579</v>
      </c>
      <c r="AF332" s="39">
        <v>3.1578946999999999</v>
      </c>
      <c r="AG332" s="39">
        <v>1.1842105000000001</v>
      </c>
      <c r="AH332" s="39">
        <v>0.1315789</v>
      </c>
      <c r="AI332" s="39"/>
      <c r="AJ332" s="39"/>
      <c r="AK332" s="39">
        <v>24.1443108</v>
      </c>
      <c r="AL332" s="39">
        <v>61.054579099999998</v>
      </c>
      <c r="AM332" s="39">
        <v>2.1276595999999999</v>
      </c>
      <c r="AN332" s="39">
        <v>0</v>
      </c>
      <c r="AO332" s="39">
        <v>9.1581869000000005</v>
      </c>
      <c r="AP332" s="39">
        <v>1.480111</v>
      </c>
      <c r="AQ332" s="39">
        <v>2.0351526</v>
      </c>
      <c r="AR332" s="40"/>
      <c r="AS332" s="40"/>
    </row>
    <row r="333" spans="2:45" ht="15" hidden="1" customHeight="1" x14ac:dyDescent="0.25">
      <c r="B333" s="35">
        <v>327</v>
      </c>
      <c r="C333" s="36" t="s">
        <v>31</v>
      </c>
      <c r="D333" s="36" t="s">
        <v>66</v>
      </c>
      <c r="E333" s="36" t="s">
        <v>131</v>
      </c>
      <c r="F333" s="36" t="s">
        <v>132</v>
      </c>
      <c r="G333" s="37" t="s">
        <v>26</v>
      </c>
      <c r="H333" s="38">
        <v>5319</v>
      </c>
      <c r="I333" s="38">
        <v>97</v>
      </c>
      <c r="J333" s="38">
        <v>352</v>
      </c>
      <c r="K333" s="38">
        <v>1947</v>
      </c>
      <c r="L333" s="38">
        <v>174</v>
      </c>
      <c r="M333" s="38">
        <v>1832</v>
      </c>
      <c r="N333" s="38">
        <v>474</v>
      </c>
      <c r="O333" s="38">
        <v>443</v>
      </c>
      <c r="P333" s="38"/>
      <c r="Q333" s="38"/>
      <c r="R333" s="38">
        <v>6133</v>
      </c>
      <c r="S333" s="38">
        <v>140</v>
      </c>
      <c r="T333" s="38">
        <v>63</v>
      </c>
      <c r="U333" s="38">
        <v>859</v>
      </c>
      <c r="V333" s="38">
        <v>46</v>
      </c>
      <c r="W333" s="38">
        <v>3813</v>
      </c>
      <c r="X333" s="38">
        <v>523</v>
      </c>
      <c r="Y333" s="38">
        <v>689</v>
      </c>
      <c r="Z333" s="38"/>
      <c r="AA333" s="38"/>
      <c r="AB333" s="39">
        <v>1.8236511</v>
      </c>
      <c r="AC333" s="39">
        <v>6.6177853000000004</v>
      </c>
      <c r="AD333" s="39">
        <v>36.604624899999997</v>
      </c>
      <c r="AE333" s="39">
        <v>3.2712916000000001</v>
      </c>
      <c r="AF333" s="39">
        <v>34.442564400000002</v>
      </c>
      <c r="AG333" s="39">
        <v>8.9114494999999998</v>
      </c>
      <c r="AH333" s="39">
        <v>8.3286332000000005</v>
      </c>
      <c r="AI333" s="39"/>
      <c r="AJ333" s="39"/>
      <c r="AK333" s="39">
        <v>2.2827327999999998</v>
      </c>
      <c r="AL333" s="39">
        <v>1.0272296999999999</v>
      </c>
      <c r="AM333" s="39">
        <v>14.006195999999999</v>
      </c>
      <c r="AN333" s="39">
        <v>0.75004079999999995</v>
      </c>
      <c r="AO333" s="39">
        <v>62.171857199999998</v>
      </c>
      <c r="AP333" s="39">
        <v>8.5276373999999997</v>
      </c>
      <c r="AQ333" s="39">
        <v>11.234306200000001</v>
      </c>
      <c r="AR333" s="40"/>
      <c r="AS333" s="40"/>
    </row>
    <row r="334" spans="2:45" ht="15" customHeight="1" x14ac:dyDescent="0.25">
      <c r="B334" s="41">
        <v>328</v>
      </c>
      <c r="C334" s="42" t="s">
        <v>31</v>
      </c>
      <c r="D334" s="51" t="s">
        <v>66</v>
      </c>
      <c r="E334" s="51" t="s">
        <v>131</v>
      </c>
      <c r="F334" s="51" t="s">
        <v>133</v>
      </c>
      <c r="G334" s="52" t="s">
        <v>133</v>
      </c>
      <c r="H334" s="43">
        <v>6499</v>
      </c>
      <c r="I334" s="43">
        <v>440</v>
      </c>
      <c r="J334" s="43">
        <v>742</v>
      </c>
      <c r="K334" s="43">
        <v>1218</v>
      </c>
      <c r="L334" s="43">
        <v>371</v>
      </c>
      <c r="M334" s="43">
        <v>1896</v>
      </c>
      <c r="N334" s="43">
        <v>1087</v>
      </c>
      <c r="O334" s="43">
        <v>745</v>
      </c>
      <c r="P334" s="44">
        <f>K334+L334+M334+N334+O334</f>
        <v>5317</v>
      </c>
      <c r="Q334" s="44">
        <f>I334+J334</f>
        <v>1182</v>
      </c>
      <c r="R334" s="43">
        <v>9458</v>
      </c>
      <c r="S334" s="43">
        <v>1309</v>
      </c>
      <c r="T334" s="43">
        <v>1354</v>
      </c>
      <c r="U334" s="43">
        <v>727</v>
      </c>
      <c r="V334" s="43">
        <v>129</v>
      </c>
      <c r="W334" s="43">
        <v>4054</v>
      </c>
      <c r="X334" s="43">
        <v>1420</v>
      </c>
      <c r="Y334" s="43">
        <v>465</v>
      </c>
      <c r="Z334" s="45">
        <f>U334+V334+W334+X334+Y334</f>
        <v>6795</v>
      </c>
      <c r="AA334" s="45">
        <f>S334+T334</f>
        <v>2663</v>
      </c>
      <c r="AB334" s="46">
        <v>6.7702723000000002</v>
      </c>
      <c r="AC334" s="46">
        <v>11.4171411</v>
      </c>
      <c r="AD334" s="46">
        <v>18.7413448</v>
      </c>
      <c r="AE334" s="46">
        <v>5.7085705000000004</v>
      </c>
      <c r="AF334" s="46">
        <v>29.173718999999998</v>
      </c>
      <c r="AG334" s="46">
        <v>16.725650099999999</v>
      </c>
      <c r="AH334" s="46">
        <v>11.463302000000001</v>
      </c>
      <c r="AI334" s="47">
        <f>AB334+AC334</f>
        <v>18.187413400000001</v>
      </c>
      <c r="AJ334" s="47">
        <f>AD334+AE334+AF334+AG334+AH334</f>
        <v>81.812586400000001</v>
      </c>
      <c r="AK334" s="46">
        <v>13.8401353</v>
      </c>
      <c r="AL334" s="46">
        <v>14.315923</v>
      </c>
      <c r="AM334" s="46">
        <v>7.6866145000000001</v>
      </c>
      <c r="AN334" s="46">
        <v>1.3639247000000001</v>
      </c>
      <c r="AO334" s="46">
        <v>42.863184599999997</v>
      </c>
      <c r="AP334" s="46">
        <v>15.013745</v>
      </c>
      <c r="AQ334" s="46">
        <v>4.9164728000000002</v>
      </c>
      <c r="AR334" s="48">
        <f>AK334+AL334</f>
        <v>28.156058299999998</v>
      </c>
      <c r="AS334" s="48">
        <f>AM334+AN334+AO334+AP334+AQ334</f>
        <v>71.843941599999994</v>
      </c>
    </row>
    <row r="335" spans="2:45" ht="15" hidden="1" customHeight="1" x14ac:dyDescent="0.25">
      <c r="B335" s="35">
        <v>329</v>
      </c>
      <c r="C335" s="36" t="s">
        <v>31</v>
      </c>
      <c r="D335" s="36" t="s">
        <v>66</v>
      </c>
      <c r="E335" s="36" t="s">
        <v>131</v>
      </c>
      <c r="F335" s="36" t="s">
        <v>133</v>
      </c>
      <c r="G335" s="37" t="s">
        <v>25</v>
      </c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>
        <v>1372</v>
      </c>
      <c r="S335" s="38">
        <v>221</v>
      </c>
      <c r="T335" s="38">
        <v>987</v>
      </c>
      <c r="U335" s="38">
        <v>16</v>
      </c>
      <c r="V335" s="38">
        <v>3</v>
      </c>
      <c r="W335" s="38">
        <v>86</v>
      </c>
      <c r="X335" s="38">
        <v>33</v>
      </c>
      <c r="Y335" s="38">
        <v>26</v>
      </c>
      <c r="Z335" s="38"/>
      <c r="AA335" s="38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>
        <v>16.1078717</v>
      </c>
      <c r="AL335" s="39">
        <v>71.938775500000006</v>
      </c>
      <c r="AM335" s="39">
        <v>1.1661808</v>
      </c>
      <c r="AN335" s="39">
        <v>0.21865889999999999</v>
      </c>
      <c r="AO335" s="39">
        <v>6.2682216000000004</v>
      </c>
      <c r="AP335" s="39">
        <v>2.4052478000000002</v>
      </c>
      <c r="AQ335" s="39">
        <v>1.8950437</v>
      </c>
      <c r="AR335" s="40"/>
      <c r="AS335" s="40"/>
    </row>
    <row r="336" spans="2:45" ht="15" hidden="1" customHeight="1" x14ac:dyDescent="0.25">
      <c r="B336" s="35">
        <v>330</v>
      </c>
      <c r="C336" s="36" t="s">
        <v>31</v>
      </c>
      <c r="D336" s="36" t="s">
        <v>66</v>
      </c>
      <c r="E336" s="36" t="s">
        <v>131</v>
      </c>
      <c r="F336" s="36" t="s">
        <v>133</v>
      </c>
      <c r="G336" s="37" t="s">
        <v>26</v>
      </c>
      <c r="H336" s="38">
        <v>6499</v>
      </c>
      <c r="I336" s="38">
        <v>440</v>
      </c>
      <c r="J336" s="38">
        <v>742</v>
      </c>
      <c r="K336" s="38">
        <v>1218</v>
      </c>
      <c r="L336" s="38">
        <v>371</v>
      </c>
      <c r="M336" s="38">
        <v>1896</v>
      </c>
      <c r="N336" s="38">
        <v>1087</v>
      </c>
      <c r="O336" s="38">
        <v>745</v>
      </c>
      <c r="P336" s="38"/>
      <c r="Q336" s="38"/>
      <c r="R336" s="38">
        <v>8086</v>
      </c>
      <c r="S336" s="38">
        <v>1088</v>
      </c>
      <c r="T336" s="38">
        <v>367</v>
      </c>
      <c r="U336" s="38">
        <v>711</v>
      </c>
      <c r="V336" s="38">
        <v>126</v>
      </c>
      <c r="W336" s="38">
        <v>3968</v>
      </c>
      <c r="X336" s="38">
        <v>1387</v>
      </c>
      <c r="Y336" s="38">
        <v>439</v>
      </c>
      <c r="Z336" s="38"/>
      <c r="AA336" s="38"/>
      <c r="AB336" s="39">
        <v>6.7702723000000002</v>
      </c>
      <c r="AC336" s="39">
        <v>11.4171411</v>
      </c>
      <c r="AD336" s="39">
        <v>18.7413448</v>
      </c>
      <c r="AE336" s="39">
        <v>5.7085705000000004</v>
      </c>
      <c r="AF336" s="39">
        <v>29.173718999999998</v>
      </c>
      <c r="AG336" s="39">
        <v>16.725650099999999</v>
      </c>
      <c r="AH336" s="39">
        <v>11.463302000000001</v>
      </c>
      <c r="AI336" s="39"/>
      <c r="AJ336" s="39"/>
      <c r="AK336" s="39">
        <v>13.4553549</v>
      </c>
      <c r="AL336" s="39">
        <v>4.5387088999999996</v>
      </c>
      <c r="AM336" s="39">
        <v>8.7929755000000007</v>
      </c>
      <c r="AN336" s="39">
        <v>1.5582488000000001</v>
      </c>
      <c r="AO336" s="39">
        <v>49.072470899999999</v>
      </c>
      <c r="AP336" s="39">
        <v>17.1531041</v>
      </c>
      <c r="AQ336" s="39">
        <v>5.4291368000000002</v>
      </c>
      <c r="AR336" s="40"/>
      <c r="AS336" s="40"/>
    </row>
    <row r="337" spans="2:45" ht="15" customHeight="1" x14ac:dyDescent="0.25">
      <c r="B337" s="41">
        <v>331</v>
      </c>
      <c r="C337" s="42" t="s">
        <v>31</v>
      </c>
      <c r="D337" s="51" t="s">
        <v>66</v>
      </c>
      <c r="E337" s="51" t="s">
        <v>131</v>
      </c>
      <c r="F337" s="51" t="s">
        <v>134</v>
      </c>
      <c r="G337" s="52" t="s">
        <v>134</v>
      </c>
      <c r="H337" s="43">
        <v>2308</v>
      </c>
      <c r="I337" s="43">
        <v>214</v>
      </c>
      <c r="J337" s="43">
        <v>220</v>
      </c>
      <c r="K337" s="43">
        <v>648</v>
      </c>
      <c r="L337" s="43">
        <v>251</v>
      </c>
      <c r="M337" s="43">
        <v>615</v>
      </c>
      <c r="N337" s="43">
        <v>212</v>
      </c>
      <c r="O337" s="43">
        <v>148</v>
      </c>
      <c r="P337" s="44">
        <f>K337+L337+M337+N337+O337</f>
        <v>1874</v>
      </c>
      <c r="Q337" s="44">
        <f>I337+J337</f>
        <v>434</v>
      </c>
      <c r="R337" s="43">
        <v>2998</v>
      </c>
      <c r="S337" s="43">
        <v>494</v>
      </c>
      <c r="T337" s="43">
        <v>15</v>
      </c>
      <c r="U337" s="43">
        <v>367</v>
      </c>
      <c r="V337" s="43">
        <v>93</v>
      </c>
      <c r="W337" s="43">
        <v>1531</v>
      </c>
      <c r="X337" s="43">
        <v>371</v>
      </c>
      <c r="Y337" s="43">
        <v>127</v>
      </c>
      <c r="Z337" s="45">
        <f>U337+V337+W337+X337+Y337</f>
        <v>2489</v>
      </c>
      <c r="AA337" s="45">
        <f>S337+T337</f>
        <v>509</v>
      </c>
      <c r="AB337" s="46">
        <v>9.2720970999999999</v>
      </c>
      <c r="AC337" s="46">
        <v>9.5320623999999992</v>
      </c>
      <c r="AD337" s="46">
        <v>28.0762565</v>
      </c>
      <c r="AE337" s="46">
        <v>10.8752166</v>
      </c>
      <c r="AF337" s="46">
        <v>26.6464471</v>
      </c>
      <c r="AG337" s="46">
        <v>9.1854419000000007</v>
      </c>
      <c r="AH337" s="46">
        <v>6.4124783000000001</v>
      </c>
      <c r="AI337" s="47">
        <f>AB337+AC337</f>
        <v>18.804159499999997</v>
      </c>
      <c r="AJ337" s="47">
        <f>AD337+AE337+AF337+AG337+AH337</f>
        <v>81.195840400000009</v>
      </c>
      <c r="AK337" s="46">
        <v>16.4776518</v>
      </c>
      <c r="AL337" s="46">
        <v>0.50033360000000004</v>
      </c>
      <c r="AM337" s="46">
        <v>12.241494299999999</v>
      </c>
      <c r="AN337" s="46">
        <v>3.102068</v>
      </c>
      <c r="AO337" s="46">
        <v>51.067378300000001</v>
      </c>
      <c r="AP337" s="46">
        <v>12.374916600000001</v>
      </c>
      <c r="AQ337" s="46">
        <v>4.2361573999999997</v>
      </c>
      <c r="AR337" s="48">
        <f>AK337+AL337</f>
        <v>16.977985400000001</v>
      </c>
      <c r="AS337" s="48">
        <f>AM337+AN337+AO337+AP337+AQ337</f>
        <v>83.022014600000006</v>
      </c>
    </row>
    <row r="338" spans="2:45" ht="15" hidden="1" customHeight="1" x14ac:dyDescent="0.25">
      <c r="B338" s="35">
        <v>332</v>
      </c>
      <c r="C338" s="36" t="s">
        <v>31</v>
      </c>
      <c r="D338" s="36" t="s">
        <v>66</v>
      </c>
      <c r="E338" s="36" t="s">
        <v>131</v>
      </c>
      <c r="F338" s="36" t="s">
        <v>134</v>
      </c>
      <c r="G338" s="37" t="s">
        <v>25</v>
      </c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40"/>
      <c r="AS338" s="40"/>
    </row>
    <row r="339" spans="2:45" ht="15" hidden="1" customHeight="1" x14ac:dyDescent="0.25">
      <c r="B339" s="35">
        <v>333</v>
      </c>
      <c r="C339" s="36" t="s">
        <v>31</v>
      </c>
      <c r="D339" s="36" t="s">
        <v>66</v>
      </c>
      <c r="E339" s="36" t="s">
        <v>131</v>
      </c>
      <c r="F339" s="36" t="s">
        <v>134</v>
      </c>
      <c r="G339" s="37" t="s">
        <v>26</v>
      </c>
      <c r="H339" s="38">
        <v>2308</v>
      </c>
      <c r="I339" s="38">
        <v>214</v>
      </c>
      <c r="J339" s="38">
        <v>220</v>
      </c>
      <c r="K339" s="38">
        <v>648</v>
      </c>
      <c r="L339" s="38">
        <v>251</v>
      </c>
      <c r="M339" s="38">
        <v>615</v>
      </c>
      <c r="N339" s="38">
        <v>212</v>
      </c>
      <c r="O339" s="38">
        <v>148</v>
      </c>
      <c r="P339" s="38"/>
      <c r="Q339" s="38"/>
      <c r="R339" s="38">
        <v>2998</v>
      </c>
      <c r="S339" s="38">
        <v>494</v>
      </c>
      <c r="T339" s="38">
        <v>15</v>
      </c>
      <c r="U339" s="38">
        <v>367</v>
      </c>
      <c r="V339" s="38">
        <v>93</v>
      </c>
      <c r="W339" s="38">
        <v>1531</v>
      </c>
      <c r="X339" s="38">
        <v>371</v>
      </c>
      <c r="Y339" s="38">
        <v>127</v>
      </c>
      <c r="Z339" s="38"/>
      <c r="AA339" s="38"/>
      <c r="AB339" s="39">
        <v>9.2720970999999999</v>
      </c>
      <c r="AC339" s="39">
        <v>9.5320623999999992</v>
      </c>
      <c r="AD339" s="39">
        <v>28.0762565</v>
      </c>
      <c r="AE339" s="39">
        <v>10.8752166</v>
      </c>
      <c r="AF339" s="39">
        <v>26.6464471</v>
      </c>
      <c r="AG339" s="39">
        <v>9.1854419000000007</v>
      </c>
      <c r="AH339" s="39">
        <v>6.4124783000000001</v>
      </c>
      <c r="AI339" s="39"/>
      <c r="AJ339" s="39"/>
      <c r="AK339" s="39">
        <v>16.4776518</v>
      </c>
      <c r="AL339" s="39">
        <v>0.50033360000000004</v>
      </c>
      <c r="AM339" s="39">
        <v>12.241494299999999</v>
      </c>
      <c r="AN339" s="39">
        <v>3.102068</v>
      </c>
      <c r="AO339" s="39">
        <v>51.067378300000001</v>
      </c>
      <c r="AP339" s="39">
        <v>12.374916600000001</v>
      </c>
      <c r="AQ339" s="39">
        <v>4.2361573999999997</v>
      </c>
      <c r="AR339" s="40"/>
      <c r="AS339" s="40"/>
    </row>
    <row r="340" spans="2:45" ht="15" customHeight="1" x14ac:dyDescent="0.25">
      <c r="B340" s="41">
        <v>334</v>
      </c>
      <c r="C340" s="42" t="s">
        <v>31</v>
      </c>
      <c r="D340" s="51" t="s">
        <v>66</v>
      </c>
      <c r="E340" s="51" t="s">
        <v>131</v>
      </c>
      <c r="F340" s="51" t="s">
        <v>135</v>
      </c>
      <c r="G340" s="52" t="s">
        <v>135</v>
      </c>
      <c r="H340" s="43">
        <v>9246</v>
      </c>
      <c r="I340" s="43">
        <v>243</v>
      </c>
      <c r="J340" s="43">
        <v>1309</v>
      </c>
      <c r="K340" s="43">
        <v>404</v>
      </c>
      <c r="L340" s="43">
        <v>186</v>
      </c>
      <c r="M340" s="43">
        <v>5471</v>
      </c>
      <c r="N340" s="43">
        <v>1335</v>
      </c>
      <c r="O340" s="43">
        <v>298</v>
      </c>
      <c r="P340" s="44">
        <f>K340+L340+M340+N340+O340</f>
        <v>7694</v>
      </c>
      <c r="Q340" s="44">
        <f>I340+J340</f>
        <v>1552</v>
      </c>
      <c r="R340" s="43">
        <v>11630</v>
      </c>
      <c r="S340" s="43">
        <v>547</v>
      </c>
      <c r="T340" s="43">
        <v>1340</v>
      </c>
      <c r="U340" s="43">
        <v>212</v>
      </c>
      <c r="V340" s="43">
        <v>69</v>
      </c>
      <c r="W340" s="43">
        <v>7755</v>
      </c>
      <c r="X340" s="43">
        <v>1391</v>
      </c>
      <c r="Y340" s="43">
        <v>316</v>
      </c>
      <c r="Z340" s="45">
        <f>U340+V340+W340+X340+Y340</f>
        <v>9743</v>
      </c>
      <c r="AA340" s="45">
        <f>S340+T340</f>
        <v>1887</v>
      </c>
      <c r="AB340" s="46">
        <v>2.6281634999999999</v>
      </c>
      <c r="AC340" s="46">
        <v>14.1574735</v>
      </c>
      <c r="AD340" s="46">
        <v>4.3694571</v>
      </c>
      <c r="AE340" s="46">
        <v>2.0116806999999999</v>
      </c>
      <c r="AF340" s="46">
        <v>59.171533599999997</v>
      </c>
      <c r="AG340" s="46">
        <v>14.4386762</v>
      </c>
      <c r="AH340" s="46">
        <v>3.2230154</v>
      </c>
      <c r="AI340" s="47">
        <f>AB340+AC340</f>
        <v>16.785637000000001</v>
      </c>
      <c r="AJ340" s="47">
        <f>AD340+AE340+AF340+AG340+AH340</f>
        <v>83.214362999999992</v>
      </c>
      <c r="AK340" s="46">
        <v>4.7033534000000001</v>
      </c>
      <c r="AL340" s="46">
        <v>11.5219261</v>
      </c>
      <c r="AM340" s="46">
        <v>1.8228719</v>
      </c>
      <c r="AN340" s="46">
        <v>0.59329319999999997</v>
      </c>
      <c r="AO340" s="46">
        <v>66.680997399999995</v>
      </c>
      <c r="AP340" s="46">
        <v>11.9604471</v>
      </c>
      <c r="AQ340" s="46">
        <v>2.7171109000000002</v>
      </c>
      <c r="AR340" s="48">
        <f>AK340+AL340</f>
        <v>16.225279499999999</v>
      </c>
      <c r="AS340" s="48">
        <f>AM340+AN340+AO340+AP340+AQ340</f>
        <v>83.774720499999987</v>
      </c>
    </row>
    <row r="341" spans="2:45" ht="15" hidden="1" customHeight="1" x14ac:dyDescent="0.25">
      <c r="B341" s="35">
        <v>335</v>
      </c>
      <c r="C341" s="36" t="s">
        <v>31</v>
      </c>
      <c r="D341" s="36" t="s">
        <v>66</v>
      </c>
      <c r="E341" s="36" t="s">
        <v>131</v>
      </c>
      <c r="F341" s="36" t="s">
        <v>135</v>
      </c>
      <c r="G341" s="37" t="s">
        <v>25</v>
      </c>
      <c r="H341" s="38">
        <v>2037</v>
      </c>
      <c r="I341" s="38">
        <v>142</v>
      </c>
      <c r="J341" s="38">
        <v>1064</v>
      </c>
      <c r="K341" s="38">
        <v>13</v>
      </c>
      <c r="L341" s="38">
        <v>17</v>
      </c>
      <c r="M341" s="38">
        <v>719</v>
      </c>
      <c r="N341" s="38">
        <v>66</v>
      </c>
      <c r="O341" s="38">
        <v>16</v>
      </c>
      <c r="P341" s="38"/>
      <c r="Q341" s="38"/>
      <c r="R341" s="38">
        <v>2994</v>
      </c>
      <c r="S341" s="38">
        <v>323</v>
      </c>
      <c r="T341" s="38">
        <v>1135</v>
      </c>
      <c r="U341" s="38">
        <v>38</v>
      </c>
      <c r="V341" s="38">
        <v>10</v>
      </c>
      <c r="W341" s="38">
        <v>1339</v>
      </c>
      <c r="X341" s="38">
        <v>89</v>
      </c>
      <c r="Y341" s="38">
        <v>60</v>
      </c>
      <c r="Z341" s="38"/>
      <c r="AA341" s="38"/>
      <c r="AB341" s="39">
        <v>6.9710358000000001</v>
      </c>
      <c r="AC341" s="39">
        <v>52.233677</v>
      </c>
      <c r="AD341" s="39">
        <v>0.63819340000000002</v>
      </c>
      <c r="AE341" s="39">
        <v>0.83456059999999999</v>
      </c>
      <c r="AF341" s="39">
        <v>35.297005400000003</v>
      </c>
      <c r="AG341" s="39">
        <v>3.2400589000000002</v>
      </c>
      <c r="AH341" s="39">
        <v>0.78546879999999997</v>
      </c>
      <c r="AI341" s="39"/>
      <c r="AJ341" s="39"/>
      <c r="AK341" s="39">
        <v>10.7882432</v>
      </c>
      <c r="AL341" s="39">
        <v>37.909151600000001</v>
      </c>
      <c r="AM341" s="39">
        <v>1.2692051</v>
      </c>
      <c r="AN341" s="39">
        <v>0.3340013</v>
      </c>
      <c r="AO341" s="39">
        <v>44.722778900000002</v>
      </c>
      <c r="AP341" s="39">
        <v>2.9726119</v>
      </c>
      <c r="AQ341" s="39">
        <v>2.0040079999999998</v>
      </c>
      <c r="AR341" s="40"/>
      <c r="AS341" s="40"/>
    </row>
    <row r="342" spans="2:45" ht="15" hidden="1" customHeight="1" x14ac:dyDescent="0.25">
      <c r="B342" s="35">
        <v>336</v>
      </c>
      <c r="C342" s="36" t="s">
        <v>31</v>
      </c>
      <c r="D342" s="36" t="s">
        <v>66</v>
      </c>
      <c r="E342" s="36" t="s">
        <v>131</v>
      </c>
      <c r="F342" s="36" t="s">
        <v>135</v>
      </c>
      <c r="G342" s="37" t="s">
        <v>26</v>
      </c>
      <c r="H342" s="38">
        <v>7209</v>
      </c>
      <c r="I342" s="38">
        <v>101</v>
      </c>
      <c r="J342" s="38">
        <v>245</v>
      </c>
      <c r="K342" s="38">
        <v>391</v>
      </c>
      <c r="L342" s="38">
        <v>169</v>
      </c>
      <c r="M342" s="38">
        <v>4752</v>
      </c>
      <c r="N342" s="38">
        <v>1269</v>
      </c>
      <c r="O342" s="38">
        <v>282</v>
      </c>
      <c r="P342" s="38"/>
      <c r="Q342" s="38"/>
      <c r="R342" s="38">
        <v>8636</v>
      </c>
      <c r="S342" s="38">
        <v>224</v>
      </c>
      <c r="T342" s="38">
        <v>205</v>
      </c>
      <c r="U342" s="38">
        <v>174</v>
      </c>
      <c r="V342" s="38">
        <v>59</v>
      </c>
      <c r="W342" s="38">
        <v>6416</v>
      </c>
      <c r="X342" s="38">
        <v>1302</v>
      </c>
      <c r="Y342" s="38">
        <v>256</v>
      </c>
      <c r="Z342" s="38"/>
      <c r="AA342" s="38"/>
      <c r="AB342" s="39">
        <v>1.4010265</v>
      </c>
      <c r="AC342" s="39">
        <v>3.3985295999999998</v>
      </c>
      <c r="AD342" s="39">
        <v>5.4237757999999996</v>
      </c>
      <c r="AE342" s="39">
        <v>2.3442919</v>
      </c>
      <c r="AF342" s="39">
        <v>65.917603</v>
      </c>
      <c r="AG342" s="39">
        <v>17.602996300000001</v>
      </c>
      <c r="AH342" s="39">
        <v>3.9117769</v>
      </c>
      <c r="AI342" s="39"/>
      <c r="AJ342" s="39"/>
      <c r="AK342" s="39">
        <v>2.5937934</v>
      </c>
      <c r="AL342" s="39">
        <v>2.3737841999999998</v>
      </c>
      <c r="AM342" s="39">
        <v>2.0148217000000002</v>
      </c>
      <c r="AN342" s="39">
        <v>0.68318670000000004</v>
      </c>
      <c r="AO342" s="39">
        <v>74.293654500000002</v>
      </c>
      <c r="AP342" s="39">
        <v>15.076424299999999</v>
      </c>
      <c r="AQ342" s="39">
        <v>2.9643353000000001</v>
      </c>
      <c r="AR342" s="40"/>
      <c r="AS342" s="40"/>
    </row>
    <row r="343" spans="2:45" ht="15" customHeight="1" x14ac:dyDescent="0.25">
      <c r="B343" s="41">
        <v>337</v>
      </c>
      <c r="C343" s="42" t="s">
        <v>31</v>
      </c>
      <c r="D343" s="51" t="s">
        <v>66</v>
      </c>
      <c r="E343" s="51" t="s">
        <v>131</v>
      </c>
      <c r="F343" s="51" t="s">
        <v>136</v>
      </c>
      <c r="G343" s="52" t="s">
        <v>136</v>
      </c>
      <c r="H343" s="43">
        <v>13638</v>
      </c>
      <c r="I343" s="43">
        <v>178</v>
      </c>
      <c r="J343" s="43">
        <v>1591</v>
      </c>
      <c r="K343" s="43">
        <v>3206</v>
      </c>
      <c r="L343" s="43">
        <v>1491</v>
      </c>
      <c r="M343" s="43">
        <v>4947</v>
      </c>
      <c r="N343" s="43">
        <v>1494</v>
      </c>
      <c r="O343" s="43">
        <v>731</v>
      </c>
      <c r="P343" s="44">
        <f>K343+L343+M343+N343+O343</f>
        <v>11869</v>
      </c>
      <c r="Q343" s="44">
        <f>I343+J343</f>
        <v>1769</v>
      </c>
      <c r="R343" s="43">
        <v>18380</v>
      </c>
      <c r="S343" s="43">
        <v>854</v>
      </c>
      <c r="T343" s="43">
        <v>3231</v>
      </c>
      <c r="U343" s="43">
        <v>1526</v>
      </c>
      <c r="V343" s="43">
        <v>626</v>
      </c>
      <c r="W343" s="43">
        <v>10250</v>
      </c>
      <c r="X343" s="43">
        <v>1489</v>
      </c>
      <c r="Y343" s="43">
        <v>404</v>
      </c>
      <c r="Z343" s="45">
        <f>U343+V343+W343+X343+Y343</f>
        <v>14295</v>
      </c>
      <c r="AA343" s="45">
        <f>S343+T343</f>
        <v>4085</v>
      </c>
      <c r="AB343" s="46">
        <v>1.3051767000000001</v>
      </c>
      <c r="AC343" s="46">
        <v>11.6659334</v>
      </c>
      <c r="AD343" s="46">
        <v>23.507845700000001</v>
      </c>
      <c r="AE343" s="46">
        <v>10.9326881</v>
      </c>
      <c r="AF343" s="46">
        <v>36.273647199999999</v>
      </c>
      <c r="AG343" s="46">
        <v>10.954685400000001</v>
      </c>
      <c r="AH343" s="46">
        <v>5.3600234999999996</v>
      </c>
      <c r="AI343" s="47">
        <f>AB343+AC343</f>
        <v>12.971110100000001</v>
      </c>
      <c r="AJ343" s="47">
        <f>AD343+AE343+AF343+AG343+AH343</f>
        <v>87.028889899999996</v>
      </c>
      <c r="AK343" s="46">
        <v>4.6463546999999998</v>
      </c>
      <c r="AL343" s="46">
        <v>17.578890099999999</v>
      </c>
      <c r="AM343" s="46">
        <v>8.3025026999999998</v>
      </c>
      <c r="AN343" s="46">
        <v>3.4058760000000001</v>
      </c>
      <c r="AO343" s="46">
        <v>55.767138199999998</v>
      </c>
      <c r="AP343" s="46">
        <v>8.1011970000000009</v>
      </c>
      <c r="AQ343" s="46">
        <v>2.1980412999999999</v>
      </c>
      <c r="AR343" s="48">
        <f>AK343+AL343</f>
        <v>22.225244799999999</v>
      </c>
      <c r="AS343" s="48">
        <f>AM343+AN343+AO343+AP343+AQ343</f>
        <v>77.774755200000001</v>
      </c>
    </row>
    <row r="344" spans="2:45" ht="15" hidden="1" customHeight="1" x14ac:dyDescent="0.25">
      <c r="B344" s="35">
        <v>338</v>
      </c>
      <c r="C344" s="36" t="s">
        <v>31</v>
      </c>
      <c r="D344" s="36" t="s">
        <v>66</v>
      </c>
      <c r="E344" s="36" t="s">
        <v>131</v>
      </c>
      <c r="F344" s="36" t="s">
        <v>136</v>
      </c>
      <c r="G344" s="37" t="s">
        <v>25</v>
      </c>
      <c r="H344" s="38">
        <v>1009</v>
      </c>
      <c r="I344" s="38">
        <v>32</v>
      </c>
      <c r="J344" s="38">
        <v>822</v>
      </c>
      <c r="K344" s="38">
        <v>26</v>
      </c>
      <c r="L344" s="38">
        <v>32</v>
      </c>
      <c r="M344" s="38">
        <v>74</v>
      </c>
      <c r="N344" s="38">
        <v>19</v>
      </c>
      <c r="O344" s="38">
        <v>4</v>
      </c>
      <c r="P344" s="38"/>
      <c r="Q344" s="38"/>
      <c r="R344" s="38">
        <v>1297</v>
      </c>
      <c r="S344" s="38">
        <v>245</v>
      </c>
      <c r="T344" s="38">
        <v>967</v>
      </c>
      <c r="U344" s="38">
        <v>9</v>
      </c>
      <c r="V344" s="38">
        <v>6</v>
      </c>
      <c r="W344" s="38">
        <v>56</v>
      </c>
      <c r="X344" s="38">
        <v>9</v>
      </c>
      <c r="Y344" s="38">
        <v>5</v>
      </c>
      <c r="Z344" s="38"/>
      <c r="AA344" s="38"/>
      <c r="AB344" s="39">
        <v>3.1714568999999999</v>
      </c>
      <c r="AC344" s="39">
        <v>81.466798800000007</v>
      </c>
      <c r="AD344" s="39">
        <v>2.5768087</v>
      </c>
      <c r="AE344" s="39">
        <v>3.1714568999999999</v>
      </c>
      <c r="AF344" s="39">
        <v>7.3339941</v>
      </c>
      <c r="AG344" s="39">
        <v>1.8830525</v>
      </c>
      <c r="AH344" s="39">
        <v>0.39643210000000001</v>
      </c>
      <c r="AI344" s="39"/>
      <c r="AJ344" s="39"/>
      <c r="AK344" s="39">
        <v>18.889745600000001</v>
      </c>
      <c r="AL344" s="39">
        <v>74.556669200000002</v>
      </c>
      <c r="AM344" s="39">
        <v>0.693909</v>
      </c>
      <c r="AN344" s="39">
        <v>0.46260600000000002</v>
      </c>
      <c r="AO344" s="39">
        <v>4.3176560999999998</v>
      </c>
      <c r="AP344" s="39">
        <v>0.693909</v>
      </c>
      <c r="AQ344" s="39">
        <v>0.38550499999999999</v>
      </c>
      <c r="AR344" s="40"/>
      <c r="AS344" s="40"/>
    </row>
    <row r="345" spans="2:45" ht="15" hidden="1" customHeight="1" x14ac:dyDescent="0.25">
      <c r="B345" s="35">
        <v>339</v>
      </c>
      <c r="C345" s="36" t="s">
        <v>31</v>
      </c>
      <c r="D345" s="36" t="s">
        <v>66</v>
      </c>
      <c r="E345" s="36" t="s">
        <v>131</v>
      </c>
      <c r="F345" s="36" t="s">
        <v>136</v>
      </c>
      <c r="G345" s="37" t="s">
        <v>26</v>
      </c>
      <c r="H345" s="38">
        <v>12629</v>
      </c>
      <c r="I345" s="38">
        <v>146</v>
      </c>
      <c r="J345" s="38">
        <v>769</v>
      </c>
      <c r="K345" s="38">
        <v>3180</v>
      </c>
      <c r="L345" s="38">
        <v>1459</v>
      </c>
      <c r="M345" s="38">
        <v>4873</v>
      </c>
      <c r="N345" s="38">
        <v>1475</v>
      </c>
      <c r="O345" s="38">
        <v>727</v>
      </c>
      <c r="P345" s="38"/>
      <c r="Q345" s="38"/>
      <c r="R345" s="38">
        <v>17083</v>
      </c>
      <c r="S345" s="38">
        <v>609</v>
      </c>
      <c r="T345" s="38">
        <v>2264</v>
      </c>
      <c r="U345" s="38">
        <v>1517</v>
      </c>
      <c r="V345" s="38">
        <v>620</v>
      </c>
      <c r="W345" s="38">
        <v>10194</v>
      </c>
      <c r="X345" s="38">
        <v>1480</v>
      </c>
      <c r="Y345" s="38">
        <v>399</v>
      </c>
      <c r="Z345" s="38"/>
      <c r="AA345" s="38"/>
      <c r="AB345" s="39">
        <v>1.1560694</v>
      </c>
      <c r="AC345" s="39">
        <v>6.0891599000000003</v>
      </c>
      <c r="AD345" s="39">
        <v>25.180140900000001</v>
      </c>
      <c r="AE345" s="39">
        <v>11.5527754</v>
      </c>
      <c r="AF345" s="39">
        <v>38.5857946</v>
      </c>
      <c r="AG345" s="39">
        <v>11.679467900000001</v>
      </c>
      <c r="AH345" s="39">
        <v>5.7565920000000004</v>
      </c>
      <c r="AI345" s="39"/>
      <c r="AJ345" s="39"/>
      <c r="AK345" s="39">
        <v>3.5649476</v>
      </c>
      <c r="AL345" s="39">
        <v>13.2529415</v>
      </c>
      <c r="AM345" s="39">
        <v>8.8801732999999992</v>
      </c>
      <c r="AN345" s="39">
        <v>3.6293391000000002</v>
      </c>
      <c r="AO345" s="39">
        <v>59.673359499999997</v>
      </c>
      <c r="AP345" s="39">
        <v>8.6635837000000002</v>
      </c>
      <c r="AQ345" s="39">
        <v>2.3356553</v>
      </c>
      <c r="AR345" s="40"/>
      <c r="AS345" s="40"/>
    </row>
    <row r="346" spans="2:45" ht="15" hidden="1" customHeight="1" x14ac:dyDescent="0.25">
      <c r="B346" s="30">
        <v>340</v>
      </c>
      <c r="C346" s="31" t="s">
        <v>29</v>
      </c>
      <c r="D346" s="50" t="s">
        <v>66</v>
      </c>
      <c r="E346" s="50" t="s">
        <v>137</v>
      </c>
      <c r="F346" s="50"/>
      <c r="G346" s="31" t="s">
        <v>137</v>
      </c>
      <c r="H346" s="32">
        <v>27292</v>
      </c>
      <c r="I346" s="32">
        <v>405</v>
      </c>
      <c r="J346" s="32">
        <v>889</v>
      </c>
      <c r="K346" s="32">
        <v>1056</v>
      </c>
      <c r="L346" s="32">
        <v>2668</v>
      </c>
      <c r="M346" s="32">
        <v>19138</v>
      </c>
      <c r="N346" s="32">
        <v>2716</v>
      </c>
      <c r="O346" s="32">
        <v>420</v>
      </c>
      <c r="P346" s="32"/>
      <c r="Q346" s="32"/>
      <c r="R346" s="32">
        <v>46763</v>
      </c>
      <c r="S346" s="32">
        <v>5241</v>
      </c>
      <c r="T346" s="32">
        <v>6493</v>
      </c>
      <c r="U346" s="32">
        <v>1174</v>
      </c>
      <c r="V346" s="32">
        <v>1303</v>
      </c>
      <c r="W346" s="32">
        <v>28598</v>
      </c>
      <c r="X346" s="32">
        <v>3214</v>
      </c>
      <c r="Y346" s="32">
        <v>740</v>
      </c>
      <c r="Z346" s="32"/>
      <c r="AA346" s="32"/>
      <c r="AB346" s="33">
        <v>1.4839513</v>
      </c>
      <c r="AC346" s="33">
        <v>3.2573647999999999</v>
      </c>
      <c r="AD346" s="33">
        <v>3.8692657000000001</v>
      </c>
      <c r="AE346" s="33">
        <v>9.7757585000000002</v>
      </c>
      <c r="AF346" s="33">
        <v>70.123113000000004</v>
      </c>
      <c r="AG346" s="33">
        <v>9.9516342000000009</v>
      </c>
      <c r="AH346" s="33">
        <v>1.5389124999999999</v>
      </c>
      <c r="AI346" s="33"/>
      <c r="AJ346" s="33"/>
      <c r="AK346" s="33">
        <v>11.2075786</v>
      </c>
      <c r="AL346" s="33">
        <v>13.884909</v>
      </c>
      <c r="AM346" s="33">
        <v>2.5105317999999999</v>
      </c>
      <c r="AN346" s="33">
        <v>2.7863910000000001</v>
      </c>
      <c r="AO346" s="33">
        <v>61.155186800000003</v>
      </c>
      <c r="AP346" s="33">
        <v>6.8729551000000004</v>
      </c>
      <c r="AQ346" s="33">
        <v>1.5824476999999999</v>
      </c>
      <c r="AR346" s="34"/>
      <c r="AS346" s="34"/>
    </row>
    <row r="347" spans="2:45" ht="15" hidden="1" customHeight="1" x14ac:dyDescent="0.25">
      <c r="B347" s="35">
        <v>341</v>
      </c>
      <c r="C347" s="36" t="s">
        <v>29</v>
      </c>
      <c r="D347" s="36" t="s">
        <v>66</v>
      </c>
      <c r="E347" s="36" t="s">
        <v>137</v>
      </c>
      <c r="F347" s="36"/>
      <c r="G347" s="37" t="s">
        <v>25</v>
      </c>
      <c r="H347" s="38">
        <v>700</v>
      </c>
      <c r="I347" s="38">
        <v>41</v>
      </c>
      <c r="J347" s="38">
        <v>588</v>
      </c>
      <c r="K347" s="38">
        <v>7</v>
      </c>
      <c r="L347" s="38">
        <v>23</v>
      </c>
      <c r="M347" s="38">
        <v>32</v>
      </c>
      <c r="N347" s="38">
        <v>7</v>
      </c>
      <c r="O347" s="38">
        <v>2</v>
      </c>
      <c r="P347" s="38"/>
      <c r="Q347" s="38"/>
      <c r="R347" s="38">
        <v>12755</v>
      </c>
      <c r="S347" s="38">
        <v>3522</v>
      </c>
      <c r="T347" s="38">
        <v>5374</v>
      </c>
      <c r="U347" s="38">
        <v>580</v>
      </c>
      <c r="V347" s="38">
        <v>535</v>
      </c>
      <c r="W347" s="38">
        <v>2180</v>
      </c>
      <c r="X347" s="38">
        <v>275</v>
      </c>
      <c r="Y347" s="38">
        <v>289</v>
      </c>
      <c r="Z347" s="38"/>
      <c r="AA347" s="38"/>
      <c r="AB347" s="39">
        <v>5.8571429000000004</v>
      </c>
      <c r="AC347" s="39">
        <v>84</v>
      </c>
      <c r="AD347" s="39">
        <v>1</v>
      </c>
      <c r="AE347" s="39">
        <v>3.2857143</v>
      </c>
      <c r="AF347" s="39">
        <v>4.5714286</v>
      </c>
      <c r="AG347" s="39">
        <v>1</v>
      </c>
      <c r="AH347" s="39">
        <v>0.28571429999999998</v>
      </c>
      <c r="AI347" s="39"/>
      <c r="AJ347" s="39"/>
      <c r="AK347" s="39">
        <v>27.6127009</v>
      </c>
      <c r="AL347" s="39">
        <v>42.132497100000002</v>
      </c>
      <c r="AM347" s="39">
        <v>4.5472364000000001</v>
      </c>
      <c r="AN347" s="39">
        <v>4.1944336</v>
      </c>
      <c r="AO347" s="39">
        <v>17.091336699999999</v>
      </c>
      <c r="AP347" s="39">
        <v>2.1560172</v>
      </c>
      <c r="AQ347" s="39">
        <v>2.2657780999999999</v>
      </c>
      <c r="AR347" s="40"/>
      <c r="AS347" s="40"/>
    </row>
    <row r="348" spans="2:45" ht="15" hidden="1" customHeight="1" x14ac:dyDescent="0.25">
      <c r="B348" s="35">
        <v>342</v>
      </c>
      <c r="C348" s="36" t="s">
        <v>29</v>
      </c>
      <c r="D348" s="36" t="s">
        <v>66</v>
      </c>
      <c r="E348" s="36" t="s">
        <v>137</v>
      </c>
      <c r="F348" s="36"/>
      <c r="G348" s="37" t="s">
        <v>26</v>
      </c>
      <c r="H348" s="38">
        <v>26592</v>
      </c>
      <c r="I348" s="38">
        <v>364</v>
      </c>
      <c r="J348" s="38">
        <v>301</v>
      </c>
      <c r="K348" s="38">
        <v>1049</v>
      </c>
      <c r="L348" s="38">
        <v>2645</v>
      </c>
      <c r="M348" s="38">
        <v>19106</v>
      </c>
      <c r="N348" s="38">
        <v>2709</v>
      </c>
      <c r="O348" s="38">
        <v>418</v>
      </c>
      <c r="P348" s="38"/>
      <c r="Q348" s="38"/>
      <c r="R348" s="38">
        <v>34008</v>
      </c>
      <c r="S348" s="38">
        <v>1719</v>
      </c>
      <c r="T348" s="38">
        <v>1119</v>
      </c>
      <c r="U348" s="38">
        <v>594</v>
      </c>
      <c r="V348" s="38">
        <v>768</v>
      </c>
      <c r="W348" s="38">
        <v>26418</v>
      </c>
      <c r="X348" s="38">
        <v>2939</v>
      </c>
      <c r="Y348" s="38">
        <v>451</v>
      </c>
      <c r="Z348" s="38"/>
      <c r="AA348" s="38"/>
      <c r="AB348" s="39">
        <v>1.3688327</v>
      </c>
      <c r="AC348" s="39">
        <v>1.1319193999999999</v>
      </c>
      <c r="AD348" s="39">
        <v>3.9447953999999998</v>
      </c>
      <c r="AE348" s="39">
        <v>9.9466005000000006</v>
      </c>
      <c r="AF348" s="39">
        <v>71.848676299999994</v>
      </c>
      <c r="AG348" s="39">
        <v>10.1872744</v>
      </c>
      <c r="AH348" s="39">
        <v>1.5719012999999999</v>
      </c>
      <c r="AI348" s="39"/>
      <c r="AJ348" s="39"/>
      <c r="AK348" s="39">
        <v>5.0546930000000003</v>
      </c>
      <c r="AL348" s="39">
        <v>3.2904022999999998</v>
      </c>
      <c r="AM348" s="39">
        <v>1.7466478000000001</v>
      </c>
      <c r="AN348" s="39">
        <v>2.2582922000000001</v>
      </c>
      <c r="AO348" s="39">
        <v>77.681721899999999</v>
      </c>
      <c r="AP348" s="39">
        <v>8.6420841999999993</v>
      </c>
      <c r="AQ348" s="39">
        <v>1.3261586000000001</v>
      </c>
      <c r="AR348" s="40"/>
      <c r="AS348" s="40"/>
    </row>
    <row r="349" spans="2:45" ht="15" customHeight="1" x14ac:dyDescent="0.25">
      <c r="B349" s="41">
        <v>343</v>
      </c>
      <c r="C349" s="42" t="s">
        <v>31</v>
      </c>
      <c r="D349" s="51" t="s">
        <v>66</v>
      </c>
      <c r="E349" s="51" t="s">
        <v>137</v>
      </c>
      <c r="F349" s="51" t="s">
        <v>138</v>
      </c>
      <c r="G349" s="52" t="s">
        <v>138</v>
      </c>
      <c r="H349" s="43">
        <v>11121</v>
      </c>
      <c r="I349" s="43">
        <v>183</v>
      </c>
      <c r="J349" s="43">
        <v>49</v>
      </c>
      <c r="K349" s="43">
        <v>372</v>
      </c>
      <c r="L349" s="43">
        <v>1194</v>
      </c>
      <c r="M349" s="43">
        <v>8080</v>
      </c>
      <c r="N349" s="43">
        <v>1101</v>
      </c>
      <c r="O349" s="43">
        <v>142</v>
      </c>
      <c r="P349" s="44">
        <f>K349+L349+M349+N349+O349</f>
        <v>10889</v>
      </c>
      <c r="Q349" s="44">
        <f>I349+J349</f>
        <v>232</v>
      </c>
      <c r="R349" s="43">
        <v>21459</v>
      </c>
      <c r="S349" s="43">
        <v>2936</v>
      </c>
      <c r="T349" s="43">
        <v>2648</v>
      </c>
      <c r="U349" s="43">
        <v>384</v>
      </c>
      <c r="V349" s="43">
        <v>768</v>
      </c>
      <c r="W349" s="43">
        <v>13002</v>
      </c>
      <c r="X349" s="43">
        <v>1404</v>
      </c>
      <c r="Y349" s="43">
        <v>317</v>
      </c>
      <c r="Z349" s="45">
        <f>U349+V349+W349+X349+Y349</f>
        <v>15875</v>
      </c>
      <c r="AA349" s="45">
        <f t="shared" ref="AA349:AA350" si="54">S349+T349</f>
        <v>5584</v>
      </c>
      <c r="AB349" s="46">
        <v>1.6455355</v>
      </c>
      <c r="AC349" s="46">
        <v>0.4406079</v>
      </c>
      <c r="AD349" s="46">
        <v>3.3450229</v>
      </c>
      <c r="AE349" s="46">
        <v>10.7364446</v>
      </c>
      <c r="AF349" s="46">
        <v>72.655336800000001</v>
      </c>
      <c r="AG349" s="46">
        <v>9.9001888000000005</v>
      </c>
      <c r="AH349" s="46">
        <v>1.2768636</v>
      </c>
      <c r="AI349" s="47">
        <f>AB349+AC349</f>
        <v>2.0861434000000001</v>
      </c>
      <c r="AJ349" s="47">
        <f>AD349+AE349+AF349+AG349+AH349</f>
        <v>97.913856699999997</v>
      </c>
      <c r="AK349" s="46">
        <v>13.681905</v>
      </c>
      <c r="AL349" s="46">
        <v>12.3398108</v>
      </c>
      <c r="AM349" s="46">
        <v>1.7894589999999999</v>
      </c>
      <c r="AN349" s="46">
        <v>3.5789179</v>
      </c>
      <c r="AO349" s="46">
        <v>60.589962300000003</v>
      </c>
      <c r="AP349" s="46">
        <v>6.5427093999999997</v>
      </c>
      <c r="AQ349" s="46">
        <v>1.4772357</v>
      </c>
      <c r="AR349" s="48">
        <f t="shared" ref="AR349:AR360" si="55">AK349+AL349</f>
        <v>26.021715800000003</v>
      </c>
      <c r="AS349" s="48">
        <f>AM349+AN349+AO349+AP349+AQ349</f>
        <v>73.978284299999984</v>
      </c>
    </row>
    <row r="350" spans="2:45" ht="15" hidden="1" customHeight="1" x14ac:dyDescent="0.25">
      <c r="B350" s="35">
        <v>344</v>
      </c>
      <c r="C350" s="36" t="s">
        <v>31</v>
      </c>
      <c r="D350" s="36" t="s">
        <v>66</v>
      </c>
      <c r="E350" s="36" t="s">
        <v>137</v>
      </c>
      <c r="F350" s="36" t="s">
        <v>138</v>
      </c>
      <c r="G350" s="37" t="s">
        <v>25</v>
      </c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>
        <v>7346</v>
      </c>
      <c r="S350" s="38">
        <v>2280</v>
      </c>
      <c r="T350" s="38">
        <v>2260</v>
      </c>
      <c r="U350" s="38">
        <v>224</v>
      </c>
      <c r="V350" s="38">
        <v>384</v>
      </c>
      <c r="W350" s="38">
        <v>1796</v>
      </c>
      <c r="X350" s="38">
        <v>227</v>
      </c>
      <c r="Y350" s="38">
        <v>175</v>
      </c>
      <c r="Z350" s="38"/>
      <c r="AA350" s="38">
        <f t="shared" si="54"/>
        <v>4540</v>
      </c>
      <c r="AB350" s="39"/>
      <c r="AC350" s="39"/>
      <c r="AD350" s="39"/>
      <c r="AE350" s="39"/>
      <c r="AF350" s="39"/>
      <c r="AG350" s="39"/>
      <c r="AH350" s="39"/>
      <c r="AI350" s="39"/>
      <c r="AJ350" s="39"/>
      <c r="AK350" s="39">
        <v>31.0372992</v>
      </c>
      <c r="AL350" s="39">
        <v>30.7650422</v>
      </c>
      <c r="AM350" s="39">
        <v>3.0492784999999998</v>
      </c>
      <c r="AN350" s="39">
        <v>5.2273345999999998</v>
      </c>
      <c r="AO350" s="39">
        <v>24.448679599999998</v>
      </c>
      <c r="AP350" s="39">
        <v>3.0901171000000001</v>
      </c>
      <c r="AQ350" s="39">
        <v>2.3822488000000002</v>
      </c>
      <c r="AR350" s="40">
        <f t="shared" si="55"/>
        <v>61.802341400000003</v>
      </c>
      <c r="AS350" s="40"/>
    </row>
    <row r="351" spans="2:45" ht="15" hidden="1" customHeight="1" x14ac:dyDescent="0.25">
      <c r="B351" s="35">
        <v>345</v>
      </c>
      <c r="C351" s="36" t="s">
        <v>31</v>
      </c>
      <c r="D351" s="36" t="s">
        <v>66</v>
      </c>
      <c r="E351" s="36" t="s">
        <v>137</v>
      </c>
      <c r="F351" s="36" t="s">
        <v>138</v>
      </c>
      <c r="G351" s="37" t="s">
        <v>26</v>
      </c>
      <c r="H351" s="38">
        <v>11121</v>
      </c>
      <c r="I351" s="38">
        <v>183</v>
      </c>
      <c r="J351" s="38">
        <v>49</v>
      </c>
      <c r="K351" s="38">
        <v>372</v>
      </c>
      <c r="L351" s="38">
        <v>1194</v>
      </c>
      <c r="M351" s="38">
        <v>8080</v>
      </c>
      <c r="N351" s="38">
        <v>1101</v>
      </c>
      <c r="O351" s="38">
        <v>142</v>
      </c>
      <c r="P351" s="38"/>
      <c r="Q351" s="38">
        <f t="shared" ref="Q351:Q352" si="56">I351+J351</f>
        <v>232</v>
      </c>
      <c r="R351" s="38">
        <v>14113</v>
      </c>
      <c r="S351" s="38">
        <v>656</v>
      </c>
      <c r="T351" s="38">
        <v>388</v>
      </c>
      <c r="U351" s="38">
        <v>160</v>
      </c>
      <c r="V351" s="38">
        <v>384</v>
      </c>
      <c r="W351" s="38">
        <v>11206</v>
      </c>
      <c r="X351" s="38">
        <v>1177</v>
      </c>
      <c r="Y351" s="38">
        <v>142</v>
      </c>
      <c r="Z351" s="38"/>
      <c r="AA351" s="38"/>
      <c r="AB351" s="39">
        <v>1.6455355</v>
      </c>
      <c r="AC351" s="39">
        <v>0.4406079</v>
      </c>
      <c r="AD351" s="39">
        <v>3.3450229</v>
      </c>
      <c r="AE351" s="39">
        <v>10.7364446</v>
      </c>
      <c r="AF351" s="39">
        <v>72.655336800000001</v>
      </c>
      <c r="AG351" s="39">
        <v>9.9001888000000005</v>
      </c>
      <c r="AH351" s="39">
        <v>1.2768636</v>
      </c>
      <c r="AI351" s="39"/>
      <c r="AJ351" s="39"/>
      <c r="AK351" s="39">
        <v>4.6481966999999997</v>
      </c>
      <c r="AL351" s="39">
        <v>2.7492383</v>
      </c>
      <c r="AM351" s="39">
        <v>1.1337065</v>
      </c>
      <c r="AN351" s="39">
        <v>2.7208956</v>
      </c>
      <c r="AO351" s="39">
        <v>79.401969800000003</v>
      </c>
      <c r="AP351" s="39">
        <v>8.3398284999999994</v>
      </c>
      <c r="AQ351" s="39">
        <v>1.0061644999999999</v>
      </c>
      <c r="AR351" s="40">
        <f t="shared" si="55"/>
        <v>7.3974349999999998</v>
      </c>
      <c r="AS351" s="40"/>
    </row>
    <row r="352" spans="2:45" ht="15" customHeight="1" x14ac:dyDescent="0.25">
      <c r="B352" s="41">
        <v>346</v>
      </c>
      <c r="C352" s="42" t="s">
        <v>31</v>
      </c>
      <c r="D352" s="51" t="s">
        <v>66</v>
      </c>
      <c r="E352" s="51" t="s">
        <v>137</v>
      </c>
      <c r="F352" s="51" t="s">
        <v>139</v>
      </c>
      <c r="G352" s="52" t="s">
        <v>139</v>
      </c>
      <c r="H352" s="43">
        <v>7761</v>
      </c>
      <c r="I352" s="43">
        <v>149</v>
      </c>
      <c r="J352" s="43">
        <v>240</v>
      </c>
      <c r="K352" s="43">
        <v>455</v>
      </c>
      <c r="L352" s="43">
        <v>815</v>
      </c>
      <c r="M352" s="43">
        <v>4960</v>
      </c>
      <c r="N352" s="43">
        <v>959</v>
      </c>
      <c r="O352" s="43">
        <v>183</v>
      </c>
      <c r="P352" s="44">
        <f>K352+L352+M352+N352+O352</f>
        <v>7372</v>
      </c>
      <c r="Q352" s="44">
        <f t="shared" si="56"/>
        <v>389</v>
      </c>
      <c r="R352" s="43">
        <v>13613</v>
      </c>
      <c r="S352" s="43">
        <v>1458</v>
      </c>
      <c r="T352" s="43">
        <v>3007</v>
      </c>
      <c r="U352" s="43">
        <v>462</v>
      </c>
      <c r="V352" s="43">
        <v>367</v>
      </c>
      <c r="W352" s="43">
        <v>7244</v>
      </c>
      <c r="X352" s="43">
        <v>812</v>
      </c>
      <c r="Y352" s="43">
        <v>263</v>
      </c>
      <c r="Z352" s="45">
        <f>U352+V352+W352+X352+Y352</f>
        <v>9148</v>
      </c>
      <c r="AA352" s="45">
        <f t="shared" ref="AA352:AA353" si="57">S352+T352</f>
        <v>4465</v>
      </c>
      <c r="AB352" s="46">
        <v>1.9198557000000001</v>
      </c>
      <c r="AC352" s="46">
        <v>3.0923850000000002</v>
      </c>
      <c r="AD352" s="46">
        <v>5.8626465999999997</v>
      </c>
      <c r="AE352" s="46">
        <v>10.5012241</v>
      </c>
      <c r="AF352" s="46">
        <v>63.909289999999999</v>
      </c>
      <c r="AG352" s="46">
        <v>12.356655099999999</v>
      </c>
      <c r="AH352" s="46">
        <v>2.3579436</v>
      </c>
      <c r="AI352" s="47">
        <f>AB352+AC352</f>
        <v>5.0122407000000004</v>
      </c>
      <c r="AJ352" s="47">
        <f>AD352+AE352+AF352+AG352+AH352</f>
        <v>94.987759400000002</v>
      </c>
      <c r="AK352" s="46">
        <v>10.710350399999999</v>
      </c>
      <c r="AL352" s="46">
        <v>22.0891795</v>
      </c>
      <c r="AM352" s="46">
        <v>3.3938147000000001</v>
      </c>
      <c r="AN352" s="46">
        <v>2.6959523999999999</v>
      </c>
      <c r="AO352" s="46">
        <v>53.213839700000001</v>
      </c>
      <c r="AP352" s="46">
        <v>5.9648865000000004</v>
      </c>
      <c r="AQ352" s="46">
        <v>1.9319767999999999</v>
      </c>
      <c r="AR352" s="48">
        <f t="shared" si="55"/>
        <v>32.799529899999996</v>
      </c>
      <c r="AS352" s="48">
        <f>AM352+AN352+AO352+AP352+AQ352</f>
        <v>67.200470100000004</v>
      </c>
    </row>
    <row r="353" spans="2:45" ht="15" hidden="1" customHeight="1" x14ac:dyDescent="0.25">
      <c r="B353" s="35">
        <v>347</v>
      </c>
      <c r="C353" s="36" t="s">
        <v>31</v>
      </c>
      <c r="D353" s="36" t="s">
        <v>66</v>
      </c>
      <c r="E353" s="36" t="s">
        <v>137</v>
      </c>
      <c r="F353" s="36" t="s">
        <v>139</v>
      </c>
      <c r="G353" s="37" t="s">
        <v>25</v>
      </c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>
        <v>4394</v>
      </c>
      <c r="S353" s="38">
        <v>995</v>
      </c>
      <c r="T353" s="38">
        <v>2393</v>
      </c>
      <c r="U353" s="38">
        <v>348</v>
      </c>
      <c r="V353" s="38">
        <v>147</v>
      </c>
      <c r="W353" s="38">
        <v>355</v>
      </c>
      <c r="X353" s="38">
        <v>43</v>
      </c>
      <c r="Y353" s="38">
        <v>113</v>
      </c>
      <c r="Z353" s="38"/>
      <c r="AA353" s="38">
        <f t="shared" si="57"/>
        <v>3388</v>
      </c>
      <c r="AB353" s="39"/>
      <c r="AC353" s="39"/>
      <c r="AD353" s="39"/>
      <c r="AE353" s="39"/>
      <c r="AF353" s="39"/>
      <c r="AG353" s="39"/>
      <c r="AH353" s="39"/>
      <c r="AI353" s="39"/>
      <c r="AJ353" s="39"/>
      <c r="AK353" s="39">
        <v>22.644515200000001</v>
      </c>
      <c r="AL353" s="39">
        <v>54.460628100000001</v>
      </c>
      <c r="AM353" s="39">
        <v>7.9198908000000001</v>
      </c>
      <c r="AN353" s="39">
        <v>3.3454711000000001</v>
      </c>
      <c r="AO353" s="39">
        <v>8.0791988999999997</v>
      </c>
      <c r="AP353" s="39">
        <v>0.97860720000000001</v>
      </c>
      <c r="AQ353" s="39">
        <v>2.5716887000000002</v>
      </c>
      <c r="AR353" s="40">
        <f t="shared" si="55"/>
        <v>77.105143300000009</v>
      </c>
      <c r="AS353" s="40"/>
    </row>
    <row r="354" spans="2:45" ht="15" hidden="1" customHeight="1" x14ac:dyDescent="0.25">
      <c r="B354" s="35">
        <v>348</v>
      </c>
      <c r="C354" s="36" t="s">
        <v>31</v>
      </c>
      <c r="D354" s="36" t="s">
        <v>66</v>
      </c>
      <c r="E354" s="36" t="s">
        <v>137</v>
      </c>
      <c r="F354" s="36" t="s">
        <v>139</v>
      </c>
      <c r="G354" s="37" t="s">
        <v>26</v>
      </c>
      <c r="H354" s="38">
        <v>7761</v>
      </c>
      <c r="I354" s="38">
        <v>149</v>
      </c>
      <c r="J354" s="38">
        <v>240</v>
      </c>
      <c r="K354" s="38">
        <v>455</v>
      </c>
      <c r="L354" s="38">
        <v>815</v>
      </c>
      <c r="M354" s="38">
        <v>4960</v>
      </c>
      <c r="N354" s="38">
        <v>959</v>
      </c>
      <c r="O354" s="38">
        <v>183</v>
      </c>
      <c r="P354" s="38"/>
      <c r="Q354" s="38">
        <f t="shared" ref="Q354:Q355" si="58">I354+J354</f>
        <v>389</v>
      </c>
      <c r="R354" s="38">
        <v>9219</v>
      </c>
      <c r="S354" s="38">
        <v>463</v>
      </c>
      <c r="T354" s="38">
        <v>614</v>
      </c>
      <c r="U354" s="38">
        <v>114</v>
      </c>
      <c r="V354" s="38">
        <v>220</v>
      </c>
      <c r="W354" s="38">
        <v>6889</v>
      </c>
      <c r="X354" s="38">
        <v>769</v>
      </c>
      <c r="Y354" s="38">
        <v>150</v>
      </c>
      <c r="Z354" s="38"/>
      <c r="AA354" s="38"/>
      <c r="AB354" s="39">
        <v>1.9198557000000001</v>
      </c>
      <c r="AC354" s="39">
        <v>3.0923850000000002</v>
      </c>
      <c r="AD354" s="39">
        <v>5.8626465999999997</v>
      </c>
      <c r="AE354" s="39">
        <v>10.5012241</v>
      </c>
      <c r="AF354" s="39">
        <v>63.909289999999999</v>
      </c>
      <c r="AG354" s="39">
        <v>12.356655099999999</v>
      </c>
      <c r="AH354" s="39">
        <v>2.3579436</v>
      </c>
      <c r="AI354" s="39"/>
      <c r="AJ354" s="39"/>
      <c r="AK354" s="39">
        <v>5.0222366999999997</v>
      </c>
      <c r="AL354" s="39">
        <v>6.6601584000000003</v>
      </c>
      <c r="AM354" s="39">
        <v>1.2365766</v>
      </c>
      <c r="AN354" s="39">
        <v>2.3863759999999998</v>
      </c>
      <c r="AO354" s="39">
        <v>74.726109100000002</v>
      </c>
      <c r="AP354" s="39">
        <v>8.3414687000000001</v>
      </c>
      <c r="AQ354" s="39">
        <v>1.6270745</v>
      </c>
      <c r="AR354" s="40">
        <f t="shared" si="55"/>
        <v>11.682395100000001</v>
      </c>
      <c r="AS354" s="40"/>
    </row>
    <row r="355" spans="2:45" ht="15" customHeight="1" x14ac:dyDescent="0.25">
      <c r="B355" s="41">
        <v>349</v>
      </c>
      <c r="C355" s="42" t="s">
        <v>31</v>
      </c>
      <c r="D355" s="51" t="s">
        <v>66</v>
      </c>
      <c r="E355" s="51" t="s">
        <v>137</v>
      </c>
      <c r="F355" s="51" t="s">
        <v>140</v>
      </c>
      <c r="G355" s="52" t="s">
        <v>140</v>
      </c>
      <c r="H355" s="43">
        <v>6062</v>
      </c>
      <c r="I355" s="43">
        <v>59</v>
      </c>
      <c r="J355" s="43">
        <v>598</v>
      </c>
      <c r="K355" s="43">
        <v>110</v>
      </c>
      <c r="L355" s="43">
        <v>538</v>
      </c>
      <c r="M355" s="43">
        <v>4185</v>
      </c>
      <c r="N355" s="43">
        <v>517</v>
      </c>
      <c r="O355" s="43">
        <v>55</v>
      </c>
      <c r="P355" s="44">
        <f>K355+L355+M355+N355+O355</f>
        <v>5405</v>
      </c>
      <c r="Q355" s="44">
        <f t="shared" si="58"/>
        <v>657</v>
      </c>
      <c r="R355" s="43">
        <v>8503</v>
      </c>
      <c r="S355" s="43">
        <v>656</v>
      </c>
      <c r="T355" s="43">
        <v>827</v>
      </c>
      <c r="U355" s="43">
        <v>181</v>
      </c>
      <c r="V355" s="43">
        <v>156</v>
      </c>
      <c r="W355" s="43">
        <v>5780</v>
      </c>
      <c r="X355" s="43">
        <v>806</v>
      </c>
      <c r="Y355" s="43">
        <v>97</v>
      </c>
      <c r="Z355" s="45">
        <f>U355+V355+W355+X355+Y355</f>
        <v>7020</v>
      </c>
      <c r="AA355" s="45">
        <f t="shared" ref="AA355:AA356" si="59">S355+T355</f>
        <v>1483</v>
      </c>
      <c r="AB355" s="46">
        <v>0.97327609999999998</v>
      </c>
      <c r="AC355" s="46">
        <v>9.8647311000000002</v>
      </c>
      <c r="AD355" s="46">
        <v>1.8145826</v>
      </c>
      <c r="AE355" s="46">
        <v>8.8749587999999999</v>
      </c>
      <c r="AF355" s="46">
        <v>69.036621600000004</v>
      </c>
      <c r="AG355" s="46">
        <v>8.5285384000000004</v>
      </c>
      <c r="AH355" s="46">
        <v>0.90729130000000002</v>
      </c>
      <c r="AI355" s="47">
        <f>AB355+AC355</f>
        <v>10.8380072</v>
      </c>
      <c r="AJ355" s="47">
        <f>AD355+AE355+AF355+AG355+AH355</f>
        <v>89.161992699999999</v>
      </c>
      <c r="AK355" s="46">
        <v>7.7149241000000002</v>
      </c>
      <c r="AL355" s="46">
        <v>9.7259791</v>
      </c>
      <c r="AM355" s="46">
        <v>2.1286605000000001</v>
      </c>
      <c r="AN355" s="46">
        <v>1.8346465999999999</v>
      </c>
      <c r="AO355" s="46">
        <v>67.976008500000006</v>
      </c>
      <c r="AP355" s="46">
        <v>9.4790074000000004</v>
      </c>
      <c r="AQ355" s="46">
        <v>1.1407738000000001</v>
      </c>
      <c r="AR355" s="48">
        <f t="shared" si="55"/>
        <v>17.440903200000001</v>
      </c>
      <c r="AS355" s="48">
        <f>AM355+AN355+AO355+AP355+AQ355</f>
        <v>82.559096800000006</v>
      </c>
    </row>
    <row r="356" spans="2:45" ht="15" hidden="1" customHeight="1" x14ac:dyDescent="0.25">
      <c r="B356" s="35">
        <v>350</v>
      </c>
      <c r="C356" s="36" t="s">
        <v>31</v>
      </c>
      <c r="D356" s="36" t="s">
        <v>66</v>
      </c>
      <c r="E356" s="36" t="s">
        <v>137</v>
      </c>
      <c r="F356" s="36" t="s">
        <v>140</v>
      </c>
      <c r="G356" s="37" t="s">
        <v>25</v>
      </c>
      <c r="H356" s="38">
        <v>700</v>
      </c>
      <c r="I356" s="38">
        <v>41</v>
      </c>
      <c r="J356" s="38">
        <v>588</v>
      </c>
      <c r="K356" s="38">
        <v>7</v>
      </c>
      <c r="L356" s="38">
        <v>23</v>
      </c>
      <c r="M356" s="38">
        <v>32</v>
      </c>
      <c r="N356" s="38">
        <v>7</v>
      </c>
      <c r="O356" s="38">
        <v>2</v>
      </c>
      <c r="P356" s="38"/>
      <c r="Q356" s="38"/>
      <c r="R356" s="38">
        <v>1015</v>
      </c>
      <c r="S356" s="38">
        <v>247</v>
      </c>
      <c r="T356" s="38">
        <v>721</v>
      </c>
      <c r="U356" s="38">
        <v>8</v>
      </c>
      <c r="V356" s="38">
        <v>4</v>
      </c>
      <c r="W356" s="38">
        <v>29</v>
      </c>
      <c r="X356" s="38">
        <v>5</v>
      </c>
      <c r="Y356" s="38">
        <v>1</v>
      </c>
      <c r="Z356" s="38"/>
      <c r="AA356" s="38">
        <f t="shared" si="59"/>
        <v>968</v>
      </c>
      <c r="AB356" s="39">
        <v>5.8571429000000004</v>
      </c>
      <c r="AC356" s="39">
        <v>84</v>
      </c>
      <c r="AD356" s="39">
        <v>1</v>
      </c>
      <c r="AE356" s="39">
        <v>3.2857143</v>
      </c>
      <c r="AF356" s="39">
        <v>4.5714286</v>
      </c>
      <c r="AG356" s="39">
        <v>1</v>
      </c>
      <c r="AH356" s="39">
        <v>0.28571429999999998</v>
      </c>
      <c r="AI356" s="39"/>
      <c r="AJ356" s="39"/>
      <c r="AK356" s="39">
        <v>24.334975400000001</v>
      </c>
      <c r="AL356" s="39">
        <v>71.034482800000006</v>
      </c>
      <c r="AM356" s="39">
        <v>0.78817729999999997</v>
      </c>
      <c r="AN356" s="39">
        <v>0.39408870000000001</v>
      </c>
      <c r="AO356" s="39">
        <v>2.8571428999999999</v>
      </c>
      <c r="AP356" s="39">
        <v>0.49261080000000002</v>
      </c>
      <c r="AQ356" s="39">
        <v>9.8522200000000004E-2</v>
      </c>
      <c r="AR356" s="40">
        <f t="shared" si="55"/>
        <v>95.369458200000011</v>
      </c>
      <c r="AS356" s="40"/>
    </row>
    <row r="357" spans="2:45" ht="15" hidden="1" customHeight="1" x14ac:dyDescent="0.25">
      <c r="B357" s="35">
        <v>351</v>
      </c>
      <c r="C357" s="36" t="s">
        <v>31</v>
      </c>
      <c r="D357" s="36" t="s">
        <v>66</v>
      </c>
      <c r="E357" s="36" t="s">
        <v>137</v>
      </c>
      <c r="F357" s="36" t="s">
        <v>140</v>
      </c>
      <c r="G357" s="37" t="s">
        <v>26</v>
      </c>
      <c r="H357" s="38">
        <v>5362</v>
      </c>
      <c r="I357" s="38">
        <v>18</v>
      </c>
      <c r="J357" s="38">
        <v>10</v>
      </c>
      <c r="K357" s="38">
        <v>103</v>
      </c>
      <c r="L357" s="38">
        <v>515</v>
      </c>
      <c r="M357" s="38">
        <v>4153</v>
      </c>
      <c r="N357" s="38">
        <v>510</v>
      </c>
      <c r="O357" s="38">
        <v>53</v>
      </c>
      <c r="P357" s="38"/>
      <c r="Q357" s="38">
        <f t="shared" ref="Q357:Q358" si="60">I357+J357</f>
        <v>28</v>
      </c>
      <c r="R357" s="38">
        <v>7488</v>
      </c>
      <c r="S357" s="38">
        <v>409</v>
      </c>
      <c r="T357" s="38">
        <v>106</v>
      </c>
      <c r="U357" s="38">
        <v>173</v>
      </c>
      <c r="V357" s="38">
        <v>152</v>
      </c>
      <c r="W357" s="38">
        <v>5751</v>
      </c>
      <c r="X357" s="38">
        <v>801</v>
      </c>
      <c r="Y357" s="38">
        <v>96</v>
      </c>
      <c r="Z357" s="38"/>
      <c r="AA357" s="38"/>
      <c r="AB357" s="39">
        <v>0.33569559999999998</v>
      </c>
      <c r="AC357" s="39">
        <v>0.18649760000000001</v>
      </c>
      <c r="AD357" s="39">
        <v>1.920925</v>
      </c>
      <c r="AE357" s="39">
        <v>9.6046250999999998</v>
      </c>
      <c r="AF357" s="39">
        <v>77.452443099999996</v>
      </c>
      <c r="AG357" s="39">
        <v>9.5113763999999996</v>
      </c>
      <c r="AH357" s="39">
        <v>0.98843720000000002</v>
      </c>
      <c r="AI357" s="39"/>
      <c r="AJ357" s="39"/>
      <c r="AK357" s="39">
        <v>5.4620725999999999</v>
      </c>
      <c r="AL357" s="39">
        <v>1.4155983000000001</v>
      </c>
      <c r="AM357" s="39">
        <v>2.3103631999999998</v>
      </c>
      <c r="AN357" s="39">
        <v>2.0299144999999998</v>
      </c>
      <c r="AO357" s="39">
        <v>76.802884599999999</v>
      </c>
      <c r="AP357" s="39">
        <v>10.697115399999999</v>
      </c>
      <c r="AQ357" s="39">
        <v>1.2820513</v>
      </c>
      <c r="AR357" s="40">
        <f t="shared" si="55"/>
        <v>6.8776709</v>
      </c>
      <c r="AS357" s="40"/>
    </row>
    <row r="358" spans="2:45" ht="15" customHeight="1" x14ac:dyDescent="0.25">
      <c r="B358" s="41">
        <v>352</v>
      </c>
      <c r="C358" s="42" t="s">
        <v>31</v>
      </c>
      <c r="D358" s="51" t="s">
        <v>66</v>
      </c>
      <c r="E358" s="51" t="s">
        <v>137</v>
      </c>
      <c r="F358" s="51" t="s">
        <v>141</v>
      </c>
      <c r="G358" s="52" t="s">
        <v>141</v>
      </c>
      <c r="H358" s="43">
        <v>2348</v>
      </c>
      <c r="I358" s="43">
        <v>14</v>
      </c>
      <c r="J358" s="43">
        <v>2</v>
      </c>
      <c r="K358" s="43">
        <v>119</v>
      </c>
      <c r="L358" s="43">
        <v>121</v>
      </c>
      <c r="M358" s="43">
        <v>1913</v>
      </c>
      <c r="N358" s="43">
        <v>139</v>
      </c>
      <c r="O358" s="43">
        <v>40</v>
      </c>
      <c r="P358" s="44">
        <f>K358+L358+M358+N358+O358</f>
        <v>2332</v>
      </c>
      <c r="Q358" s="44">
        <f t="shared" si="60"/>
        <v>16</v>
      </c>
      <c r="R358" s="43">
        <v>3188</v>
      </c>
      <c r="S358" s="43">
        <v>191</v>
      </c>
      <c r="T358" s="43">
        <v>11</v>
      </c>
      <c r="U358" s="43">
        <v>147</v>
      </c>
      <c r="V358" s="43">
        <v>12</v>
      </c>
      <c r="W358" s="43">
        <v>2572</v>
      </c>
      <c r="X358" s="43">
        <v>192</v>
      </c>
      <c r="Y358" s="43">
        <v>63</v>
      </c>
      <c r="Z358" s="45">
        <f>U358+V358+W358+X358+Y358</f>
        <v>2986</v>
      </c>
      <c r="AA358" s="45">
        <f t="shared" ref="AA358:AA359" si="61">S358+T358</f>
        <v>202</v>
      </c>
      <c r="AB358" s="46">
        <v>0.59625209999999995</v>
      </c>
      <c r="AC358" s="46">
        <v>8.5178900000000002E-2</v>
      </c>
      <c r="AD358" s="46">
        <v>5.0681431000000003</v>
      </c>
      <c r="AE358" s="46">
        <v>5.1533220000000002</v>
      </c>
      <c r="AF358" s="46">
        <v>81.473594500000004</v>
      </c>
      <c r="AG358" s="46">
        <v>5.9199318999999999</v>
      </c>
      <c r="AH358" s="46">
        <v>1.7035775</v>
      </c>
      <c r="AI358" s="47">
        <f>AB358+AC358</f>
        <v>0.6814309999999999</v>
      </c>
      <c r="AJ358" s="47">
        <f>AD358+AE358+AF358+AG358+AH358</f>
        <v>99.318568999999997</v>
      </c>
      <c r="AK358" s="46">
        <v>5.9912171000000001</v>
      </c>
      <c r="AL358" s="46">
        <v>0.34504390000000001</v>
      </c>
      <c r="AM358" s="46">
        <v>4.6110414000000004</v>
      </c>
      <c r="AN358" s="46">
        <v>0.37641150000000001</v>
      </c>
      <c r="AO358" s="46">
        <v>80.677540800000003</v>
      </c>
      <c r="AP358" s="46">
        <v>6.0225847000000003</v>
      </c>
      <c r="AQ358" s="46">
        <v>1.9761606</v>
      </c>
      <c r="AR358" s="48">
        <f t="shared" si="55"/>
        <v>6.3362610000000004</v>
      </c>
      <c r="AS358" s="48">
        <f>AM358+AN358+AO358+AP358+AQ358</f>
        <v>93.663738999999993</v>
      </c>
    </row>
    <row r="359" spans="2:45" ht="15" hidden="1" customHeight="1" x14ac:dyDescent="0.25">
      <c r="B359" s="35">
        <v>353</v>
      </c>
      <c r="C359" s="36" t="s">
        <v>31</v>
      </c>
      <c r="D359" s="36" t="s">
        <v>66</v>
      </c>
      <c r="E359" s="36" t="s">
        <v>137</v>
      </c>
      <c r="F359" s="36" t="s">
        <v>141</v>
      </c>
      <c r="G359" s="37" t="s">
        <v>25</v>
      </c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>
        <f t="shared" si="61"/>
        <v>0</v>
      </c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40">
        <f t="shared" si="55"/>
        <v>0</v>
      </c>
      <c r="AS359" s="40"/>
    </row>
    <row r="360" spans="2:45" ht="15" hidden="1" customHeight="1" x14ac:dyDescent="0.25">
      <c r="B360" s="35">
        <v>354</v>
      </c>
      <c r="C360" s="36" t="s">
        <v>31</v>
      </c>
      <c r="D360" s="36" t="s">
        <v>66</v>
      </c>
      <c r="E360" s="36" t="s">
        <v>137</v>
      </c>
      <c r="F360" s="36" t="s">
        <v>141</v>
      </c>
      <c r="G360" s="37" t="s">
        <v>26</v>
      </c>
      <c r="H360" s="38">
        <v>2348</v>
      </c>
      <c r="I360" s="38">
        <v>14</v>
      </c>
      <c r="J360" s="38">
        <v>2</v>
      </c>
      <c r="K360" s="38">
        <v>119</v>
      </c>
      <c r="L360" s="38">
        <v>121</v>
      </c>
      <c r="M360" s="38">
        <v>1913</v>
      </c>
      <c r="N360" s="38">
        <v>139</v>
      </c>
      <c r="O360" s="38">
        <v>40</v>
      </c>
      <c r="P360" s="38"/>
      <c r="Q360" s="38">
        <f>I360+J360</f>
        <v>16</v>
      </c>
      <c r="R360" s="38">
        <v>3188</v>
      </c>
      <c r="S360" s="38">
        <v>191</v>
      </c>
      <c r="T360" s="38">
        <v>11</v>
      </c>
      <c r="U360" s="38">
        <v>147</v>
      </c>
      <c r="V360" s="38">
        <v>12</v>
      </c>
      <c r="W360" s="38">
        <v>2572</v>
      </c>
      <c r="X360" s="38">
        <v>192</v>
      </c>
      <c r="Y360" s="38">
        <v>63</v>
      </c>
      <c r="Z360" s="38"/>
      <c r="AA360" s="38"/>
      <c r="AB360" s="39">
        <v>0.59625209999999995</v>
      </c>
      <c r="AC360" s="39">
        <v>8.5178900000000002E-2</v>
      </c>
      <c r="AD360" s="39">
        <v>5.0681431000000003</v>
      </c>
      <c r="AE360" s="39">
        <v>5.1533220000000002</v>
      </c>
      <c r="AF360" s="39">
        <v>81.473594500000004</v>
      </c>
      <c r="AG360" s="39">
        <v>5.9199318999999999</v>
      </c>
      <c r="AH360" s="39">
        <v>1.7035775</v>
      </c>
      <c r="AI360" s="39"/>
      <c r="AJ360" s="39"/>
      <c r="AK360" s="39">
        <v>5.9912171000000001</v>
      </c>
      <c r="AL360" s="39">
        <v>0.34504390000000001</v>
      </c>
      <c r="AM360" s="39">
        <v>4.6110414000000004</v>
      </c>
      <c r="AN360" s="39">
        <v>0.37641150000000001</v>
      </c>
      <c r="AO360" s="39">
        <v>80.677540800000003</v>
      </c>
      <c r="AP360" s="39">
        <v>6.0225847000000003</v>
      </c>
      <c r="AQ360" s="39">
        <v>1.9761606</v>
      </c>
      <c r="AR360" s="40">
        <f t="shared" si="55"/>
        <v>6.3362610000000004</v>
      </c>
      <c r="AS360" s="40"/>
    </row>
    <row r="361" spans="2:45" ht="15" hidden="1" customHeight="1" x14ac:dyDescent="0.25">
      <c r="B361" s="30">
        <v>355</v>
      </c>
      <c r="C361" s="31" t="s">
        <v>29</v>
      </c>
      <c r="D361" s="50" t="s">
        <v>66</v>
      </c>
      <c r="E361" s="50" t="s">
        <v>142</v>
      </c>
      <c r="F361" s="50"/>
      <c r="G361" s="31" t="s">
        <v>142</v>
      </c>
      <c r="H361" s="32">
        <v>31288</v>
      </c>
      <c r="I361" s="32">
        <v>778</v>
      </c>
      <c r="J361" s="32">
        <v>3345</v>
      </c>
      <c r="K361" s="32">
        <v>1426</v>
      </c>
      <c r="L361" s="32">
        <v>8051</v>
      </c>
      <c r="M361" s="32">
        <v>14732</v>
      </c>
      <c r="N361" s="32">
        <v>2590</v>
      </c>
      <c r="O361" s="32">
        <v>366</v>
      </c>
      <c r="P361" s="32"/>
      <c r="Q361" s="32"/>
      <c r="R361" s="32">
        <v>42289</v>
      </c>
      <c r="S361" s="32">
        <v>2386</v>
      </c>
      <c r="T361" s="32">
        <v>6632</v>
      </c>
      <c r="U361" s="32">
        <v>828</v>
      </c>
      <c r="V361" s="32">
        <v>2538</v>
      </c>
      <c r="W361" s="32">
        <v>26547</v>
      </c>
      <c r="X361" s="32">
        <v>2783</v>
      </c>
      <c r="Y361" s="32">
        <v>575</v>
      </c>
      <c r="Z361" s="32"/>
      <c r="AA361" s="32"/>
      <c r="AB361" s="33">
        <v>2.4865762999999999</v>
      </c>
      <c r="AC361" s="33">
        <v>10.690999700000001</v>
      </c>
      <c r="AD361" s="33">
        <v>4.5576578999999997</v>
      </c>
      <c r="AE361" s="33">
        <v>25.731909999999999</v>
      </c>
      <c r="AF361" s="33">
        <v>47.085144499999998</v>
      </c>
      <c r="AG361" s="33">
        <v>8.2779340000000001</v>
      </c>
      <c r="AH361" s="33">
        <v>1.1697776</v>
      </c>
      <c r="AI361" s="33"/>
      <c r="AJ361" s="33"/>
      <c r="AK361" s="33">
        <v>5.6421292000000003</v>
      </c>
      <c r="AL361" s="33">
        <v>15.682565200000001</v>
      </c>
      <c r="AM361" s="33">
        <v>1.957956</v>
      </c>
      <c r="AN361" s="33">
        <v>6.0015606999999997</v>
      </c>
      <c r="AO361" s="33">
        <v>62.7751898</v>
      </c>
      <c r="AP361" s="33">
        <v>6.5809075999999997</v>
      </c>
      <c r="AQ361" s="33">
        <v>1.3596915999999999</v>
      </c>
      <c r="AR361" s="34"/>
      <c r="AS361" s="34"/>
    </row>
    <row r="362" spans="2:45" ht="15" hidden="1" customHeight="1" x14ac:dyDescent="0.25">
      <c r="B362" s="35">
        <v>356</v>
      </c>
      <c r="C362" s="36" t="s">
        <v>29</v>
      </c>
      <c r="D362" s="36" t="s">
        <v>66</v>
      </c>
      <c r="E362" s="36" t="s">
        <v>142</v>
      </c>
      <c r="F362" s="36"/>
      <c r="G362" s="37" t="s">
        <v>25</v>
      </c>
      <c r="H362" s="38">
        <v>8433</v>
      </c>
      <c r="I362" s="38">
        <v>673</v>
      </c>
      <c r="J362" s="38">
        <v>3248</v>
      </c>
      <c r="K362" s="38">
        <v>492</v>
      </c>
      <c r="L362" s="38">
        <v>2255</v>
      </c>
      <c r="M362" s="38">
        <v>1554</v>
      </c>
      <c r="N362" s="38">
        <v>166</v>
      </c>
      <c r="O362" s="38">
        <v>45</v>
      </c>
      <c r="P362" s="38"/>
      <c r="Q362" s="38"/>
      <c r="R362" s="38">
        <v>12480</v>
      </c>
      <c r="S362" s="38">
        <v>1430</v>
      </c>
      <c r="T362" s="38">
        <v>6321</v>
      </c>
      <c r="U362" s="38">
        <v>197</v>
      </c>
      <c r="V362" s="38">
        <v>677</v>
      </c>
      <c r="W362" s="38">
        <v>3520</v>
      </c>
      <c r="X362" s="38">
        <v>173</v>
      </c>
      <c r="Y362" s="38">
        <v>162</v>
      </c>
      <c r="Z362" s="38"/>
      <c r="AA362" s="38"/>
      <c r="AB362" s="39">
        <v>7.9805526000000002</v>
      </c>
      <c r="AC362" s="39">
        <v>38.515356300000001</v>
      </c>
      <c r="AD362" s="39">
        <v>5.8342226999999998</v>
      </c>
      <c r="AE362" s="39">
        <v>26.7401874</v>
      </c>
      <c r="AF362" s="39">
        <v>18.427605799999998</v>
      </c>
      <c r="AG362" s="39">
        <v>1.9684573000000001</v>
      </c>
      <c r="AH362" s="39">
        <v>0.53361789999999998</v>
      </c>
      <c r="AI362" s="39"/>
      <c r="AJ362" s="39"/>
      <c r="AK362" s="39">
        <v>11.4583333</v>
      </c>
      <c r="AL362" s="39">
        <v>50.649038500000003</v>
      </c>
      <c r="AM362" s="39">
        <v>1.5785256000000001</v>
      </c>
      <c r="AN362" s="39">
        <v>5.4246794999999999</v>
      </c>
      <c r="AO362" s="39">
        <v>28.205128200000001</v>
      </c>
      <c r="AP362" s="39">
        <v>1.3862178999999999</v>
      </c>
      <c r="AQ362" s="39">
        <v>1.2980769000000001</v>
      </c>
      <c r="AR362" s="40"/>
      <c r="AS362" s="40"/>
    </row>
    <row r="363" spans="2:45" ht="15" hidden="1" customHeight="1" x14ac:dyDescent="0.25">
      <c r="B363" s="35">
        <v>357</v>
      </c>
      <c r="C363" s="36" t="s">
        <v>29</v>
      </c>
      <c r="D363" s="36" t="s">
        <v>66</v>
      </c>
      <c r="E363" s="36" t="s">
        <v>142</v>
      </c>
      <c r="F363" s="36"/>
      <c r="G363" s="37" t="s">
        <v>26</v>
      </c>
      <c r="H363" s="38">
        <v>22855</v>
      </c>
      <c r="I363" s="38">
        <v>105</v>
      </c>
      <c r="J363" s="38">
        <v>97</v>
      </c>
      <c r="K363" s="38">
        <v>934</v>
      </c>
      <c r="L363" s="38">
        <v>5796</v>
      </c>
      <c r="M363" s="38">
        <v>13178</v>
      </c>
      <c r="N363" s="38">
        <v>2424</v>
      </c>
      <c r="O363" s="38">
        <v>321</v>
      </c>
      <c r="P363" s="38"/>
      <c r="Q363" s="38"/>
      <c r="R363" s="38">
        <v>29809</v>
      </c>
      <c r="S363" s="38">
        <v>956</v>
      </c>
      <c r="T363" s="38">
        <v>311</v>
      </c>
      <c r="U363" s="38">
        <v>631</v>
      </c>
      <c r="V363" s="38">
        <v>1861</v>
      </c>
      <c r="W363" s="38">
        <v>23027</v>
      </c>
      <c r="X363" s="38">
        <v>2610</v>
      </c>
      <c r="Y363" s="38">
        <v>413</v>
      </c>
      <c r="Z363" s="38"/>
      <c r="AA363" s="38"/>
      <c r="AB363" s="39">
        <v>0.4594181</v>
      </c>
      <c r="AC363" s="39">
        <v>0.42441479999999998</v>
      </c>
      <c r="AD363" s="39">
        <v>4.0866331000000002</v>
      </c>
      <c r="AE363" s="39">
        <v>25.3598775</v>
      </c>
      <c r="AF363" s="39">
        <v>57.659155499999997</v>
      </c>
      <c r="AG363" s="39">
        <v>10.605994300000001</v>
      </c>
      <c r="AH363" s="39">
        <v>1.4045067</v>
      </c>
      <c r="AI363" s="39"/>
      <c r="AJ363" s="39"/>
      <c r="AK363" s="39">
        <v>3.2070851</v>
      </c>
      <c r="AL363" s="39">
        <v>1.0433091000000001</v>
      </c>
      <c r="AM363" s="39">
        <v>2.1168103999999999</v>
      </c>
      <c r="AN363" s="39">
        <v>6.2430808999999998</v>
      </c>
      <c r="AO363" s="39">
        <v>77.248481999999996</v>
      </c>
      <c r="AP363" s="39">
        <v>8.7557448999999998</v>
      </c>
      <c r="AQ363" s="39">
        <v>1.3854876</v>
      </c>
      <c r="AR363" s="40"/>
      <c r="AS363" s="40"/>
    </row>
    <row r="364" spans="2:45" ht="15" customHeight="1" x14ac:dyDescent="0.25">
      <c r="B364" s="41">
        <v>358</v>
      </c>
      <c r="C364" s="42" t="s">
        <v>31</v>
      </c>
      <c r="D364" s="51" t="s">
        <v>66</v>
      </c>
      <c r="E364" s="51" t="s">
        <v>142</v>
      </c>
      <c r="F364" s="51" t="s">
        <v>143</v>
      </c>
      <c r="G364" s="52" t="s">
        <v>143</v>
      </c>
      <c r="H364" s="43">
        <v>9420</v>
      </c>
      <c r="I364" s="43">
        <v>218</v>
      </c>
      <c r="J364" s="43">
        <v>736</v>
      </c>
      <c r="K364" s="43">
        <v>740</v>
      </c>
      <c r="L364" s="43">
        <v>3256</v>
      </c>
      <c r="M364" s="43">
        <v>3797</v>
      </c>
      <c r="N364" s="43">
        <v>574</v>
      </c>
      <c r="O364" s="43">
        <v>99</v>
      </c>
      <c r="P364" s="44">
        <f>K364+L364+M364+N364+O364</f>
        <v>8466</v>
      </c>
      <c r="Q364" s="44">
        <f>I364+J364</f>
        <v>954</v>
      </c>
      <c r="R364" s="43">
        <v>12627</v>
      </c>
      <c r="S364" s="43">
        <v>655</v>
      </c>
      <c r="T364" s="43">
        <v>2212</v>
      </c>
      <c r="U364" s="43">
        <v>307</v>
      </c>
      <c r="V364" s="43">
        <v>1279</v>
      </c>
      <c r="W364" s="43">
        <v>7199</v>
      </c>
      <c r="X364" s="43">
        <v>826</v>
      </c>
      <c r="Y364" s="43">
        <v>149</v>
      </c>
      <c r="Z364" s="45">
        <f>U364+V364+W364+X364+Y364</f>
        <v>9760</v>
      </c>
      <c r="AA364" s="45">
        <f>S364+T364</f>
        <v>2867</v>
      </c>
      <c r="AB364" s="46">
        <v>2.3142250999999998</v>
      </c>
      <c r="AC364" s="46">
        <v>7.8131634999999999</v>
      </c>
      <c r="AD364" s="46">
        <v>7.8556263</v>
      </c>
      <c r="AE364" s="46">
        <v>34.5647558</v>
      </c>
      <c r="AF364" s="46">
        <v>40.307855600000003</v>
      </c>
      <c r="AG364" s="46">
        <v>6.0934182999999997</v>
      </c>
      <c r="AH364" s="46">
        <v>1.0509554000000001</v>
      </c>
      <c r="AI364" s="47">
        <f>AB364+AC364</f>
        <v>10.1273886</v>
      </c>
      <c r="AJ364" s="47">
        <f>AD364+AE364+AF364+AG364+AH364</f>
        <v>89.872611399999997</v>
      </c>
      <c r="AK364" s="46">
        <v>5.1872971000000003</v>
      </c>
      <c r="AL364" s="46">
        <v>17.518016899999999</v>
      </c>
      <c r="AM364" s="46">
        <v>2.431298</v>
      </c>
      <c r="AN364" s="46">
        <v>10.1290885</v>
      </c>
      <c r="AO364" s="46">
        <v>57.012750500000003</v>
      </c>
      <c r="AP364" s="46">
        <v>6.5415380000000001</v>
      </c>
      <c r="AQ364" s="46">
        <v>1.1800111</v>
      </c>
      <c r="AR364" s="48">
        <f>AK364+AL364</f>
        <v>22.705314000000001</v>
      </c>
      <c r="AS364" s="48">
        <f>AM364+AN364+AO364+AP364+AQ364</f>
        <v>77.294686100000007</v>
      </c>
    </row>
    <row r="365" spans="2:45" ht="15" hidden="1" customHeight="1" x14ac:dyDescent="0.25">
      <c r="B365" s="35">
        <v>359</v>
      </c>
      <c r="C365" s="36" t="s">
        <v>31</v>
      </c>
      <c r="D365" s="36" t="s">
        <v>66</v>
      </c>
      <c r="E365" s="36" t="s">
        <v>142</v>
      </c>
      <c r="F365" s="36" t="s">
        <v>143</v>
      </c>
      <c r="G365" s="37" t="s">
        <v>25</v>
      </c>
      <c r="H365" s="38">
        <v>3024</v>
      </c>
      <c r="I365" s="38">
        <v>173</v>
      </c>
      <c r="J365" s="38">
        <v>724</v>
      </c>
      <c r="K365" s="38">
        <v>340</v>
      </c>
      <c r="L365" s="38">
        <v>1313</v>
      </c>
      <c r="M365" s="38">
        <v>401</v>
      </c>
      <c r="N365" s="38">
        <v>60</v>
      </c>
      <c r="O365" s="38">
        <v>13</v>
      </c>
      <c r="P365" s="38"/>
      <c r="Q365" s="38"/>
      <c r="R365" s="38">
        <v>3749</v>
      </c>
      <c r="S365" s="38">
        <v>534</v>
      </c>
      <c r="T365" s="38">
        <v>2164</v>
      </c>
      <c r="U365" s="38">
        <v>71</v>
      </c>
      <c r="V365" s="38">
        <v>363</v>
      </c>
      <c r="W365" s="38">
        <v>512</v>
      </c>
      <c r="X365" s="38">
        <v>47</v>
      </c>
      <c r="Y365" s="38">
        <v>58</v>
      </c>
      <c r="Z365" s="38"/>
      <c r="AA365" s="38"/>
      <c r="AB365" s="39">
        <v>5.7208994999999998</v>
      </c>
      <c r="AC365" s="39">
        <v>23.941798899999998</v>
      </c>
      <c r="AD365" s="39">
        <v>11.2433862</v>
      </c>
      <c r="AE365" s="39">
        <v>43.4193122</v>
      </c>
      <c r="AF365" s="39">
        <v>13.260581999999999</v>
      </c>
      <c r="AG365" s="39">
        <v>1.984127</v>
      </c>
      <c r="AH365" s="39">
        <v>0.4298942</v>
      </c>
      <c r="AI365" s="39"/>
      <c r="AJ365" s="39"/>
      <c r="AK365" s="39">
        <v>14.2437983</v>
      </c>
      <c r="AL365" s="39">
        <v>57.722059199999997</v>
      </c>
      <c r="AM365" s="39">
        <v>1.8938383999999999</v>
      </c>
      <c r="AN365" s="39">
        <v>9.682582</v>
      </c>
      <c r="AO365" s="39">
        <v>13.6569752</v>
      </c>
      <c r="AP365" s="39">
        <v>1.2536676</v>
      </c>
      <c r="AQ365" s="39">
        <v>1.5470792</v>
      </c>
      <c r="AR365" s="40"/>
      <c r="AS365" s="40"/>
    </row>
    <row r="366" spans="2:45" ht="15" hidden="1" customHeight="1" x14ac:dyDescent="0.25">
      <c r="B366" s="35">
        <v>360</v>
      </c>
      <c r="C366" s="36" t="s">
        <v>31</v>
      </c>
      <c r="D366" s="36" t="s">
        <v>66</v>
      </c>
      <c r="E366" s="36" t="s">
        <v>142</v>
      </c>
      <c r="F366" s="36" t="s">
        <v>143</v>
      </c>
      <c r="G366" s="37" t="s">
        <v>26</v>
      </c>
      <c r="H366" s="38">
        <v>6396</v>
      </c>
      <c r="I366" s="38">
        <v>45</v>
      </c>
      <c r="J366" s="38">
        <v>12</v>
      </c>
      <c r="K366" s="38">
        <v>400</v>
      </c>
      <c r="L366" s="38">
        <v>1943</v>
      </c>
      <c r="M366" s="38">
        <v>3396</v>
      </c>
      <c r="N366" s="38">
        <v>514</v>
      </c>
      <c r="O366" s="38">
        <v>86</v>
      </c>
      <c r="P366" s="38"/>
      <c r="Q366" s="38"/>
      <c r="R366" s="38">
        <v>8878</v>
      </c>
      <c r="S366" s="38">
        <v>121</v>
      </c>
      <c r="T366" s="38">
        <v>48</v>
      </c>
      <c r="U366" s="38">
        <v>236</v>
      </c>
      <c r="V366" s="38">
        <v>916</v>
      </c>
      <c r="W366" s="38">
        <v>6687</v>
      </c>
      <c r="X366" s="38">
        <v>779</v>
      </c>
      <c r="Y366" s="38">
        <v>91</v>
      </c>
      <c r="Z366" s="38"/>
      <c r="AA366" s="38"/>
      <c r="AB366" s="39">
        <v>0.70356470000000004</v>
      </c>
      <c r="AC366" s="39">
        <v>0.18761729999999999</v>
      </c>
      <c r="AD366" s="39">
        <v>6.2539087000000002</v>
      </c>
      <c r="AE366" s="39">
        <v>30.3783615</v>
      </c>
      <c r="AF366" s="39">
        <v>53.095684800000001</v>
      </c>
      <c r="AG366" s="39">
        <v>8.0362726999999996</v>
      </c>
      <c r="AH366" s="39">
        <v>1.3445904</v>
      </c>
      <c r="AI366" s="39"/>
      <c r="AJ366" s="39"/>
      <c r="AK366" s="39">
        <v>1.3629195999999999</v>
      </c>
      <c r="AL366" s="39">
        <v>0.54066230000000004</v>
      </c>
      <c r="AM366" s="39">
        <v>2.6582564</v>
      </c>
      <c r="AN366" s="39">
        <v>10.317639099999999</v>
      </c>
      <c r="AO366" s="39">
        <v>75.321018199999997</v>
      </c>
      <c r="AP366" s="39">
        <v>8.7744987999999999</v>
      </c>
      <c r="AQ366" s="39">
        <v>1.0250056000000001</v>
      </c>
      <c r="AR366" s="40"/>
      <c r="AS366" s="40"/>
    </row>
    <row r="367" spans="2:45" ht="15" customHeight="1" x14ac:dyDescent="0.25">
      <c r="B367" s="41">
        <v>361</v>
      </c>
      <c r="C367" s="42" t="s">
        <v>31</v>
      </c>
      <c r="D367" s="51" t="s">
        <v>66</v>
      </c>
      <c r="E367" s="51" t="s">
        <v>142</v>
      </c>
      <c r="F367" s="51" t="s">
        <v>144</v>
      </c>
      <c r="G367" s="52" t="s">
        <v>144</v>
      </c>
      <c r="H367" s="43">
        <v>3249</v>
      </c>
      <c r="I367" s="43">
        <v>8</v>
      </c>
      <c r="J367" s="43">
        <v>3</v>
      </c>
      <c r="K367" s="43">
        <v>175</v>
      </c>
      <c r="L367" s="43">
        <v>970</v>
      </c>
      <c r="M367" s="43">
        <v>1640</v>
      </c>
      <c r="N367" s="43">
        <v>410</v>
      </c>
      <c r="O367" s="43">
        <v>43</v>
      </c>
      <c r="P367" s="44">
        <f>K367+L367+M367+N367+O367</f>
        <v>3238</v>
      </c>
      <c r="Q367" s="44">
        <f>I367+J367</f>
        <v>11</v>
      </c>
      <c r="R367" s="43">
        <v>3921</v>
      </c>
      <c r="S367" s="43">
        <v>129</v>
      </c>
      <c r="T367" s="43">
        <v>13</v>
      </c>
      <c r="U367" s="43">
        <v>79</v>
      </c>
      <c r="V367" s="43">
        <v>269</v>
      </c>
      <c r="W367" s="43">
        <v>2870</v>
      </c>
      <c r="X367" s="43">
        <v>502</v>
      </c>
      <c r="Y367" s="43">
        <v>59</v>
      </c>
      <c r="Z367" s="45">
        <f>U367+V367+W367+X367+Y367</f>
        <v>3779</v>
      </c>
      <c r="AA367" s="45">
        <f>S367+T367</f>
        <v>142</v>
      </c>
      <c r="AB367" s="46">
        <v>0.24622959999999999</v>
      </c>
      <c r="AC367" s="46">
        <v>9.2336100000000004E-2</v>
      </c>
      <c r="AD367" s="46">
        <v>5.3862727000000001</v>
      </c>
      <c r="AE367" s="46">
        <v>29.855340099999999</v>
      </c>
      <c r="AF367" s="46">
        <v>50.477069899999996</v>
      </c>
      <c r="AG367" s="46">
        <v>12.619267499999999</v>
      </c>
      <c r="AH367" s="46">
        <v>1.3234840999999999</v>
      </c>
      <c r="AI367" s="47">
        <f>AB367+AC367</f>
        <v>0.33856569999999997</v>
      </c>
      <c r="AJ367" s="47">
        <f>AD367+AE367+AF367+AG367+AH367</f>
        <v>99.661434299999996</v>
      </c>
      <c r="AK367" s="46">
        <v>3.2899769999999999</v>
      </c>
      <c r="AL367" s="46">
        <v>0.33154810000000001</v>
      </c>
      <c r="AM367" s="46">
        <v>2.0147921000000002</v>
      </c>
      <c r="AN367" s="46">
        <v>6.8604947999999997</v>
      </c>
      <c r="AO367" s="46">
        <v>73.195613399999999</v>
      </c>
      <c r="AP367" s="46">
        <v>12.8028564</v>
      </c>
      <c r="AQ367" s="46">
        <v>1.5047181999999999</v>
      </c>
      <c r="AR367" s="48">
        <f>AK367+AL367</f>
        <v>3.6215250999999999</v>
      </c>
      <c r="AS367" s="48">
        <f>AM367+AN367+AO367+AP367+AQ367</f>
        <v>96.378474900000001</v>
      </c>
    </row>
    <row r="368" spans="2:45" ht="15" hidden="1" customHeight="1" x14ac:dyDescent="0.25">
      <c r="B368" s="35">
        <v>362</v>
      </c>
      <c r="C368" s="36" t="s">
        <v>31</v>
      </c>
      <c r="D368" s="36" t="s">
        <v>66</v>
      </c>
      <c r="E368" s="36" t="s">
        <v>142</v>
      </c>
      <c r="F368" s="36" t="s">
        <v>144</v>
      </c>
      <c r="G368" s="37" t="s">
        <v>25</v>
      </c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40"/>
      <c r="AS368" s="40"/>
    </row>
    <row r="369" spans="2:45" ht="15" hidden="1" customHeight="1" x14ac:dyDescent="0.25">
      <c r="B369" s="35">
        <v>363</v>
      </c>
      <c r="C369" s="36" t="s">
        <v>31</v>
      </c>
      <c r="D369" s="36" t="s">
        <v>66</v>
      </c>
      <c r="E369" s="36" t="s">
        <v>142</v>
      </c>
      <c r="F369" s="36" t="s">
        <v>144</v>
      </c>
      <c r="G369" s="37" t="s">
        <v>26</v>
      </c>
      <c r="H369" s="38">
        <v>3249</v>
      </c>
      <c r="I369" s="38">
        <v>8</v>
      </c>
      <c r="J369" s="38">
        <v>3</v>
      </c>
      <c r="K369" s="38">
        <v>175</v>
      </c>
      <c r="L369" s="38">
        <v>970</v>
      </c>
      <c r="M369" s="38">
        <v>1640</v>
      </c>
      <c r="N369" s="38">
        <v>410</v>
      </c>
      <c r="O369" s="38">
        <v>43</v>
      </c>
      <c r="P369" s="38"/>
      <c r="Q369" s="38"/>
      <c r="R369" s="38">
        <v>3921</v>
      </c>
      <c r="S369" s="38">
        <v>129</v>
      </c>
      <c r="T369" s="38">
        <v>13</v>
      </c>
      <c r="U369" s="38">
        <v>79</v>
      </c>
      <c r="V369" s="38">
        <v>269</v>
      </c>
      <c r="W369" s="38">
        <v>2870</v>
      </c>
      <c r="X369" s="38">
        <v>502</v>
      </c>
      <c r="Y369" s="38">
        <v>59</v>
      </c>
      <c r="Z369" s="38"/>
      <c r="AA369" s="38"/>
      <c r="AB369" s="39">
        <v>0.24622959999999999</v>
      </c>
      <c r="AC369" s="39">
        <v>9.2336100000000004E-2</v>
      </c>
      <c r="AD369" s="39">
        <v>5.3862727000000001</v>
      </c>
      <c r="AE369" s="39">
        <v>29.855340099999999</v>
      </c>
      <c r="AF369" s="39">
        <v>50.477069899999996</v>
      </c>
      <c r="AG369" s="39">
        <v>12.619267499999999</v>
      </c>
      <c r="AH369" s="39">
        <v>1.3234840999999999</v>
      </c>
      <c r="AI369" s="39"/>
      <c r="AJ369" s="39"/>
      <c r="AK369" s="39">
        <v>3.2899769999999999</v>
      </c>
      <c r="AL369" s="39">
        <v>0.33154810000000001</v>
      </c>
      <c r="AM369" s="39">
        <v>2.0147921000000002</v>
      </c>
      <c r="AN369" s="39">
        <v>6.8604947999999997</v>
      </c>
      <c r="AO369" s="39">
        <v>73.195613399999999</v>
      </c>
      <c r="AP369" s="39">
        <v>12.8028564</v>
      </c>
      <c r="AQ369" s="39">
        <v>1.5047181999999999</v>
      </c>
      <c r="AR369" s="40"/>
      <c r="AS369" s="40"/>
    </row>
    <row r="370" spans="2:45" ht="15" customHeight="1" x14ac:dyDescent="0.25">
      <c r="B370" s="41">
        <v>364</v>
      </c>
      <c r="C370" s="42" t="s">
        <v>31</v>
      </c>
      <c r="D370" s="51" t="s">
        <v>66</v>
      </c>
      <c r="E370" s="51" t="s">
        <v>142</v>
      </c>
      <c r="F370" s="51" t="s">
        <v>145</v>
      </c>
      <c r="G370" s="52" t="s">
        <v>145</v>
      </c>
      <c r="H370" s="43">
        <v>2823</v>
      </c>
      <c r="I370" s="43">
        <v>9</v>
      </c>
      <c r="J370" s="43">
        <v>4</v>
      </c>
      <c r="K370" s="43">
        <v>137</v>
      </c>
      <c r="L370" s="43">
        <v>596</v>
      </c>
      <c r="M370" s="43">
        <v>1664</v>
      </c>
      <c r="N370" s="43">
        <v>372</v>
      </c>
      <c r="O370" s="43">
        <v>41</v>
      </c>
      <c r="P370" s="44">
        <f>K370+L370+M370+N370+O370</f>
        <v>2810</v>
      </c>
      <c r="Q370" s="44">
        <f>I370+J370</f>
        <v>13</v>
      </c>
      <c r="R370" s="43">
        <v>4794</v>
      </c>
      <c r="S370" s="43">
        <v>237</v>
      </c>
      <c r="T370" s="43">
        <v>24</v>
      </c>
      <c r="U370" s="43">
        <v>138</v>
      </c>
      <c r="V370" s="43">
        <v>163</v>
      </c>
      <c r="W370" s="43">
        <v>3697</v>
      </c>
      <c r="X370" s="43">
        <v>416</v>
      </c>
      <c r="Y370" s="43">
        <v>119</v>
      </c>
      <c r="Z370" s="45">
        <f>U370+V370+W370+X370+Y370</f>
        <v>4533</v>
      </c>
      <c r="AA370" s="45">
        <f>S370+T370</f>
        <v>261</v>
      </c>
      <c r="AB370" s="46">
        <v>0.31880979999999998</v>
      </c>
      <c r="AC370" s="46">
        <v>0.14169319999999999</v>
      </c>
      <c r="AD370" s="46">
        <v>4.8529932999999996</v>
      </c>
      <c r="AE370" s="46">
        <v>21.112291899999999</v>
      </c>
      <c r="AF370" s="46">
        <v>58.944385400000002</v>
      </c>
      <c r="AG370" s="46">
        <v>13.1774708</v>
      </c>
      <c r="AH370" s="46">
        <v>1.4523557</v>
      </c>
      <c r="AI370" s="47">
        <f>AB370+AC370</f>
        <v>0.460503</v>
      </c>
      <c r="AJ370" s="47">
        <f>AD370+AE370+AF370+AG370+AH370</f>
        <v>99.539497099999991</v>
      </c>
      <c r="AK370" s="46">
        <v>4.9436796000000003</v>
      </c>
      <c r="AL370" s="46">
        <v>0.50062580000000001</v>
      </c>
      <c r="AM370" s="46">
        <v>2.8785981999999999</v>
      </c>
      <c r="AN370" s="46">
        <v>3.4000834000000002</v>
      </c>
      <c r="AO370" s="46">
        <v>77.117229899999998</v>
      </c>
      <c r="AP370" s="46">
        <v>8.6775135999999993</v>
      </c>
      <c r="AQ370" s="46">
        <v>2.4822695000000001</v>
      </c>
      <c r="AR370" s="48">
        <f>AK370+AL370</f>
        <v>5.4443054000000002</v>
      </c>
      <c r="AS370" s="48">
        <f>AM370+AN370+AO370+AP370+AQ370</f>
        <v>94.555694599999995</v>
      </c>
    </row>
    <row r="371" spans="2:45" ht="15" hidden="1" customHeight="1" x14ac:dyDescent="0.25">
      <c r="B371" s="35">
        <v>365</v>
      </c>
      <c r="C371" s="36" t="s">
        <v>31</v>
      </c>
      <c r="D371" s="36" t="s">
        <v>66</v>
      </c>
      <c r="E371" s="36" t="s">
        <v>142</v>
      </c>
      <c r="F371" s="36" t="s">
        <v>145</v>
      </c>
      <c r="G371" s="37" t="s">
        <v>25</v>
      </c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40"/>
      <c r="AS371" s="40"/>
    </row>
    <row r="372" spans="2:45" ht="15" hidden="1" customHeight="1" x14ac:dyDescent="0.25">
      <c r="B372" s="35">
        <v>366</v>
      </c>
      <c r="C372" s="36" t="s">
        <v>31</v>
      </c>
      <c r="D372" s="36" t="s">
        <v>66</v>
      </c>
      <c r="E372" s="36" t="s">
        <v>142</v>
      </c>
      <c r="F372" s="36" t="s">
        <v>145</v>
      </c>
      <c r="G372" s="37" t="s">
        <v>26</v>
      </c>
      <c r="H372" s="38">
        <v>2823</v>
      </c>
      <c r="I372" s="38">
        <v>9</v>
      </c>
      <c r="J372" s="38">
        <v>4</v>
      </c>
      <c r="K372" s="38">
        <v>137</v>
      </c>
      <c r="L372" s="38">
        <v>596</v>
      </c>
      <c r="M372" s="38">
        <v>1664</v>
      </c>
      <c r="N372" s="38">
        <v>372</v>
      </c>
      <c r="O372" s="38">
        <v>41</v>
      </c>
      <c r="P372" s="38"/>
      <c r="Q372" s="38"/>
      <c r="R372" s="38">
        <v>4794</v>
      </c>
      <c r="S372" s="38">
        <v>237</v>
      </c>
      <c r="T372" s="38">
        <v>24</v>
      </c>
      <c r="U372" s="38">
        <v>138</v>
      </c>
      <c r="V372" s="38">
        <v>163</v>
      </c>
      <c r="W372" s="38">
        <v>3697</v>
      </c>
      <c r="X372" s="38">
        <v>416</v>
      </c>
      <c r="Y372" s="38">
        <v>119</v>
      </c>
      <c r="Z372" s="38"/>
      <c r="AA372" s="38"/>
      <c r="AB372" s="39">
        <v>0.31880979999999998</v>
      </c>
      <c r="AC372" s="39">
        <v>0.14169319999999999</v>
      </c>
      <c r="AD372" s="39">
        <v>4.8529932999999996</v>
      </c>
      <c r="AE372" s="39">
        <v>21.112291899999999</v>
      </c>
      <c r="AF372" s="39">
        <v>58.944385400000002</v>
      </c>
      <c r="AG372" s="39">
        <v>13.1774708</v>
      </c>
      <c r="AH372" s="39">
        <v>1.4523557</v>
      </c>
      <c r="AI372" s="39"/>
      <c r="AJ372" s="39"/>
      <c r="AK372" s="39">
        <v>4.9436796000000003</v>
      </c>
      <c r="AL372" s="39">
        <v>0.50062580000000001</v>
      </c>
      <c r="AM372" s="39">
        <v>2.8785981999999999</v>
      </c>
      <c r="AN372" s="39">
        <v>3.4000834000000002</v>
      </c>
      <c r="AO372" s="39">
        <v>77.117229899999998</v>
      </c>
      <c r="AP372" s="39">
        <v>8.6775135999999993</v>
      </c>
      <c r="AQ372" s="39">
        <v>2.4822695000000001</v>
      </c>
      <c r="AR372" s="40"/>
      <c r="AS372" s="40"/>
    </row>
    <row r="373" spans="2:45" ht="15" customHeight="1" x14ac:dyDescent="0.25">
      <c r="B373" s="41">
        <v>367</v>
      </c>
      <c r="C373" s="42" t="s">
        <v>31</v>
      </c>
      <c r="D373" s="51" t="s">
        <v>66</v>
      </c>
      <c r="E373" s="51" t="s">
        <v>142</v>
      </c>
      <c r="F373" s="51" t="s">
        <v>146</v>
      </c>
      <c r="G373" s="52" t="s">
        <v>146</v>
      </c>
      <c r="H373" s="43">
        <v>3827</v>
      </c>
      <c r="I373" s="43">
        <v>19</v>
      </c>
      <c r="J373" s="43">
        <v>6</v>
      </c>
      <c r="K373" s="43">
        <v>96</v>
      </c>
      <c r="L373" s="43">
        <v>924</v>
      </c>
      <c r="M373" s="43">
        <v>2405</v>
      </c>
      <c r="N373" s="43">
        <v>333</v>
      </c>
      <c r="O373" s="43">
        <v>44</v>
      </c>
      <c r="P373" s="44">
        <f>K373+L373+M373+N373+O373</f>
        <v>3802</v>
      </c>
      <c r="Q373" s="44">
        <f>I373+J373</f>
        <v>25</v>
      </c>
      <c r="R373" s="43">
        <v>5467</v>
      </c>
      <c r="S373" s="43">
        <v>330</v>
      </c>
      <c r="T373" s="43">
        <v>54</v>
      </c>
      <c r="U373" s="43">
        <v>91</v>
      </c>
      <c r="V373" s="43">
        <v>260</v>
      </c>
      <c r="W373" s="43">
        <v>4275</v>
      </c>
      <c r="X373" s="43">
        <v>391</v>
      </c>
      <c r="Y373" s="43">
        <v>66</v>
      </c>
      <c r="Z373" s="45">
        <f>U373+V373+W373+X373+Y373</f>
        <v>5083</v>
      </c>
      <c r="AA373" s="45">
        <f t="shared" ref="AA373:AA374" si="62">S373+T373</f>
        <v>384</v>
      </c>
      <c r="AB373" s="46">
        <v>0.49647239999999998</v>
      </c>
      <c r="AC373" s="46">
        <v>0.1567808</v>
      </c>
      <c r="AD373" s="46">
        <v>2.5084922999999999</v>
      </c>
      <c r="AE373" s="46">
        <v>24.144238300000001</v>
      </c>
      <c r="AF373" s="46">
        <v>62.842957900000002</v>
      </c>
      <c r="AG373" s="46">
        <v>8.7013326000000006</v>
      </c>
      <c r="AH373" s="46">
        <v>1.1497256</v>
      </c>
      <c r="AI373" s="47">
        <f>AB373+AC373</f>
        <v>0.65325319999999998</v>
      </c>
      <c r="AJ373" s="47">
        <f>AD373+AE373+AF373+AG373+AH373</f>
        <v>99.346746699999997</v>
      </c>
      <c r="AK373" s="46">
        <v>6.0362172999999997</v>
      </c>
      <c r="AL373" s="46">
        <v>0.98774459999999997</v>
      </c>
      <c r="AM373" s="46">
        <v>1.6645327000000001</v>
      </c>
      <c r="AN373" s="46">
        <v>4.7558075999999998</v>
      </c>
      <c r="AO373" s="46">
        <v>78.196451400000001</v>
      </c>
      <c r="AP373" s="46">
        <v>7.1520029000000003</v>
      </c>
      <c r="AQ373" s="46">
        <v>1.2072434999999999</v>
      </c>
      <c r="AR373" s="48">
        <f t="shared" ref="AR373:AR376" si="63">AK373+AL373</f>
        <v>7.0239618999999998</v>
      </c>
      <c r="AS373" s="48">
        <f>AM373+AN373+AO373+AP373+AQ373</f>
        <v>92.976038099999997</v>
      </c>
    </row>
    <row r="374" spans="2:45" ht="15" hidden="1" customHeight="1" x14ac:dyDescent="0.25">
      <c r="B374" s="35">
        <v>368</v>
      </c>
      <c r="C374" s="36" t="s">
        <v>31</v>
      </c>
      <c r="D374" s="36" t="s">
        <v>66</v>
      </c>
      <c r="E374" s="36" t="s">
        <v>142</v>
      </c>
      <c r="F374" s="36" t="s">
        <v>146</v>
      </c>
      <c r="G374" s="37" t="s">
        <v>25</v>
      </c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>
        <f t="shared" si="62"/>
        <v>0</v>
      </c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40">
        <f t="shared" si="63"/>
        <v>0</v>
      </c>
      <c r="AS374" s="40"/>
    </row>
    <row r="375" spans="2:45" ht="15" hidden="1" customHeight="1" x14ac:dyDescent="0.25">
      <c r="B375" s="35">
        <v>369</v>
      </c>
      <c r="C375" s="36" t="s">
        <v>31</v>
      </c>
      <c r="D375" s="36" t="s">
        <v>66</v>
      </c>
      <c r="E375" s="36" t="s">
        <v>142</v>
      </c>
      <c r="F375" s="36" t="s">
        <v>146</v>
      </c>
      <c r="G375" s="37" t="s">
        <v>26</v>
      </c>
      <c r="H375" s="38">
        <v>3827</v>
      </c>
      <c r="I375" s="38">
        <v>19</v>
      </c>
      <c r="J375" s="38">
        <v>6</v>
      </c>
      <c r="K375" s="38">
        <v>96</v>
      </c>
      <c r="L375" s="38">
        <v>924</v>
      </c>
      <c r="M375" s="38">
        <v>2405</v>
      </c>
      <c r="N375" s="38">
        <v>333</v>
      </c>
      <c r="O375" s="38">
        <v>44</v>
      </c>
      <c r="P375" s="38"/>
      <c r="Q375" s="38">
        <f t="shared" ref="Q375:Q376" si="64">I375+J375</f>
        <v>25</v>
      </c>
      <c r="R375" s="38">
        <v>5467</v>
      </c>
      <c r="S375" s="38">
        <v>330</v>
      </c>
      <c r="T375" s="38">
        <v>54</v>
      </c>
      <c r="U375" s="38">
        <v>91</v>
      </c>
      <c r="V375" s="38">
        <v>260</v>
      </c>
      <c r="W375" s="38">
        <v>4275</v>
      </c>
      <c r="X375" s="38">
        <v>391</v>
      </c>
      <c r="Y375" s="38">
        <v>66</v>
      </c>
      <c r="Z375" s="38"/>
      <c r="AA375" s="38"/>
      <c r="AB375" s="39">
        <v>0.49647239999999998</v>
      </c>
      <c r="AC375" s="39">
        <v>0.1567808</v>
      </c>
      <c r="AD375" s="39">
        <v>2.5084922999999999</v>
      </c>
      <c r="AE375" s="39">
        <v>24.144238300000001</v>
      </c>
      <c r="AF375" s="39">
        <v>62.842957900000002</v>
      </c>
      <c r="AG375" s="39">
        <v>8.7013326000000006</v>
      </c>
      <c r="AH375" s="39">
        <v>1.1497256</v>
      </c>
      <c r="AI375" s="39"/>
      <c r="AJ375" s="39"/>
      <c r="AK375" s="39">
        <v>6.0362172999999997</v>
      </c>
      <c r="AL375" s="39">
        <v>0.98774459999999997</v>
      </c>
      <c r="AM375" s="39">
        <v>1.6645327000000001</v>
      </c>
      <c r="AN375" s="39">
        <v>4.7558075999999998</v>
      </c>
      <c r="AO375" s="39">
        <v>78.196451400000001</v>
      </c>
      <c r="AP375" s="39">
        <v>7.1520029000000003</v>
      </c>
      <c r="AQ375" s="39">
        <v>1.2072434999999999</v>
      </c>
      <c r="AR375" s="40">
        <f t="shared" si="63"/>
        <v>7.0239618999999998</v>
      </c>
      <c r="AS375" s="40"/>
    </row>
    <row r="376" spans="2:45" ht="15" customHeight="1" x14ac:dyDescent="0.25">
      <c r="B376" s="41">
        <v>370</v>
      </c>
      <c r="C376" s="42" t="s">
        <v>31</v>
      </c>
      <c r="D376" s="51" t="s">
        <v>66</v>
      </c>
      <c r="E376" s="51" t="s">
        <v>142</v>
      </c>
      <c r="F376" s="51" t="s">
        <v>147</v>
      </c>
      <c r="G376" s="52" t="s">
        <v>147</v>
      </c>
      <c r="H376" s="43">
        <v>7497</v>
      </c>
      <c r="I376" s="43">
        <v>455</v>
      </c>
      <c r="J376" s="43">
        <v>2564</v>
      </c>
      <c r="K376" s="43">
        <v>193</v>
      </c>
      <c r="L376" s="43">
        <v>1031</v>
      </c>
      <c r="M376" s="43">
        <v>2576</v>
      </c>
      <c r="N376" s="43">
        <v>627</v>
      </c>
      <c r="O376" s="43">
        <v>51</v>
      </c>
      <c r="P376" s="44">
        <f>K376+L376+M376+N376+O376</f>
        <v>4478</v>
      </c>
      <c r="Q376" s="44">
        <f t="shared" si="64"/>
        <v>3019</v>
      </c>
      <c r="R376" s="43">
        <v>9347</v>
      </c>
      <c r="S376" s="43">
        <v>840</v>
      </c>
      <c r="T376" s="43">
        <v>3864</v>
      </c>
      <c r="U376" s="43">
        <v>148</v>
      </c>
      <c r="V376" s="43">
        <v>271</v>
      </c>
      <c r="W376" s="43">
        <v>3726</v>
      </c>
      <c r="X376" s="43">
        <v>392</v>
      </c>
      <c r="Y376" s="43">
        <v>106</v>
      </c>
      <c r="Z376" s="45">
        <f>U376+V376+W376+X376+Y376</f>
        <v>4643</v>
      </c>
      <c r="AA376" s="45">
        <f>S376+T376</f>
        <v>4704</v>
      </c>
      <c r="AB376" s="46">
        <v>6.0690942999999997</v>
      </c>
      <c r="AC376" s="46">
        <v>34.200346799999998</v>
      </c>
      <c r="AD376" s="46">
        <v>2.5743630999999998</v>
      </c>
      <c r="AE376" s="46">
        <v>13.752167500000001</v>
      </c>
      <c r="AF376" s="46">
        <v>34.360410799999997</v>
      </c>
      <c r="AG376" s="46">
        <v>8.3633453000000006</v>
      </c>
      <c r="AH376" s="46">
        <v>0.68027210000000005</v>
      </c>
      <c r="AI376" s="47">
        <f>AB376+AC376</f>
        <v>40.269441099999995</v>
      </c>
      <c r="AJ376" s="47">
        <f>AD376+AE376+AF376+AG376+AH376</f>
        <v>59.730558799999997</v>
      </c>
      <c r="AK376" s="46">
        <v>8.9868407000000001</v>
      </c>
      <c r="AL376" s="46">
        <v>41.339467200000001</v>
      </c>
      <c r="AM376" s="46">
        <v>1.5833957000000001</v>
      </c>
      <c r="AN376" s="46">
        <v>2.8993259999999998</v>
      </c>
      <c r="AO376" s="46">
        <v>39.863057699999999</v>
      </c>
      <c r="AP376" s="46">
        <v>4.1938589999999998</v>
      </c>
      <c r="AQ376" s="46">
        <v>1.1340536999999999</v>
      </c>
      <c r="AR376" s="48">
        <f t="shared" si="63"/>
        <v>50.326307900000003</v>
      </c>
      <c r="AS376" s="48">
        <f>AM376+AN376+AO376+AP376+AQ376</f>
        <v>49.673692100000004</v>
      </c>
    </row>
    <row r="377" spans="2:45" ht="15" hidden="1" customHeight="1" x14ac:dyDescent="0.25">
      <c r="B377" s="35">
        <v>371</v>
      </c>
      <c r="C377" s="36" t="s">
        <v>31</v>
      </c>
      <c r="D377" s="36" t="s">
        <v>66</v>
      </c>
      <c r="E377" s="36" t="s">
        <v>142</v>
      </c>
      <c r="F377" s="36" t="s">
        <v>147</v>
      </c>
      <c r="G377" s="37" t="s">
        <v>25</v>
      </c>
      <c r="H377" s="38">
        <v>3794</v>
      </c>
      <c r="I377" s="38">
        <v>438</v>
      </c>
      <c r="J377" s="38">
        <v>2492</v>
      </c>
      <c r="K377" s="38">
        <v>94</v>
      </c>
      <c r="L377" s="38">
        <v>414</v>
      </c>
      <c r="M377" s="38">
        <v>285</v>
      </c>
      <c r="N377" s="38">
        <v>49</v>
      </c>
      <c r="O377" s="38">
        <v>22</v>
      </c>
      <c r="P377" s="38"/>
      <c r="Q377" s="38"/>
      <c r="R377" s="38">
        <v>5100</v>
      </c>
      <c r="S377" s="38">
        <v>729</v>
      </c>
      <c r="T377" s="38">
        <v>3708</v>
      </c>
      <c r="U377" s="38">
        <v>88</v>
      </c>
      <c r="V377" s="38">
        <v>114</v>
      </c>
      <c r="W377" s="38">
        <v>366</v>
      </c>
      <c r="X377" s="38">
        <v>35</v>
      </c>
      <c r="Y377" s="38">
        <v>60</v>
      </c>
      <c r="Z377" s="38"/>
      <c r="AA377" s="38"/>
      <c r="AB377" s="39">
        <v>11.544544</v>
      </c>
      <c r="AC377" s="39">
        <v>65.682656800000004</v>
      </c>
      <c r="AD377" s="39">
        <v>2.4775961999999998</v>
      </c>
      <c r="AE377" s="39">
        <v>10.9119663</v>
      </c>
      <c r="AF377" s="39">
        <v>7.5118608</v>
      </c>
      <c r="AG377" s="39">
        <v>1.2915129000000001</v>
      </c>
      <c r="AH377" s="39">
        <v>0.57986289999999996</v>
      </c>
      <c r="AI377" s="39"/>
      <c r="AJ377" s="39"/>
      <c r="AK377" s="39">
        <v>14.2941176</v>
      </c>
      <c r="AL377" s="39">
        <v>72.705882399999993</v>
      </c>
      <c r="AM377" s="39">
        <v>1.7254902000000001</v>
      </c>
      <c r="AN377" s="39">
        <v>2.2352941</v>
      </c>
      <c r="AO377" s="39">
        <v>7.1764706</v>
      </c>
      <c r="AP377" s="39">
        <v>0.68627450000000001</v>
      </c>
      <c r="AQ377" s="39">
        <v>1.1764706</v>
      </c>
      <c r="AR377" s="40"/>
      <c r="AS377" s="40"/>
    </row>
    <row r="378" spans="2:45" ht="15" hidden="1" customHeight="1" x14ac:dyDescent="0.25">
      <c r="B378" s="35">
        <v>372</v>
      </c>
      <c r="C378" s="36" t="s">
        <v>31</v>
      </c>
      <c r="D378" s="36" t="s">
        <v>66</v>
      </c>
      <c r="E378" s="36" t="s">
        <v>142</v>
      </c>
      <c r="F378" s="36" t="s">
        <v>147</v>
      </c>
      <c r="G378" s="37" t="s">
        <v>26</v>
      </c>
      <c r="H378" s="38">
        <v>3703</v>
      </c>
      <c r="I378" s="38">
        <v>17</v>
      </c>
      <c r="J378" s="38">
        <v>72</v>
      </c>
      <c r="K378" s="38">
        <v>99</v>
      </c>
      <c r="L378" s="38">
        <v>617</v>
      </c>
      <c r="M378" s="38">
        <v>2291</v>
      </c>
      <c r="N378" s="38">
        <v>578</v>
      </c>
      <c r="O378" s="38">
        <v>29</v>
      </c>
      <c r="P378" s="38"/>
      <c r="Q378" s="38"/>
      <c r="R378" s="38">
        <v>4247</v>
      </c>
      <c r="S378" s="38">
        <v>111</v>
      </c>
      <c r="T378" s="38">
        <v>156</v>
      </c>
      <c r="U378" s="38">
        <v>60</v>
      </c>
      <c r="V378" s="38">
        <v>157</v>
      </c>
      <c r="W378" s="38">
        <v>3360</v>
      </c>
      <c r="X378" s="38">
        <v>357</v>
      </c>
      <c r="Y378" s="38">
        <v>46</v>
      </c>
      <c r="Z378" s="38"/>
      <c r="AA378" s="38"/>
      <c r="AB378" s="39">
        <v>0.45908719999999997</v>
      </c>
      <c r="AC378" s="39">
        <v>1.9443694</v>
      </c>
      <c r="AD378" s="39">
        <v>2.673508</v>
      </c>
      <c r="AE378" s="39">
        <v>16.6621658</v>
      </c>
      <c r="AF378" s="39">
        <v>61.868755100000001</v>
      </c>
      <c r="AG378" s="39">
        <v>15.608965700000001</v>
      </c>
      <c r="AH378" s="39">
        <v>0.78314879999999998</v>
      </c>
      <c r="AI378" s="39"/>
      <c r="AJ378" s="39"/>
      <c r="AK378" s="39">
        <v>2.6136096000000002</v>
      </c>
      <c r="AL378" s="39">
        <v>3.6731810999999999</v>
      </c>
      <c r="AM378" s="39">
        <v>1.4127619</v>
      </c>
      <c r="AN378" s="39">
        <v>3.6967270999999999</v>
      </c>
      <c r="AO378" s="39">
        <v>79.114669199999994</v>
      </c>
      <c r="AP378" s="39">
        <v>8.4059335999999991</v>
      </c>
      <c r="AQ378" s="39">
        <v>1.0831175</v>
      </c>
      <c r="AR378" s="40"/>
      <c r="AS378" s="40"/>
    </row>
    <row r="379" spans="2:45" ht="15" customHeight="1" x14ac:dyDescent="0.25">
      <c r="B379" s="41">
        <v>373</v>
      </c>
      <c r="C379" s="42" t="s">
        <v>31</v>
      </c>
      <c r="D379" s="51" t="s">
        <v>66</v>
      </c>
      <c r="E379" s="51" t="s">
        <v>142</v>
      </c>
      <c r="F379" s="51" t="s">
        <v>148</v>
      </c>
      <c r="G379" s="52" t="s">
        <v>148</v>
      </c>
      <c r="H379" s="43">
        <v>3200</v>
      </c>
      <c r="I379" s="43">
        <v>22</v>
      </c>
      <c r="J379" s="43">
        <v>30</v>
      </c>
      <c r="K379" s="43">
        <v>30</v>
      </c>
      <c r="L379" s="43">
        <v>719</v>
      </c>
      <c r="M379" s="43">
        <v>2095</v>
      </c>
      <c r="N379" s="43">
        <v>219</v>
      </c>
      <c r="O379" s="43">
        <v>85</v>
      </c>
      <c r="P379" s="44">
        <f>K379+L379+M379+N379+O379</f>
        <v>3148</v>
      </c>
      <c r="Q379" s="44">
        <f>I379+J379</f>
        <v>52</v>
      </c>
      <c r="R379" s="43">
        <v>4480</v>
      </c>
      <c r="S379" s="43">
        <v>97</v>
      </c>
      <c r="T379" s="43">
        <v>445</v>
      </c>
      <c r="U379" s="43">
        <v>24</v>
      </c>
      <c r="V379" s="43">
        <v>153</v>
      </c>
      <c r="W379" s="43">
        <v>3550</v>
      </c>
      <c r="X379" s="43">
        <v>174</v>
      </c>
      <c r="Y379" s="43">
        <v>37</v>
      </c>
      <c r="Z379" s="45">
        <f>U379+V379+W379+X379+Y379</f>
        <v>3938</v>
      </c>
      <c r="AA379" s="45">
        <f t="shared" ref="AA379:AA380" si="65">S379+T379</f>
        <v>542</v>
      </c>
      <c r="AB379" s="46">
        <v>0.6875</v>
      </c>
      <c r="AC379" s="46">
        <v>0.9375</v>
      </c>
      <c r="AD379" s="46">
        <v>0.9375</v>
      </c>
      <c r="AE379" s="46">
        <v>22.46875</v>
      </c>
      <c r="AF379" s="46">
        <v>65.46875</v>
      </c>
      <c r="AG379" s="46">
        <v>6.84375</v>
      </c>
      <c r="AH379" s="46">
        <v>2.65625</v>
      </c>
      <c r="AI379" s="47">
        <f>AB379+AC379</f>
        <v>1.625</v>
      </c>
      <c r="AJ379" s="47">
        <f>AD379+AE379+AF379+AG379+AH379</f>
        <v>98.375</v>
      </c>
      <c r="AK379" s="46">
        <v>2.1651786</v>
      </c>
      <c r="AL379" s="46">
        <v>9.9330356999999996</v>
      </c>
      <c r="AM379" s="46">
        <v>0.53571429999999998</v>
      </c>
      <c r="AN379" s="46">
        <v>3.4151786</v>
      </c>
      <c r="AO379" s="46">
        <v>79.241071399999996</v>
      </c>
      <c r="AP379" s="46">
        <v>3.8839286</v>
      </c>
      <c r="AQ379" s="46">
        <v>0.82589290000000004</v>
      </c>
      <c r="AR379" s="48">
        <f t="shared" ref="AR379:AR384" si="66">AK379+AL379</f>
        <v>12.098214299999999</v>
      </c>
      <c r="AS379" s="48">
        <f>AM379+AN379+AO379+AP379+AQ379</f>
        <v>87.901785799999999</v>
      </c>
    </row>
    <row r="380" spans="2:45" ht="15" hidden="1" customHeight="1" x14ac:dyDescent="0.25">
      <c r="B380" s="35">
        <v>374</v>
      </c>
      <c r="C380" s="36" t="s">
        <v>31</v>
      </c>
      <c r="D380" s="36" t="s">
        <v>66</v>
      </c>
      <c r="E380" s="36" t="s">
        <v>142</v>
      </c>
      <c r="F380" s="36" t="s">
        <v>148</v>
      </c>
      <c r="G380" s="37" t="s">
        <v>25</v>
      </c>
      <c r="H380" s="38">
        <v>892</v>
      </c>
      <c r="I380" s="38">
        <v>16</v>
      </c>
      <c r="J380" s="38">
        <v>30</v>
      </c>
      <c r="K380" s="38">
        <v>13</v>
      </c>
      <c r="L380" s="38">
        <v>259</v>
      </c>
      <c r="M380" s="38">
        <v>537</v>
      </c>
      <c r="N380" s="38">
        <v>28</v>
      </c>
      <c r="O380" s="38">
        <v>9</v>
      </c>
      <c r="P380" s="38"/>
      <c r="Q380" s="38"/>
      <c r="R380" s="38">
        <v>2627</v>
      </c>
      <c r="S380" s="38">
        <v>75</v>
      </c>
      <c r="T380" s="38">
        <v>432</v>
      </c>
      <c r="U380" s="38">
        <v>7</v>
      </c>
      <c r="V380" s="38">
        <v>117</v>
      </c>
      <c r="W380" s="38">
        <v>1921</v>
      </c>
      <c r="X380" s="38">
        <v>56</v>
      </c>
      <c r="Y380" s="38">
        <v>19</v>
      </c>
      <c r="Z380" s="38"/>
      <c r="AA380" s="38">
        <f t="shared" si="65"/>
        <v>507</v>
      </c>
      <c r="AB380" s="39">
        <v>1.793722</v>
      </c>
      <c r="AC380" s="39">
        <v>3.3632287000000001</v>
      </c>
      <c r="AD380" s="39">
        <v>1.4573990999999999</v>
      </c>
      <c r="AE380" s="39">
        <v>29.035874400000001</v>
      </c>
      <c r="AF380" s="39">
        <v>60.201793700000003</v>
      </c>
      <c r="AG380" s="39">
        <v>3.1390134999999999</v>
      </c>
      <c r="AH380" s="39">
        <v>1.0089686</v>
      </c>
      <c r="AI380" s="39"/>
      <c r="AJ380" s="39"/>
      <c r="AK380" s="39">
        <v>2.8549676000000002</v>
      </c>
      <c r="AL380" s="39">
        <v>16.4446136</v>
      </c>
      <c r="AM380" s="39">
        <v>0.26646360000000002</v>
      </c>
      <c r="AN380" s="39">
        <v>4.4537494999999998</v>
      </c>
      <c r="AO380" s="39">
        <v>73.125237900000002</v>
      </c>
      <c r="AP380" s="39">
        <v>2.1317092</v>
      </c>
      <c r="AQ380" s="39">
        <v>0.72325850000000003</v>
      </c>
      <c r="AR380" s="40">
        <f t="shared" si="66"/>
        <v>19.299581199999999</v>
      </c>
      <c r="AS380" s="40"/>
    </row>
    <row r="381" spans="2:45" ht="15" hidden="1" customHeight="1" x14ac:dyDescent="0.25">
      <c r="B381" s="35">
        <v>375</v>
      </c>
      <c r="C381" s="36" t="s">
        <v>31</v>
      </c>
      <c r="D381" s="36" t="s">
        <v>66</v>
      </c>
      <c r="E381" s="36" t="s">
        <v>142</v>
      </c>
      <c r="F381" s="36" t="s">
        <v>148</v>
      </c>
      <c r="G381" s="37" t="s">
        <v>26</v>
      </c>
      <c r="H381" s="38">
        <v>2308</v>
      </c>
      <c r="I381" s="38">
        <v>6</v>
      </c>
      <c r="J381" s="38">
        <v>0</v>
      </c>
      <c r="K381" s="38">
        <v>17</v>
      </c>
      <c r="L381" s="38">
        <v>460</v>
      </c>
      <c r="M381" s="38">
        <v>1558</v>
      </c>
      <c r="N381" s="38">
        <v>191</v>
      </c>
      <c r="O381" s="38">
        <v>76</v>
      </c>
      <c r="P381" s="38"/>
      <c r="Q381" s="38">
        <f t="shared" ref="Q381:Q382" si="67">I381+J381</f>
        <v>6</v>
      </c>
      <c r="R381" s="38">
        <v>1853</v>
      </c>
      <c r="S381" s="38">
        <v>22</v>
      </c>
      <c r="T381" s="38">
        <v>13</v>
      </c>
      <c r="U381" s="38">
        <v>17</v>
      </c>
      <c r="V381" s="38">
        <v>36</v>
      </c>
      <c r="W381" s="38">
        <v>1629</v>
      </c>
      <c r="X381" s="38">
        <v>118</v>
      </c>
      <c r="Y381" s="38">
        <v>18</v>
      </c>
      <c r="Z381" s="38"/>
      <c r="AA381" s="38"/>
      <c r="AB381" s="39">
        <v>0.25996530000000001</v>
      </c>
      <c r="AC381" s="39">
        <v>0</v>
      </c>
      <c r="AD381" s="39">
        <v>0.73656849999999996</v>
      </c>
      <c r="AE381" s="39">
        <v>19.930675900000001</v>
      </c>
      <c r="AF381" s="39">
        <v>67.5043328</v>
      </c>
      <c r="AG381" s="39">
        <v>8.2755633</v>
      </c>
      <c r="AH381" s="39">
        <v>3.2928942999999999</v>
      </c>
      <c r="AI381" s="39"/>
      <c r="AJ381" s="39"/>
      <c r="AK381" s="39">
        <v>1.1872639</v>
      </c>
      <c r="AL381" s="39">
        <v>0.70156499999999999</v>
      </c>
      <c r="AM381" s="39">
        <v>0.9174312</v>
      </c>
      <c r="AN381" s="39">
        <v>1.9427954999999999</v>
      </c>
      <c r="AO381" s="39">
        <v>87.911494899999994</v>
      </c>
      <c r="AP381" s="39">
        <v>6.3680517999999999</v>
      </c>
      <c r="AQ381" s="39">
        <v>0.97139770000000003</v>
      </c>
      <c r="AR381" s="40">
        <f t="shared" si="66"/>
        <v>1.8888289</v>
      </c>
      <c r="AS381" s="40"/>
    </row>
    <row r="382" spans="2:45" ht="15" customHeight="1" x14ac:dyDescent="0.25">
      <c r="B382" s="41">
        <v>376</v>
      </c>
      <c r="C382" s="42" t="s">
        <v>31</v>
      </c>
      <c r="D382" s="51" t="s">
        <v>66</v>
      </c>
      <c r="E382" s="51" t="s">
        <v>142</v>
      </c>
      <c r="F382" s="51" t="s">
        <v>149</v>
      </c>
      <c r="G382" s="52" t="s">
        <v>149</v>
      </c>
      <c r="H382" s="43">
        <v>1272</v>
      </c>
      <c r="I382" s="43">
        <v>47</v>
      </c>
      <c r="J382" s="43">
        <v>2</v>
      </c>
      <c r="K382" s="43">
        <v>55</v>
      </c>
      <c r="L382" s="43">
        <v>555</v>
      </c>
      <c r="M382" s="43">
        <v>555</v>
      </c>
      <c r="N382" s="43">
        <v>55</v>
      </c>
      <c r="O382" s="43">
        <v>3</v>
      </c>
      <c r="P382" s="44">
        <f>K382+L382+M382+N382+O382</f>
        <v>1223</v>
      </c>
      <c r="Q382" s="44">
        <f t="shared" si="67"/>
        <v>49</v>
      </c>
      <c r="R382" s="43">
        <v>1653</v>
      </c>
      <c r="S382" s="43">
        <v>98</v>
      </c>
      <c r="T382" s="43">
        <v>20</v>
      </c>
      <c r="U382" s="43">
        <v>41</v>
      </c>
      <c r="V382" s="43">
        <v>143</v>
      </c>
      <c r="W382" s="43">
        <v>1230</v>
      </c>
      <c r="X382" s="43">
        <v>82</v>
      </c>
      <c r="Y382" s="43">
        <v>39</v>
      </c>
      <c r="Z382" s="45">
        <f>U382+V382+W382+X382+Y382</f>
        <v>1535</v>
      </c>
      <c r="AA382" s="45">
        <f t="shared" ref="AA382:AA383" si="68">S382+T382</f>
        <v>118</v>
      </c>
      <c r="AB382" s="46">
        <v>3.6949686000000002</v>
      </c>
      <c r="AC382" s="46">
        <v>0.1572327</v>
      </c>
      <c r="AD382" s="46">
        <v>4.3238994000000002</v>
      </c>
      <c r="AE382" s="46">
        <v>43.632075499999999</v>
      </c>
      <c r="AF382" s="46">
        <v>43.632075499999999</v>
      </c>
      <c r="AG382" s="46">
        <v>4.3238994000000002</v>
      </c>
      <c r="AH382" s="46">
        <v>0.23584910000000001</v>
      </c>
      <c r="AI382" s="47">
        <f>AB382+AC382</f>
        <v>3.8522012999999999</v>
      </c>
      <c r="AJ382" s="47">
        <f>AD382+AE382+AF382+AG382+AH382</f>
        <v>96.147798899999998</v>
      </c>
      <c r="AK382" s="46">
        <v>5.9286146000000004</v>
      </c>
      <c r="AL382" s="46">
        <v>1.2099214</v>
      </c>
      <c r="AM382" s="46">
        <v>2.4803388000000002</v>
      </c>
      <c r="AN382" s="46">
        <v>8.6509377000000001</v>
      </c>
      <c r="AO382" s="46">
        <v>74.410163299999994</v>
      </c>
      <c r="AP382" s="46">
        <v>4.9606776000000004</v>
      </c>
      <c r="AQ382" s="46">
        <v>2.3593465999999998</v>
      </c>
      <c r="AR382" s="48">
        <f t="shared" si="66"/>
        <v>7.1385360000000002</v>
      </c>
      <c r="AS382" s="48">
        <f>AM382+AN382+AO382+AP382+AQ382</f>
        <v>92.861463999999984</v>
      </c>
    </row>
    <row r="383" spans="2:45" ht="15" hidden="1" customHeight="1" x14ac:dyDescent="0.25">
      <c r="B383" s="35">
        <v>377</v>
      </c>
      <c r="C383" s="36" t="s">
        <v>31</v>
      </c>
      <c r="D383" s="36" t="s">
        <v>66</v>
      </c>
      <c r="E383" s="36" t="s">
        <v>142</v>
      </c>
      <c r="F383" s="36" t="s">
        <v>149</v>
      </c>
      <c r="G383" s="37" t="s">
        <v>25</v>
      </c>
      <c r="H383" s="38">
        <v>723</v>
      </c>
      <c r="I383" s="38">
        <v>46</v>
      </c>
      <c r="J383" s="38">
        <v>2</v>
      </c>
      <c r="K383" s="38">
        <v>45</v>
      </c>
      <c r="L383" s="38">
        <v>269</v>
      </c>
      <c r="M383" s="38">
        <v>331</v>
      </c>
      <c r="N383" s="38">
        <v>29</v>
      </c>
      <c r="O383" s="38">
        <v>1</v>
      </c>
      <c r="P383" s="38"/>
      <c r="Q383" s="38"/>
      <c r="R383" s="38">
        <v>1004</v>
      </c>
      <c r="S383" s="38">
        <v>92</v>
      </c>
      <c r="T383" s="38">
        <v>17</v>
      </c>
      <c r="U383" s="38">
        <v>31</v>
      </c>
      <c r="V383" s="38">
        <v>83</v>
      </c>
      <c r="W383" s="38">
        <v>721</v>
      </c>
      <c r="X383" s="38">
        <v>35</v>
      </c>
      <c r="Y383" s="38">
        <v>25</v>
      </c>
      <c r="Z383" s="38"/>
      <c r="AA383" s="38">
        <f t="shared" si="68"/>
        <v>109</v>
      </c>
      <c r="AB383" s="39">
        <v>6.3623789999999998</v>
      </c>
      <c r="AC383" s="39">
        <v>0.27662520000000002</v>
      </c>
      <c r="AD383" s="39">
        <v>6.2240663999999999</v>
      </c>
      <c r="AE383" s="39">
        <v>37.206085799999997</v>
      </c>
      <c r="AF383" s="39">
        <v>45.781466100000003</v>
      </c>
      <c r="AG383" s="39">
        <v>4.0110650000000003</v>
      </c>
      <c r="AH383" s="39">
        <v>0.13831260000000001</v>
      </c>
      <c r="AI383" s="39"/>
      <c r="AJ383" s="39"/>
      <c r="AK383" s="39">
        <v>9.1633466000000006</v>
      </c>
      <c r="AL383" s="39">
        <v>1.6932271000000001</v>
      </c>
      <c r="AM383" s="39">
        <v>3.0876494000000001</v>
      </c>
      <c r="AN383" s="39">
        <v>8.2669323000000006</v>
      </c>
      <c r="AO383" s="39">
        <v>71.812748999999997</v>
      </c>
      <c r="AP383" s="39">
        <v>3.4860557999999999</v>
      </c>
      <c r="AQ383" s="39">
        <v>2.4900397999999999</v>
      </c>
      <c r="AR383" s="40">
        <f t="shared" si="66"/>
        <v>10.8565737</v>
      </c>
      <c r="AS383" s="40"/>
    </row>
    <row r="384" spans="2:45" ht="15" hidden="1" customHeight="1" x14ac:dyDescent="0.25">
      <c r="B384" s="35">
        <v>378</v>
      </c>
      <c r="C384" s="36" t="s">
        <v>31</v>
      </c>
      <c r="D384" s="36" t="s">
        <v>66</v>
      </c>
      <c r="E384" s="36" t="s">
        <v>142</v>
      </c>
      <c r="F384" s="36" t="s">
        <v>149</v>
      </c>
      <c r="G384" s="37" t="s">
        <v>26</v>
      </c>
      <c r="H384" s="38">
        <v>549</v>
      </c>
      <c r="I384" s="38">
        <v>1</v>
      </c>
      <c r="J384" s="38">
        <v>0</v>
      </c>
      <c r="K384" s="38">
        <v>10</v>
      </c>
      <c r="L384" s="38">
        <v>286</v>
      </c>
      <c r="M384" s="38">
        <v>224</v>
      </c>
      <c r="N384" s="38">
        <v>26</v>
      </c>
      <c r="O384" s="38">
        <v>2</v>
      </c>
      <c r="P384" s="38"/>
      <c r="Q384" s="38">
        <f>I384+J384</f>
        <v>1</v>
      </c>
      <c r="R384" s="38">
        <v>649</v>
      </c>
      <c r="S384" s="38">
        <v>6</v>
      </c>
      <c r="T384" s="38">
        <v>3</v>
      </c>
      <c r="U384" s="38">
        <v>10</v>
      </c>
      <c r="V384" s="38">
        <v>60</v>
      </c>
      <c r="W384" s="38">
        <v>509</v>
      </c>
      <c r="X384" s="38">
        <v>47</v>
      </c>
      <c r="Y384" s="38">
        <v>14</v>
      </c>
      <c r="Z384" s="38"/>
      <c r="AA384" s="38"/>
      <c r="AB384" s="39">
        <v>0.18214939999999999</v>
      </c>
      <c r="AC384" s="39">
        <v>0</v>
      </c>
      <c r="AD384" s="39">
        <v>1.8214935999999999</v>
      </c>
      <c r="AE384" s="39">
        <v>52.094717699999997</v>
      </c>
      <c r="AF384" s="39">
        <v>40.801457200000002</v>
      </c>
      <c r="AG384" s="39">
        <v>4.7358833999999996</v>
      </c>
      <c r="AH384" s="39">
        <v>0.36429869999999998</v>
      </c>
      <c r="AI384" s="39"/>
      <c r="AJ384" s="39"/>
      <c r="AK384" s="39">
        <v>0.92449919999999997</v>
      </c>
      <c r="AL384" s="39">
        <v>0.46224959999999998</v>
      </c>
      <c r="AM384" s="39">
        <v>1.540832</v>
      </c>
      <c r="AN384" s="39">
        <v>9.2449922999999998</v>
      </c>
      <c r="AO384" s="39">
        <v>78.428351300000003</v>
      </c>
      <c r="AP384" s="39">
        <v>7.2419105999999998</v>
      </c>
      <c r="AQ384" s="39">
        <v>2.1571649000000002</v>
      </c>
      <c r="AR384" s="40">
        <f t="shared" si="66"/>
        <v>1.3867487999999999</v>
      </c>
      <c r="AS384" s="40"/>
    </row>
    <row r="385" spans="2:45" ht="15" hidden="1" customHeight="1" x14ac:dyDescent="0.25">
      <c r="B385" s="30">
        <v>379</v>
      </c>
      <c r="C385" s="31" t="s">
        <v>29</v>
      </c>
      <c r="D385" s="50" t="s">
        <v>66</v>
      </c>
      <c r="E385" s="50" t="s">
        <v>150</v>
      </c>
      <c r="F385" s="50"/>
      <c r="G385" s="31" t="s">
        <v>150</v>
      </c>
      <c r="H385" s="32">
        <v>12376</v>
      </c>
      <c r="I385" s="32">
        <v>708</v>
      </c>
      <c r="J385" s="32">
        <v>1857</v>
      </c>
      <c r="K385" s="32">
        <v>3488</v>
      </c>
      <c r="L385" s="32">
        <v>927</v>
      </c>
      <c r="M385" s="32">
        <v>3243</v>
      </c>
      <c r="N385" s="32">
        <v>1434</v>
      </c>
      <c r="O385" s="32">
        <v>719</v>
      </c>
      <c r="P385" s="32"/>
      <c r="Q385" s="32"/>
      <c r="R385" s="32">
        <v>19289</v>
      </c>
      <c r="S385" s="32">
        <v>1842</v>
      </c>
      <c r="T385" s="32">
        <v>1916</v>
      </c>
      <c r="U385" s="32">
        <v>1929</v>
      </c>
      <c r="V385" s="32">
        <v>525</v>
      </c>
      <c r="W385" s="32">
        <v>10146</v>
      </c>
      <c r="X385" s="32">
        <v>1946</v>
      </c>
      <c r="Y385" s="32">
        <v>985</v>
      </c>
      <c r="Z385" s="32"/>
      <c r="AA385" s="32"/>
      <c r="AB385" s="33">
        <v>5.7207498000000001</v>
      </c>
      <c r="AC385" s="33">
        <v>15.0048481</v>
      </c>
      <c r="AD385" s="33">
        <v>28.183581100000001</v>
      </c>
      <c r="AE385" s="33">
        <v>7.4903038000000004</v>
      </c>
      <c r="AF385" s="33">
        <v>26.2039431</v>
      </c>
      <c r="AG385" s="33">
        <v>11.586942499999999</v>
      </c>
      <c r="AH385" s="33">
        <v>5.8096315000000001</v>
      </c>
      <c r="AI385" s="33"/>
      <c r="AJ385" s="33"/>
      <c r="AK385" s="33">
        <v>9.5494842000000002</v>
      </c>
      <c r="AL385" s="33">
        <v>9.9331224999999996</v>
      </c>
      <c r="AM385" s="33">
        <v>10.000518400000001</v>
      </c>
      <c r="AN385" s="33">
        <v>2.7217585</v>
      </c>
      <c r="AO385" s="33">
        <v>52.599927399999999</v>
      </c>
      <c r="AP385" s="33">
        <v>10.0886516</v>
      </c>
      <c r="AQ385" s="33">
        <v>5.1065373999999997</v>
      </c>
      <c r="AR385" s="34"/>
      <c r="AS385" s="34"/>
    </row>
    <row r="386" spans="2:45" ht="15" hidden="1" customHeight="1" x14ac:dyDescent="0.25">
      <c r="B386" s="35">
        <v>380</v>
      </c>
      <c r="C386" s="36" t="s">
        <v>29</v>
      </c>
      <c r="D386" s="36" t="s">
        <v>66</v>
      </c>
      <c r="E386" s="36" t="s">
        <v>150</v>
      </c>
      <c r="F386" s="36"/>
      <c r="G386" s="37" t="s">
        <v>25</v>
      </c>
      <c r="H386" s="38">
        <v>844</v>
      </c>
      <c r="I386" s="38">
        <v>147</v>
      </c>
      <c r="J386" s="38">
        <v>672</v>
      </c>
      <c r="K386" s="38">
        <v>8</v>
      </c>
      <c r="L386" s="38">
        <v>0</v>
      </c>
      <c r="M386" s="38">
        <v>7</v>
      </c>
      <c r="N386" s="38">
        <v>4</v>
      </c>
      <c r="O386" s="38">
        <v>6</v>
      </c>
      <c r="P386" s="38"/>
      <c r="Q386" s="38"/>
      <c r="R386" s="38">
        <v>2274</v>
      </c>
      <c r="S386" s="38">
        <v>742</v>
      </c>
      <c r="T386" s="38">
        <v>1193</v>
      </c>
      <c r="U386" s="38">
        <v>47</v>
      </c>
      <c r="V386" s="38">
        <v>2</v>
      </c>
      <c r="W386" s="38">
        <v>176</v>
      </c>
      <c r="X386" s="38">
        <v>54</v>
      </c>
      <c r="Y386" s="38">
        <v>60</v>
      </c>
      <c r="Z386" s="38"/>
      <c r="AA386" s="38"/>
      <c r="AB386" s="39">
        <v>17.4170616</v>
      </c>
      <c r="AC386" s="39">
        <v>79.620853100000005</v>
      </c>
      <c r="AD386" s="39">
        <v>0.94786729999999997</v>
      </c>
      <c r="AE386" s="39">
        <v>0</v>
      </c>
      <c r="AF386" s="39">
        <v>0.82938389999999995</v>
      </c>
      <c r="AG386" s="39">
        <v>0.47393360000000001</v>
      </c>
      <c r="AH386" s="39">
        <v>0.71090050000000005</v>
      </c>
      <c r="AI386" s="39"/>
      <c r="AJ386" s="39"/>
      <c r="AK386" s="39">
        <v>32.6297274</v>
      </c>
      <c r="AL386" s="39">
        <v>52.462620899999997</v>
      </c>
      <c r="AM386" s="39">
        <v>2.0668426000000002</v>
      </c>
      <c r="AN386" s="39">
        <v>8.7950700000000007E-2</v>
      </c>
      <c r="AO386" s="39">
        <v>7.7396658</v>
      </c>
      <c r="AP386" s="39">
        <v>2.3746702000000002</v>
      </c>
      <c r="AQ386" s="39">
        <v>2.6385223999999998</v>
      </c>
      <c r="AR386" s="40"/>
      <c r="AS386" s="40"/>
    </row>
    <row r="387" spans="2:45" ht="15" hidden="1" customHeight="1" x14ac:dyDescent="0.25">
      <c r="B387" s="35">
        <v>381</v>
      </c>
      <c r="C387" s="36" t="s">
        <v>29</v>
      </c>
      <c r="D387" s="36" t="s">
        <v>66</v>
      </c>
      <c r="E387" s="36" t="s">
        <v>150</v>
      </c>
      <c r="F387" s="36"/>
      <c r="G387" s="37" t="s">
        <v>26</v>
      </c>
      <c r="H387" s="38">
        <v>11532</v>
      </c>
      <c r="I387" s="38">
        <v>561</v>
      </c>
      <c r="J387" s="38">
        <v>1185</v>
      </c>
      <c r="K387" s="38">
        <v>3480</v>
      </c>
      <c r="L387" s="38">
        <v>927</v>
      </c>
      <c r="M387" s="38">
        <v>3236</v>
      </c>
      <c r="N387" s="38">
        <v>1430</v>
      </c>
      <c r="O387" s="38">
        <v>713</v>
      </c>
      <c r="P387" s="38"/>
      <c r="Q387" s="38"/>
      <c r="R387" s="38">
        <v>17015</v>
      </c>
      <c r="S387" s="38">
        <v>1100</v>
      </c>
      <c r="T387" s="38">
        <v>723</v>
      </c>
      <c r="U387" s="38">
        <v>1882</v>
      </c>
      <c r="V387" s="38">
        <v>523</v>
      </c>
      <c r="W387" s="38">
        <v>9970</v>
      </c>
      <c r="X387" s="38">
        <v>1892</v>
      </c>
      <c r="Y387" s="38">
        <v>925</v>
      </c>
      <c r="Z387" s="38"/>
      <c r="AA387" s="38"/>
      <c r="AB387" s="39">
        <v>4.8647242000000004</v>
      </c>
      <c r="AC387" s="39">
        <v>10.2757544</v>
      </c>
      <c r="AD387" s="39">
        <v>30.1768991</v>
      </c>
      <c r="AE387" s="39">
        <v>8.0385016</v>
      </c>
      <c r="AF387" s="39">
        <v>28.061047500000001</v>
      </c>
      <c r="AG387" s="39">
        <v>12.4002775</v>
      </c>
      <c r="AH387" s="39">
        <v>6.1827956999999998</v>
      </c>
      <c r="AI387" s="39"/>
      <c r="AJ387" s="39"/>
      <c r="AK387" s="39">
        <v>6.4648839000000002</v>
      </c>
      <c r="AL387" s="39">
        <v>4.2491918999999996</v>
      </c>
      <c r="AM387" s="39">
        <v>11.0608287</v>
      </c>
      <c r="AN387" s="39">
        <v>3.0737584</v>
      </c>
      <c r="AO387" s="39">
        <v>58.595357</v>
      </c>
      <c r="AP387" s="39">
        <v>11.119600399999999</v>
      </c>
      <c r="AQ387" s="39">
        <v>5.4363796999999998</v>
      </c>
      <c r="AR387" s="40"/>
      <c r="AS387" s="40"/>
    </row>
    <row r="388" spans="2:45" ht="15" customHeight="1" x14ac:dyDescent="0.25">
      <c r="B388" s="41">
        <v>382</v>
      </c>
      <c r="C388" s="42" t="s">
        <v>31</v>
      </c>
      <c r="D388" s="51" t="s">
        <v>66</v>
      </c>
      <c r="E388" s="51" t="s">
        <v>150</v>
      </c>
      <c r="F388" s="51" t="s">
        <v>151</v>
      </c>
      <c r="G388" s="52" t="s">
        <v>151</v>
      </c>
      <c r="H388" s="43">
        <v>6996</v>
      </c>
      <c r="I388" s="43">
        <v>480</v>
      </c>
      <c r="J388" s="43">
        <v>975</v>
      </c>
      <c r="K388" s="43">
        <v>1848</v>
      </c>
      <c r="L388" s="43">
        <v>292</v>
      </c>
      <c r="M388" s="43">
        <v>1960</v>
      </c>
      <c r="N388" s="43">
        <v>978</v>
      </c>
      <c r="O388" s="43">
        <v>463</v>
      </c>
      <c r="P388" s="44">
        <f>K388+L388+M388+N388+O388</f>
        <v>5541</v>
      </c>
      <c r="Q388" s="44">
        <f>I388+J388</f>
        <v>1455</v>
      </c>
      <c r="R388" s="43">
        <v>10376</v>
      </c>
      <c r="S388" s="43">
        <v>1249</v>
      </c>
      <c r="T388" s="43">
        <v>423</v>
      </c>
      <c r="U388" s="43">
        <v>712</v>
      </c>
      <c r="V388" s="43">
        <v>99</v>
      </c>
      <c r="W388" s="43">
        <v>5751</v>
      </c>
      <c r="X388" s="43">
        <v>1428</v>
      </c>
      <c r="Y388" s="43">
        <v>714</v>
      </c>
      <c r="Z388" s="45">
        <f>U388+V388+W388+X388+Y388</f>
        <v>8704</v>
      </c>
      <c r="AA388" s="45">
        <f>S388+T388</f>
        <v>1672</v>
      </c>
      <c r="AB388" s="46">
        <v>6.8610635000000002</v>
      </c>
      <c r="AC388" s="46">
        <v>13.9365352</v>
      </c>
      <c r="AD388" s="46">
        <v>26.4150943</v>
      </c>
      <c r="AE388" s="46">
        <v>4.1738135999999999</v>
      </c>
      <c r="AF388" s="46">
        <v>28.016009100000002</v>
      </c>
      <c r="AG388" s="46">
        <v>13.979416799999999</v>
      </c>
      <c r="AH388" s="46">
        <v>6.6180675000000004</v>
      </c>
      <c r="AI388" s="47">
        <f>AB388+AC388</f>
        <v>20.797598700000002</v>
      </c>
      <c r="AJ388" s="47">
        <f>AD388+AE388+AF388+AG388+AH388</f>
        <v>79.202401299999991</v>
      </c>
      <c r="AK388" s="46">
        <v>12.037394000000001</v>
      </c>
      <c r="AL388" s="46">
        <v>4.0767154999999997</v>
      </c>
      <c r="AM388" s="46">
        <v>6.8619892</v>
      </c>
      <c r="AN388" s="46">
        <v>0.95412490000000005</v>
      </c>
      <c r="AO388" s="46">
        <v>55.425983000000002</v>
      </c>
      <c r="AP388" s="46">
        <v>13.7625289</v>
      </c>
      <c r="AQ388" s="46">
        <v>6.8812645000000003</v>
      </c>
      <c r="AR388" s="48">
        <f>AK388+AL388</f>
        <v>16.114109500000001</v>
      </c>
      <c r="AS388" s="48">
        <f>AM388+AN388+AO388+AP388+AQ388</f>
        <v>83.885890500000002</v>
      </c>
    </row>
    <row r="389" spans="2:45" ht="15" hidden="1" customHeight="1" x14ac:dyDescent="0.25">
      <c r="B389" s="35">
        <v>383</v>
      </c>
      <c r="C389" s="36" t="s">
        <v>31</v>
      </c>
      <c r="D389" s="36" t="s">
        <v>66</v>
      </c>
      <c r="E389" s="36" t="s">
        <v>150</v>
      </c>
      <c r="F389" s="36" t="s">
        <v>151</v>
      </c>
      <c r="G389" s="37" t="s">
        <v>25</v>
      </c>
      <c r="H389" s="38">
        <v>844</v>
      </c>
      <c r="I389" s="38">
        <v>147</v>
      </c>
      <c r="J389" s="38">
        <v>672</v>
      </c>
      <c r="K389" s="38">
        <v>8</v>
      </c>
      <c r="L389" s="38">
        <v>0</v>
      </c>
      <c r="M389" s="38">
        <v>7</v>
      </c>
      <c r="N389" s="38">
        <v>4</v>
      </c>
      <c r="O389" s="38">
        <v>6</v>
      </c>
      <c r="P389" s="38"/>
      <c r="Q389" s="38"/>
      <c r="R389" s="38">
        <v>1091</v>
      </c>
      <c r="S389" s="38">
        <v>544</v>
      </c>
      <c r="T389" s="38">
        <v>313</v>
      </c>
      <c r="U389" s="38">
        <v>27</v>
      </c>
      <c r="V389" s="38">
        <v>2</v>
      </c>
      <c r="W389" s="38">
        <v>125</v>
      </c>
      <c r="X389" s="38">
        <v>40</v>
      </c>
      <c r="Y389" s="38">
        <v>40</v>
      </c>
      <c r="Z389" s="38"/>
      <c r="AA389" s="38"/>
      <c r="AB389" s="39">
        <v>17.4170616</v>
      </c>
      <c r="AC389" s="39">
        <v>79.620853100000005</v>
      </c>
      <c r="AD389" s="39">
        <v>0.94786729999999997</v>
      </c>
      <c r="AE389" s="39">
        <v>0</v>
      </c>
      <c r="AF389" s="39">
        <v>0.82938389999999995</v>
      </c>
      <c r="AG389" s="39">
        <v>0.47393360000000001</v>
      </c>
      <c r="AH389" s="39">
        <v>0.71090050000000005</v>
      </c>
      <c r="AI389" s="39"/>
      <c r="AJ389" s="39"/>
      <c r="AK389" s="39">
        <v>49.862511499999997</v>
      </c>
      <c r="AL389" s="39">
        <v>28.689275899999998</v>
      </c>
      <c r="AM389" s="39">
        <v>2.4747938</v>
      </c>
      <c r="AN389" s="39">
        <v>0.18331810000000001</v>
      </c>
      <c r="AO389" s="39">
        <v>11.4573786</v>
      </c>
      <c r="AP389" s="39">
        <v>3.6663611</v>
      </c>
      <c r="AQ389" s="39">
        <v>3.6663611</v>
      </c>
      <c r="AR389" s="40"/>
      <c r="AS389" s="40"/>
    </row>
    <row r="390" spans="2:45" ht="15" hidden="1" customHeight="1" x14ac:dyDescent="0.25">
      <c r="B390" s="35">
        <v>384</v>
      </c>
      <c r="C390" s="36" t="s">
        <v>31</v>
      </c>
      <c r="D390" s="36" t="s">
        <v>66</v>
      </c>
      <c r="E390" s="36" t="s">
        <v>150</v>
      </c>
      <c r="F390" s="36" t="s">
        <v>151</v>
      </c>
      <c r="G390" s="37" t="s">
        <v>26</v>
      </c>
      <c r="H390" s="38">
        <v>6152</v>
      </c>
      <c r="I390" s="38">
        <v>333</v>
      </c>
      <c r="J390" s="38">
        <v>303</v>
      </c>
      <c r="K390" s="38">
        <v>1840</v>
      </c>
      <c r="L390" s="38">
        <v>292</v>
      </c>
      <c r="M390" s="38">
        <v>1953</v>
      </c>
      <c r="N390" s="38">
        <v>974</v>
      </c>
      <c r="O390" s="38">
        <v>457</v>
      </c>
      <c r="P390" s="38"/>
      <c r="Q390" s="38"/>
      <c r="R390" s="38">
        <v>9285</v>
      </c>
      <c r="S390" s="38">
        <v>705</v>
      </c>
      <c r="T390" s="38">
        <v>110</v>
      </c>
      <c r="U390" s="38">
        <v>685</v>
      </c>
      <c r="V390" s="38">
        <v>97</v>
      </c>
      <c r="W390" s="38">
        <v>5626</v>
      </c>
      <c r="X390" s="38">
        <v>1388</v>
      </c>
      <c r="Y390" s="38">
        <v>674</v>
      </c>
      <c r="Z390" s="38"/>
      <c r="AA390" s="38"/>
      <c r="AB390" s="39">
        <v>5.4128739000000001</v>
      </c>
      <c r="AC390" s="39">
        <v>4.9252276000000004</v>
      </c>
      <c r="AD390" s="39">
        <v>29.9089727</v>
      </c>
      <c r="AE390" s="39">
        <v>4.7464238999999999</v>
      </c>
      <c r="AF390" s="39">
        <v>31.745773700000001</v>
      </c>
      <c r="AG390" s="39">
        <v>15.8322497</v>
      </c>
      <c r="AH390" s="39">
        <v>7.4284784999999998</v>
      </c>
      <c r="AI390" s="39"/>
      <c r="AJ390" s="39"/>
      <c r="AK390" s="39">
        <v>7.5928918000000003</v>
      </c>
      <c r="AL390" s="39">
        <v>1.1847065000000001</v>
      </c>
      <c r="AM390" s="39">
        <v>7.3774905999999998</v>
      </c>
      <c r="AN390" s="39">
        <v>1.0446956999999999</v>
      </c>
      <c r="AO390" s="39">
        <v>60.592353299999999</v>
      </c>
      <c r="AP390" s="39">
        <v>14.9488422</v>
      </c>
      <c r="AQ390" s="39">
        <v>7.2590199000000002</v>
      </c>
      <c r="AR390" s="40"/>
      <c r="AS390" s="40"/>
    </row>
    <row r="391" spans="2:45" ht="15" customHeight="1" x14ac:dyDescent="0.25">
      <c r="B391" s="41">
        <v>385</v>
      </c>
      <c r="C391" s="42" t="s">
        <v>31</v>
      </c>
      <c r="D391" s="51" t="s">
        <v>66</v>
      </c>
      <c r="E391" s="51" t="s">
        <v>150</v>
      </c>
      <c r="F391" s="51" t="s">
        <v>152</v>
      </c>
      <c r="G391" s="52" t="s">
        <v>152</v>
      </c>
      <c r="H391" s="43">
        <v>5380</v>
      </c>
      <c r="I391" s="43">
        <v>228</v>
      </c>
      <c r="J391" s="43">
        <v>882</v>
      </c>
      <c r="K391" s="43">
        <v>1640</v>
      </c>
      <c r="L391" s="43">
        <v>635</v>
      </c>
      <c r="M391" s="43">
        <v>1283</v>
      </c>
      <c r="N391" s="43">
        <v>456</v>
      </c>
      <c r="O391" s="43">
        <v>256</v>
      </c>
      <c r="P391" s="44">
        <f>K391+L391+M391+N391+O391</f>
        <v>4270</v>
      </c>
      <c r="Q391" s="44">
        <f>I391+J391</f>
        <v>1110</v>
      </c>
      <c r="R391" s="43">
        <v>8913</v>
      </c>
      <c r="S391" s="43">
        <v>593</v>
      </c>
      <c r="T391" s="43">
        <v>1493</v>
      </c>
      <c r="U391" s="43">
        <v>1217</v>
      </c>
      <c r="V391" s="43">
        <v>426</v>
      </c>
      <c r="W391" s="43">
        <v>4395</v>
      </c>
      <c r="X391" s="43">
        <v>518</v>
      </c>
      <c r="Y391" s="43">
        <v>271</v>
      </c>
      <c r="Z391" s="45">
        <f>U391+V391+W391+X391+Y391</f>
        <v>6827</v>
      </c>
      <c r="AA391" s="45">
        <f>S391+T391</f>
        <v>2086</v>
      </c>
      <c r="AB391" s="46">
        <v>4.2379182000000002</v>
      </c>
      <c r="AC391" s="46">
        <v>16.394051999999999</v>
      </c>
      <c r="AD391" s="46">
        <v>30.4832714</v>
      </c>
      <c r="AE391" s="46">
        <v>11.802974000000001</v>
      </c>
      <c r="AF391" s="46">
        <v>23.8475836</v>
      </c>
      <c r="AG391" s="46">
        <v>8.4758364000000004</v>
      </c>
      <c r="AH391" s="46">
        <v>4.7583643000000002</v>
      </c>
      <c r="AI391" s="47">
        <f>AB391+AC391</f>
        <v>20.631970199999998</v>
      </c>
      <c r="AJ391" s="47">
        <f>AD391+AE391+AF391+AG391+AH391</f>
        <v>79.368029699999994</v>
      </c>
      <c r="AK391" s="46">
        <v>6.6532032000000001</v>
      </c>
      <c r="AL391" s="46">
        <v>16.750813399999998</v>
      </c>
      <c r="AM391" s="46">
        <v>13.654212899999999</v>
      </c>
      <c r="AN391" s="46">
        <v>4.7795354999999997</v>
      </c>
      <c r="AO391" s="46">
        <v>49.309996599999998</v>
      </c>
      <c r="AP391" s="46">
        <v>5.8117356999999998</v>
      </c>
      <c r="AQ391" s="46">
        <v>3.0405025999999999</v>
      </c>
      <c r="AR391" s="48">
        <f>AK391+AL391</f>
        <v>23.404016599999999</v>
      </c>
      <c r="AS391" s="48">
        <f>AM391+AN391+AO391+AP391+AQ391</f>
        <v>76.595983299999986</v>
      </c>
    </row>
    <row r="392" spans="2:45" ht="15" hidden="1" customHeight="1" x14ac:dyDescent="0.25">
      <c r="B392" s="35">
        <v>386</v>
      </c>
      <c r="C392" s="36" t="s">
        <v>31</v>
      </c>
      <c r="D392" s="36" t="s">
        <v>66</v>
      </c>
      <c r="E392" s="36" t="s">
        <v>150</v>
      </c>
      <c r="F392" s="36" t="s">
        <v>152</v>
      </c>
      <c r="G392" s="37" t="s">
        <v>25</v>
      </c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>
        <v>1183</v>
      </c>
      <c r="S392" s="38">
        <v>198</v>
      </c>
      <c r="T392" s="38">
        <v>880</v>
      </c>
      <c r="U392" s="38">
        <v>20</v>
      </c>
      <c r="V392" s="38">
        <v>0</v>
      </c>
      <c r="W392" s="38">
        <v>51</v>
      </c>
      <c r="X392" s="38">
        <v>14</v>
      </c>
      <c r="Y392" s="38">
        <v>20</v>
      </c>
      <c r="Z392" s="38"/>
      <c r="AA392" s="38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>
        <v>16.737109</v>
      </c>
      <c r="AL392" s="39">
        <v>74.387151299999999</v>
      </c>
      <c r="AM392" s="39">
        <v>1.6906171000000001</v>
      </c>
      <c r="AN392" s="39">
        <v>0</v>
      </c>
      <c r="AO392" s="39">
        <v>4.3110735</v>
      </c>
      <c r="AP392" s="39">
        <v>1.183432</v>
      </c>
      <c r="AQ392" s="39">
        <v>1.6906171000000001</v>
      </c>
      <c r="AR392" s="40"/>
      <c r="AS392" s="40"/>
    </row>
    <row r="393" spans="2:45" ht="15" hidden="1" customHeight="1" x14ac:dyDescent="0.25">
      <c r="B393" s="35">
        <v>387</v>
      </c>
      <c r="C393" s="36" t="s">
        <v>31</v>
      </c>
      <c r="D393" s="36" t="s">
        <v>66</v>
      </c>
      <c r="E393" s="36" t="s">
        <v>150</v>
      </c>
      <c r="F393" s="36" t="s">
        <v>152</v>
      </c>
      <c r="G393" s="37" t="s">
        <v>26</v>
      </c>
      <c r="H393" s="38">
        <v>5380</v>
      </c>
      <c r="I393" s="38">
        <v>228</v>
      </c>
      <c r="J393" s="38">
        <v>882</v>
      </c>
      <c r="K393" s="38">
        <v>1640</v>
      </c>
      <c r="L393" s="38">
        <v>635</v>
      </c>
      <c r="M393" s="38">
        <v>1283</v>
      </c>
      <c r="N393" s="38">
        <v>456</v>
      </c>
      <c r="O393" s="38">
        <v>256</v>
      </c>
      <c r="P393" s="38"/>
      <c r="Q393" s="38"/>
      <c r="R393" s="38">
        <v>7730</v>
      </c>
      <c r="S393" s="38">
        <v>395</v>
      </c>
      <c r="T393" s="38">
        <v>613</v>
      </c>
      <c r="U393" s="38">
        <v>1197</v>
      </c>
      <c r="V393" s="38">
        <v>426</v>
      </c>
      <c r="W393" s="38">
        <v>4344</v>
      </c>
      <c r="X393" s="38">
        <v>504</v>
      </c>
      <c r="Y393" s="38">
        <v>251</v>
      </c>
      <c r="Z393" s="38"/>
      <c r="AA393" s="38"/>
      <c r="AB393" s="39">
        <v>4.2379182000000002</v>
      </c>
      <c r="AC393" s="39">
        <v>16.394051999999999</v>
      </c>
      <c r="AD393" s="39">
        <v>30.4832714</v>
      </c>
      <c r="AE393" s="39">
        <v>11.802974000000001</v>
      </c>
      <c r="AF393" s="39">
        <v>23.8475836</v>
      </c>
      <c r="AG393" s="39">
        <v>8.4758364000000004</v>
      </c>
      <c r="AH393" s="39">
        <v>4.7583643000000002</v>
      </c>
      <c r="AI393" s="39"/>
      <c r="AJ393" s="39"/>
      <c r="AK393" s="39">
        <v>5.1099611999999999</v>
      </c>
      <c r="AL393" s="39">
        <v>7.9301423</v>
      </c>
      <c r="AM393" s="39">
        <v>15.4851229</v>
      </c>
      <c r="AN393" s="39">
        <v>5.5109960999999998</v>
      </c>
      <c r="AO393" s="39">
        <v>56.196636499999997</v>
      </c>
      <c r="AP393" s="39">
        <v>6.5200516999999998</v>
      </c>
      <c r="AQ393" s="39">
        <v>3.2470892999999998</v>
      </c>
      <c r="AR393" s="40"/>
      <c r="AS393" s="40"/>
    </row>
    <row r="394" spans="2:45" ht="15" hidden="1" customHeight="1" x14ac:dyDescent="0.25">
      <c r="B394" s="30">
        <v>388</v>
      </c>
      <c r="C394" s="31" t="s">
        <v>29</v>
      </c>
      <c r="D394" s="50" t="s">
        <v>66</v>
      </c>
      <c r="E394" s="50" t="s">
        <v>153</v>
      </c>
      <c r="F394" s="50"/>
      <c r="G394" s="31" t="s">
        <v>153</v>
      </c>
      <c r="H394" s="32">
        <v>4275</v>
      </c>
      <c r="I394" s="32">
        <v>191</v>
      </c>
      <c r="J394" s="32">
        <v>659</v>
      </c>
      <c r="K394" s="32">
        <v>194</v>
      </c>
      <c r="L394" s="32">
        <v>267</v>
      </c>
      <c r="M394" s="32">
        <v>2195</v>
      </c>
      <c r="N394" s="32">
        <v>611</v>
      </c>
      <c r="O394" s="32">
        <v>158</v>
      </c>
      <c r="P394" s="32"/>
      <c r="Q394" s="32"/>
      <c r="R394" s="32">
        <v>6155</v>
      </c>
      <c r="S394" s="32">
        <v>399</v>
      </c>
      <c r="T394" s="32">
        <v>1861</v>
      </c>
      <c r="U394" s="32">
        <v>103</v>
      </c>
      <c r="V394" s="32">
        <v>43</v>
      </c>
      <c r="W394" s="32">
        <v>3147</v>
      </c>
      <c r="X394" s="32">
        <v>498</v>
      </c>
      <c r="Y394" s="32">
        <v>104</v>
      </c>
      <c r="Z394" s="32"/>
      <c r="AA394" s="32"/>
      <c r="AB394" s="33">
        <v>4.4678363000000001</v>
      </c>
      <c r="AC394" s="33">
        <v>15.4152047</v>
      </c>
      <c r="AD394" s="33">
        <v>4.5380117000000002</v>
      </c>
      <c r="AE394" s="33">
        <v>6.2456139999999998</v>
      </c>
      <c r="AF394" s="33">
        <v>51.345029199999999</v>
      </c>
      <c r="AG394" s="33">
        <v>14.2923977</v>
      </c>
      <c r="AH394" s="33">
        <v>3.6959064000000001</v>
      </c>
      <c r="AI394" s="33"/>
      <c r="AJ394" s="33"/>
      <c r="AK394" s="33">
        <v>6.4825344999999999</v>
      </c>
      <c r="AL394" s="33">
        <v>30.235580800000001</v>
      </c>
      <c r="AM394" s="33">
        <v>1.6734362</v>
      </c>
      <c r="AN394" s="33">
        <v>0.69861899999999999</v>
      </c>
      <c r="AO394" s="33">
        <v>51.129163300000002</v>
      </c>
      <c r="AP394" s="33">
        <v>8.0909829000000002</v>
      </c>
      <c r="AQ394" s="33">
        <v>1.6896831999999999</v>
      </c>
      <c r="AR394" s="34"/>
      <c r="AS394" s="34"/>
    </row>
    <row r="395" spans="2:45" ht="15" hidden="1" customHeight="1" x14ac:dyDescent="0.25">
      <c r="B395" s="35">
        <v>389</v>
      </c>
      <c r="C395" s="36" t="s">
        <v>29</v>
      </c>
      <c r="D395" s="36" t="s">
        <v>66</v>
      </c>
      <c r="E395" s="36" t="s">
        <v>153</v>
      </c>
      <c r="F395" s="36"/>
      <c r="G395" s="37" t="s">
        <v>25</v>
      </c>
      <c r="H395" s="38">
        <v>1827</v>
      </c>
      <c r="I395" s="38">
        <v>103</v>
      </c>
      <c r="J395" s="38">
        <v>627</v>
      </c>
      <c r="K395" s="38">
        <v>84</v>
      </c>
      <c r="L395" s="38">
        <v>175</v>
      </c>
      <c r="M395" s="38">
        <v>644</v>
      </c>
      <c r="N395" s="38">
        <v>147</v>
      </c>
      <c r="O395" s="38">
        <v>47</v>
      </c>
      <c r="P395" s="38"/>
      <c r="Q395" s="38"/>
      <c r="R395" s="38">
        <v>2499</v>
      </c>
      <c r="S395" s="38">
        <v>306</v>
      </c>
      <c r="T395" s="38">
        <v>1371</v>
      </c>
      <c r="U395" s="38">
        <v>23</v>
      </c>
      <c r="V395" s="38">
        <v>16</v>
      </c>
      <c r="W395" s="38">
        <v>705</v>
      </c>
      <c r="X395" s="38">
        <v>56</v>
      </c>
      <c r="Y395" s="38">
        <v>22</v>
      </c>
      <c r="Z395" s="38"/>
      <c r="AA395" s="38"/>
      <c r="AB395" s="39">
        <v>5.6376574000000002</v>
      </c>
      <c r="AC395" s="39">
        <v>34.318555000000003</v>
      </c>
      <c r="AD395" s="39">
        <v>4.5977011000000001</v>
      </c>
      <c r="AE395" s="39">
        <v>9.5785441000000002</v>
      </c>
      <c r="AF395" s="39">
        <v>35.249042099999997</v>
      </c>
      <c r="AG395" s="39">
        <v>8.0459770000000006</v>
      </c>
      <c r="AH395" s="39">
        <v>2.5725232999999998</v>
      </c>
      <c r="AI395" s="39"/>
      <c r="AJ395" s="39"/>
      <c r="AK395" s="39">
        <v>12.244897999999999</v>
      </c>
      <c r="AL395" s="39">
        <v>54.861944800000003</v>
      </c>
      <c r="AM395" s="39">
        <v>0.92036810000000002</v>
      </c>
      <c r="AN395" s="39">
        <v>0.64025609999999999</v>
      </c>
      <c r="AO395" s="39">
        <v>28.211284500000001</v>
      </c>
      <c r="AP395" s="39">
        <v>2.2408964</v>
      </c>
      <c r="AQ395" s="39">
        <v>0.88035209999999997</v>
      </c>
      <c r="AR395" s="40"/>
      <c r="AS395" s="40"/>
    </row>
    <row r="396" spans="2:45" ht="15" hidden="1" customHeight="1" x14ac:dyDescent="0.25">
      <c r="B396" s="35">
        <v>390</v>
      </c>
      <c r="C396" s="36" t="s">
        <v>29</v>
      </c>
      <c r="D396" s="36" t="s">
        <v>66</v>
      </c>
      <c r="E396" s="36" t="s">
        <v>153</v>
      </c>
      <c r="F396" s="36"/>
      <c r="G396" s="37" t="s">
        <v>26</v>
      </c>
      <c r="H396" s="38">
        <v>2448</v>
      </c>
      <c r="I396" s="38">
        <v>88</v>
      </c>
      <c r="J396" s="38">
        <v>32</v>
      </c>
      <c r="K396" s="38">
        <v>110</v>
      </c>
      <c r="L396" s="38">
        <v>92</v>
      </c>
      <c r="M396" s="38">
        <v>1551</v>
      </c>
      <c r="N396" s="38">
        <v>464</v>
      </c>
      <c r="O396" s="38">
        <v>111</v>
      </c>
      <c r="P396" s="38"/>
      <c r="Q396" s="38"/>
      <c r="R396" s="38">
        <v>3656</v>
      </c>
      <c r="S396" s="38">
        <v>93</v>
      </c>
      <c r="T396" s="38">
        <v>490</v>
      </c>
      <c r="U396" s="38">
        <v>80</v>
      </c>
      <c r="V396" s="38">
        <v>27</v>
      </c>
      <c r="W396" s="38">
        <v>2442</v>
      </c>
      <c r="X396" s="38">
        <v>442</v>
      </c>
      <c r="Y396" s="38">
        <v>82</v>
      </c>
      <c r="Z396" s="38"/>
      <c r="AA396" s="38"/>
      <c r="AB396" s="39">
        <v>3.5947711999999998</v>
      </c>
      <c r="AC396" s="39">
        <v>1.3071895</v>
      </c>
      <c r="AD396" s="39">
        <v>4.4934640999999997</v>
      </c>
      <c r="AE396" s="39">
        <v>3.7581699</v>
      </c>
      <c r="AF396" s="39">
        <v>63.357843099999997</v>
      </c>
      <c r="AG396" s="39">
        <v>18.954248400000001</v>
      </c>
      <c r="AH396" s="39">
        <v>4.5343137000000002</v>
      </c>
      <c r="AI396" s="39"/>
      <c r="AJ396" s="39"/>
      <c r="AK396" s="39">
        <v>2.5437637</v>
      </c>
      <c r="AL396" s="39">
        <v>13.402625799999999</v>
      </c>
      <c r="AM396" s="39">
        <v>2.1881838</v>
      </c>
      <c r="AN396" s="39">
        <v>0.73851199999999995</v>
      </c>
      <c r="AO396" s="39">
        <v>66.794310699999997</v>
      </c>
      <c r="AP396" s="39">
        <v>12.089715500000001</v>
      </c>
      <c r="AQ396" s="39">
        <v>2.2428884</v>
      </c>
      <c r="AR396" s="40"/>
      <c r="AS396" s="40"/>
    </row>
    <row r="397" spans="2:45" ht="15" customHeight="1" x14ac:dyDescent="0.25">
      <c r="B397" s="41">
        <v>391</v>
      </c>
      <c r="C397" s="42" t="s">
        <v>31</v>
      </c>
      <c r="D397" s="51" t="s">
        <v>66</v>
      </c>
      <c r="E397" s="51" t="s">
        <v>153</v>
      </c>
      <c r="F397" s="51" t="s">
        <v>154</v>
      </c>
      <c r="G397" s="52" t="s">
        <v>154</v>
      </c>
      <c r="H397" s="43">
        <v>2270</v>
      </c>
      <c r="I397" s="43">
        <v>95</v>
      </c>
      <c r="J397" s="43">
        <v>509</v>
      </c>
      <c r="K397" s="43">
        <v>72</v>
      </c>
      <c r="L397" s="43">
        <v>57</v>
      </c>
      <c r="M397" s="43">
        <v>1121</v>
      </c>
      <c r="N397" s="43">
        <v>362</v>
      </c>
      <c r="O397" s="43">
        <v>54</v>
      </c>
      <c r="P397" s="44">
        <f>K397+L397+M397+N397+O397</f>
        <v>1666</v>
      </c>
      <c r="Q397" s="44">
        <f>I397+J397</f>
        <v>604</v>
      </c>
      <c r="R397" s="43">
        <v>3306</v>
      </c>
      <c r="S397" s="43">
        <v>156</v>
      </c>
      <c r="T397" s="43">
        <v>588</v>
      </c>
      <c r="U397" s="43">
        <v>42</v>
      </c>
      <c r="V397" s="43">
        <v>18</v>
      </c>
      <c r="W397" s="43">
        <v>2126</v>
      </c>
      <c r="X397" s="43">
        <v>311</v>
      </c>
      <c r="Y397" s="43">
        <v>65</v>
      </c>
      <c r="Z397" s="45">
        <f>U397+V397+W397+X397+Y397</f>
        <v>2562</v>
      </c>
      <c r="AA397" s="45">
        <f>S397+T397</f>
        <v>744</v>
      </c>
      <c r="AB397" s="46">
        <v>4.185022</v>
      </c>
      <c r="AC397" s="46">
        <v>22.422907500000001</v>
      </c>
      <c r="AD397" s="46">
        <v>3.1718061999999998</v>
      </c>
      <c r="AE397" s="46">
        <v>2.5110131999999998</v>
      </c>
      <c r="AF397" s="46">
        <v>49.383259899999999</v>
      </c>
      <c r="AG397" s="46">
        <v>15.9471366</v>
      </c>
      <c r="AH397" s="46">
        <v>2.3788545999999999</v>
      </c>
      <c r="AI397" s="47">
        <f>AB397+AC397</f>
        <v>26.607929500000001</v>
      </c>
      <c r="AJ397" s="47">
        <f>AD397+AE397+AF397+AG397+AH397</f>
        <v>73.392070500000003</v>
      </c>
      <c r="AK397" s="46">
        <v>4.7186933</v>
      </c>
      <c r="AL397" s="46">
        <v>17.7858439</v>
      </c>
      <c r="AM397" s="46">
        <v>1.2704173999999999</v>
      </c>
      <c r="AN397" s="46">
        <v>0.54446459999999997</v>
      </c>
      <c r="AO397" s="46">
        <v>64.307320000000004</v>
      </c>
      <c r="AP397" s="46">
        <v>9.4071385000000003</v>
      </c>
      <c r="AQ397" s="46">
        <v>1.9661222</v>
      </c>
      <c r="AR397" s="48">
        <f>AK397+AL397</f>
        <v>22.504537200000001</v>
      </c>
      <c r="AS397" s="48">
        <f>AM397+AN397+AO397+AP397+AQ397</f>
        <v>77.495462700000004</v>
      </c>
    </row>
    <row r="398" spans="2:45" ht="15" hidden="1" customHeight="1" x14ac:dyDescent="0.25">
      <c r="B398" s="35">
        <v>392</v>
      </c>
      <c r="C398" s="36" t="s">
        <v>31</v>
      </c>
      <c r="D398" s="36" t="s">
        <v>66</v>
      </c>
      <c r="E398" s="36" t="s">
        <v>153</v>
      </c>
      <c r="F398" s="36" t="s">
        <v>154</v>
      </c>
      <c r="G398" s="37" t="s">
        <v>25</v>
      </c>
      <c r="H398" s="38">
        <v>985</v>
      </c>
      <c r="I398" s="38">
        <v>61</v>
      </c>
      <c r="J398" s="38">
        <v>501</v>
      </c>
      <c r="K398" s="38">
        <v>23</v>
      </c>
      <c r="L398" s="38">
        <v>3</v>
      </c>
      <c r="M398" s="38">
        <v>328</v>
      </c>
      <c r="N398" s="38">
        <v>59</v>
      </c>
      <c r="O398" s="38">
        <v>10</v>
      </c>
      <c r="P398" s="38"/>
      <c r="Q398" s="38"/>
      <c r="R398" s="38">
        <v>1343</v>
      </c>
      <c r="S398" s="38">
        <v>132</v>
      </c>
      <c r="T398" s="38">
        <v>585</v>
      </c>
      <c r="U398" s="38">
        <v>8</v>
      </c>
      <c r="V398" s="38">
        <v>0</v>
      </c>
      <c r="W398" s="38">
        <v>567</v>
      </c>
      <c r="X398" s="38">
        <v>37</v>
      </c>
      <c r="Y398" s="38">
        <v>14</v>
      </c>
      <c r="Z398" s="38"/>
      <c r="AA398" s="38"/>
      <c r="AB398" s="39">
        <v>6.1928934</v>
      </c>
      <c r="AC398" s="39">
        <v>50.862944200000001</v>
      </c>
      <c r="AD398" s="39">
        <v>2.3350254000000001</v>
      </c>
      <c r="AE398" s="39">
        <v>0.30456850000000002</v>
      </c>
      <c r="AF398" s="39">
        <v>33.299492399999998</v>
      </c>
      <c r="AG398" s="39">
        <v>5.9898477000000003</v>
      </c>
      <c r="AH398" s="39">
        <v>1.0152284</v>
      </c>
      <c r="AI398" s="39"/>
      <c r="AJ398" s="39"/>
      <c r="AK398" s="39">
        <v>9.8287416000000007</v>
      </c>
      <c r="AL398" s="39">
        <v>43.559195799999998</v>
      </c>
      <c r="AM398" s="39">
        <v>0.59568129999999997</v>
      </c>
      <c r="AN398" s="39">
        <v>0</v>
      </c>
      <c r="AO398" s="39">
        <v>42.218912899999999</v>
      </c>
      <c r="AP398" s="39">
        <v>2.7550260999999998</v>
      </c>
      <c r="AQ398" s="39">
        <v>1.0424423</v>
      </c>
      <c r="AR398" s="40"/>
      <c r="AS398" s="40"/>
    </row>
    <row r="399" spans="2:45" ht="15" hidden="1" customHeight="1" x14ac:dyDescent="0.25">
      <c r="B399" s="35">
        <v>393</v>
      </c>
      <c r="C399" s="36" t="s">
        <v>31</v>
      </c>
      <c r="D399" s="36" t="s">
        <v>66</v>
      </c>
      <c r="E399" s="36" t="s">
        <v>153</v>
      </c>
      <c r="F399" s="36" t="s">
        <v>154</v>
      </c>
      <c r="G399" s="37" t="s">
        <v>26</v>
      </c>
      <c r="H399" s="38">
        <v>1285</v>
      </c>
      <c r="I399" s="38">
        <v>34</v>
      </c>
      <c r="J399" s="38">
        <v>8</v>
      </c>
      <c r="K399" s="38">
        <v>49</v>
      </c>
      <c r="L399" s="38">
        <v>54</v>
      </c>
      <c r="M399" s="38">
        <v>793</v>
      </c>
      <c r="N399" s="38">
        <v>303</v>
      </c>
      <c r="O399" s="38">
        <v>44</v>
      </c>
      <c r="P399" s="38"/>
      <c r="Q399" s="38"/>
      <c r="R399" s="38">
        <v>1963</v>
      </c>
      <c r="S399" s="38">
        <v>24</v>
      </c>
      <c r="T399" s="38">
        <v>3</v>
      </c>
      <c r="U399" s="38">
        <v>34</v>
      </c>
      <c r="V399" s="38">
        <v>18</v>
      </c>
      <c r="W399" s="38">
        <v>1559</v>
      </c>
      <c r="X399" s="38">
        <v>274</v>
      </c>
      <c r="Y399" s="38">
        <v>51</v>
      </c>
      <c r="Z399" s="38"/>
      <c r="AA399" s="38"/>
      <c r="AB399" s="39">
        <v>2.6459144000000001</v>
      </c>
      <c r="AC399" s="39">
        <v>0.62256809999999996</v>
      </c>
      <c r="AD399" s="39">
        <v>3.8132296000000001</v>
      </c>
      <c r="AE399" s="39">
        <v>4.2023346000000004</v>
      </c>
      <c r="AF399" s="39">
        <v>61.712062299999999</v>
      </c>
      <c r="AG399" s="39">
        <v>23.579766500000002</v>
      </c>
      <c r="AH399" s="39">
        <v>3.4241245</v>
      </c>
      <c r="AI399" s="39"/>
      <c r="AJ399" s="39"/>
      <c r="AK399" s="39">
        <v>1.2226184</v>
      </c>
      <c r="AL399" s="39">
        <v>0.1528273</v>
      </c>
      <c r="AM399" s="39">
        <v>1.7320428000000001</v>
      </c>
      <c r="AN399" s="39">
        <v>0.9169638</v>
      </c>
      <c r="AO399" s="39">
        <v>79.419256200000007</v>
      </c>
      <c r="AP399" s="39">
        <v>13.9582272</v>
      </c>
      <c r="AQ399" s="39">
        <v>2.5980642</v>
      </c>
      <c r="AR399" s="40"/>
      <c r="AS399" s="40"/>
    </row>
    <row r="400" spans="2:45" ht="15" customHeight="1" x14ac:dyDescent="0.25">
      <c r="B400" s="41">
        <v>394</v>
      </c>
      <c r="C400" s="42" t="s">
        <v>31</v>
      </c>
      <c r="D400" s="51" t="s">
        <v>66</v>
      </c>
      <c r="E400" s="51" t="s">
        <v>153</v>
      </c>
      <c r="F400" s="51" t="s">
        <v>155</v>
      </c>
      <c r="G400" s="52" t="s">
        <v>155</v>
      </c>
      <c r="H400" s="43">
        <v>2005</v>
      </c>
      <c r="I400" s="43">
        <v>96</v>
      </c>
      <c r="J400" s="43">
        <v>150</v>
      </c>
      <c r="K400" s="43">
        <v>122</v>
      </c>
      <c r="L400" s="43">
        <v>210</v>
      </c>
      <c r="M400" s="43">
        <v>1074</v>
      </c>
      <c r="N400" s="43">
        <v>249</v>
      </c>
      <c r="O400" s="43">
        <v>104</v>
      </c>
      <c r="P400" s="44">
        <f>K400+L400+M400+N400+O400</f>
        <v>1759</v>
      </c>
      <c r="Q400" s="44">
        <f>I400+J400</f>
        <v>246</v>
      </c>
      <c r="R400" s="43">
        <v>2849</v>
      </c>
      <c r="S400" s="43">
        <v>243</v>
      </c>
      <c r="T400" s="43">
        <v>1273</v>
      </c>
      <c r="U400" s="43">
        <v>61</v>
      </c>
      <c r="V400" s="43">
        <v>25</v>
      </c>
      <c r="W400" s="43">
        <v>1021</v>
      </c>
      <c r="X400" s="43">
        <v>187</v>
      </c>
      <c r="Y400" s="43">
        <v>39</v>
      </c>
      <c r="Z400" s="45">
        <f>U400+V400+W400+X400+Y400</f>
        <v>1333</v>
      </c>
      <c r="AA400" s="45">
        <f>S400+T400</f>
        <v>1516</v>
      </c>
      <c r="AB400" s="46">
        <v>4.7880298999999997</v>
      </c>
      <c r="AC400" s="46">
        <v>7.4812968</v>
      </c>
      <c r="AD400" s="46">
        <v>6.0847879999999996</v>
      </c>
      <c r="AE400" s="46">
        <v>10.473815500000001</v>
      </c>
      <c r="AF400" s="46">
        <v>53.566084799999999</v>
      </c>
      <c r="AG400" s="46">
        <v>12.418952600000001</v>
      </c>
      <c r="AH400" s="46">
        <v>5.1870323999999997</v>
      </c>
      <c r="AI400" s="47">
        <f>AB400+AC400</f>
        <v>12.269326700000001</v>
      </c>
      <c r="AJ400" s="47">
        <f>AD400+AE400+AF400+AG400+AH400</f>
        <v>87.730673300000007</v>
      </c>
      <c r="AK400" s="46">
        <v>8.5293085000000008</v>
      </c>
      <c r="AL400" s="46">
        <v>44.682344700000002</v>
      </c>
      <c r="AM400" s="46">
        <v>2.1411020999999999</v>
      </c>
      <c r="AN400" s="46">
        <v>0.87750090000000003</v>
      </c>
      <c r="AO400" s="46">
        <v>35.837135799999999</v>
      </c>
      <c r="AP400" s="46">
        <v>6.5637065999999997</v>
      </c>
      <c r="AQ400" s="46">
        <v>1.3689013999999999</v>
      </c>
      <c r="AR400" s="48">
        <f>AK400+AL400</f>
        <v>53.211653200000001</v>
      </c>
      <c r="AS400" s="48">
        <f>AM400+AN400+AO400+AP400+AQ400</f>
        <v>46.788346799999999</v>
      </c>
    </row>
    <row r="401" spans="2:45" ht="15" hidden="1" customHeight="1" x14ac:dyDescent="0.25">
      <c r="B401" s="35">
        <v>395</v>
      </c>
      <c r="C401" s="36" t="s">
        <v>31</v>
      </c>
      <c r="D401" s="36" t="s">
        <v>66</v>
      </c>
      <c r="E401" s="36" t="s">
        <v>153</v>
      </c>
      <c r="F401" s="36" t="s">
        <v>155</v>
      </c>
      <c r="G401" s="37" t="s">
        <v>25</v>
      </c>
      <c r="H401" s="38">
        <v>842</v>
      </c>
      <c r="I401" s="38">
        <v>42</v>
      </c>
      <c r="J401" s="38">
        <v>126</v>
      </c>
      <c r="K401" s="38">
        <v>61</v>
      </c>
      <c r="L401" s="38">
        <v>172</v>
      </c>
      <c r="M401" s="38">
        <v>316</v>
      </c>
      <c r="N401" s="38">
        <v>88</v>
      </c>
      <c r="O401" s="38">
        <v>37</v>
      </c>
      <c r="P401" s="38"/>
      <c r="Q401" s="38"/>
      <c r="R401" s="38">
        <v>1156</v>
      </c>
      <c r="S401" s="38">
        <v>174</v>
      </c>
      <c r="T401" s="38">
        <v>786</v>
      </c>
      <c r="U401" s="38">
        <v>15</v>
      </c>
      <c r="V401" s="38">
        <v>16</v>
      </c>
      <c r="W401" s="38">
        <v>138</v>
      </c>
      <c r="X401" s="38">
        <v>19</v>
      </c>
      <c r="Y401" s="38">
        <v>8</v>
      </c>
      <c r="Z401" s="38"/>
      <c r="AA401" s="38"/>
      <c r="AB401" s="39">
        <v>4.9881235000000004</v>
      </c>
      <c r="AC401" s="39">
        <v>14.964370499999999</v>
      </c>
      <c r="AD401" s="39">
        <v>7.2446555999999998</v>
      </c>
      <c r="AE401" s="39">
        <v>20.427553400000001</v>
      </c>
      <c r="AF401" s="39">
        <v>37.529691200000002</v>
      </c>
      <c r="AG401" s="39">
        <v>10.4513064</v>
      </c>
      <c r="AH401" s="39">
        <v>4.3942993000000001</v>
      </c>
      <c r="AI401" s="39"/>
      <c r="AJ401" s="39"/>
      <c r="AK401" s="39">
        <v>15.051903100000001</v>
      </c>
      <c r="AL401" s="39">
        <v>67.993079600000002</v>
      </c>
      <c r="AM401" s="39">
        <v>1.2975779000000001</v>
      </c>
      <c r="AN401" s="39">
        <v>1.384083</v>
      </c>
      <c r="AO401" s="39">
        <v>11.9377163</v>
      </c>
      <c r="AP401" s="39">
        <v>1.6435986</v>
      </c>
      <c r="AQ401" s="39">
        <v>0.69204149999999998</v>
      </c>
      <c r="AR401" s="40"/>
      <c r="AS401" s="40"/>
    </row>
    <row r="402" spans="2:45" ht="15" hidden="1" customHeight="1" x14ac:dyDescent="0.25">
      <c r="B402" s="35">
        <v>396</v>
      </c>
      <c r="C402" s="36" t="s">
        <v>31</v>
      </c>
      <c r="D402" s="36" t="s">
        <v>66</v>
      </c>
      <c r="E402" s="36" t="s">
        <v>153</v>
      </c>
      <c r="F402" s="36" t="s">
        <v>155</v>
      </c>
      <c r="G402" s="37" t="s">
        <v>26</v>
      </c>
      <c r="H402" s="38">
        <v>1163</v>
      </c>
      <c r="I402" s="38">
        <v>54</v>
      </c>
      <c r="J402" s="38">
        <v>24</v>
      </c>
      <c r="K402" s="38">
        <v>61</v>
      </c>
      <c r="L402" s="38">
        <v>38</v>
      </c>
      <c r="M402" s="38">
        <v>758</v>
      </c>
      <c r="N402" s="38">
        <v>161</v>
      </c>
      <c r="O402" s="38">
        <v>67</v>
      </c>
      <c r="P402" s="38"/>
      <c r="Q402" s="38"/>
      <c r="R402" s="38">
        <v>1693</v>
      </c>
      <c r="S402" s="38">
        <v>69</v>
      </c>
      <c r="T402" s="38">
        <v>487</v>
      </c>
      <c r="U402" s="38">
        <v>46</v>
      </c>
      <c r="V402" s="38">
        <v>9</v>
      </c>
      <c r="W402" s="38">
        <v>883</v>
      </c>
      <c r="X402" s="38">
        <v>168</v>
      </c>
      <c r="Y402" s="38">
        <v>31</v>
      </c>
      <c r="Z402" s="38"/>
      <c r="AA402" s="38"/>
      <c r="AB402" s="39">
        <v>4.6431642000000002</v>
      </c>
      <c r="AC402" s="39">
        <v>2.0636285000000001</v>
      </c>
      <c r="AD402" s="39">
        <v>5.2450558999999997</v>
      </c>
      <c r="AE402" s="39">
        <v>3.2674118999999999</v>
      </c>
      <c r="AF402" s="39">
        <v>65.176268300000004</v>
      </c>
      <c r="AG402" s="39">
        <v>13.8435082</v>
      </c>
      <c r="AH402" s="39">
        <v>5.7609630000000003</v>
      </c>
      <c r="AI402" s="39"/>
      <c r="AJ402" s="39"/>
      <c r="AK402" s="39">
        <v>4.0756053999999997</v>
      </c>
      <c r="AL402" s="39">
        <v>28.765505000000001</v>
      </c>
      <c r="AM402" s="39">
        <v>2.7170703</v>
      </c>
      <c r="AN402" s="39">
        <v>0.53160070000000004</v>
      </c>
      <c r="AO402" s="39">
        <v>52.155936199999999</v>
      </c>
      <c r="AP402" s="39">
        <v>9.9232131999999993</v>
      </c>
      <c r="AQ402" s="39">
        <v>1.8310690999999999</v>
      </c>
      <c r="AR402" s="40"/>
      <c r="AS402" s="40"/>
    </row>
    <row r="403" spans="2:45" ht="15" hidden="1" customHeight="1" x14ac:dyDescent="0.25">
      <c r="B403" s="30">
        <v>397</v>
      </c>
      <c r="C403" s="31" t="s">
        <v>29</v>
      </c>
      <c r="D403" s="50" t="s">
        <v>66</v>
      </c>
      <c r="E403" s="50" t="s">
        <v>156</v>
      </c>
      <c r="F403" s="50"/>
      <c r="G403" s="31" t="s">
        <v>156</v>
      </c>
      <c r="H403" s="32">
        <v>4532</v>
      </c>
      <c r="I403" s="32">
        <v>549</v>
      </c>
      <c r="J403" s="32">
        <v>17</v>
      </c>
      <c r="K403" s="32">
        <v>1089</v>
      </c>
      <c r="L403" s="32">
        <v>296</v>
      </c>
      <c r="M403" s="32">
        <v>1637</v>
      </c>
      <c r="N403" s="32">
        <v>670</v>
      </c>
      <c r="O403" s="32">
        <v>274</v>
      </c>
      <c r="P403" s="32"/>
      <c r="Q403" s="32"/>
      <c r="R403" s="32">
        <v>6678</v>
      </c>
      <c r="S403" s="32">
        <v>1431</v>
      </c>
      <c r="T403" s="32">
        <v>230</v>
      </c>
      <c r="U403" s="32">
        <v>499</v>
      </c>
      <c r="V403" s="32">
        <v>103</v>
      </c>
      <c r="W403" s="32">
        <v>3025</v>
      </c>
      <c r="X403" s="32">
        <v>1179</v>
      </c>
      <c r="Y403" s="32">
        <v>211</v>
      </c>
      <c r="Z403" s="32"/>
      <c r="AA403" s="32"/>
      <c r="AB403" s="33">
        <v>12.113856999999999</v>
      </c>
      <c r="AC403" s="33">
        <v>0.37511030000000001</v>
      </c>
      <c r="AD403" s="33">
        <v>24.0291262</v>
      </c>
      <c r="AE403" s="33">
        <v>6.5313327000000001</v>
      </c>
      <c r="AF403" s="33">
        <v>36.120917900000002</v>
      </c>
      <c r="AG403" s="33">
        <v>14.7837599</v>
      </c>
      <c r="AH403" s="33">
        <v>6.0458958999999997</v>
      </c>
      <c r="AI403" s="33"/>
      <c r="AJ403" s="33"/>
      <c r="AK403" s="33">
        <v>21.428571399999999</v>
      </c>
      <c r="AL403" s="33">
        <v>3.4441449999999998</v>
      </c>
      <c r="AM403" s="33">
        <v>7.4722970999999996</v>
      </c>
      <c r="AN403" s="33">
        <v>1.542378</v>
      </c>
      <c r="AO403" s="33">
        <v>45.297993400000003</v>
      </c>
      <c r="AP403" s="33">
        <v>17.6549865</v>
      </c>
      <c r="AQ403" s="33">
        <v>3.1596286</v>
      </c>
      <c r="AR403" s="34"/>
      <c r="AS403" s="34"/>
    </row>
    <row r="404" spans="2:45" ht="15" hidden="1" customHeight="1" x14ac:dyDescent="0.25">
      <c r="B404" s="35">
        <v>398</v>
      </c>
      <c r="C404" s="36" t="s">
        <v>29</v>
      </c>
      <c r="D404" s="36" t="s">
        <v>66</v>
      </c>
      <c r="E404" s="36" t="s">
        <v>156</v>
      </c>
      <c r="F404" s="36"/>
      <c r="G404" s="37" t="s">
        <v>25</v>
      </c>
      <c r="H404" s="38">
        <v>634</v>
      </c>
      <c r="I404" s="38">
        <v>30</v>
      </c>
      <c r="J404" s="38">
        <v>2</v>
      </c>
      <c r="K404" s="38">
        <v>332</v>
      </c>
      <c r="L404" s="38">
        <v>12</v>
      </c>
      <c r="M404" s="38">
        <v>221</v>
      </c>
      <c r="N404" s="38">
        <v>8</v>
      </c>
      <c r="O404" s="38">
        <v>29</v>
      </c>
      <c r="P404" s="38"/>
      <c r="Q404" s="38"/>
      <c r="R404" s="38">
        <v>759</v>
      </c>
      <c r="S404" s="38">
        <v>142</v>
      </c>
      <c r="T404" s="38">
        <v>137</v>
      </c>
      <c r="U404" s="38">
        <v>135</v>
      </c>
      <c r="V404" s="38">
        <v>4</v>
      </c>
      <c r="W404" s="38">
        <v>222</v>
      </c>
      <c r="X404" s="38">
        <v>42</v>
      </c>
      <c r="Y404" s="38">
        <v>77</v>
      </c>
      <c r="Z404" s="38"/>
      <c r="AA404" s="38"/>
      <c r="AB404" s="39">
        <v>4.7318612</v>
      </c>
      <c r="AC404" s="39">
        <v>0.3154574</v>
      </c>
      <c r="AD404" s="39">
        <v>52.365930599999999</v>
      </c>
      <c r="AE404" s="39">
        <v>1.8927445000000001</v>
      </c>
      <c r="AF404" s="39">
        <v>34.858044200000002</v>
      </c>
      <c r="AG404" s="39">
        <v>1.2618297000000001</v>
      </c>
      <c r="AH404" s="39">
        <v>4.5741325000000002</v>
      </c>
      <c r="AI404" s="39"/>
      <c r="AJ404" s="39"/>
      <c r="AK404" s="39">
        <v>18.708827400000001</v>
      </c>
      <c r="AL404" s="39">
        <v>18.0500659</v>
      </c>
      <c r="AM404" s="39">
        <v>17.786561299999999</v>
      </c>
      <c r="AN404" s="39">
        <v>0.52700919999999996</v>
      </c>
      <c r="AO404" s="39">
        <v>29.249011899999999</v>
      </c>
      <c r="AP404" s="39">
        <v>5.5335967999999998</v>
      </c>
      <c r="AQ404" s="39">
        <v>10.1449275</v>
      </c>
      <c r="AR404" s="40"/>
      <c r="AS404" s="40"/>
    </row>
    <row r="405" spans="2:45" ht="15" hidden="1" customHeight="1" x14ac:dyDescent="0.25">
      <c r="B405" s="35">
        <v>399</v>
      </c>
      <c r="C405" s="36" t="s">
        <v>29</v>
      </c>
      <c r="D405" s="36" t="s">
        <v>66</v>
      </c>
      <c r="E405" s="36" t="s">
        <v>156</v>
      </c>
      <c r="F405" s="36"/>
      <c r="G405" s="37" t="s">
        <v>26</v>
      </c>
      <c r="H405" s="38">
        <v>3898</v>
      </c>
      <c r="I405" s="38">
        <v>519</v>
      </c>
      <c r="J405" s="38">
        <v>15</v>
      </c>
      <c r="K405" s="38">
        <v>757</v>
      </c>
      <c r="L405" s="38">
        <v>284</v>
      </c>
      <c r="M405" s="38">
        <v>1416</v>
      </c>
      <c r="N405" s="38">
        <v>662</v>
      </c>
      <c r="O405" s="38">
        <v>245</v>
      </c>
      <c r="P405" s="38"/>
      <c r="Q405" s="38"/>
      <c r="R405" s="38">
        <v>5919</v>
      </c>
      <c r="S405" s="38">
        <v>1289</v>
      </c>
      <c r="T405" s="38">
        <v>93</v>
      </c>
      <c r="U405" s="38">
        <v>364</v>
      </c>
      <c r="V405" s="38">
        <v>99</v>
      </c>
      <c r="W405" s="38">
        <v>2803</v>
      </c>
      <c r="X405" s="38">
        <v>1137</v>
      </c>
      <c r="Y405" s="38">
        <v>134</v>
      </c>
      <c r="Z405" s="38"/>
      <c r="AA405" s="38"/>
      <c r="AB405" s="39">
        <v>13.3145203</v>
      </c>
      <c r="AC405" s="39">
        <v>0.38481270000000001</v>
      </c>
      <c r="AD405" s="39">
        <v>19.420215500000001</v>
      </c>
      <c r="AE405" s="39">
        <v>7.2857875999999999</v>
      </c>
      <c r="AF405" s="39">
        <v>36.326321200000002</v>
      </c>
      <c r="AG405" s="39">
        <v>16.983068200000002</v>
      </c>
      <c r="AH405" s="39">
        <v>6.2852744999999999</v>
      </c>
      <c r="AI405" s="39"/>
      <c r="AJ405" s="39"/>
      <c r="AK405" s="39">
        <v>21.7773273</v>
      </c>
      <c r="AL405" s="39">
        <v>1.5712113999999999</v>
      </c>
      <c r="AM405" s="39">
        <v>6.1496874000000004</v>
      </c>
      <c r="AN405" s="39">
        <v>1.6725798000000001</v>
      </c>
      <c r="AO405" s="39">
        <v>47.355972299999998</v>
      </c>
      <c r="AP405" s="39">
        <v>19.2093259</v>
      </c>
      <c r="AQ405" s="39">
        <v>2.2638959000000001</v>
      </c>
      <c r="AR405" s="40"/>
      <c r="AS405" s="40"/>
    </row>
    <row r="406" spans="2:45" ht="15" customHeight="1" x14ac:dyDescent="0.25">
      <c r="B406" s="41">
        <v>400</v>
      </c>
      <c r="C406" s="42" t="s">
        <v>31</v>
      </c>
      <c r="D406" s="51" t="s">
        <v>66</v>
      </c>
      <c r="E406" s="51" t="s">
        <v>156</v>
      </c>
      <c r="F406" s="51" t="s">
        <v>157</v>
      </c>
      <c r="G406" s="52" t="s">
        <v>157</v>
      </c>
      <c r="H406" s="43">
        <v>3550</v>
      </c>
      <c r="I406" s="43">
        <v>325</v>
      </c>
      <c r="J406" s="43">
        <v>11</v>
      </c>
      <c r="K406" s="43">
        <v>1036</v>
      </c>
      <c r="L406" s="43">
        <v>266</v>
      </c>
      <c r="M406" s="43">
        <v>1223</v>
      </c>
      <c r="N406" s="43">
        <v>465</v>
      </c>
      <c r="O406" s="43">
        <v>224</v>
      </c>
      <c r="P406" s="44">
        <f>K406+L406+M406+N406+O406</f>
        <v>3214</v>
      </c>
      <c r="Q406" s="44">
        <f>I406+J406</f>
        <v>336</v>
      </c>
      <c r="R406" s="43">
        <v>5022</v>
      </c>
      <c r="S406" s="43">
        <v>938</v>
      </c>
      <c r="T406" s="43">
        <v>218</v>
      </c>
      <c r="U406" s="43">
        <v>376</v>
      </c>
      <c r="V406" s="43">
        <v>86</v>
      </c>
      <c r="W406" s="43">
        <v>2406</v>
      </c>
      <c r="X406" s="43">
        <v>820</v>
      </c>
      <c r="Y406" s="43">
        <v>178</v>
      </c>
      <c r="Z406" s="45">
        <f>U406+V406+W406+X406+Y406</f>
        <v>3866</v>
      </c>
      <c r="AA406" s="45">
        <f t="shared" ref="AA406:AA407" si="69">S406+T406</f>
        <v>1156</v>
      </c>
      <c r="AB406" s="46">
        <v>9.1549295999999991</v>
      </c>
      <c r="AC406" s="46">
        <v>0.3098592</v>
      </c>
      <c r="AD406" s="46">
        <v>29.183098600000001</v>
      </c>
      <c r="AE406" s="46">
        <v>7.4929576999999998</v>
      </c>
      <c r="AF406" s="46">
        <v>34.450704199999997</v>
      </c>
      <c r="AG406" s="46">
        <v>13.098591499999999</v>
      </c>
      <c r="AH406" s="46">
        <v>6.3098592</v>
      </c>
      <c r="AI406" s="47">
        <f>AB406+AC406</f>
        <v>9.4647887999999991</v>
      </c>
      <c r="AJ406" s="47">
        <f>AD406+AE406+AF406+AG406+AH406</f>
        <v>90.535211199999992</v>
      </c>
      <c r="AK406" s="46">
        <v>18.677817600000001</v>
      </c>
      <c r="AL406" s="46">
        <v>4.3409000000000004</v>
      </c>
      <c r="AM406" s="46">
        <v>7.4870568999999998</v>
      </c>
      <c r="AN406" s="46">
        <v>1.7124652</v>
      </c>
      <c r="AO406" s="46">
        <v>47.9091995</v>
      </c>
      <c r="AP406" s="46">
        <v>16.328156100000001</v>
      </c>
      <c r="AQ406" s="46">
        <v>3.5444046</v>
      </c>
      <c r="AR406" s="48">
        <f t="shared" ref="AR406:AR411" si="70">AK406+AL406</f>
        <v>23.018717600000002</v>
      </c>
      <c r="AS406" s="48">
        <f>AM406+AN406+AO406+AP406+AQ406</f>
        <v>76.981282300000004</v>
      </c>
    </row>
    <row r="407" spans="2:45" ht="15" hidden="1" customHeight="1" x14ac:dyDescent="0.25">
      <c r="B407" s="35">
        <v>401</v>
      </c>
      <c r="C407" s="36" t="s">
        <v>31</v>
      </c>
      <c r="D407" s="36" t="s">
        <v>66</v>
      </c>
      <c r="E407" s="36" t="s">
        <v>156</v>
      </c>
      <c r="F407" s="36" t="s">
        <v>157</v>
      </c>
      <c r="G407" s="37" t="s">
        <v>25</v>
      </c>
      <c r="H407" s="38">
        <v>634</v>
      </c>
      <c r="I407" s="38">
        <v>30</v>
      </c>
      <c r="J407" s="38">
        <v>2</v>
      </c>
      <c r="K407" s="38">
        <v>332</v>
      </c>
      <c r="L407" s="38">
        <v>12</v>
      </c>
      <c r="M407" s="38">
        <v>221</v>
      </c>
      <c r="N407" s="38">
        <v>8</v>
      </c>
      <c r="O407" s="38">
        <v>29</v>
      </c>
      <c r="P407" s="38"/>
      <c r="Q407" s="38"/>
      <c r="R407" s="38">
        <v>759</v>
      </c>
      <c r="S407" s="38">
        <v>142</v>
      </c>
      <c r="T407" s="38">
        <v>137</v>
      </c>
      <c r="U407" s="38">
        <v>135</v>
      </c>
      <c r="V407" s="38">
        <v>4</v>
      </c>
      <c r="W407" s="38">
        <v>222</v>
      </c>
      <c r="X407" s="38">
        <v>42</v>
      </c>
      <c r="Y407" s="38">
        <v>77</v>
      </c>
      <c r="Z407" s="38"/>
      <c r="AA407" s="38">
        <f t="shared" si="69"/>
        <v>279</v>
      </c>
      <c r="AB407" s="39">
        <v>4.7318612</v>
      </c>
      <c r="AC407" s="39">
        <v>0.3154574</v>
      </c>
      <c r="AD407" s="39">
        <v>52.365930599999999</v>
      </c>
      <c r="AE407" s="39">
        <v>1.8927445000000001</v>
      </c>
      <c r="AF407" s="39">
        <v>34.858044200000002</v>
      </c>
      <c r="AG407" s="39">
        <v>1.2618297000000001</v>
      </c>
      <c r="AH407" s="39">
        <v>4.5741325000000002</v>
      </c>
      <c r="AI407" s="39"/>
      <c r="AJ407" s="39"/>
      <c r="AK407" s="39">
        <v>18.708827400000001</v>
      </c>
      <c r="AL407" s="39">
        <v>18.0500659</v>
      </c>
      <c r="AM407" s="39">
        <v>17.786561299999999</v>
      </c>
      <c r="AN407" s="39">
        <v>0.52700919999999996</v>
      </c>
      <c r="AO407" s="39">
        <v>29.249011899999999</v>
      </c>
      <c r="AP407" s="39">
        <v>5.5335967999999998</v>
      </c>
      <c r="AQ407" s="39">
        <v>10.1449275</v>
      </c>
      <c r="AR407" s="40">
        <f t="shared" si="70"/>
        <v>36.758893299999997</v>
      </c>
      <c r="AS407" s="40"/>
    </row>
    <row r="408" spans="2:45" ht="15" hidden="1" customHeight="1" x14ac:dyDescent="0.25">
      <c r="B408" s="35">
        <v>402</v>
      </c>
      <c r="C408" s="36" t="s">
        <v>31</v>
      </c>
      <c r="D408" s="36" t="s">
        <v>66</v>
      </c>
      <c r="E408" s="36" t="s">
        <v>156</v>
      </c>
      <c r="F408" s="36" t="s">
        <v>157</v>
      </c>
      <c r="G408" s="37" t="s">
        <v>26</v>
      </c>
      <c r="H408" s="38">
        <v>2916</v>
      </c>
      <c r="I408" s="38">
        <v>295</v>
      </c>
      <c r="J408" s="38">
        <v>9</v>
      </c>
      <c r="K408" s="38">
        <v>704</v>
      </c>
      <c r="L408" s="38">
        <v>254</v>
      </c>
      <c r="M408" s="38">
        <v>1002</v>
      </c>
      <c r="N408" s="38">
        <v>457</v>
      </c>
      <c r="O408" s="38">
        <v>195</v>
      </c>
      <c r="P408" s="38"/>
      <c r="Q408" s="38">
        <f t="shared" ref="Q408:Q409" si="71">I408+J408</f>
        <v>304</v>
      </c>
      <c r="R408" s="38">
        <v>4263</v>
      </c>
      <c r="S408" s="38">
        <v>796</v>
      </c>
      <c r="T408" s="38">
        <v>81</v>
      </c>
      <c r="U408" s="38">
        <v>241</v>
      </c>
      <c r="V408" s="38">
        <v>82</v>
      </c>
      <c r="W408" s="38">
        <v>2184</v>
      </c>
      <c r="X408" s="38">
        <v>778</v>
      </c>
      <c r="Y408" s="38">
        <v>101</v>
      </c>
      <c r="Z408" s="38"/>
      <c r="AA408" s="38"/>
      <c r="AB408" s="39">
        <v>10.116598099999999</v>
      </c>
      <c r="AC408" s="39">
        <v>0.30864200000000003</v>
      </c>
      <c r="AD408" s="39">
        <v>24.142661199999999</v>
      </c>
      <c r="AE408" s="39">
        <v>8.7105624000000006</v>
      </c>
      <c r="AF408" s="39">
        <v>34.362139900000003</v>
      </c>
      <c r="AG408" s="39">
        <v>15.6721536</v>
      </c>
      <c r="AH408" s="39">
        <v>6.6872427999999999</v>
      </c>
      <c r="AI408" s="39"/>
      <c r="AJ408" s="39"/>
      <c r="AK408" s="39">
        <v>18.672296500000002</v>
      </c>
      <c r="AL408" s="39">
        <v>1.9000703999999999</v>
      </c>
      <c r="AM408" s="39">
        <v>5.6532958000000004</v>
      </c>
      <c r="AN408" s="39">
        <v>1.9235279999999999</v>
      </c>
      <c r="AO408" s="39">
        <v>51.231527100000001</v>
      </c>
      <c r="AP408" s="39">
        <v>18.250058599999999</v>
      </c>
      <c r="AQ408" s="39">
        <v>2.3692236000000002</v>
      </c>
      <c r="AR408" s="40">
        <f t="shared" si="70"/>
        <v>20.572366900000002</v>
      </c>
      <c r="AS408" s="40"/>
    </row>
    <row r="409" spans="2:45" ht="15" customHeight="1" x14ac:dyDescent="0.25">
      <c r="B409" s="41">
        <v>403</v>
      </c>
      <c r="C409" s="42" t="s">
        <v>31</v>
      </c>
      <c r="D409" s="51" t="s">
        <v>66</v>
      </c>
      <c r="E409" s="51" t="s">
        <v>156</v>
      </c>
      <c r="F409" s="51" t="s">
        <v>158</v>
      </c>
      <c r="G409" s="52" t="s">
        <v>158</v>
      </c>
      <c r="H409" s="43">
        <v>982</v>
      </c>
      <c r="I409" s="43">
        <v>224</v>
      </c>
      <c r="J409" s="43">
        <v>6</v>
      </c>
      <c r="K409" s="43">
        <v>53</v>
      </c>
      <c r="L409" s="43">
        <v>30</v>
      </c>
      <c r="M409" s="43">
        <v>414</v>
      </c>
      <c r="N409" s="43">
        <v>205</v>
      </c>
      <c r="O409" s="43">
        <v>50</v>
      </c>
      <c r="P409" s="44">
        <f>K409+L409+M409+N409+O409</f>
        <v>752</v>
      </c>
      <c r="Q409" s="44">
        <f t="shared" si="71"/>
        <v>230</v>
      </c>
      <c r="R409" s="43">
        <v>1656</v>
      </c>
      <c r="S409" s="43">
        <v>493</v>
      </c>
      <c r="T409" s="43">
        <v>12</v>
      </c>
      <c r="U409" s="43">
        <v>123</v>
      </c>
      <c r="V409" s="43">
        <v>17</v>
      </c>
      <c r="W409" s="43">
        <v>619</v>
      </c>
      <c r="X409" s="43">
        <v>359</v>
      </c>
      <c r="Y409" s="43">
        <v>33</v>
      </c>
      <c r="Z409" s="45">
        <f>U409+V409+W409+X409+Y409</f>
        <v>1151</v>
      </c>
      <c r="AA409" s="45">
        <f t="shared" ref="AA409:AA410" si="72">S409+T409</f>
        <v>505</v>
      </c>
      <c r="AB409" s="46">
        <v>22.810590600000001</v>
      </c>
      <c r="AC409" s="46">
        <v>0.61099800000000004</v>
      </c>
      <c r="AD409" s="46">
        <v>5.3971486999999998</v>
      </c>
      <c r="AE409" s="46">
        <v>3.0549898</v>
      </c>
      <c r="AF409" s="46">
        <v>42.158859499999998</v>
      </c>
      <c r="AG409" s="46">
        <v>20.8757637</v>
      </c>
      <c r="AH409" s="46">
        <v>5.0916496999999996</v>
      </c>
      <c r="AI409" s="47">
        <f>AB409+AC409</f>
        <v>23.4215886</v>
      </c>
      <c r="AJ409" s="47">
        <f>AD409+AE409+AF409+AG409+AH409</f>
        <v>76.578411399999993</v>
      </c>
      <c r="AK409" s="46">
        <v>29.770531399999999</v>
      </c>
      <c r="AL409" s="46">
        <v>0.72463770000000005</v>
      </c>
      <c r="AM409" s="46">
        <v>7.4275361999999996</v>
      </c>
      <c r="AN409" s="46">
        <v>1.02657</v>
      </c>
      <c r="AO409" s="46">
        <v>37.379227100000001</v>
      </c>
      <c r="AP409" s="46">
        <v>21.678743999999998</v>
      </c>
      <c r="AQ409" s="46">
        <v>1.9927535999999999</v>
      </c>
      <c r="AR409" s="48">
        <f t="shared" si="70"/>
        <v>30.495169099999998</v>
      </c>
      <c r="AS409" s="48">
        <f>AM409+AN409+AO409+AP409+AQ409</f>
        <v>69.504830900000002</v>
      </c>
    </row>
    <row r="410" spans="2:45" ht="15" hidden="1" customHeight="1" x14ac:dyDescent="0.25">
      <c r="B410" s="35">
        <v>404</v>
      </c>
      <c r="C410" s="36" t="s">
        <v>31</v>
      </c>
      <c r="D410" s="36" t="s">
        <v>66</v>
      </c>
      <c r="E410" s="36" t="s">
        <v>156</v>
      </c>
      <c r="F410" s="36" t="s">
        <v>158</v>
      </c>
      <c r="G410" s="37" t="s">
        <v>25</v>
      </c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>
        <f t="shared" si="72"/>
        <v>0</v>
      </c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40">
        <f t="shared" si="70"/>
        <v>0</v>
      </c>
      <c r="AS410" s="40"/>
    </row>
    <row r="411" spans="2:45" ht="15" hidden="1" customHeight="1" x14ac:dyDescent="0.25">
      <c r="B411" s="35">
        <v>405</v>
      </c>
      <c r="C411" s="36" t="s">
        <v>31</v>
      </c>
      <c r="D411" s="36" t="s">
        <v>66</v>
      </c>
      <c r="E411" s="36" t="s">
        <v>156</v>
      </c>
      <c r="F411" s="36" t="s">
        <v>158</v>
      </c>
      <c r="G411" s="37" t="s">
        <v>26</v>
      </c>
      <c r="H411" s="38">
        <v>982</v>
      </c>
      <c r="I411" s="38">
        <v>224</v>
      </c>
      <c r="J411" s="38">
        <v>6</v>
      </c>
      <c r="K411" s="38">
        <v>53</v>
      </c>
      <c r="L411" s="38">
        <v>30</v>
      </c>
      <c r="M411" s="38">
        <v>414</v>
      </c>
      <c r="N411" s="38">
        <v>205</v>
      </c>
      <c r="O411" s="38">
        <v>50</v>
      </c>
      <c r="P411" s="38"/>
      <c r="Q411" s="38">
        <f>I411+J411</f>
        <v>230</v>
      </c>
      <c r="R411" s="38">
        <v>1656</v>
      </c>
      <c r="S411" s="38">
        <v>493</v>
      </c>
      <c r="T411" s="38">
        <v>12</v>
      </c>
      <c r="U411" s="38">
        <v>123</v>
      </c>
      <c r="V411" s="38">
        <v>17</v>
      </c>
      <c r="W411" s="38">
        <v>619</v>
      </c>
      <c r="X411" s="38">
        <v>359</v>
      </c>
      <c r="Y411" s="38">
        <v>33</v>
      </c>
      <c r="Z411" s="38"/>
      <c r="AA411" s="38"/>
      <c r="AB411" s="39">
        <v>22.810590600000001</v>
      </c>
      <c r="AC411" s="39">
        <v>0.61099800000000004</v>
      </c>
      <c r="AD411" s="39">
        <v>5.3971486999999998</v>
      </c>
      <c r="AE411" s="39">
        <v>3.0549898</v>
      </c>
      <c r="AF411" s="39">
        <v>42.158859499999998</v>
      </c>
      <c r="AG411" s="39">
        <v>20.8757637</v>
      </c>
      <c r="AH411" s="39">
        <v>5.0916496999999996</v>
      </c>
      <c r="AI411" s="39"/>
      <c r="AJ411" s="39"/>
      <c r="AK411" s="39">
        <v>29.770531399999999</v>
      </c>
      <c r="AL411" s="39">
        <v>0.72463770000000005</v>
      </c>
      <c r="AM411" s="39">
        <v>7.4275361999999996</v>
      </c>
      <c r="AN411" s="39">
        <v>1.02657</v>
      </c>
      <c r="AO411" s="39">
        <v>37.379227100000001</v>
      </c>
      <c r="AP411" s="39">
        <v>21.678743999999998</v>
      </c>
      <c r="AQ411" s="39">
        <v>1.9927535999999999</v>
      </c>
      <c r="AR411" s="40">
        <f t="shared" si="70"/>
        <v>30.495169099999998</v>
      </c>
      <c r="AS411" s="40"/>
    </row>
    <row r="412" spans="2:45" ht="15" hidden="1" customHeight="1" x14ac:dyDescent="0.25">
      <c r="B412" s="30">
        <v>406</v>
      </c>
      <c r="C412" s="31" t="s">
        <v>29</v>
      </c>
      <c r="D412" s="50" t="s">
        <v>66</v>
      </c>
      <c r="E412" s="50" t="s">
        <v>159</v>
      </c>
      <c r="F412" s="50"/>
      <c r="G412" s="31" t="s">
        <v>159</v>
      </c>
      <c r="H412" s="32">
        <v>8906</v>
      </c>
      <c r="I412" s="32">
        <v>487</v>
      </c>
      <c r="J412" s="32">
        <v>1090</v>
      </c>
      <c r="K412" s="32">
        <v>363</v>
      </c>
      <c r="L412" s="32">
        <v>343</v>
      </c>
      <c r="M412" s="32">
        <v>6161</v>
      </c>
      <c r="N412" s="32">
        <v>378</v>
      </c>
      <c r="O412" s="32">
        <v>84</v>
      </c>
      <c r="P412" s="32"/>
      <c r="Q412" s="32"/>
      <c r="R412" s="32">
        <v>11922</v>
      </c>
      <c r="S412" s="32">
        <v>1815</v>
      </c>
      <c r="T412" s="32">
        <v>1156</v>
      </c>
      <c r="U412" s="32">
        <v>250</v>
      </c>
      <c r="V412" s="32">
        <v>81</v>
      </c>
      <c r="W412" s="32">
        <v>7887</v>
      </c>
      <c r="X412" s="32">
        <v>559</v>
      </c>
      <c r="Y412" s="32">
        <v>174</v>
      </c>
      <c r="Z412" s="32"/>
      <c r="AA412" s="32"/>
      <c r="AB412" s="33">
        <v>5.4682237000000002</v>
      </c>
      <c r="AC412" s="33">
        <v>12.238939999999999</v>
      </c>
      <c r="AD412" s="33">
        <v>4.0759039000000001</v>
      </c>
      <c r="AE412" s="33">
        <v>3.8513362</v>
      </c>
      <c r="AF412" s="33">
        <v>69.178082200000006</v>
      </c>
      <c r="AG412" s="33">
        <v>4.2443296999999998</v>
      </c>
      <c r="AH412" s="33">
        <v>0.94318440000000003</v>
      </c>
      <c r="AI412" s="33"/>
      <c r="AJ412" s="33"/>
      <c r="AK412" s="33">
        <v>15.223955699999999</v>
      </c>
      <c r="AL412" s="33">
        <v>9.6963597000000004</v>
      </c>
      <c r="AM412" s="33">
        <v>2.0969636</v>
      </c>
      <c r="AN412" s="33">
        <v>0.67941620000000003</v>
      </c>
      <c r="AO412" s="33">
        <v>66.155007499999996</v>
      </c>
      <c r="AP412" s="33">
        <v>4.6888106000000001</v>
      </c>
      <c r="AQ412" s="33">
        <v>1.4594867</v>
      </c>
      <c r="AR412" s="34"/>
      <c r="AS412" s="34"/>
    </row>
    <row r="413" spans="2:45" ht="15" hidden="1" customHeight="1" x14ac:dyDescent="0.25">
      <c r="B413" s="35">
        <v>407</v>
      </c>
      <c r="C413" s="36" t="s">
        <v>29</v>
      </c>
      <c r="D413" s="36" t="s">
        <v>66</v>
      </c>
      <c r="E413" s="36" t="s">
        <v>159</v>
      </c>
      <c r="F413" s="36"/>
      <c r="G413" s="37" t="s">
        <v>25</v>
      </c>
      <c r="H413" s="38">
        <v>2539</v>
      </c>
      <c r="I413" s="38">
        <v>416</v>
      </c>
      <c r="J413" s="38">
        <v>1074</v>
      </c>
      <c r="K413" s="38">
        <v>111</v>
      </c>
      <c r="L413" s="38">
        <v>29</v>
      </c>
      <c r="M413" s="38">
        <v>833</v>
      </c>
      <c r="N413" s="38">
        <v>48</v>
      </c>
      <c r="O413" s="38">
        <v>28</v>
      </c>
      <c r="P413" s="38"/>
      <c r="Q413" s="38"/>
      <c r="R413" s="38">
        <v>2973</v>
      </c>
      <c r="S413" s="38">
        <v>1180</v>
      </c>
      <c r="T413" s="38">
        <v>930</v>
      </c>
      <c r="U413" s="38">
        <v>39</v>
      </c>
      <c r="V413" s="38">
        <v>11</v>
      </c>
      <c r="W413" s="38">
        <v>709</v>
      </c>
      <c r="X413" s="38">
        <v>56</v>
      </c>
      <c r="Y413" s="38">
        <v>48</v>
      </c>
      <c r="Z413" s="38"/>
      <c r="AA413" s="38"/>
      <c r="AB413" s="39">
        <v>16.384403299999999</v>
      </c>
      <c r="AC413" s="39">
        <v>42.3001182</v>
      </c>
      <c r="AD413" s="39">
        <v>4.3717999000000001</v>
      </c>
      <c r="AE413" s="39">
        <v>1.142182</v>
      </c>
      <c r="AF413" s="39">
        <v>32.808192200000001</v>
      </c>
      <c r="AG413" s="39">
        <v>1.8905080999999999</v>
      </c>
      <c r="AH413" s="39">
        <v>1.1027963999999999</v>
      </c>
      <c r="AI413" s="39"/>
      <c r="AJ413" s="39"/>
      <c r="AK413" s="39">
        <v>39.690548300000003</v>
      </c>
      <c r="AL413" s="39">
        <v>31.281533799999998</v>
      </c>
      <c r="AM413" s="39">
        <v>1.3118063</v>
      </c>
      <c r="AN413" s="39">
        <v>0.36999660000000001</v>
      </c>
      <c r="AO413" s="39">
        <v>23.847964999999999</v>
      </c>
      <c r="AP413" s="39">
        <v>1.8836192</v>
      </c>
      <c r="AQ413" s="39">
        <v>1.6145308</v>
      </c>
      <c r="AR413" s="40"/>
      <c r="AS413" s="40"/>
    </row>
    <row r="414" spans="2:45" ht="15" hidden="1" customHeight="1" x14ac:dyDescent="0.25">
      <c r="B414" s="35">
        <v>408</v>
      </c>
      <c r="C414" s="36" t="s">
        <v>29</v>
      </c>
      <c r="D414" s="36" t="s">
        <v>66</v>
      </c>
      <c r="E414" s="36" t="s">
        <v>159</v>
      </c>
      <c r="F414" s="36"/>
      <c r="G414" s="37" t="s">
        <v>26</v>
      </c>
      <c r="H414" s="38">
        <v>6367</v>
      </c>
      <c r="I414" s="38">
        <v>71</v>
      </c>
      <c r="J414" s="38">
        <v>16</v>
      </c>
      <c r="K414" s="38">
        <v>252</v>
      </c>
      <c r="L414" s="38">
        <v>314</v>
      </c>
      <c r="M414" s="38">
        <v>5328</v>
      </c>
      <c r="N414" s="38">
        <v>330</v>
      </c>
      <c r="O414" s="38">
        <v>56</v>
      </c>
      <c r="P414" s="38"/>
      <c r="Q414" s="38"/>
      <c r="R414" s="38">
        <v>8949</v>
      </c>
      <c r="S414" s="38">
        <v>635</v>
      </c>
      <c r="T414" s="38">
        <v>226</v>
      </c>
      <c r="U414" s="38">
        <v>211</v>
      </c>
      <c r="V414" s="38">
        <v>70</v>
      </c>
      <c r="W414" s="38">
        <v>7178</v>
      </c>
      <c r="X414" s="38">
        <v>503</v>
      </c>
      <c r="Y414" s="38">
        <v>126</v>
      </c>
      <c r="Z414" s="38"/>
      <c r="AA414" s="38"/>
      <c r="AB414" s="39">
        <v>1.1151249000000001</v>
      </c>
      <c r="AC414" s="39">
        <v>0.25129570000000001</v>
      </c>
      <c r="AD414" s="39">
        <v>3.9579080000000002</v>
      </c>
      <c r="AE414" s="39">
        <v>4.9316789999999999</v>
      </c>
      <c r="AF414" s="39">
        <v>83.681482599999995</v>
      </c>
      <c r="AG414" s="39">
        <v>5.1829746999999999</v>
      </c>
      <c r="AH414" s="39">
        <v>0.87953510000000001</v>
      </c>
      <c r="AI414" s="39"/>
      <c r="AJ414" s="39"/>
      <c r="AK414" s="39">
        <v>7.0957648999999998</v>
      </c>
      <c r="AL414" s="39">
        <v>2.5254218000000002</v>
      </c>
      <c r="AM414" s="39">
        <v>2.3578052999999999</v>
      </c>
      <c r="AN414" s="39">
        <v>0.78221030000000003</v>
      </c>
      <c r="AO414" s="39">
        <v>80.210079300000004</v>
      </c>
      <c r="AP414" s="39">
        <v>5.6207396999999997</v>
      </c>
      <c r="AQ414" s="39">
        <v>1.4079785</v>
      </c>
      <c r="AR414" s="40"/>
      <c r="AS414" s="40"/>
    </row>
    <row r="415" spans="2:45" ht="15" customHeight="1" x14ac:dyDescent="0.25">
      <c r="B415" s="41">
        <v>409</v>
      </c>
      <c r="C415" s="42" t="s">
        <v>31</v>
      </c>
      <c r="D415" s="51" t="s">
        <v>66</v>
      </c>
      <c r="E415" s="51" t="s">
        <v>159</v>
      </c>
      <c r="F415" s="51" t="s">
        <v>160</v>
      </c>
      <c r="G415" s="52" t="s">
        <v>160</v>
      </c>
      <c r="H415" s="43">
        <v>5144</v>
      </c>
      <c r="I415" s="43">
        <v>457</v>
      </c>
      <c r="J415" s="43">
        <v>1081</v>
      </c>
      <c r="K415" s="43">
        <v>75</v>
      </c>
      <c r="L415" s="43">
        <v>89</v>
      </c>
      <c r="M415" s="43">
        <v>3271</v>
      </c>
      <c r="N415" s="43">
        <v>137</v>
      </c>
      <c r="O415" s="43">
        <v>34</v>
      </c>
      <c r="P415" s="44">
        <f>K415+L415+M415+N415+O415</f>
        <v>3606</v>
      </c>
      <c r="Q415" s="44">
        <f>I415+J415</f>
        <v>1538</v>
      </c>
      <c r="R415" s="43">
        <v>6817</v>
      </c>
      <c r="S415" s="43">
        <v>1144</v>
      </c>
      <c r="T415" s="43">
        <v>950</v>
      </c>
      <c r="U415" s="43">
        <v>100</v>
      </c>
      <c r="V415" s="43">
        <v>19</v>
      </c>
      <c r="W415" s="43">
        <v>4282</v>
      </c>
      <c r="X415" s="43">
        <v>222</v>
      </c>
      <c r="Y415" s="43">
        <v>100</v>
      </c>
      <c r="Z415" s="45">
        <f>U415+V415+W415+X415+Y415</f>
        <v>4723</v>
      </c>
      <c r="AA415" s="45">
        <f t="shared" ref="AA415:AA416" si="73">S415+T415</f>
        <v>2094</v>
      </c>
      <c r="AB415" s="46">
        <v>8.8841368999999997</v>
      </c>
      <c r="AC415" s="46">
        <v>21.014774500000001</v>
      </c>
      <c r="AD415" s="46">
        <v>1.4580093000000001</v>
      </c>
      <c r="AE415" s="46">
        <v>1.7301711</v>
      </c>
      <c r="AF415" s="46">
        <v>63.588647000000002</v>
      </c>
      <c r="AG415" s="46">
        <v>2.663297</v>
      </c>
      <c r="AH415" s="46">
        <v>0.6609642</v>
      </c>
      <c r="AI415" s="47">
        <f>AB415+AC415</f>
        <v>29.898911400000003</v>
      </c>
      <c r="AJ415" s="47">
        <f>AD415+AE415+AF415+AG415+AH415</f>
        <v>70.101088599999997</v>
      </c>
      <c r="AK415" s="46">
        <v>16.781575499999999</v>
      </c>
      <c r="AL415" s="46">
        <v>13.9357489</v>
      </c>
      <c r="AM415" s="46">
        <v>1.4669209000000001</v>
      </c>
      <c r="AN415" s="46">
        <v>0.27871499999999999</v>
      </c>
      <c r="AO415" s="46">
        <v>62.8135543</v>
      </c>
      <c r="AP415" s="46">
        <v>3.2565645000000001</v>
      </c>
      <c r="AQ415" s="46">
        <v>1.4669209000000001</v>
      </c>
      <c r="AR415" s="48">
        <f t="shared" ref="AR415:AR423" si="74">AK415+AL415</f>
        <v>30.717324399999999</v>
      </c>
      <c r="AS415" s="48">
        <f>AM415+AN415+AO415+AP415+AQ415</f>
        <v>69.282675600000005</v>
      </c>
    </row>
    <row r="416" spans="2:45" ht="15" hidden="1" customHeight="1" x14ac:dyDescent="0.25">
      <c r="B416" s="35">
        <v>410</v>
      </c>
      <c r="C416" s="36" t="s">
        <v>31</v>
      </c>
      <c r="D416" s="36" t="s">
        <v>66</v>
      </c>
      <c r="E416" s="36" t="s">
        <v>159</v>
      </c>
      <c r="F416" s="36" t="s">
        <v>160</v>
      </c>
      <c r="G416" s="37" t="s">
        <v>25</v>
      </c>
      <c r="H416" s="38">
        <v>1923</v>
      </c>
      <c r="I416" s="38">
        <v>410</v>
      </c>
      <c r="J416" s="38">
        <v>1073</v>
      </c>
      <c r="K416" s="38">
        <v>28</v>
      </c>
      <c r="L416" s="38">
        <v>4</v>
      </c>
      <c r="M416" s="38">
        <v>386</v>
      </c>
      <c r="N416" s="38">
        <v>11</v>
      </c>
      <c r="O416" s="38">
        <v>11</v>
      </c>
      <c r="P416" s="38"/>
      <c r="Q416" s="38"/>
      <c r="R416" s="38">
        <v>2502</v>
      </c>
      <c r="S416" s="38">
        <v>1046</v>
      </c>
      <c r="T416" s="38">
        <v>922</v>
      </c>
      <c r="U416" s="38">
        <v>19</v>
      </c>
      <c r="V416" s="38">
        <v>2</v>
      </c>
      <c r="W416" s="38">
        <v>432</v>
      </c>
      <c r="X416" s="38">
        <v>36</v>
      </c>
      <c r="Y416" s="38">
        <v>45</v>
      </c>
      <c r="Z416" s="38"/>
      <c r="AA416" s="38">
        <f t="shared" si="73"/>
        <v>1968</v>
      </c>
      <c r="AB416" s="39">
        <v>21.320852800000001</v>
      </c>
      <c r="AC416" s="39">
        <v>55.798231899999998</v>
      </c>
      <c r="AD416" s="39">
        <v>1.4560582</v>
      </c>
      <c r="AE416" s="39">
        <v>0.20800830000000001</v>
      </c>
      <c r="AF416" s="39">
        <v>20.072802899999999</v>
      </c>
      <c r="AG416" s="39">
        <v>0.5720229</v>
      </c>
      <c r="AH416" s="39">
        <v>0.5720229</v>
      </c>
      <c r="AI416" s="39"/>
      <c r="AJ416" s="39"/>
      <c r="AK416" s="39">
        <v>41.806554800000001</v>
      </c>
      <c r="AL416" s="39">
        <v>36.850519599999998</v>
      </c>
      <c r="AM416" s="39">
        <v>0.75939250000000003</v>
      </c>
      <c r="AN416" s="39">
        <v>7.9936099999999996E-2</v>
      </c>
      <c r="AO416" s="39">
        <v>17.2661871</v>
      </c>
      <c r="AP416" s="39">
        <v>1.4388489</v>
      </c>
      <c r="AQ416" s="39">
        <v>1.7985612</v>
      </c>
      <c r="AR416" s="40">
        <f t="shared" si="74"/>
        <v>78.657074399999999</v>
      </c>
      <c r="AS416" s="40"/>
    </row>
    <row r="417" spans="2:45" ht="15" hidden="1" customHeight="1" x14ac:dyDescent="0.25">
      <c r="B417" s="35">
        <v>411</v>
      </c>
      <c r="C417" s="36" t="s">
        <v>31</v>
      </c>
      <c r="D417" s="36" t="s">
        <v>66</v>
      </c>
      <c r="E417" s="36" t="s">
        <v>159</v>
      </c>
      <c r="F417" s="36" t="s">
        <v>160</v>
      </c>
      <c r="G417" s="37" t="s">
        <v>26</v>
      </c>
      <c r="H417" s="38">
        <v>3221</v>
      </c>
      <c r="I417" s="38">
        <v>47</v>
      </c>
      <c r="J417" s="38">
        <v>8</v>
      </c>
      <c r="K417" s="38">
        <v>47</v>
      </c>
      <c r="L417" s="38">
        <v>85</v>
      </c>
      <c r="M417" s="38">
        <v>2885</v>
      </c>
      <c r="N417" s="38">
        <v>126</v>
      </c>
      <c r="O417" s="38">
        <v>23</v>
      </c>
      <c r="P417" s="38"/>
      <c r="Q417" s="38">
        <f t="shared" ref="Q417:Q418" si="75">I417+J417</f>
        <v>55</v>
      </c>
      <c r="R417" s="38">
        <v>4315</v>
      </c>
      <c r="S417" s="38">
        <v>98</v>
      </c>
      <c r="T417" s="38">
        <v>28</v>
      </c>
      <c r="U417" s="38">
        <v>81</v>
      </c>
      <c r="V417" s="38">
        <v>17</v>
      </c>
      <c r="W417" s="38">
        <v>3850</v>
      </c>
      <c r="X417" s="38">
        <v>186</v>
      </c>
      <c r="Y417" s="38">
        <v>55</v>
      </c>
      <c r="Z417" s="38"/>
      <c r="AA417" s="38"/>
      <c r="AB417" s="39">
        <v>1.4591742000000001</v>
      </c>
      <c r="AC417" s="39">
        <v>0.24837010000000001</v>
      </c>
      <c r="AD417" s="39">
        <v>1.4591742000000001</v>
      </c>
      <c r="AE417" s="39">
        <v>2.6389320000000001</v>
      </c>
      <c r="AF417" s="39">
        <v>89.568456999999995</v>
      </c>
      <c r="AG417" s="39">
        <v>3.9118286000000002</v>
      </c>
      <c r="AH417" s="39">
        <v>0.71406400000000003</v>
      </c>
      <c r="AI417" s="39"/>
      <c r="AJ417" s="39"/>
      <c r="AK417" s="39">
        <v>2.2711472000000001</v>
      </c>
      <c r="AL417" s="39">
        <v>0.64889920000000001</v>
      </c>
      <c r="AM417" s="39">
        <v>1.8771727</v>
      </c>
      <c r="AN417" s="39">
        <v>0.39397450000000001</v>
      </c>
      <c r="AO417" s="39">
        <v>89.223638500000007</v>
      </c>
      <c r="AP417" s="39">
        <v>4.3105446000000001</v>
      </c>
      <c r="AQ417" s="39">
        <v>1.2746234000000001</v>
      </c>
      <c r="AR417" s="40">
        <f t="shared" si="74"/>
        <v>2.9200464000000004</v>
      </c>
      <c r="AS417" s="40"/>
    </row>
    <row r="418" spans="2:45" ht="15" customHeight="1" x14ac:dyDescent="0.25">
      <c r="B418" s="41">
        <v>412</v>
      </c>
      <c r="C418" s="42" t="s">
        <v>31</v>
      </c>
      <c r="D418" s="51" t="s">
        <v>66</v>
      </c>
      <c r="E418" s="51" t="s">
        <v>159</v>
      </c>
      <c r="F418" s="51" t="s">
        <v>161</v>
      </c>
      <c r="G418" s="52" t="s">
        <v>161</v>
      </c>
      <c r="H418" s="43">
        <v>2467</v>
      </c>
      <c r="I418" s="43">
        <v>23</v>
      </c>
      <c r="J418" s="43">
        <v>7</v>
      </c>
      <c r="K418" s="43">
        <v>163</v>
      </c>
      <c r="L418" s="43">
        <v>201</v>
      </c>
      <c r="M418" s="43">
        <v>1895</v>
      </c>
      <c r="N418" s="43">
        <v>155</v>
      </c>
      <c r="O418" s="43">
        <v>23</v>
      </c>
      <c r="P418" s="44">
        <f>K418+L418+M418+N418+O418</f>
        <v>2437</v>
      </c>
      <c r="Q418" s="44">
        <f t="shared" si="75"/>
        <v>30</v>
      </c>
      <c r="R418" s="43">
        <v>3631</v>
      </c>
      <c r="S418" s="43">
        <v>523</v>
      </c>
      <c r="T418" s="43">
        <v>195</v>
      </c>
      <c r="U418" s="43">
        <v>97</v>
      </c>
      <c r="V418" s="43">
        <v>35</v>
      </c>
      <c r="W418" s="43">
        <v>2505</v>
      </c>
      <c r="X418" s="43">
        <v>220</v>
      </c>
      <c r="Y418" s="43">
        <v>56</v>
      </c>
      <c r="Z418" s="45">
        <f>U418+V418+W418+X418+Y418</f>
        <v>2913</v>
      </c>
      <c r="AA418" s="45">
        <f t="shared" ref="AA418:AA419" si="76">S418+T418</f>
        <v>718</v>
      </c>
      <c r="AB418" s="46">
        <v>0.93230639999999998</v>
      </c>
      <c r="AC418" s="46">
        <v>0.28374539999999998</v>
      </c>
      <c r="AD418" s="46">
        <v>6.6072151999999997</v>
      </c>
      <c r="AE418" s="46">
        <v>8.1475475999999993</v>
      </c>
      <c r="AF418" s="46">
        <v>76.813944100000001</v>
      </c>
      <c r="AG418" s="46">
        <v>6.2829347000000002</v>
      </c>
      <c r="AH418" s="46">
        <v>0.93230639999999998</v>
      </c>
      <c r="AI418" s="47">
        <f>AB418+AC418</f>
        <v>1.2160518</v>
      </c>
      <c r="AJ418" s="47">
        <f>AD418+AE418+AF418+AG418+AH418</f>
        <v>98.783947999999995</v>
      </c>
      <c r="AK418" s="46">
        <v>14.403745499999999</v>
      </c>
      <c r="AL418" s="46">
        <v>5.3704213999999997</v>
      </c>
      <c r="AM418" s="46">
        <v>2.6714403999999998</v>
      </c>
      <c r="AN418" s="46">
        <v>0.96392180000000005</v>
      </c>
      <c r="AO418" s="46">
        <v>68.989259200000006</v>
      </c>
      <c r="AP418" s="46">
        <v>6.0589369</v>
      </c>
      <c r="AQ418" s="46">
        <v>1.5422749</v>
      </c>
      <c r="AR418" s="48">
        <f t="shared" si="74"/>
        <v>19.774166899999997</v>
      </c>
      <c r="AS418" s="48">
        <f>AM418+AN418+AO418+AP418+AQ418</f>
        <v>80.225833200000011</v>
      </c>
    </row>
    <row r="419" spans="2:45" ht="15" hidden="1" customHeight="1" x14ac:dyDescent="0.25">
      <c r="B419" s="35">
        <v>413</v>
      </c>
      <c r="C419" s="36" t="s">
        <v>31</v>
      </c>
      <c r="D419" s="36" t="s">
        <v>66</v>
      </c>
      <c r="E419" s="36" t="s">
        <v>159</v>
      </c>
      <c r="F419" s="36" t="s">
        <v>161</v>
      </c>
      <c r="G419" s="37" t="s">
        <v>25</v>
      </c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>
        <f t="shared" si="76"/>
        <v>0</v>
      </c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40">
        <f t="shared" si="74"/>
        <v>0</v>
      </c>
      <c r="AS419" s="40"/>
    </row>
    <row r="420" spans="2:45" ht="15" hidden="1" customHeight="1" x14ac:dyDescent="0.25">
      <c r="B420" s="35">
        <v>414</v>
      </c>
      <c r="C420" s="36" t="s">
        <v>31</v>
      </c>
      <c r="D420" s="36" t="s">
        <v>66</v>
      </c>
      <c r="E420" s="36" t="s">
        <v>159</v>
      </c>
      <c r="F420" s="36" t="s">
        <v>161</v>
      </c>
      <c r="G420" s="37" t="s">
        <v>26</v>
      </c>
      <c r="H420" s="38">
        <v>2467</v>
      </c>
      <c r="I420" s="38">
        <v>23</v>
      </c>
      <c r="J420" s="38">
        <v>7</v>
      </c>
      <c r="K420" s="38">
        <v>163</v>
      </c>
      <c r="L420" s="38">
        <v>201</v>
      </c>
      <c r="M420" s="38">
        <v>1895</v>
      </c>
      <c r="N420" s="38">
        <v>155</v>
      </c>
      <c r="O420" s="38">
        <v>23</v>
      </c>
      <c r="P420" s="38"/>
      <c r="Q420" s="38">
        <f t="shared" ref="Q420:Q421" si="77">I420+J420</f>
        <v>30</v>
      </c>
      <c r="R420" s="38">
        <v>3631</v>
      </c>
      <c r="S420" s="38">
        <v>523</v>
      </c>
      <c r="T420" s="38">
        <v>195</v>
      </c>
      <c r="U420" s="38">
        <v>97</v>
      </c>
      <c r="V420" s="38">
        <v>35</v>
      </c>
      <c r="W420" s="38">
        <v>2505</v>
      </c>
      <c r="X420" s="38">
        <v>220</v>
      </c>
      <c r="Y420" s="38">
        <v>56</v>
      </c>
      <c r="Z420" s="38"/>
      <c r="AA420" s="38"/>
      <c r="AB420" s="39">
        <v>0.93230639999999998</v>
      </c>
      <c r="AC420" s="39">
        <v>0.28374539999999998</v>
      </c>
      <c r="AD420" s="39">
        <v>6.6072151999999997</v>
      </c>
      <c r="AE420" s="39">
        <v>8.1475475999999993</v>
      </c>
      <c r="AF420" s="39">
        <v>76.813944100000001</v>
      </c>
      <c r="AG420" s="39">
        <v>6.2829347000000002</v>
      </c>
      <c r="AH420" s="39">
        <v>0.93230639999999998</v>
      </c>
      <c r="AI420" s="39"/>
      <c r="AJ420" s="39"/>
      <c r="AK420" s="39">
        <v>14.403745499999999</v>
      </c>
      <c r="AL420" s="39">
        <v>5.3704213999999997</v>
      </c>
      <c r="AM420" s="39">
        <v>2.6714403999999998</v>
      </c>
      <c r="AN420" s="39">
        <v>0.96392180000000005</v>
      </c>
      <c r="AO420" s="39">
        <v>68.989259200000006</v>
      </c>
      <c r="AP420" s="39">
        <v>6.0589369</v>
      </c>
      <c r="AQ420" s="39">
        <v>1.5422749</v>
      </c>
      <c r="AR420" s="40">
        <f t="shared" si="74"/>
        <v>19.774166899999997</v>
      </c>
      <c r="AS420" s="40"/>
    </row>
    <row r="421" spans="2:45" ht="15" customHeight="1" x14ac:dyDescent="0.25">
      <c r="B421" s="41">
        <v>415</v>
      </c>
      <c r="C421" s="42" t="s">
        <v>31</v>
      </c>
      <c r="D421" s="51" t="s">
        <v>66</v>
      </c>
      <c r="E421" s="51" t="s">
        <v>159</v>
      </c>
      <c r="F421" s="51" t="s">
        <v>162</v>
      </c>
      <c r="G421" s="52" t="s">
        <v>162</v>
      </c>
      <c r="H421" s="43">
        <v>1295</v>
      </c>
      <c r="I421" s="43">
        <v>7</v>
      </c>
      <c r="J421" s="43">
        <v>2</v>
      </c>
      <c r="K421" s="43">
        <v>125</v>
      </c>
      <c r="L421" s="43">
        <v>53</v>
      </c>
      <c r="M421" s="43">
        <v>995</v>
      </c>
      <c r="N421" s="43">
        <v>86</v>
      </c>
      <c r="O421" s="43">
        <v>27</v>
      </c>
      <c r="P421" s="44">
        <f>K421+L421+M421+N421+O421</f>
        <v>1286</v>
      </c>
      <c r="Q421" s="44">
        <f t="shared" si="77"/>
        <v>9</v>
      </c>
      <c r="R421" s="43">
        <v>1474</v>
      </c>
      <c r="S421" s="43">
        <v>148</v>
      </c>
      <c r="T421" s="43">
        <v>11</v>
      </c>
      <c r="U421" s="43">
        <v>53</v>
      </c>
      <c r="V421" s="43">
        <v>27</v>
      </c>
      <c r="W421" s="43">
        <v>1100</v>
      </c>
      <c r="X421" s="43">
        <v>117</v>
      </c>
      <c r="Y421" s="43">
        <v>18</v>
      </c>
      <c r="Z421" s="45">
        <f>U421+V421+W421+X421+Y421</f>
        <v>1315</v>
      </c>
      <c r="AA421" s="45">
        <f t="shared" ref="AA421:AA422" si="78">S421+T421</f>
        <v>159</v>
      </c>
      <c r="AB421" s="46">
        <v>0.54054049999999998</v>
      </c>
      <c r="AC421" s="46">
        <v>0.1544402</v>
      </c>
      <c r="AD421" s="46">
        <v>9.6525096999999995</v>
      </c>
      <c r="AE421" s="46">
        <v>4.0926641000000004</v>
      </c>
      <c r="AF421" s="46">
        <v>76.833976800000002</v>
      </c>
      <c r="AG421" s="46">
        <v>6.6409266000000002</v>
      </c>
      <c r="AH421" s="46">
        <v>2.0849421000000001</v>
      </c>
      <c r="AI421" s="47">
        <f>AB421+AC421</f>
        <v>0.69498070000000001</v>
      </c>
      <c r="AJ421" s="47">
        <f>AD421+AE421+AF421+AG421+AH421</f>
        <v>99.305019300000012</v>
      </c>
      <c r="AK421" s="46">
        <v>10.040705600000001</v>
      </c>
      <c r="AL421" s="46">
        <v>0.74626870000000001</v>
      </c>
      <c r="AM421" s="46">
        <v>3.5956581000000001</v>
      </c>
      <c r="AN421" s="46">
        <v>1.8317502999999999</v>
      </c>
      <c r="AO421" s="46">
        <v>74.626865699999996</v>
      </c>
      <c r="AP421" s="46">
        <v>7.9375847999999998</v>
      </c>
      <c r="AQ421" s="46">
        <v>1.2211669000000001</v>
      </c>
      <c r="AR421" s="48">
        <f t="shared" si="74"/>
        <v>10.786974300000001</v>
      </c>
      <c r="AS421" s="48">
        <f>AM421+AN421+AO421+AP421+AQ421</f>
        <v>89.213025799999997</v>
      </c>
    </row>
    <row r="422" spans="2:45" ht="15" hidden="1" customHeight="1" x14ac:dyDescent="0.25">
      <c r="B422" s="35">
        <v>416</v>
      </c>
      <c r="C422" s="36" t="s">
        <v>31</v>
      </c>
      <c r="D422" s="36" t="s">
        <v>66</v>
      </c>
      <c r="E422" s="36" t="s">
        <v>159</v>
      </c>
      <c r="F422" s="36" t="s">
        <v>162</v>
      </c>
      <c r="G422" s="37" t="s">
        <v>25</v>
      </c>
      <c r="H422" s="38">
        <v>616</v>
      </c>
      <c r="I422" s="38">
        <v>6</v>
      </c>
      <c r="J422" s="38">
        <v>1</v>
      </c>
      <c r="K422" s="38">
        <v>83</v>
      </c>
      <c r="L422" s="38">
        <v>25</v>
      </c>
      <c r="M422" s="38">
        <v>447</v>
      </c>
      <c r="N422" s="38">
        <v>37</v>
      </c>
      <c r="O422" s="38">
        <v>17</v>
      </c>
      <c r="P422" s="38"/>
      <c r="Q422" s="38"/>
      <c r="R422" s="38">
        <v>471</v>
      </c>
      <c r="S422" s="38">
        <v>134</v>
      </c>
      <c r="T422" s="38">
        <v>8</v>
      </c>
      <c r="U422" s="38">
        <v>20</v>
      </c>
      <c r="V422" s="38">
        <v>9</v>
      </c>
      <c r="W422" s="38">
        <v>277</v>
      </c>
      <c r="X422" s="38">
        <v>20</v>
      </c>
      <c r="Y422" s="38">
        <v>3</v>
      </c>
      <c r="Z422" s="38"/>
      <c r="AA422" s="38">
        <f t="shared" si="78"/>
        <v>142</v>
      </c>
      <c r="AB422" s="39">
        <v>0.97402599999999995</v>
      </c>
      <c r="AC422" s="39">
        <v>0.1623377</v>
      </c>
      <c r="AD422" s="39">
        <v>13.474026</v>
      </c>
      <c r="AE422" s="39">
        <v>4.0584416000000001</v>
      </c>
      <c r="AF422" s="39">
        <v>72.5649351</v>
      </c>
      <c r="AG422" s="39">
        <v>6.0064935000000004</v>
      </c>
      <c r="AH422" s="39">
        <v>2.7597402999999998</v>
      </c>
      <c r="AI422" s="39"/>
      <c r="AJ422" s="39"/>
      <c r="AK422" s="39">
        <v>28.4501062</v>
      </c>
      <c r="AL422" s="39">
        <v>1.6985138</v>
      </c>
      <c r="AM422" s="39">
        <v>4.2462844999999998</v>
      </c>
      <c r="AN422" s="39">
        <v>1.910828</v>
      </c>
      <c r="AO422" s="39">
        <v>58.811040300000002</v>
      </c>
      <c r="AP422" s="39">
        <v>4.2462844999999998</v>
      </c>
      <c r="AQ422" s="39">
        <v>0.63694269999999997</v>
      </c>
      <c r="AR422" s="40">
        <f t="shared" si="74"/>
        <v>30.148620000000001</v>
      </c>
      <c r="AS422" s="40"/>
    </row>
    <row r="423" spans="2:45" ht="15" hidden="1" customHeight="1" x14ac:dyDescent="0.25">
      <c r="B423" s="35">
        <v>417</v>
      </c>
      <c r="C423" s="36" t="s">
        <v>31</v>
      </c>
      <c r="D423" s="36" t="s">
        <v>66</v>
      </c>
      <c r="E423" s="36" t="s">
        <v>159</v>
      </c>
      <c r="F423" s="36" t="s">
        <v>162</v>
      </c>
      <c r="G423" s="37" t="s">
        <v>26</v>
      </c>
      <c r="H423" s="38">
        <v>679</v>
      </c>
      <c r="I423" s="38">
        <v>1</v>
      </c>
      <c r="J423" s="38">
        <v>1</v>
      </c>
      <c r="K423" s="38">
        <v>42</v>
      </c>
      <c r="L423" s="38">
        <v>28</v>
      </c>
      <c r="M423" s="38">
        <v>548</v>
      </c>
      <c r="N423" s="38">
        <v>49</v>
      </c>
      <c r="O423" s="38">
        <v>10</v>
      </c>
      <c r="P423" s="38"/>
      <c r="Q423" s="38">
        <f>I423+J423</f>
        <v>2</v>
      </c>
      <c r="R423" s="38">
        <v>1003</v>
      </c>
      <c r="S423" s="38">
        <v>14</v>
      </c>
      <c r="T423" s="38">
        <v>3</v>
      </c>
      <c r="U423" s="38">
        <v>33</v>
      </c>
      <c r="V423" s="38">
        <v>18</v>
      </c>
      <c r="W423" s="38">
        <v>823</v>
      </c>
      <c r="X423" s="38">
        <v>97</v>
      </c>
      <c r="Y423" s="38">
        <v>15</v>
      </c>
      <c r="Z423" s="38"/>
      <c r="AA423" s="38"/>
      <c r="AB423" s="39">
        <v>0.1472754</v>
      </c>
      <c r="AC423" s="39">
        <v>0.1472754</v>
      </c>
      <c r="AD423" s="39">
        <v>6.1855669999999998</v>
      </c>
      <c r="AE423" s="39">
        <v>4.1237113000000001</v>
      </c>
      <c r="AF423" s="39">
        <v>80.706921899999998</v>
      </c>
      <c r="AG423" s="39">
        <v>7.2164948000000004</v>
      </c>
      <c r="AH423" s="39">
        <v>1.4727541</v>
      </c>
      <c r="AI423" s="39"/>
      <c r="AJ423" s="39"/>
      <c r="AK423" s="39">
        <v>1.3958126</v>
      </c>
      <c r="AL423" s="39">
        <v>0.2991027</v>
      </c>
      <c r="AM423" s="39">
        <v>3.2901296000000002</v>
      </c>
      <c r="AN423" s="39">
        <v>1.7946162000000001</v>
      </c>
      <c r="AO423" s="39">
        <v>82.053838499999998</v>
      </c>
      <c r="AP423" s="39">
        <v>9.6709870000000002</v>
      </c>
      <c r="AQ423" s="39">
        <v>1.4955134999999999</v>
      </c>
      <c r="AR423" s="40">
        <f t="shared" si="74"/>
        <v>1.6949152999999999</v>
      </c>
      <c r="AS423" s="40"/>
    </row>
    <row r="424" spans="2:45" ht="15" hidden="1" customHeight="1" x14ac:dyDescent="0.25">
      <c r="B424" s="30">
        <v>418</v>
      </c>
      <c r="C424" s="31" t="s">
        <v>29</v>
      </c>
      <c r="D424" s="50" t="s">
        <v>66</v>
      </c>
      <c r="E424" s="50" t="s">
        <v>163</v>
      </c>
      <c r="F424" s="50"/>
      <c r="G424" s="31" t="s">
        <v>163</v>
      </c>
      <c r="H424" s="32">
        <v>6026</v>
      </c>
      <c r="I424" s="32">
        <v>18</v>
      </c>
      <c r="J424" s="32">
        <v>1</v>
      </c>
      <c r="K424" s="32">
        <v>189</v>
      </c>
      <c r="L424" s="32">
        <v>1064</v>
      </c>
      <c r="M424" s="32">
        <v>3921</v>
      </c>
      <c r="N424" s="32">
        <v>741</v>
      </c>
      <c r="O424" s="32">
        <v>92</v>
      </c>
      <c r="P424" s="32"/>
      <c r="Q424" s="32"/>
      <c r="R424" s="32">
        <v>7253</v>
      </c>
      <c r="S424" s="32">
        <v>114</v>
      </c>
      <c r="T424" s="32">
        <v>17</v>
      </c>
      <c r="U424" s="32">
        <v>162</v>
      </c>
      <c r="V424" s="32">
        <v>429</v>
      </c>
      <c r="W424" s="32">
        <v>5272</v>
      </c>
      <c r="X424" s="32">
        <v>1121</v>
      </c>
      <c r="Y424" s="32">
        <v>138</v>
      </c>
      <c r="Z424" s="32"/>
      <c r="AA424" s="32"/>
      <c r="AB424" s="33">
        <v>0.29870560000000002</v>
      </c>
      <c r="AC424" s="33">
        <v>1.65948E-2</v>
      </c>
      <c r="AD424" s="33">
        <v>3.1364089000000002</v>
      </c>
      <c r="AE424" s="33">
        <v>17.656820400000001</v>
      </c>
      <c r="AF424" s="33">
        <v>65.0680385</v>
      </c>
      <c r="AG424" s="33">
        <v>12.2967142</v>
      </c>
      <c r="AH424" s="33">
        <v>1.5267176</v>
      </c>
      <c r="AI424" s="33"/>
      <c r="AJ424" s="33"/>
      <c r="AK424" s="33">
        <v>1.5717634</v>
      </c>
      <c r="AL424" s="33">
        <v>0.23438580000000001</v>
      </c>
      <c r="AM424" s="33">
        <v>2.2335585</v>
      </c>
      <c r="AN424" s="33">
        <v>5.9147939000000003</v>
      </c>
      <c r="AO424" s="33">
        <v>72.687163900000002</v>
      </c>
      <c r="AP424" s="33">
        <v>15.4556735</v>
      </c>
      <c r="AQ424" s="33">
        <v>1.9026609999999999</v>
      </c>
      <c r="AR424" s="34"/>
      <c r="AS424" s="34"/>
    </row>
    <row r="425" spans="2:45" ht="15" hidden="1" customHeight="1" x14ac:dyDescent="0.25">
      <c r="B425" s="35">
        <v>419</v>
      </c>
      <c r="C425" s="36" t="s">
        <v>29</v>
      </c>
      <c r="D425" s="36" t="s">
        <v>66</v>
      </c>
      <c r="E425" s="36" t="s">
        <v>163</v>
      </c>
      <c r="F425" s="36"/>
      <c r="G425" s="37" t="s">
        <v>25</v>
      </c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40"/>
      <c r="AS425" s="40"/>
    </row>
    <row r="426" spans="2:45" ht="15" hidden="1" customHeight="1" x14ac:dyDescent="0.25">
      <c r="B426" s="35">
        <v>420</v>
      </c>
      <c r="C426" s="36" t="s">
        <v>29</v>
      </c>
      <c r="D426" s="36" t="s">
        <v>66</v>
      </c>
      <c r="E426" s="36" t="s">
        <v>163</v>
      </c>
      <c r="F426" s="36"/>
      <c r="G426" s="37" t="s">
        <v>26</v>
      </c>
      <c r="H426" s="38">
        <v>6026</v>
      </c>
      <c r="I426" s="38">
        <v>18</v>
      </c>
      <c r="J426" s="38">
        <v>1</v>
      </c>
      <c r="K426" s="38">
        <v>189</v>
      </c>
      <c r="L426" s="38">
        <v>1064</v>
      </c>
      <c r="M426" s="38">
        <v>3921</v>
      </c>
      <c r="N426" s="38">
        <v>741</v>
      </c>
      <c r="O426" s="38">
        <v>92</v>
      </c>
      <c r="P426" s="38"/>
      <c r="Q426" s="38"/>
      <c r="R426" s="38">
        <v>7253</v>
      </c>
      <c r="S426" s="38">
        <v>114</v>
      </c>
      <c r="T426" s="38">
        <v>17</v>
      </c>
      <c r="U426" s="38">
        <v>162</v>
      </c>
      <c r="V426" s="38">
        <v>429</v>
      </c>
      <c r="W426" s="38">
        <v>5272</v>
      </c>
      <c r="X426" s="38">
        <v>1121</v>
      </c>
      <c r="Y426" s="38">
        <v>138</v>
      </c>
      <c r="Z426" s="38"/>
      <c r="AA426" s="38"/>
      <c r="AB426" s="39">
        <v>0.29870560000000002</v>
      </c>
      <c r="AC426" s="39">
        <v>1.65948E-2</v>
      </c>
      <c r="AD426" s="39">
        <v>3.1364089000000002</v>
      </c>
      <c r="AE426" s="39">
        <v>17.656820400000001</v>
      </c>
      <c r="AF426" s="39">
        <v>65.0680385</v>
      </c>
      <c r="AG426" s="39">
        <v>12.2967142</v>
      </c>
      <c r="AH426" s="39">
        <v>1.5267176</v>
      </c>
      <c r="AI426" s="39"/>
      <c r="AJ426" s="39"/>
      <c r="AK426" s="39">
        <v>1.5717634</v>
      </c>
      <c r="AL426" s="39">
        <v>0.23438580000000001</v>
      </c>
      <c r="AM426" s="39">
        <v>2.2335585</v>
      </c>
      <c r="AN426" s="39">
        <v>5.9147939000000003</v>
      </c>
      <c r="AO426" s="39">
        <v>72.687163900000002</v>
      </c>
      <c r="AP426" s="39">
        <v>15.4556735</v>
      </c>
      <c r="AQ426" s="39">
        <v>1.9026609999999999</v>
      </c>
      <c r="AR426" s="40"/>
      <c r="AS426" s="40"/>
    </row>
    <row r="427" spans="2:45" ht="15" customHeight="1" x14ac:dyDescent="0.25">
      <c r="B427" s="41">
        <v>421</v>
      </c>
      <c r="C427" s="42" t="s">
        <v>31</v>
      </c>
      <c r="D427" s="51" t="s">
        <v>66</v>
      </c>
      <c r="E427" s="51" t="s">
        <v>163</v>
      </c>
      <c r="F427" s="51" t="s">
        <v>164</v>
      </c>
      <c r="G427" s="52" t="s">
        <v>164</v>
      </c>
      <c r="H427" s="43">
        <v>2828</v>
      </c>
      <c r="I427" s="43">
        <v>8</v>
      </c>
      <c r="J427" s="43">
        <v>0</v>
      </c>
      <c r="K427" s="43">
        <v>60</v>
      </c>
      <c r="L427" s="43">
        <v>691</v>
      </c>
      <c r="M427" s="43">
        <v>1754</v>
      </c>
      <c r="N427" s="43">
        <v>286</v>
      </c>
      <c r="O427" s="43">
        <v>29</v>
      </c>
      <c r="P427" s="44">
        <f>K427+L427+M427+N427+O427</f>
        <v>2820</v>
      </c>
      <c r="Q427" s="44">
        <f>I427+J427</f>
        <v>8</v>
      </c>
      <c r="R427" s="43">
        <v>3484</v>
      </c>
      <c r="S427" s="43">
        <v>38</v>
      </c>
      <c r="T427" s="43">
        <v>4</v>
      </c>
      <c r="U427" s="43">
        <v>70</v>
      </c>
      <c r="V427" s="43">
        <v>283</v>
      </c>
      <c r="W427" s="43">
        <v>2561</v>
      </c>
      <c r="X427" s="43">
        <v>468</v>
      </c>
      <c r="Y427" s="43">
        <v>60</v>
      </c>
      <c r="Z427" s="45">
        <f>U427+V427+W427+X427+Y427</f>
        <v>3442</v>
      </c>
      <c r="AA427" s="45">
        <f>S427+T427</f>
        <v>42</v>
      </c>
      <c r="AB427" s="46">
        <v>0.28288540000000001</v>
      </c>
      <c r="AC427" s="46">
        <v>0</v>
      </c>
      <c r="AD427" s="46">
        <v>2.1216406999999999</v>
      </c>
      <c r="AE427" s="46">
        <v>24.4342291</v>
      </c>
      <c r="AF427" s="46">
        <v>62.022630800000002</v>
      </c>
      <c r="AG427" s="46">
        <v>10.1131542</v>
      </c>
      <c r="AH427" s="46">
        <v>1.0254597000000001</v>
      </c>
      <c r="AI427" s="47">
        <f>AB427+AC427</f>
        <v>0.28288540000000001</v>
      </c>
      <c r="AJ427" s="47">
        <f>AD427+AE427+AF427+AG427+AH427</f>
        <v>99.717114499999994</v>
      </c>
      <c r="AK427" s="46">
        <v>1.0907003</v>
      </c>
      <c r="AL427" s="46">
        <v>0.1148106</v>
      </c>
      <c r="AM427" s="46">
        <v>2.0091847999999999</v>
      </c>
      <c r="AN427" s="46">
        <v>8.1228473000000001</v>
      </c>
      <c r="AO427" s="46">
        <v>73.507462700000005</v>
      </c>
      <c r="AP427" s="46">
        <v>13.432835799999999</v>
      </c>
      <c r="AQ427" s="46">
        <v>1.7221584000000001</v>
      </c>
      <c r="AR427" s="48">
        <f>AK427+AL427</f>
        <v>1.2055108999999999</v>
      </c>
      <c r="AS427" s="48">
        <f>AM427+AN427+AO427+AP427+AQ427</f>
        <v>98.794489000000013</v>
      </c>
    </row>
    <row r="428" spans="2:45" ht="15" hidden="1" customHeight="1" x14ac:dyDescent="0.25">
      <c r="B428" s="35">
        <v>422</v>
      </c>
      <c r="C428" s="36" t="s">
        <v>31</v>
      </c>
      <c r="D428" s="36" t="s">
        <v>66</v>
      </c>
      <c r="E428" s="36" t="s">
        <v>163</v>
      </c>
      <c r="F428" s="36" t="s">
        <v>164</v>
      </c>
      <c r="G428" s="37" t="s">
        <v>25</v>
      </c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40"/>
      <c r="AS428" s="40"/>
    </row>
    <row r="429" spans="2:45" ht="15" hidden="1" customHeight="1" x14ac:dyDescent="0.25">
      <c r="B429" s="35">
        <v>423</v>
      </c>
      <c r="C429" s="36" t="s">
        <v>31</v>
      </c>
      <c r="D429" s="36" t="s">
        <v>66</v>
      </c>
      <c r="E429" s="36" t="s">
        <v>163</v>
      </c>
      <c r="F429" s="36" t="s">
        <v>164</v>
      </c>
      <c r="G429" s="37" t="s">
        <v>26</v>
      </c>
      <c r="H429" s="38">
        <v>2828</v>
      </c>
      <c r="I429" s="38">
        <v>8</v>
      </c>
      <c r="J429" s="38">
        <v>0</v>
      </c>
      <c r="K429" s="38">
        <v>60</v>
      </c>
      <c r="L429" s="38">
        <v>691</v>
      </c>
      <c r="M429" s="38">
        <v>1754</v>
      </c>
      <c r="N429" s="38">
        <v>286</v>
      </c>
      <c r="O429" s="38">
        <v>29</v>
      </c>
      <c r="P429" s="38"/>
      <c r="Q429" s="38"/>
      <c r="R429" s="38">
        <v>3484</v>
      </c>
      <c r="S429" s="38">
        <v>38</v>
      </c>
      <c r="T429" s="38">
        <v>4</v>
      </c>
      <c r="U429" s="38">
        <v>70</v>
      </c>
      <c r="V429" s="38">
        <v>283</v>
      </c>
      <c r="W429" s="38">
        <v>2561</v>
      </c>
      <c r="X429" s="38">
        <v>468</v>
      </c>
      <c r="Y429" s="38">
        <v>60</v>
      </c>
      <c r="Z429" s="38"/>
      <c r="AA429" s="38"/>
      <c r="AB429" s="39">
        <v>0.28288540000000001</v>
      </c>
      <c r="AC429" s="39">
        <v>0</v>
      </c>
      <c r="AD429" s="39">
        <v>2.1216406999999999</v>
      </c>
      <c r="AE429" s="39">
        <v>24.4342291</v>
      </c>
      <c r="AF429" s="39">
        <v>62.022630800000002</v>
      </c>
      <c r="AG429" s="39">
        <v>10.1131542</v>
      </c>
      <c r="AH429" s="39">
        <v>1.0254597000000001</v>
      </c>
      <c r="AI429" s="39"/>
      <c r="AJ429" s="39"/>
      <c r="AK429" s="39">
        <v>1.0907003</v>
      </c>
      <c r="AL429" s="39">
        <v>0.1148106</v>
      </c>
      <c r="AM429" s="39">
        <v>2.0091847999999999</v>
      </c>
      <c r="AN429" s="39">
        <v>8.1228473000000001</v>
      </c>
      <c r="AO429" s="39">
        <v>73.507462700000005</v>
      </c>
      <c r="AP429" s="39">
        <v>13.432835799999999</v>
      </c>
      <c r="AQ429" s="39">
        <v>1.7221584000000001</v>
      </c>
      <c r="AR429" s="40"/>
      <c r="AS429" s="40"/>
    </row>
    <row r="430" spans="2:45" ht="15" customHeight="1" x14ac:dyDescent="0.25">
      <c r="B430" s="41">
        <v>424</v>
      </c>
      <c r="C430" s="42" t="s">
        <v>31</v>
      </c>
      <c r="D430" s="51" t="s">
        <v>66</v>
      </c>
      <c r="E430" s="51" t="s">
        <v>163</v>
      </c>
      <c r="F430" s="51" t="s">
        <v>165</v>
      </c>
      <c r="G430" s="52" t="s">
        <v>165</v>
      </c>
      <c r="H430" s="43">
        <v>2429</v>
      </c>
      <c r="I430" s="43">
        <v>8</v>
      </c>
      <c r="J430" s="43">
        <v>1</v>
      </c>
      <c r="K430" s="43">
        <v>122</v>
      </c>
      <c r="L430" s="43">
        <v>84</v>
      </c>
      <c r="M430" s="43">
        <v>1766</v>
      </c>
      <c r="N430" s="43">
        <v>395</v>
      </c>
      <c r="O430" s="43">
        <v>53</v>
      </c>
      <c r="P430" s="44">
        <f>K430+L430+M430+N430+O430</f>
        <v>2420</v>
      </c>
      <c r="Q430" s="44">
        <f>I430+J430</f>
        <v>9</v>
      </c>
      <c r="R430" s="43">
        <v>2888</v>
      </c>
      <c r="S430" s="43">
        <v>55</v>
      </c>
      <c r="T430" s="43">
        <v>12</v>
      </c>
      <c r="U430" s="43">
        <v>55</v>
      </c>
      <c r="V430" s="43">
        <v>32</v>
      </c>
      <c r="W430" s="43">
        <v>2160</v>
      </c>
      <c r="X430" s="43">
        <v>527</v>
      </c>
      <c r="Y430" s="43">
        <v>47</v>
      </c>
      <c r="Z430" s="45">
        <f>U430+V430+W430+X430+Y430</f>
        <v>2821</v>
      </c>
      <c r="AA430" s="45">
        <f>S430+T430</f>
        <v>67</v>
      </c>
      <c r="AB430" s="46">
        <v>0.32935360000000002</v>
      </c>
      <c r="AC430" s="46">
        <v>4.1169200000000003E-2</v>
      </c>
      <c r="AD430" s="46">
        <v>5.0226430999999998</v>
      </c>
      <c r="AE430" s="46">
        <v>3.4582133000000002</v>
      </c>
      <c r="AF430" s="46">
        <v>72.704816800000003</v>
      </c>
      <c r="AG430" s="46">
        <v>16.2618361</v>
      </c>
      <c r="AH430" s="46">
        <v>2.1819679000000001</v>
      </c>
      <c r="AI430" s="47">
        <f>AB430+AC430</f>
        <v>0.37052280000000004</v>
      </c>
      <c r="AJ430" s="47">
        <f>AD430+AE430+AF430+AG430+AH430</f>
        <v>99.629477199999997</v>
      </c>
      <c r="AK430" s="46">
        <v>1.9044321</v>
      </c>
      <c r="AL430" s="46">
        <v>0.41551250000000001</v>
      </c>
      <c r="AM430" s="46">
        <v>1.9044321</v>
      </c>
      <c r="AN430" s="46">
        <v>1.1080331999999999</v>
      </c>
      <c r="AO430" s="46">
        <v>74.792243799999994</v>
      </c>
      <c r="AP430" s="46">
        <v>18.2479224</v>
      </c>
      <c r="AQ430" s="46">
        <v>1.6274238000000001</v>
      </c>
      <c r="AR430" s="48">
        <f>AK430+AL430</f>
        <v>2.3199445999999999</v>
      </c>
      <c r="AS430" s="48">
        <f>AM430+AN430+AO430+AP430+AQ430</f>
        <v>97.680055299999992</v>
      </c>
    </row>
    <row r="431" spans="2:45" ht="15" hidden="1" customHeight="1" x14ac:dyDescent="0.25">
      <c r="B431" s="35">
        <v>425</v>
      </c>
      <c r="C431" s="36" t="s">
        <v>31</v>
      </c>
      <c r="D431" s="36" t="s">
        <v>66</v>
      </c>
      <c r="E431" s="36" t="s">
        <v>163</v>
      </c>
      <c r="F431" s="36" t="s">
        <v>165</v>
      </c>
      <c r="G431" s="37" t="s">
        <v>25</v>
      </c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40"/>
      <c r="AS431" s="40"/>
    </row>
    <row r="432" spans="2:45" ht="15" hidden="1" customHeight="1" x14ac:dyDescent="0.25">
      <c r="B432" s="35">
        <v>426</v>
      </c>
      <c r="C432" s="36" t="s">
        <v>31</v>
      </c>
      <c r="D432" s="36" t="s">
        <v>66</v>
      </c>
      <c r="E432" s="36" t="s">
        <v>163</v>
      </c>
      <c r="F432" s="36" t="s">
        <v>165</v>
      </c>
      <c r="G432" s="37" t="s">
        <v>26</v>
      </c>
      <c r="H432" s="38">
        <v>2429</v>
      </c>
      <c r="I432" s="38">
        <v>8</v>
      </c>
      <c r="J432" s="38">
        <v>1</v>
      </c>
      <c r="K432" s="38">
        <v>122</v>
      </c>
      <c r="L432" s="38">
        <v>84</v>
      </c>
      <c r="M432" s="38">
        <v>1766</v>
      </c>
      <c r="N432" s="38">
        <v>395</v>
      </c>
      <c r="O432" s="38">
        <v>53</v>
      </c>
      <c r="P432" s="38"/>
      <c r="Q432" s="38"/>
      <c r="R432" s="38">
        <v>2888</v>
      </c>
      <c r="S432" s="38">
        <v>55</v>
      </c>
      <c r="T432" s="38">
        <v>12</v>
      </c>
      <c r="U432" s="38">
        <v>55</v>
      </c>
      <c r="V432" s="38">
        <v>32</v>
      </c>
      <c r="W432" s="38">
        <v>2160</v>
      </c>
      <c r="X432" s="38">
        <v>527</v>
      </c>
      <c r="Y432" s="38">
        <v>47</v>
      </c>
      <c r="Z432" s="38"/>
      <c r="AA432" s="38"/>
      <c r="AB432" s="39">
        <v>0.32935360000000002</v>
      </c>
      <c r="AC432" s="39">
        <v>4.1169200000000003E-2</v>
      </c>
      <c r="AD432" s="39">
        <v>5.0226430999999998</v>
      </c>
      <c r="AE432" s="39">
        <v>3.4582133000000002</v>
      </c>
      <c r="AF432" s="39">
        <v>72.704816800000003</v>
      </c>
      <c r="AG432" s="39">
        <v>16.2618361</v>
      </c>
      <c r="AH432" s="39">
        <v>2.1819679000000001</v>
      </c>
      <c r="AI432" s="39"/>
      <c r="AJ432" s="39"/>
      <c r="AK432" s="39">
        <v>1.9044321</v>
      </c>
      <c r="AL432" s="39">
        <v>0.41551250000000001</v>
      </c>
      <c r="AM432" s="39">
        <v>1.9044321</v>
      </c>
      <c r="AN432" s="39">
        <v>1.1080331999999999</v>
      </c>
      <c r="AO432" s="39">
        <v>74.792243799999994</v>
      </c>
      <c r="AP432" s="39">
        <v>18.2479224</v>
      </c>
      <c r="AQ432" s="39">
        <v>1.6274238000000001</v>
      </c>
      <c r="AR432" s="40"/>
      <c r="AS432" s="40"/>
    </row>
    <row r="433" spans="2:45" ht="15" customHeight="1" x14ac:dyDescent="0.25">
      <c r="B433" s="41">
        <v>427</v>
      </c>
      <c r="C433" s="42" t="s">
        <v>31</v>
      </c>
      <c r="D433" s="51" t="s">
        <v>66</v>
      </c>
      <c r="E433" s="51" t="s">
        <v>163</v>
      </c>
      <c r="F433" s="51" t="s">
        <v>166</v>
      </c>
      <c r="G433" s="52" t="s">
        <v>166</v>
      </c>
      <c r="H433" s="43">
        <v>769</v>
      </c>
      <c r="I433" s="43">
        <v>2</v>
      </c>
      <c r="J433" s="43">
        <v>0</v>
      </c>
      <c r="K433" s="43">
        <v>7</v>
      </c>
      <c r="L433" s="43">
        <v>289</v>
      </c>
      <c r="M433" s="43">
        <v>401</v>
      </c>
      <c r="N433" s="43">
        <v>60</v>
      </c>
      <c r="O433" s="43">
        <v>10</v>
      </c>
      <c r="P433" s="44">
        <f>K433+L433+M433+N433+O433</f>
        <v>767</v>
      </c>
      <c r="Q433" s="44">
        <f>I433+J433</f>
        <v>2</v>
      </c>
      <c r="R433" s="43">
        <v>881</v>
      </c>
      <c r="S433" s="43">
        <v>21</v>
      </c>
      <c r="T433" s="43">
        <v>1</v>
      </c>
      <c r="U433" s="43">
        <v>37</v>
      </c>
      <c r="V433" s="43">
        <v>114</v>
      </c>
      <c r="W433" s="43">
        <v>551</v>
      </c>
      <c r="X433" s="43">
        <v>126</v>
      </c>
      <c r="Y433" s="43">
        <v>31</v>
      </c>
      <c r="Z433" s="45">
        <f>U433+V433+W433+X433+Y433</f>
        <v>859</v>
      </c>
      <c r="AA433" s="45">
        <f>S433+T433</f>
        <v>22</v>
      </c>
      <c r="AB433" s="46">
        <v>0.26007799999999998</v>
      </c>
      <c r="AC433" s="46">
        <v>0</v>
      </c>
      <c r="AD433" s="46">
        <v>0.91027309999999995</v>
      </c>
      <c r="AE433" s="46">
        <v>37.581274399999998</v>
      </c>
      <c r="AF433" s="46">
        <v>52.145643700000001</v>
      </c>
      <c r="AG433" s="46">
        <v>7.8023407000000002</v>
      </c>
      <c r="AH433" s="46">
        <v>1.3003901</v>
      </c>
      <c r="AI433" s="47">
        <f>AB433+AC433</f>
        <v>0.26007799999999998</v>
      </c>
      <c r="AJ433" s="47">
        <f>AD433+AE433+AF433+AG433+AH433</f>
        <v>99.739921999999993</v>
      </c>
      <c r="AK433" s="46">
        <v>2.3836548999999998</v>
      </c>
      <c r="AL433" s="46">
        <v>0.11350739999999999</v>
      </c>
      <c r="AM433" s="46">
        <v>4.1997730000000004</v>
      </c>
      <c r="AN433" s="46">
        <v>12.939841100000001</v>
      </c>
      <c r="AO433" s="46">
        <v>62.5425653</v>
      </c>
      <c r="AP433" s="46">
        <v>14.301929599999999</v>
      </c>
      <c r="AQ433" s="46">
        <v>3.5187287</v>
      </c>
      <c r="AR433" s="48">
        <f>AK433+AL433</f>
        <v>2.4971622999999998</v>
      </c>
      <c r="AS433" s="48">
        <f>AM433+AN433+AO433+AP433+AQ433</f>
        <v>97.502837699999986</v>
      </c>
    </row>
    <row r="434" spans="2:45" ht="15" hidden="1" customHeight="1" x14ac:dyDescent="0.25">
      <c r="B434" s="35">
        <v>428</v>
      </c>
      <c r="C434" s="36" t="s">
        <v>31</v>
      </c>
      <c r="D434" s="36" t="s">
        <v>66</v>
      </c>
      <c r="E434" s="36" t="s">
        <v>163</v>
      </c>
      <c r="F434" s="36" t="s">
        <v>166</v>
      </c>
      <c r="G434" s="37" t="s">
        <v>25</v>
      </c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40"/>
      <c r="AS434" s="40"/>
    </row>
    <row r="435" spans="2:45" ht="15" hidden="1" customHeight="1" x14ac:dyDescent="0.25">
      <c r="B435" s="35">
        <v>429</v>
      </c>
      <c r="C435" s="36" t="s">
        <v>31</v>
      </c>
      <c r="D435" s="36" t="s">
        <v>66</v>
      </c>
      <c r="E435" s="36" t="s">
        <v>163</v>
      </c>
      <c r="F435" s="36" t="s">
        <v>166</v>
      </c>
      <c r="G435" s="37" t="s">
        <v>26</v>
      </c>
      <c r="H435" s="38">
        <v>769</v>
      </c>
      <c r="I435" s="38">
        <v>2</v>
      </c>
      <c r="J435" s="38">
        <v>0</v>
      </c>
      <c r="K435" s="38">
        <v>7</v>
      </c>
      <c r="L435" s="38">
        <v>289</v>
      </c>
      <c r="M435" s="38">
        <v>401</v>
      </c>
      <c r="N435" s="38">
        <v>60</v>
      </c>
      <c r="O435" s="38">
        <v>10</v>
      </c>
      <c r="P435" s="38"/>
      <c r="Q435" s="38"/>
      <c r="R435" s="38">
        <v>881</v>
      </c>
      <c r="S435" s="38">
        <v>21</v>
      </c>
      <c r="T435" s="38">
        <v>1</v>
      </c>
      <c r="U435" s="38">
        <v>37</v>
      </c>
      <c r="V435" s="38">
        <v>114</v>
      </c>
      <c r="W435" s="38">
        <v>551</v>
      </c>
      <c r="X435" s="38">
        <v>126</v>
      </c>
      <c r="Y435" s="38">
        <v>31</v>
      </c>
      <c r="Z435" s="38"/>
      <c r="AA435" s="38"/>
      <c r="AB435" s="39">
        <v>0.26007799999999998</v>
      </c>
      <c r="AC435" s="39">
        <v>0</v>
      </c>
      <c r="AD435" s="39">
        <v>0.91027309999999995</v>
      </c>
      <c r="AE435" s="39">
        <v>37.581274399999998</v>
      </c>
      <c r="AF435" s="39">
        <v>52.145643700000001</v>
      </c>
      <c r="AG435" s="39">
        <v>7.8023407000000002</v>
      </c>
      <c r="AH435" s="39">
        <v>1.3003901</v>
      </c>
      <c r="AI435" s="39"/>
      <c r="AJ435" s="39"/>
      <c r="AK435" s="39">
        <v>2.3836548999999998</v>
      </c>
      <c r="AL435" s="39">
        <v>0.11350739999999999</v>
      </c>
      <c r="AM435" s="39">
        <v>4.1997730000000004</v>
      </c>
      <c r="AN435" s="39">
        <v>12.939841100000001</v>
      </c>
      <c r="AO435" s="39">
        <v>62.5425653</v>
      </c>
      <c r="AP435" s="39">
        <v>14.301929599999999</v>
      </c>
      <c r="AQ435" s="39">
        <v>3.5187287</v>
      </c>
      <c r="AR435" s="40"/>
      <c r="AS435" s="40"/>
    </row>
    <row r="436" spans="2:45" ht="15" hidden="1" customHeight="1" x14ac:dyDescent="0.25">
      <c r="B436" s="30">
        <v>430</v>
      </c>
      <c r="C436" s="31" t="s">
        <v>29</v>
      </c>
      <c r="D436" s="50" t="s">
        <v>66</v>
      </c>
      <c r="E436" s="50" t="s">
        <v>167</v>
      </c>
      <c r="F436" s="50"/>
      <c r="G436" s="31" t="s">
        <v>167</v>
      </c>
      <c r="H436" s="32">
        <v>2566</v>
      </c>
      <c r="I436" s="32">
        <v>94</v>
      </c>
      <c r="J436" s="32">
        <v>9</v>
      </c>
      <c r="K436" s="32">
        <v>83</v>
      </c>
      <c r="L436" s="32">
        <v>267</v>
      </c>
      <c r="M436" s="32">
        <v>1625</v>
      </c>
      <c r="N436" s="32">
        <v>428</v>
      </c>
      <c r="O436" s="32">
        <v>60</v>
      </c>
      <c r="P436" s="32"/>
      <c r="Q436" s="32"/>
      <c r="R436" s="32">
        <v>4651</v>
      </c>
      <c r="S436" s="32">
        <v>437</v>
      </c>
      <c r="T436" s="32">
        <v>16</v>
      </c>
      <c r="U436" s="32">
        <v>154</v>
      </c>
      <c r="V436" s="32">
        <v>105</v>
      </c>
      <c r="W436" s="32">
        <v>2650</v>
      </c>
      <c r="X436" s="32">
        <v>1143</v>
      </c>
      <c r="Y436" s="32">
        <v>146</v>
      </c>
      <c r="Z436" s="32"/>
      <c r="AA436" s="32"/>
      <c r="AB436" s="33">
        <v>3.6632891999999999</v>
      </c>
      <c r="AC436" s="33">
        <v>0.35074050000000001</v>
      </c>
      <c r="AD436" s="33">
        <v>3.2346064000000001</v>
      </c>
      <c r="AE436" s="33">
        <v>10.4053001</v>
      </c>
      <c r="AF436" s="33">
        <v>63.3281372</v>
      </c>
      <c r="AG436" s="33">
        <v>16.6796571</v>
      </c>
      <c r="AH436" s="33">
        <v>2.3382697000000001</v>
      </c>
      <c r="AI436" s="33"/>
      <c r="AJ436" s="33"/>
      <c r="AK436" s="33">
        <v>9.3958288999999997</v>
      </c>
      <c r="AL436" s="33">
        <v>0.34401199999999998</v>
      </c>
      <c r="AM436" s="33">
        <v>3.3111158999999999</v>
      </c>
      <c r="AN436" s="33">
        <v>2.2575789999999998</v>
      </c>
      <c r="AO436" s="33">
        <v>56.9769942</v>
      </c>
      <c r="AP436" s="33">
        <v>24.575360100000001</v>
      </c>
      <c r="AQ436" s="33">
        <v>3.1391098999999998</v>
      </c>
      <c r="AR436" s="34"/>
      <c r="AS436" s="34"/>
    </row>
    <row r="437" spans="2:45" ht="15" hidden="1" customHeight="1" x14ac:dyDescent="0.25">
      <c r="B437" s="35">
        <v>431</v>
      </c>
      <c r="C437" s="36" t="s">
        <v>29</v>
      </c>
      <c r="D437" s="36" t="s">
        <v>66</v>
      </c>
      <c r="E437" s="36" t="s">
        <v>167</v>
      </c>
      <c r="F437" s="36"/>
      <c r="G437" s="37" t="s">
        <v>25</v>
      </c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40"/>
      <c r="AS437" s="40"/>
    </row>
    <row r="438" spans="2:45" ht="15" hidden="1" customHeight="1" x14ac:dyDescent="0.25">
      <c r="B438" s="35">
        <v>432</v>
      </c>
      <c r="C438" s="36" t="s">
        <v>29</v>
      </c>
      <c r="D438" s="36" t="s">
        <v>66</v>
      </c>
      <c r="E438" s="36" t="s">
        <v>167</v>
      </c>
      <c r="F438" s="36"/>
      <c r="G438" s="37" t="s">
        <v>26</v>
      </c>
      <c r="H438" s="38">
        <v>2566</v>
      </c>
      <c r="I438" s="38">
        <v>94</v>
      </c>
      <c r="J438" s="38">
        <v>9</v>
      </c>
      <c r="K438" s="38">
        <v>83</v>
      </c>
      <c r="L438" s="38">
        <v>267</v>
      </c>
      <c r="M438" s="38">
        <v>1625</v>
      </c>
      <c r="N438" s="38">
        <v>428</v>
      </c>
      <c r="O438" s="38">
        <v>60</v>
      </c>
      <c r="P438" s="38"/>
      <c r="Q438" s="38"/>
      <c r="R438" s="38">
        <v>4651</v>
      </c>
      <c r="S438" s="38">
        <v>437</v>
      </c>
      <c r="T438" s="38">
        <v>16</v>
      </c>
      <c r="U438" s="38">
        <v>154</v>
      </c>
      <c r="V438" s="38">
        <v>105</v>
      </c>
      <c r="W438" s="38">
        <v>2650</v>
      </c>
      <c r="X438" s="38">
        <v>1143</v>
      </c>
      <c r="Y438" s="38">
        <v>146</v>
      </c>
      <c r="Z438" s="38"/>
      <c r="AA438" s="38"/>
      <c r="AB438" s="39">
        <v>3.6632891999999999</v>
      </c>
      <c r="AC438" s="39">
        <v>0.35074050000000001</v>
      </c>
      <c r="AD438" s="39">
        <v>3.2346064000000001</v>
      </c>
      <c r="AE438" s="39">
        <v>10.4053001</v>
      </c>
      <c r="AF438" s="39">
        <v>63.3281372</v>
      </c>
      <c r="AG438" s="39">
        <v>16.6796571</v>
      </c>
      <c r="AH438" s="39">
        <v>2.3382697000000001</v>
      </c>
      <c r="AI438" s="39"/>
      <c r="AJ438" s="39"/>
      <c r="AK438" s="39">
        <v>9.3958288999999997</v>
      </c>
      <c r="AL438" s="39">
        <v>0.34401199999999998</v>
      </c>
      <c r="AM438" s="39">
        <v>3.3111158999999999</v>
      </c>
      <c r="AN438" s="39">
        <v>2.2575789999999998</v>
      </c>
      <c r="AO438" s="39">
        <v>56.9769942</v>
      </c>
      <c r="AP438" s="39">
        <v>24.575360100000001</v>
      </c>
      <c r="AQ438" s="39">
        <v>3.1391098999999998</v>
      </c>
      <c r="AR438" s="40"/>
      <c r="AS438" s="40"/>
    </row>
    <row r="439" spans="2:45" ht="15" customHeight="1" x14ac:dyDescent="0.25">
      <c r="B439" s="41">
        <v>433</v>
      </c>
      <c r="C439" s="42" t="s">
        <v>31</v>
      </c>
      <c r="D439" s="51" t="s">
        <v>66</v>
      </c>
      <c r="E439" s="51" t="s">
        <v>167</v>
      </c>
      <c r="F439" s="51" t="s">
        <v>168</v>
      </c>
      <c r="G439" s="52" t="s">
        <v>168</v>
      </c>
      <c r="H439" s="43">
        <v>1830</v>
      </c>
      <c r="I439" s="43">
        <v>55</v>
      </c>
      <c r="J439" s="43">
        <v>7</v>
      </c>
      <c r="K439" s="43">
        <v>51</v>
      </c>
      <c r="L439" s="43">
        <v>212</v>
      </c>
      <c r="M439" s="43">
        <v>1179</v>
      </c>
      <c r="N439" s="43">
        <v>288</v>
      </c>
      <c r="O439" s="43">
        <v>38</v>
      </c>
      <c r="P439" s="44">
        <f>K439+L439+M439+N439+O439</f>
        <v>1768</v>
      </c>
      <c r="Q439" s="44">
        <f>I439+J439</f>
        <v>62</v>
      </c>
      <c r="R439" s="43">
        <v>2956</v>
      </c>
      <c r="S439" s="43">
        <v>326</v>
      </c>
      <c r="T439" s="43">
        <v>15</v>
      </c>
      <c r="U439" s="43">
        <v>132</v>
      </c>
      <c r="V439" s="43">
        <v>77</v>
      </c>
      <c r="W439" s="43">
        <v>1713</v>
      </c>
      <c r="X439" s="43">
        <v>631</v>
      </c>
      <c r="Y439" s="43">
        <v>62</v>
      </c>
      <c r="Z439" s="45">
        <f>U439+V439+W439+X439+Y439</f>
        <v>2615</v>
      </c>
      <c r="AA439" s="45">
        <f>S439+T439</f>
        <v>341</v>
      </c>
      <c r="AB439" s="46">
        <v>3.0054645</v>
      </c>
      <c r="AC439" s="46">
        <v>0.38251370000000001</v>
      </c>
      <c r="AD439" s="46">
        <v>2.7868852</v>
      </c>
      <c r="AE439" s="46">
        <v>11.584699499999999</v>
      </c>
      <c r="AF439" s="46">
        <v>64.426229500000005</v>
      </c>
      <c r="AG439" s="46">
        <v>15.737704900000001</v>
      </c>
      <c r="AH439" s="46">
        <v>2.0765026999999998</v>
      </c>
      <c r="AI439" s="47">
        <f>AB439+AC439</f>
        <v>3.3879782000000001</v>
      </c>
      <c r="AJ439" s="47">
        <f>AD439+AE439+AF439+AG439+AH439</f>
        <v>96.612021800000008</v>
      </c>
      <c r="AK439" s="46">
        <v>11.0284168</v>
      </c>
      <c r="AL439" s="46">
        <v>0.50744250000000002</v>
      </c>
      <c r="AM439" s="46">
        <v>4.4654939000000002</v>
      </c>
      <c r="AN439" s="46">
        <v>2.6048713999999999</v>
      </c>
      <c r="AO439" s="46">
        <v>57.9499323</v>
      </c>
      <c r="AP439" s="46">
        <v>21.346414100000001</v>
      </c>
      <c r="AQ439" s="46">
        <v>2.097429</v>
      </c>
      <c r="AR439" s="48">
        <f>AK439+AL439</f>
        <v>11.5358593</v>
      </c>
      <c r="AS439" s="48">
        <f>AM439+AN439+AO439+AP439+AQ439</f>
        <v>88.464140700000016</v>
      </c>
    </row>
    <row r="440" spans="2:45" ht="15" hidden="1" customHeight="1" x14ac:dyDescent="0.25">
      <c r="B440" s="35">
        <v>434</v>
      </c>
      <c r="C440" s="36" t="s">
        <v>31</v>
      </c>
      <c r="D440" s="36" t="s">
        <v>66</v>
      </c>
      <c r="E440" s="36" t="s">
        <v>167</v>
      </c>
      <c r="F440" s="36" t="s">
        <v>168</v>
      </c>
      <c r="G440" s="37" t="s">
        <v>25</v>
      </c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40"/>
      <c r="AS440" s="40"/>
    </row>
    <row r="441" spans="2:45" ht="15" hidden="1" customHeight="1" x14ac:dyDescent="0.25">
      <c r="B441" s="35">
        <v>435</v>
      </c>
      <c r="C441" s="36" t="s">
        <v>31</v>
      </c>
      <c r="D441" s="36" t="s">
        <v>66</v>
      </c>
      <c r="E441" s="36" t="s">
        <v>167</v>
      </c>
      <c r="F441" s="36" t="s">
        <v>168</v>
      </c>
      <c r="G441" s="37" t="s">
        <v>26</v>
      </c>
      <c r="H441" s="38">
        <v>1830</v>
      </c>
      <c r="I441" s="38">
        <v>55</v>
      </c>
      <c r="J441" s="38">
        <v>7</v>
      </c>
      <c r="K441" s="38">
        <v>51</v>
      </c>
      <c r="L441" s="38">
        <v>212</v>
      </c>
      <c r="M441" s="38">
        <v>1179</v>
      </c>
      <c r="N441" s="38">
        <v>288</v>
      </c>
      <c r="O441" s="38">
        <v>38</v>
      </c>
      <c r="P441" s="38"/>
      <c r="Q441" s="38"/>
      <c r="R441" s="38">
        <v>2956</v>
      </c>
      <c r="S441" s="38">
        <v>326</v>
      </c>
      <c r="T441" s="38">
        <v>15</v>
      </c>
      <c r="U441" s="38">
        <v>132</v>
      </c>
      <c r="V441" s="38">
        <v>77</v>
      </c>
      <c r="W441" s="38">
        <v>1713</v>
      </c>
      <c r="X441" s="38">
        <v>631</v>
      </c>
      <c r="Y441" s="38">
        <v>62</v>
      </c>
      <c r="Z441" s="38"/>
      <c r="AA441" s="38"/>
      <c r="AB441" s="39">
        <v>3.0054645</v>
      </c>
      <c r="AC441" s="39">
        <v>0.38251370000000001</v>
      </c>
      <c r="AD441" s="39">
        <v>2.7868852</v>
      </c>
      <c r="AE441" s="39">
        <v>11.584699499999999</v>
      </c>
      <c r="AF441" s="39">
        <v>64.426229500000005</v>
      </c>
      <c r="AG441" s="39">
        <v>15.737704900000001</v>
      </c>
      <c r="AH441" s="39">
        <v>2.0765026999999998</v>
      </c>
      <c r="AI441" s="39"/>
      <c r="AJ441" s="39"/>
      <c r="AK441" s="39">
        <v>11.0284168</v>
      </c>
      <c r="AL441" s="39">
        <v>0.50744250000000002</v>
      </c>
      <c r="AM441" s="39">
        <v>4.4654939000000002</v>
      </c>
      <c r="AN441" s="39">
        <v>2.6048713999999999</v>
      </c>
      <c r="AO441" s="39">
        <v>57.9499323</v>
      </c>
      <c r="AP441" s="39">
        <v>21.346414100000001</v>
      </c>
      <c r="AQ441" s="39">
        <v>2.097429</v>
      </c>
      <c r="AR441" s="40"/>
      <c r="AS441" s="40"/>
    </row>
    <row r="442" spans="2:45" ht="15" customHeight="1" x14ac:dyDescent="0.25">
      <c r="B442" s="41">
        <v>436</v>
      </c>
      <c r="C442" s="42" t="s">
        <v>31</v>
      </c>
      <c r="D442" s="51" t="s">
        <v>66</v>
      </c>
      <c r="E442" s="51" t="s">
        <v>167</v>
      </c>
      <c r="F442" s="51" t="s">
        <v>169</v>
      </c>
      <c r="G442" s="52" t="s">
        <v>169</v>
      </c>
      <c r="H442" s="43">
        <v>736</v>
      </c>
      <c r="I442" s="43">
        <v>39</v>
      </c>
      <c r="J442" s="43">
        <v>2</v>
      </c>
      <c r="K442" s="43">
        <v>32</v>
      </c>
      <c r="L442" s="43">
        <v>55</v>
      </c>
      <c r="M442" s="43">
        <v>446</v>
      </c>
      <c r="N442" s="43">
        <v>140</v>
      </c>
      <c r="O442" s="43">
        <v>22</v>
      </c>
      <c r="P442" s="44">
        <f>K442+L442+M442+N442+O442</f>
        <v>695</v>
      </c>
      <c r="Q442" s="44">
        <f>I442+J442</f>
        <v>41</v>
      </c>
      <c r="R442" s="43">
        <v>1695</v>
      </c>
      <c r="S442" s="43">
        <v>111</v>
      </c>
      <c r="T442" s="43">
        <v>1</v>
      </c>
      <c r="U442" s="43">
        <v>22</v>
      </c>
      <c r="V442" s="43">
        <v>28</v>
      </c>
      <c r="W442" s="43">
        <v>937</v>
      </c>
      <c r="X442" s="43">
        <v>512</v>
      </c>
      <c r="Y442" s="43">
        <v>84</v>
      </c>
      <c r="Z442" s="45">
        <f>U442+V442+W442+X442+Y442</f>
        <v>1583</v>
      </c>
      <c r="AA442" s="45">
        <f>S442+T442</f>
        <v>112</v>
      </c>
      <c r="AB442" s="46">
        <v>5.2989129999999998</v>
      </c>
      <c r="AC442" s="46">
        <v>0.27173910000000001</v>
      </c>
      <c r="AD442" s="46">
        <v>4.3478260999999998</v>
      </c>
      <c r="AE442" s="46">
        <v>7.4728260999999998</v>
      </c>
      <c r="AF442" s="46">
        <v>60.597826099999999</v>
      </c>
      <c r="AG442" s="46">
        <v>19.021739100000001</v>
      </c>
      <c r="AH442" s="46">
        <v>2.9891304000000001</v>
      </c>
      <c r="AI442" s="47">
        <f>AB442+AC442</f>
        <v>5.5706521000000002</v>
      </c>
      <c r="AJ442" s="47">
        <f>AD442+AE442+AF442+AG442+AH442</f>
        <v>94.429347800000002</v>
      </c>
      <c r="AK442" s="46">
        <v>6.5486725999999997</v>
      </c>
      <c r="AL442" s="46">
        <v>5.8997099999999997E-2</v>
      </c>
      <c r="AM442" s="46">
        <v>1.2979350999999999</v>
      </c>
      <c r="AN442" s="46">
        <v>1.6519174000000001</v>
      </c>
      <c r="AO442" s="46">
        <v>55.280236000000002</v>
      </c>
      <c r="AP442" s="46">
        <v>30.206489699999999</v>
      </c>
      <c r="AQ442" s="46">
        <v>4.9557522000000001</v>
      </c>
      <c r="AR442" s="48">
        <f>AK442+AL442</f>
        <v>6.6076696999999998</v>
      </c>
      <c r="AS442" s="48">
        <f>AM442+AN442+AO442+AP442+AQ442</f>
        <v>93.392330400000006</v>
      </c>
    </row>
    <row r="443" spans="2:45" ht="15" hidden="1" customHeight="1" x14ac:dyDescent="0.25">
      <c r="B443" s="35">
        <v>437</v>
      </c>
      <c r="C443" s="36" t="s">
        <v>31</v>
      </c>
      <c r="D443" s="36" t="s">
        <v>66</v>
      </c>
      <c r="E443" s="36" t="s">
        <v>167</v>
      </c>
      <c r="F443" s="36" t="s">
        <v>169</v>
      </c>
      <c r="G443" s="37" t="s">
        <v>25</v>
      </c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40"/>
      <c r="AS443" s="40"/>
    </row>
    <row r="444" spans="2:45" ht="15" hidden="1" customHeight="1" x14ac:dyDescent="0.25">
      <c r="B444" s="35">
        <v>438</v>
      </c>
      <c r="C444" s="36" t="s">
        <v>31</v>
      </c>
      <c r="D444" s="36" t="s">
        <v>66</v>
      </c>
      <c r="E444" s="36" t="s">
        <v>167</v>
      </c>
      <c r="F444" s="36" t="s">
        <v>169</v>
      </c>
      <c r="G444" s="37" t="s">
        <v>26</v>
      </c>
      <c r="H444" s="38">
        <v>736</v>
      </c>
      <c r="I444" s="38">
        <v>39</v>
      </c>
      <c r="J444" s="38">
        <v>2</v>
      </c>
      <c r="K444" s="38">
        <v>32</v>
      </c>
      <c r="L444" s="38">
        <v>55</v>
      </c>
      <c r="M444" s="38">
        <v>446</v>
      </c>
      <c r="N444" s="38">
        <v>140</v>
      </c>
      <c r="O444" s="38">
        <v>22</v>
      </c>
      <c r="P444" s="38"/>
      <c r="Q444" s="38"/>
      <c r="R444" s="38">
        <v>1695</v>
      </c>
      <c r="S444" s="38">
        <v>111</v>
      </c>
      <c r="T444" s="38">
        <v>1</v>
      </c>
      <c r="U444" s="38">
        <v>22</v>
      </c>
      <c r="V444" s="38">
        <v>28</v>
      </c>
      <c r="W444" s="38">
        <v>937</v>
      </c>
      <c r="X444" s="38">
        <v>512</v>
      </c>
      <c r="Y444" s="38">
        <v>84</v>
      </c>
      <c r="Z444" s="38"/>
      <c r="AA444" s="38"/>
      <c r="AB444" s="39">
        <v>5.2989129999999998</v>
      </c>
      <c r="AC444" s="39">
        <v>0.27173910000000001</v>
      </c>
      <c r="AD444" s="39">
        <v>4.3478260999999998</v>
      </c>
      <c r="AE444" s="39">
        <v>7.4728260999999998</v>
      </c>
      <c r="AF444" s="39">
        <v>60.597826099999999</v>
      </c>
      <c r="AG444" s="39">
        <v>19.021739100000001</v>
      </c>
      <c r="AH444" s="39">
        <v>2.9891304000000001</v>
      </c>
      <c r="AI444" s="39"/>
      <c r="AJ444" s="39"/>
      <c r="AK444" s="39">
        <v>6.5486725999999997</v>
      </c>
      <c r="AL444" s="39">
        <v>5.8997099999999997E-2</v>
      </c>
      <c r="AM444" s="39">
        <v>1.2979350999999999</v>
      </c>
      <c r="AN444" s="39">
        <v>1.6519174000000001</v>
      </c>
      <c r="AO444" s="39">
        <v>55.280236000000002</v>
      </c>
      <c r="AP444" s="39">
        <v>30.206489699999999</v>
      </c>
      <c r="AQ444" s="39">
        <v>4.9557522000000001</v>
      </c>
      <c r="AR444" s="40"/>
      <c r="AS444" s="40"/>
    </row>
    <row r="445" spans="2:45" ht="15" hidden="1" customHeight="1" x14ac:dyDescent="0.25">
      <c r="B445" s="30">
        <v>439</v>
      </c>
      <c r="C445" s="31" t="s">
        <v>29</v>
      </c>
      <c r="D445" s="50" t="s">
        <v>66</v>
      </c>
      <c r="E445" s="50" t="s">
        <v>170</v>
      </c>
      <c r="F445" s="50"/>
      <c r="G445" s="31" t="s">
        <v>170</v>
      </c>
      <c r="H445" s="32">
        <v>21231</v>
      </c>
      <c r="I445" s="32">
        <v>1008</v>
      </c>
      <c r="J445" s="32">
        <v>3508</v>
      </c>
      <c r="K445" s="32">
        <v>2230</v>
      </c>
      <c r="L445" s="32">
        <v>707</v>
      </c>
      <c r="M445" s="32">
        <v>5980</v>
      </c>
      <c r="N445" s="32">
        <v>5505</v>
      </c>
      <c r="O445" s="32">
        <v>2293</v>
      </c>
      <c r="P445" s="32"/>
      <c r="Q445" s="32"/>
      <c r="R445" s="32">
        <v>25572</v>
      </c>
      <c r="S445" s="32">
        <v>2719</v>
      </c>
      <c r="T445" s="32">
        <v>3872</v>
      </c>
      <c r="U445" s="32">
        <v>1234</v>
      </c>
      <c r="V445" s="32">
        <v>269</v>
      </c>
      <c r="W445" s="32">
        <v>10889</v>
      </c>
      <c r="X445" s="32">
        <v>4727</v>
      </c>
      <c r="Y445" s="32">
        <v>1862</v>
      </c>
      <c r="Z445" s="32"/>
      <c r="AA445" s="32"/>
      <c r="AB445" s="33">
        <v>4.7477745000000002</v>
      </c>
      <c r="AC445" s="33">
        <v>16.523008799999999</v>
      </c>
      <c r="AD445" s="33">
        <v>10.503508999999999</v>
      </c>
      <c r="AE445" s="33">
        <v>3.3300363000000002</v>
      </c>
      <c r="AF445" s="33">
        <v>28.1663605</v>
      </c>
      <c r="AG445" s="33">
        <v>25.929065999999999</v>
      </c>
      <c r="AH445" s="33">
        <v>10.800244899999999</v>
      </c>
      <c r="AI445" s="33"/>
      <c r="AJ445" s="33"/>
      <c r="AK445" s="33">
        <v>10.6327233</v>
      </c>
      <c r="AL445" s="33">
        <v>15.141561100000001</v>
      </c>
      <c r="AM445" s="33">
        <v>4.8255904999999997</v>
      </c>
      <c r="AN445" s="33">
        <v>1.0519318</v>
      </c>
      <c r="AO445" s="33">
        <v>42.58173</v>
      </c>
      <c r="AP445" s="33">
        <v>18.4850618</v>
      </c>
      <c r="AQ445" s="33">
        <v>7.2814015000000003</v>
      </c>
      <c r="AR445" s="34"/>
      <c r="AS445" s="34"/>
    </row>
    <row r="446" spans="2:45" ht="15" hidden="1" customHeight="1" x14ac:dyDescent="0.25">
      <c r="B446" s="35">
        <v>440</v>
      </c>
      <c r="C446" s="36" t="s">
        <v>29</v>
      </c>
      <c r="D446" s="36" t="s">
        <v>66</v>
      </c>
      <c r="E446" s="36" t="s">
        <v>170</v>
      </c>
      <c r="F446" s="36"/>
      <c r="G446" s="37" t="s">
        <v>25</v>
      </c>
      <c r="H446" s="38">
        <v>4460</v>
      </c>
      <c r="I446" s="38">
        <v>605</v>
      </c>
      <c r="J446" s="38">
        <v>3206</v>
      </c>
      <c r="K446" s="38">
        <v>131</v>
      </c>
      <c r="L446" s="38">
        <v>30</v>
      </c>
      <c r="M446" s="38">
        <v>352</v>
      </c>
      <c r="N446" s="38">
        <v>112</v>
      </c>
      <c r="O446" s="38">
        <v>24</v>
      </c>
      <c r="P446" s="38"/>
      <c r="Q446" s="38"/>
      <c r="R446" s="38">
        <v>7802</v>
      </c>
      <c r="S446" s="38">
        <v>2174</v>
      </c>
      <c r="T446" s="38">
        <v>3785</v>
      </c>
      <c r="U446" s="38">
        <v>136</v>
      </c>
      <c r="V446" s="38">
        <v>35</v>
      </c>
      <c r="W446" s="38">
        <v>1258</v>
      </c>
      <c r="X446" s="38">
        <v>184</v>
      </c>
      <c r="Y446" s="38">
        <v>230</v>
      </c>
      <c r="Z446" s="38"/>
      <c r="AA446" s="38"/>
      <c r="AB446" s="39">
        <v>13.5650224</v>
      </c>
      <c r="AC446" s="39">
        <v>71.883408099999997</v>
      </c>
      <c r="AD446" s="39">
        <v>2.9372197</v>
      </c>
      <c r="AE446" s="39">
        <v>0.67264570000000001</v>
      </c>
      <c r="AF446" s="39">
        <v>7.8923766999999998</v>
      </c>
      <c r="AG446" s="39">
        <v>2.5112108000000002</v>
      </c>
      <c r="AH446" s="39">
        <v>0.53811659999999994</v>
      </c>
      <c r="AI446" s="39"/>
      <c r="AJ446" s="39"/>
      <c r="AK446" s="39">
        <v>27.864650099999999</v>
      </c>
      <c r="AL446" s="39">
        <v>48.513201700000003</v>
      </c>
      <c r="AM446" s="39">
        <v>1.7431428</v>
      </c>
      <c r="AN446" s="39">
        <v>0.44860290000000003</v>
      </c>
      <c r="AO446" s="39">
        <v>16.124070799999998</v>
      </c>
      <c r="AP446" s="39">
        <v>2.3583696000000001</v>
      </c>
      <c r="AQ446" s="39">
        <v>2.9479620999999998</v>
      </c>
      <c r="AR446" s="40"/>
      <c r="AS446" s="40"/>
    </row>
    <row r="447" spans="2:45" ht="15" hidden="1" customHeight="1" x14ac:dyDescent="0.25">
      <c r="B447" s="35">
        <v>441</v>
      </c>
      <c r="C447" s="36" t="s">
        <v>29</v>
      </c>
      <c r="D447" s="36" t="s">
        <v>66</v>
      </c>
      <c r="E447" s="36" t="s">
        <v>170</v>
      </c>
      <c r="F447" s="36"/>
      <c r="G447" s="37" t="s">
        <v>26</v>
      </c>
      <c r="H447" s="38">
        <v>16771</v>
      </c>
      <c r="I447" s="38">
        <v>403</v>
      </c>
      <c r="J447" s="38">
        <v>302</v>
      </c>
      <c r="K447" s="38">
        <v>2099</v>
      </c>
      <c r="L447" s="38">
        <v>677</v>
      </c>
      <c r="M447" s="38">
        <v>5628</v>
      </c>
      <c r="N447" s="38">
        <v>5393</v>
      </c>
      <c r="O447" s="38">
        <v>2269</v>
      </c>
      <c r="P447" s="38"/>
      <c r="Q447" s="38"/>
      <c r="R447" s="38">
        <v>17770</v>
      </c>
      <c r="S447" s="38">
        <v>545</v>
      </c>
      <c r="T447" s="38">
        <v>87</v>
      </c>
      <c r="U447" s="38">
        <v>1098</v>
      </c>
      <c r="V447" s="38">
        <v>234</v>
      </c>
      <c r="W447" s="38">
        <v>9631</v>
      </c>
      <c r="X447" s="38">
        <v>4543</v>
      </c>
      <c r="Y447" s="38">
        <v>1632</v>
      </c>
      <c r="Z447" s="38"/>
      <c r="AA447" s="38"/>
      <c r="AB447" s="39">
        <v>2.4029574999999999</v>
      </c>
      <c r="AC447" s="39">
        <v>1.8007274</v>
      </c>
      <c r="AD447" s="39">
        <v>12.515651999999999</v>
      </c>
      <c r="AE447" s="39">
        <v>4.0367300999999998</v>
      </c>
      <c r="AF447" s="39">
        <v>33.557927399999997</v>
      </c>
      <c r="AG447" s="39">
        <v>32.156699099999997</v>
      </c>
      <c r="AH447" s="39">
        <v>13.529306500000001</v>
      </c>
      <c r="AI447" s="39"/>
      <c r="AJ447" s="39"/>
      <c r="AK447" s="39">
        <v>3.0669667999999999</v>
      </c>
      <c r="AL447" s="39">
        <v>0.4895892</v>
      </c>
      <c r="AM447" s="39">
        <v>6.1789532999999999</v>
      </c>
      <c r="AN447" s="39">
        <v>1.3168261000000001</v>
      </c>
      <c r="AO447" s="39">
        <v>54.198086699999998</v>
      </c>
      <c r="AP447" s="39">
        <v>25.5655599</v>
      </c>
      <c r="AQ447" s="39">
        <v>9.184018</v>
      </c>
      <c r="AR447" s="40"/>
      <c r="AS447" s="40"/>
    </row>
    <row r="448" spans="2:45" ht="15" customHeight="1" x14ac:dyDescent="0.25">
      <c r="B448" s="41">
        <v>442</v>
      </c>
      <c r="C448" s="42" t="s">
        <v>31</v>
      </c>
      <c r="D448" s="51" t="s">
        <v>66</v>
      </c>
      <c r="E448" s="51" t="s">
        <v>170</v>
      </c>
      <c r="F448" s="51" t="s">
        <v>170</v>
      </c>
      <c r="G448" s="52" t="s">
        <v>170</v>
      </c>
      <c r="H448" s="43">
        <v>17021</v>
      </c>
      <c r="I448" s="43">
        <v>949</v>
      </c>
      <c r="J448" s="43">
        <v>3480</v>
      </c>
      <c r="K448" s="43">
        <v>1725</v>
      </c>
      <c r="L448" s="43">
        <v>550</v>
      </c>
      <c r="M448" s="43">
        <v>3979</v>
      </c>
      <c r="N448" s="43">
        <v>4494</v>
      </c>
      <c r="O448" s="43">
        <v>1844</v>
      </c>
      <c r="P448" s="44">
        <f>K448+L448+M448+N448+O448</f>
        <v>12592</v>
      </c>
      <c r="Q448" s="44">
        <f>I448+J448</f>
        <v>4429</v>
      </c>
      <c r="R448" s="43">
        <v>21081</v>
      </c>
      <c r="S448" s="43">
        <v>2649</v>
      </c>
      <c r="T448" s="43">
        <v>3859</v>
      </c>
      <c r="U448" s="43">
        <v>997</v>
      </c>
      <c r="V448" s="43">
        <v>218</v>
      </c>
      <c r="W448" s="43">
        <v>7820</v>
      </c>
      <c r="X448" s="43">
        <v>3905</v>
      </c>
      <c r="Y448" s="43">
        <v>1633</v>
      </c>
      <c r="Z448" s="45">
        <f>U448+V448+W448+X448+Y448</f>
        <v>14573</v>
      </c>
      <c r="AA448" s="45">
        <f>S448+T448</f>
        <v>6508</v>
      </c>
      <c r="AB448" s="46">
        <v>5.5754656000000002</v>
      </c>
      <c r="AC448" s="46">
        <v>20.445332199999999</v>
      </c>
      <c r="AD448" s="46">
        <v>10.134539699999999</v>
      </c>
      <c r="AE448" s="46">
        <v>3.2313025</v>
      </c>
      <c r="AF448" s="46">
        <v>23.377004899999999</v>
      </c>
      <c r="AG448" s="46">
        <v>26.402678999999999</v>
      </c>
      <c r="AH448" s="46">
        <v>10.833676000000001</v>
      </c>
      <c r="AI448" s="47">
        <f>AB448+AC448</f>
        <v>26.0207978</v>
      </c>
      <c r="AJ448" s="47">
        <f>AD448+AE448+AF448+AG448+AH448</f>
        <v>73.979202099999995</v>
      </c>
      <c r="AK448" s="46">
        <v>12.565817600000001</v>
      </c>
      <c r="AL448" s="46">
        <v>18.305583200000001</v>
      </c>
      <c r="AM448" s="46">
        <v>4.7293772000000001</v>
      </c>
      <c r="AN448" s="46">
        <v>1.0341065</v>
      </c>
      <c r="AO448" s="46">
        <v>37.095014499999998</v>
      </c>
      <c r="AP448" s="46">
        <v>18.5237892</v>
      </c>
      <c r="AQ448" s="46">
        <v>7.7463118</v>
      </c>
      <c r="AR448" s="48">
        <f>AK448+AL448</f>
        <v>30.871400800000004</v>
      </c>
      <c r="AS448" s="48">
        <f>AM448+AN448+AO448+AP448+AQ448</f>
        <v>69.128599199999996</v>
      </c>
    </row>
    <row r="449" spans="2:45" ht="15" hidden="1" customHeight="1" x14ac:dyDescent="0.25">
      <c r="B449" s="35">
        <v>443</v>
      </c>
      <c r="C449" s="36" t="s">
        <v>31</v>
      </c>
      <c r="D449" s="36" t="s">
        <v>66</v>
      </c>
      <c r="E449" s="36" t="s">
        <v>170</v>
      </c>
      <c r="F449" s="36" t="s">
        <v>170</v>
      </c>
      <c r="G449" s="37" t="s">
        <v>25</v>
      </c>
      <c r="H449" s="38">
        <v>4460</v>
      </c>
      <c r="I449" s="38">
        <v>605</v>
      </c>
      <c r="J449" s="38">
        <v>3206</v>
      </c>
      <c r="K449" s="38">
        <v>131</v>
      </c>
      <c r="L449" s="38">
        <v>30</v>
      </c>
      <c r="M449" s="38">
        <v>352</v>
      </c>
      <c r="N449" s="38">
        <v>112</v>
      </c>
      <c r="O449" s="38">
        <v>24</v>
      </c>
      <c r="P449" s="38"/>
      <c r="Q449" s="38"/>
      <c r="R449" s="38">
        <v>7802</v>
      </c>
      <c r="S449" s="38">
        <v>2174</v>
      </c>
      <c r="T449" s="38">
        <v>3785</v>
      </c>
      <c r="U449" s="38">
        <v>136</v>
      </c>
      <c r="V449" s="38">
        <v>35</v>
      </c>
      <c r="W449" s="38">
        <v>1258</v>
      </c>
      <c r="X449" s="38">
        <v>184</v>
      </c>
      <c r="Y449" s="38">
        <v>230</v>
      </c>
      <c r="Z449" s="38"/>
      <c r="AA449" s="38"/>
      <c r="AB449" s="39">
        <v>13.5650224</v>
      </c>
      <c r="AC449" s="39">
        <v>71.883408099999997</v>
      </c>
      <c r="AD449" s="39">
        <v>2.9372197</v>
      </c>
      <c r="AE449" s="39">
        <v>0.67264570000000001</v>
      </c>
      <c r="AF449" s="39">
        <v>7.8923766999999998</v>
      </c>
      <c r="AG449" s="39">
        <v>2.5112108000000002</v>
      </c>
      <c r="AH449" s="39">
        <v>0.53811659999999994</v>
      </c>
      <c r="AI449" s="39"/>
      <c r="AJ449" s="39"/>
      <c r="AK449" s="39">
        <v>27.864650099999999</v>
      </c>
      <c r="AL449" s="39">
        <v>48.513201700000003</v>
      </c>
      <c r="AM449" s="39">
        <v>1.7431428</v>
      </c>
      <c r="AN449" s="39">
        <v>0.44860290000000003</v>
      </c>
      <c r="AO449" s="39">
        <v>16.124070799999998</v>
      </c>
      <c r="AP449" s="39">
        <v>2.3583696000000001</v>
      </c>
      <c r="AQ449" s="39">
        <v>2.9479620999999998</v>
      </c>
      <c r="AR449" s="40"/>
      <c r="AS449" s="40"/>
    </row>
    <row r="450" spans="2:45" ht="15" hidden="1" customHeight="1" x14ac:dyDescent="0.25">
      <c r="B450" s="35">
        <v>444</v>
      </c>
      <c r="C450" s="36" t="s">
        <v>31</v>
      </c>
      <c r="D450" s="36" t="s">
        <v>66</v>
      </c>
      <c r="E450" s="36" t="s">
        <v>170</v>
      </c>
      <c r="F450" s="36" t="s">
        <v>170</v>
      </c>
      <c r="G450" s="37" t="s">
        <v>26</v>
      </c>
      <c r="H450" s="38">
        <v>12561</v>
      </c>
      <c r="I450" s="38">
        <v>344</v>
      </c>
      <c r="J450" s="38">
        <v>274</v>
      </c>
      <c r="K450" s="38">
        <v>1594</v>
      </c>
      <c r="L450" s="38">
        <v>520</v>
      </c>
      <c r="M450" s="38">
        <v>3627</v>
      </c>
      <c r="N450" s="38">
        <v>4382</v>
      </c>
      <c r="O450" s="38">
        <v>1820</v>
      </c>
      <c r="P450" s="38"/>
      <c r="Q450" s="38"/>
      <c r="R450" s="38">
        <v>13279</v>
      </c>
      <c r="S450" s="38">
        <v>475</v>
      </c>
      <c r="T450" s="38">
        <v>74</v>
      </c>
      <c r="U450" s="38">
        <v>861</v>
      </c>
      <c r="V450" s="38">
        <v>183</v>
      </c>
      <c r="W450" s="38">
        <v>6562</v>
      </c>
      <c r="X450" s="38">
        <v>3721</v>
      </c>
      <c r="Y450" s="38">
        <v>1403</v>
      </c>
      <c r="Z450" s="38"/>
      <c r="AA450" s="38"/>
      <c r="AB450" s="39">
        <v>2.7386355</v>
      </c>
      <c r="AC450" s="39">
        <v>2.1813549999999999</v>
      </c>
      <c r="AD450" s="39">
        <v>12.6900724</v>
      </c>
      <c r="AE450" s="39">
        <v>4.1397978000000002</v>
      </c>
      <c r="AF450" s="39">
        <v>28.875089599999999</v>
      </c>
      <c r="AG450" s="39">
        <v>34.885757499999997</v>
      </c>
      <c r="AH450" s="39">
        <v>14.489292300000001</v>
      </c>
      <c r="AI450" s="39"/>
      <c r="AJ450" s="39"/>
      <c r="AK450" s="39">
        <v>3.5770765999999998</v>
      </c>
      <c r="AL450" s="39">
        <v>0.55727090000000001</v>
      </c>
      <c r="AM450" s="39">
        <v>6.4839219999999997</v>
      </c>
      <c r="AN450" s="39">
        <v>1.3781158</v>
      </c>
      <c r="AO450" s="39">
        <v>49.416371699999999</v>
      </c>
      <c r="AP450" s="39">
        <v>28.021688399999999</v>
      </c>
      <c r="AQ450" s="39">
        <v>10.5655546</v>
      </c>
      <c r="AR450" s="40"/>
      <c r="AS450" s="40"/>
    </row>
    <row r="451" spans="2:45" ht="15" customHeight="1" x14ac:dyDescent="0.25">
      <c r="B451" s="41">
        <v>445</v>
      </c>
      <c r="C451" s="42" t="s">
        <v>31</v>
      </c>
      <c r="D451" s="51" t="s">
        <v>66</v>
      </c>
      <c r="E451" s="51" t="s">
        <v>170</v>
      </c>
      <c r="F451" s="51" t="s">
        <v>171</v>
      </c>
      <c r="G451" s="52" t="s">
        <v>171</v>
      </c>
      <c r="H451" s="43">
        <v>4210</v>
      </c>
      <c r="I451" s="43">
        <v>59</v>
      </c>
      <c r="J451" s="43">
        <v>28</v>
      </c>
      <c r="K451" s="43">
        <v>505</v>
      </c>
      <c r="L451" s="43">
        <v>157</v>
      </c>
      <c r="M451" s="43">
        <v>2001</v>
      </c>
      <c r="N451" s="43">
        <v>1011</v>
      </c>
      <c r="O451" s="43">
        <v>449</v>
      </c>
      <c r="P451" s="44">
        <f>K451+L451+M451+N451+O451</f>
        <v>4123</v>
      </c>
      <c r="Q451" s="44">
        <f>I451+J451</f>
        <v>87</v>
      </c>
      <c r="R451" s="43">
        <v>4491</v>
      </c>
      <c r="S451" s="43">
        <v>70</v>
      </c>
      <c r="T451" s="43">
        <v>13</v>
      </c>
      <c r="U451" s="43">
        <v>237</v>
      </c>
      <c r="V451" s="43">
        <v>51</v>
      </c>
      <c r="W451" s="43">
        <v>3069</v>
      </c>
      <c r="X451" s="43">
        <v>822</v>
      </c>
      <c r="Y451" s="43">
        <v>229</v>
      </c>
      <c r="Z451" s="45">
        <f>U451+V451+W451+X451+Y451</f>
        <v>4408</v>
      </c>
      <c r="AA451" s="45">
        <f>S451+T451</f>
        <v>83</v>
      </c>
      <c r="AB451" s="46">
        <v>1.4014252</v>
      </c>
      <c r="AC451" s="46">
        <v>0.66508310000000004</v>
      </c>
      <c r="AD451" s="46">
        <v>11.995249400000001</v>
      </c>
      <c r="AE451" s="46">
        <v>3.7292162000000002</v>
      </c>
      <c r="AF451" s="46">
        <v>47.529691200000002</v>
      </c>
      <c r="AG451" s="46">
        <v>24.0142518</v>
      </c>
      <c r="AH451" s="46">
        <v>10.6650831</v>
      </c>
      <c r="AI451" s="47">
        <f>AB451+AC451</f>
        <v>2.0665083000000002</v>
      </c>
      <c r="AJ451" s="47">
        <f>AD451+AE451+AF451+AG451+AH451</f>
        <v>97.933491700000005</v>
      </c>
      <c r="AK451" s="46">
        <v>1.5586728999999999</v>
      </c>
      <c r="AL451" s="46">
        <v>0.2894678</v>
      </c>
      <c r="AM451" s="46">
        <v>5.2772211000000002</v>
      </c>
      <c r="AN451" s="46">
        <v>1.1356044999999999</v>
      </c>
      <c r="AO451" s="46">
        <v>68.336673300000001</v>
      </c>
      <c r="AP451" s="46">
        <v>18.3032732</v>
      </c>
      <c r="AQ451" s="46">
        <v>5.0990871000000002</v>
      </c>
      <c r="AR451" s="48">
        <f>AK451+AL451</f>
        <v>1.8481406999999999</v>
      </c>
      <c r="AS451" s="48">
        <f>AM451+AN451+AO451+AP451+AQ451</f>
        <v>98.151859200000004</v>
      </c>
    </row>
    <row r="452" spans="2:45" ht="15" hidden="1" customHeight="1" x14ac:dyDescent="0.25">
      <c r="B452" s="35">
        <v>446</v>
      </c>
      <c r="C452" s="36" t="s">
        <v>31</v>
      </c>
      <c r="D452" s="36" t="s">
        <v>66</v>
      </c>
      <c r="E452" s="36" t="s">
        <v>170</v>
      </c>
      <c r="F452" s="36" t="s">
        <v>171</v>
      </c>
      <c r="G452" s="37" t="s">
        <v>25</v>
      </c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40"/>
      <c r="AS452" s="40"/>
    </row>
    <row r="453" spans="2:45" ht="15" hidden="1" customHeight="1" x14ac:dyDescent="0.25">
      <c r="B453" s="35">
        <v>447</v>
      </c>
      <c r="C453" s="36" t="s">
        <v>31</v>
      </c>
      <c r="D453" s="36" t="s">
        <v>66</v>
      </c>
      <c r="E453" s="36" t="s">
        <v>170</v>
      </c>
      <c r="F453" s="36" t="s">
        <v>171</v>
      </c>
      <c r="G453" s="37" t="s">
        <v>26</v>
      </c>
      <c r="H453" s="38">
        <v>4210</v>
      </c>
      <c r="I453" s="38">
        <v>59</v>
      </c>
      <c r="J453" s="38">
        <v>28</v>
      </c>
      <c r="K453" s="38">
        <v>505</v>
      </c>
      <c r="L453" s="38">
        <v>157</v>
      </c>
      <c r="M453" s="38">
        <v>2001</v>
      </c>
      <c r="N453" s="38">
        <v>1011</v>
      </c>
      <c r="O453" s="38">
        <v>449</v>
      </c>
      <c r="P453" s="38"/>
      <c r="Q453" s="38"/>
      <c r="R453" s="38">
        <v>4491</v>
      </c>
      <c r="S453" s="38">
        <v>70</v>
      </c>
      <c r="T453" s="38">
        <v>13</v>
      </c>
      <c r="U453" s="38">
        <v>237</v>
      </c>
      <c r="V453" s="38">
        <v>51</v>
      </c>
      <c r="W453" s="38">
        <v>3069</v>
      </c>
      <c r="X453" s="38">
        <v>822</v>
      </c>
      <c r="Y453" s="38">
        <v>229</v>
      </c>
      <c r="Z453" s="38"/>
      <c r="AA453" s="38"/>
      <c r="AB453" s="39">
        <v>1.4014252</v>
      </c>
      <c r="AC453" s="39">
        <v>0.66508310000000004</v>
      </c>
      <c r="AD453" s="39">
        <v>11.995249400000001</v>
      </c>
      <c r="AE453" s="39">
        <v>3.7292162000000002</v>
      </c>
      <c r="AF453" s="39">
        <v>47.529691200000002</v>
      </c>
      <c r="AG453" s="39">
        <v>24.0142518</v>
      </c>
      <c r="AH453" s="39">
        <v>10.6650831</v>
      </c>
      <c r="AI453" s="39"/>
      <c r="AJ453" s="39"/>
      <c r="AK453" s="39">
        <v>1.5586728999999999</v>
      </c>
      <c r="AL453" s="39">
        <v>0.2894678</v>
      </c>
      <c r="AM453" s="39">
        <v>5.2772211000000002</v>
      </c>
      <c r="AN453" s="39">
        <v>1.1356044999999999</v>
      </c>
      <c r="AO453" s="39">
        <v>68.336673300000001</v>
      </c>
      <c r="AP453" s="39">
        <v>18.3032732</v>
      </c>
      <c r="AQ453" s="39">
        <v>5.0990871000000002</v>
      </c>
      <c r="AR453" s="40"/>
      <c r="AS453" s="40"/>
    </row>
    <row r="454" spans="2:45" ht="15" hidden="1" customHeight="1" x14ac:dyDescent="0.25">
      <c r="B454" s="20">
        <v>448</v>
      </c>
      <c r="C454" s="21" t="s">
        <v>27</v>
      </c>
      <c r="D454" s="21" t="s">
        <v>172</v>
      </c>
      <c r="E454" s="21"/>
      <c r="F454" s="21"/>
      <c r="G454" s="21" t="s">
        <v>172</v>
      </c>
      <c r="H454" s="22">
        <v>516608</v>
      </c>
      <c r="I454" s="22">
        <v>72885</v>
      </c>
      <c r="J454" s="22">
        <v>212920</v>
      </c>
      <c r="K454" s="22">
        <v>32303</v>
      </c>
      <c r="L454" s="22">
        <v>34181</v>
      </c>
      <c r="M454" s="22">
        <v>138823</v>
      </c>
      <c r="N454" s="22">
        <v>17026</v>
      </c>
      <c r="O454" s="22">
        <v>8470</v>
      </c>
      <c r="P454" s="22">
        <f>K454+L454+M454+N454+O454</f>
        <v>230803</v>
      </c>
      <c r="Q454" s="22">
        <f>I454+J454</f>
        <v>285805</v>
      </c>
      <c r="R454" s="22">
        <v>675064</v>
      </c>
      <c r="S454" s="22">
        <v>84673</v>
      </c>
      <c r="T454" s="22">
        <v>355014</v>
      </c>
      <c r="U454" s="22">
        <v>8001</v>
      </c>
      <c r="V454" s="22">
        <v>7079</v>
      </c>
      <c r="W454" s="22">
        <v>201018</v>
      </c>
      <c r="X454" s="22">
        <v>13932</v>
      </c>
      <c r="Y454" s="22">
        <v>5347</v>
      </c>
      <c r="Z454" s="22">
        <f>U454+V454+W454+X454+Y454</f>
        <v>235377</v>
      </c>
      <c r="AA454" s="22">
        <f>S454+T454</f>
        <v>439687</v>
      </c>
      <c r="AB454" s="23">
        <v>14.1083762</v>
      </c>
      <c r="AC454" s="23">
        <v>41.215002499999997</v>
      </c>
      <c r="AD454" s="23">
        <v>6.2529035999999998</v>
      </c>
      <c r="AE454" s="23">
        <v>6.6164287000000002</v>
      </c>
      <c r="AF454" s="23">
        <v>26.872019000000002</v>
      </c>
      <c r="AG454" s="23">
        <v>3.2957291</v>
      </c>
      <c r="AH454" s="23">
        <v>1.6395409999999999</v>
      </c>
      <c r="AI454" s="23">
        <f>AB454+AC454</f>
        <v>55.323378699999999</v>
      </c>
      <c r="AJ454" s="23"/>
      <c r="AK454" s="23">
        <v>12.5429589</v>
      </c>
      <c r="AL454" s="23">
        <v>52.589680399999999</v>
      </c>
      <c r="AM454" s="23">
        <v>1.1852210000000001</v>
      </c>
      <c r="AN454" s="23">
        <v>1.0486413000000001</v>
      </c>
      <c r="AO454" s="23">
        <v>29.777621100000001</v>
      </c>
      <c r="AP454" s="23">
        <v>2.0638043000000001</v>
      </c>
      <c r="AQ454" s="23">
        <v>0.79207300000000003</v>
      </c>
      <c r="AR454" s="24">
        <f>AK454+AL454</f>
        <v>65.132639299999994</v>
      </c>
      <c r="AS454" s="24"/>
    </row>
    <row r="455" spans="2:45" ht="15" hidden="1" customHeight="1" x14ac:dyDescent="0.25">
      <c r="B455" s="25">
        <v>449</v>
      </c>
      <c r="C455" s="26" t="s">
        <v>27</v>
      </c>
      <c r="D455" s="49" t="s">
        <v>172</v>
      </c>
      <c r="E455" s="49"/>
      <c r="F455" s="49"/>
      <c r="G455" s="26" t="s">
        <v>25</v>
      </c>
      <c r="H455" s="27">
        <v>330051</v>
      </c>
      <c r="I455" s="27">
        <v>70848</v>
      </c>
      <c r="J455" s="27">
        <v>204187</v>
      </c>
      <c r="K455" s="27">
        <v>4214</v>
      </c>
      <c r="L455" s="27">
        <v>8110</v>
      </c>
      <c r="M455" s="27">
        <v>38164</v>
      </c>
      <c r="N455" s="27">
        <v>2542</v>
      </c>
      <c r="O455" s="27">
        <v>1986</v>
      </c>
      <c r="P455" s="27"/>
      <c r="Q455" s="27"/>
      <c r="R455" s="27">
        <v>442960</v>
      </c>
      <c r="S455" s="27">
        <v>76983</v>
      </c>
      <c r="T455" s="27">
        <v>329768</v>
      </c>
      <c r="U455" s="27">
        <v>1378</v>
      </c>
      <c r="V455" s="27">
        <v>893</v>
      </c>
      <c r="W455" s="27">
        <v>30049</v>
      </c>
      <c r="X455" s="27">
        <v>1785</v>
      </c>
      <c r="Y455" s="27">
        <v>2104</v>
      </c>
      <c r="Z455" s="27"/>
      <c r="AA455" s="27"/>
      <c r="AB455" s="28">
        <v>21.465773500000001</v>
      </c>
      <c r="AC455" s="28">
        <v>61.865287500000001</v>
      </c>
      <c r="AD455" s="28">
        <v>1.2767724</v>
      </c>
      <c r="AE455" s="28">
        <v>2.4571960000000002</v>
      </c>
      <c r="AF455" s="28">
        <v>11.5630615</v>
      </c>
      <c r="AG455" s="28">
        <v>0.77018399999999998</v>
      </c>
      <c r="AH455" s="28">
        <v>0.60172519999999996</v>
      </c>
      <c r="AI455" s="28"/>
      <c r="AJ455" s="28"/>
      <c r="AK455" s="28">
        <v>17.379221600000001</v>
      </c>
      <c r="AL455" s="28">
        <v>74.446451100000004</v>
      </c>
      <c r="AM455" s="28">
        <v>0.311089</v>
      </c>
      <c r="AN455" s="28">
        <v>0.20159830000000001</v>
      </c>
      <c r="AO455" s="28">
        <v>6.7836825000000003</v>
      </c>
      <c r="AP455" s="28">
        <v>0.40297090000000002</v>
      </c>
      <c r="AQ455" s="28">
        <v>0.47498649999999998</v>
      </c>
      <c r="AR455" s="29"/>
      <c r="AS455" s="29"/>
    </row>
    <row r="456" spans="2:45" ht="15" hidden="1" customHeight="1" x14ac:dyDescent="0.25">
      <c r="B456" s="25">
        <v>450</v>
      </c>
      <c r="C456" s="26" t="s">
        <v>27</v>
      </c>
      <c r="D456" s="49" t="s">
        <v>172</v>
      </c>
      <c r="E456" s="49"/>
      <c r="F456" s="49"/>
      <c r="G456" s="26" t="s">
        <v>26</v>
      </c>
      <c r="H456" s="27">
        <v>186557</v>
      </c>
      <c r="I456" s="27">
        <v>2037</v>
      </c>
      <c r="J456" s="27">
        <v>8733</v>
      </c>
      <c r="K456" s="27">
        <v>28089</v>
      </c>
      <c r="L456" s="27">
        <v>26071</v>
      </c>
      <c r="M456" s="27">
        <v>100659</v>
      </c>
      <c r="N456" s="27">
        <v>14484</v>
      </c>
      <c r="O456" s="27">
        <v>6484</v>
      </c>
      <c r="P456" s="27"/>
      <c r="Q456" s="27"/>
      <c r="R456" s="27">
        <v>232104</v>
      </c>
      <c r="S456" s="27">
        <v>7690</v>
      </c>
      <c r="T456" s="27">
        <v>25246</v>
      </c>
      <c r="U456" s="27">
        <v>6623</v>
      </c>
      <c r="V456" s="27">
        <v>6186</v>
      </c>
      <c r="W456" s="27">
        <v>170969</v>
      </c>
      <c r="X456" s="27">
        <v>12147</v>
      </c>
      <c r="Y456" s="27">
        <v>3243</v>
      </c>
      <c r="Z456" s="27"/>
      <c r="AA456" s="27"/>
      <c r="AB456" s="28">
        <v>1.0918915</v>
      </c>
      <c r="AC456" s="28">
        <v>4.6811429999999996</v>
      </c>
      <c r="AD456" s="28">
        <v>15.0565243</v>
      </c>
      <c r="AE456" s="28">
        <v>13.9748173</v>
      </c>
      <c r="AF456" s="28">
        <v>53.956163500000002</v>
      </c>
      <c r="AG456" s="28">
        <v>7.7638470000000002</v>
      </c>
      <c r="AH456" s="28">
        <v>3.4756133999999999</v>
      </c>
      <c r="AI456" s="28"/>
      <c r="AJ456" s="28"/>
      <c r="AK456" s="28">
        <v>3.3131699999999999</v>
      </c>
      <c r="AL456" s="28">
        <v>10.8770206</v>
      </c>
      <c r="AM456" s="28">
        <v>2.8534622000000001</v>
      </c>
      <c r="AN456" s="28">
        <v>2.6651845999999999</v>
      </c>
      <c r="AO456" s="28">
        <v>73.660514300000003</v>
      </c>
      <c r="AP456" s="28">
        <v>5.2334297999999997</v>
      </c>
      <c r="AQ456" s="28">
        <v>1.3972184999999999</v>
      </c>
      <c r="AR456" s="29"/>
      <c r="AS456" s="29"/>
    </row>
    <row r="457" spans="2:45" ht="15" hidden="1" customHeight="1" x14ac:dyDescent="0.25">
      <c r="B457" s="30">
        <v>451</v>
      </c>
      <c r="C457" s="31" t="s">
        <v>29</v>
      </c>
      <c r="D457" s="50" t="s">
        <v>172</v>
      </c>
      <c r="E457" s="50" t="s">
        <v>173</v>
      </c>
      <c r="F457" s="50"/>
      <c r="G457" s="31" t="s">
        <v>173</v>
      </c>
      <c r="H457" s="32">
        <v>177376</v>
      </c>
      <c r="I457" s="32">
        <v>50924</v>
      </c>
      <c r="J457" s="32">
        <v>108501</v>
      </c>
      <c r="K457" s="32">
        <v>1353</v>
      </c>
      <c r="L457" s="32">
        <v>2504</v>
      </c>
      <c r="M457" s="32">
        <v>12543</v>
      </c>
      <c r="N457" s="32">
        <v>757</v>
      </c>
      <c r="O457" s="32">
        <v>794</v>
      </c>
      <c r="P457" s="32"/>
      <c r="Q457" s="32"/>
      <c r="R457" s="32">
        <v>212273</v>
      </c>
      <c r="S457" s="32">
        <v>42493</v>
      </c>
      <c r="T457" s="32">
        <v>162897</v>
      </c>
      <c r="U457" s="32">
        <v>372</v>
      </c>
      <c r="V457" s="32">
        <v>144</v>
      </c>
      <c r="W457" s="32">
        <v>5143</v>
      </c>
      <c r="X457" s="32">
        <v>449</v>
      </c>
      <c r="Y457" s="32">
        <v>775</v>
      </c>
      <c r="Z457" s="32"/>
      <c r="AA457" s="32"/>
      <c r="AB457" s="33">
        <v>28.709633799999999</v>
      </c>
      <c r="AC457" s="33">
        <v>61.170056799999998</v>
      </c>
      <c r="AD457" s="33">
        <v>0.76278639999999998</v>
      </c>
      <c r="AE457" s="33">
        <v>1.4116903999999999</v>
      </c>
      <c r="AF457" s="33">
        <v>7.0714189000000003</v>
      </c>
      <c r="AG457" s="33">
        <v>0.42677700000000002</v>
      </c>
      <c r="AH457" s="33">
        <v>0.4476367</v>
      </c>
      <c r="AI457" s="33"/>
      <c r="AJ457" s="33"/>
      <c r="AK457" s="33">
        <v>20.0180899</v>
      </c>
      <c r="AL457" s="33">
        <v>76.739387500000007</v>
      </c>
      <c r="AM457" s="33">
        <v>0.17524600000000001</v>
      </c>
      <c r="AN457" s="33">
        <v>6.78372E-2</v>
      </c>
      <c r="AO457" s="33">
        <v>2.4228234</v>
      </c>
      <c r="AP457" s="33">
        <v>0.21152009999999999</v>
      </c>
      <c r="AQ457" s="33">
        <v>0.36509589999999997</v>
      </c>
      <c r="AR457" s="34"/>
      <c r="AS457" s="34"/>
    </row>
    <row r="458" spans="2:45" ht="15" hidden="1" customHeight="1" x14ac:dyDescent="0.25">
      <c r="B458" s="35">
        <v>452</v>
      </c>
      <c r="C458" s="36" t="s">
        <v>29</v>
      </c>
      <c r="D458" s="36" t="s">
        <v>172</v>
      </c>
      <c r="E458" s="36" t="s">
        <v>173</v>
      </c>
      <c r="F458" s="36"/>
      <c r="G458" s="37" t="s">
        <v>25</v>
      </c>
      <c r="H458" s="38">
        <v>177376</v>
      </c>
      <c r="I458" s="38">
        <v>50924</v>
      </c>
      <c r="J458" s="38">
        <v>108501</v>
      </c>
      <c r="K458" s="38">
        <v>1353</v>
      </c>
      <c r="L458" s="38">
        <v>2504</v>
      </c>
      <c r="M458" s="38">
        <v>12543</v>
      </c>
      <c r="N458" s="38">
        <v>757</v>
      </c>
      <c r="O458" s="38">
        <v>794</v>
      </c>
      <c r="P458" s="38"/>
      <c r="Q458" s="38"/>
      <c r="R458" s="38">
        <v>212257</v>
      </c>
      <c r="S458" s="38">
        <v>42493</v>
      </c>
      <c r="T458" s="38">
        <v>162897</v>
      </c>
      <c r="U458" s="38">
        <v>372</v>
      </c>
      <c r="V458" s="38">
        <v>144</v>
      </c>
      <c r="W458" s="38">
        <v>5131</v>
      </c>
      <c r="X458" s="38">
        <v>446</v>
      </c>
      <c r="Y458" s="38">
        <v>774</v>
      </c>
      <c r="Z458" s="38"/>
      <c r="AA458" s="38"/>
      <c r="AB458" s="39">
        <v>28.709633799999999</v>
      </c>
      <c r="AC458" s="39">
        <v>61.170056799999998</v>
      </c>
      <c r="AD458" s="39">
        <v>0.76278639999999998</v>
      </c>
      <c r="AE458" s="39">
        <v>1.4116903999999999</v>
      </c>
      <c r="AF458" s="39">
        <v>7.0714189000000003</v>
      </c>
      <c r="AG458" s="39">
        <v>0.42677700000000002</v>
      </c>
      <c r="AH458" s="39">
        <v>0.4476367</v>
      </c>
      <c r="AI458" s="39"/>
      <c r="AJ458" s="39"/>
      <c r="AK458" s="39">
        <v>20.019598899999998</v>
      </c>
      <c r="AL458" s="39">
        <v>76.745172100000005</v>
      </c>
      <c r="AM458" s="39">
        <v>0.1752592</v>
      </c>
      <c r="AN458" s="39">
        <v>6.7842299999999994E-2</v>
      </c>
      <c r="AO458" s="39">
        <v>2.4173524999999998</v>
      </c>
      <c r="AP458" s="39">
        <v>0.21012259999999999</v>
      </c>
      <c r="AQ458" s="39">
        <v>0.36465229999999998</v>
      </c>
      <c r="AR458" s="40"/>
      <c r="AS458" s="40"/>
    </row>
    <row r="459" spans="2:45" ht="15" hidden="1" customHeight="1" x14ac:dyDescent="0.25">
      <c r="B459" s="35">
        <v>453</v>
      </c>
      <c r="C459" s="36" t="s">
        <v>29</v>
      </c>
      <c r="D459" s="36" t="s">
        <v>172</v>
      </c>
      <c r="E459" s="36" t="s">
        <v>173</v>
      </c>
      <c r="F459" s="36"/>
      <c r="G459" s="37" t="s">
        <v>26</v>
      </c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>
        <v>16</v>
      </c>
      <c r="S459" s="38">
        <v>0</v>
      </c>
      <c r="T459" s="38">
        <v>0</v>
      </c>
      <c r="U459" s="38">
        <v>0</v>
      </c>
      <c r="V459" s="38">
        <v>0</v>
      </c>
      <c r="W459" s="38">
        <v>12</v>
      </c>
      <c r="X459" s="38">
        <v>3</v>
      </c>
      <c r="Y459" s="38">
        <v>1</v>
      </c>
      <c r="Z459" s="38"/>
      <c r="AA459" s="38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>
        <v>0</v>
      </c>
      <c r="AL459" s="39">
        <v>0</v>
      </c>
      <c r="AM459" s="39">
        <v>0</v>
      </c>
      <c r="AN459" s="39">
        <v>0</v>
      </c>
      <c r="AO459" s="39">
        <v>75</v>
      </c>
      <c r="AP459" s="39">
        <v>18.75</v>
      </c>
      <c r="AQ459" s="39">
        <v>6.25</v>
      </c>
      <c r="AR459" s="40"/>
      <c r="AS459" s="40"/>
    </row>
    <row r="460" spans="2:45" ht="15" customHeight="1" x14ac:dyDescent="0.25">
      <c r="B460" s="41">
        <v>454</v>
      </c>
      <c r="C460" s="42" t="s">
        <v>31</v>
      </c>
      <c r="D460" s="51" t="s">
        <v>172</v>
      </c>
      <c r="E460" s="51" t="s">
        <v>173</v>
      </c>
      <c r="F460" s="51" t="s">
        <v>172</v>
      </c>
      <c r="G460" s="52" t="s">
        <v>172</v>
      </c>
      <c r="H460" s="43">
        <v>177376</v>
      </c>
      <c r="I460" s="43">
        <v>50924</v>
      </c>
      <c r="J460" s="43">
        <v>108501</v>
      </c>
      <c r="K460" s="43">
        <v>1353</v>
      </c>
      <c r="L460" s="43">
        <v>2504</v>
      </c>
      <c r="M460" s="43">
        <v>12543</v>
      </c>
      <c r="N460" s="43">
        <v>757</v>
      </c>
      <c r="O460" s="43">
        <v>794</v>
      </c>
      <c r="P460" s="44">
        <f>K460+L460+M460+N460+O460</f>
        <v>17951</v>
      </c>
      <c r="Q460" s="44">
        <f>I460+J460</f>
        <v>159425</v>
      </c>
      <c r="R460" s="43">
        <v>212273</v>
      </c>
      <c r="S460" s="43">
        <v>42493</v>
      </c>
      <c r="T460" s="43">
        <v>162897</v>
      </c>
      <c r="U460" s="43">
        <v>372</v>
      </c>
      <c r="V460" s="43">
        <v>144</v>
      </c>
      <c r="W460" s="43">
        <v>5143</v>
      </c>
      <c r="X460" s="43">
        <v>449</v>
      </c>
      <c r="Y460" s="43">
        <v>775</v>
      </c>
      <c r="Z460" s="45">
        <f>U460+V460+W460+X460+Y460</f>
        <v>6883</v>
      </c>
      <c r="AA460" s="45">
        <f>S460+T460</f>
        <v>205390</v>
      </c>
      <c r="AB460" s="46">
        <v>28.709633799999999</v>
      </c>
      <c r="AC460" s="46">
        <v>61.170056799999998</v>
      </c>
      <c r="AD460" s="46">
        <v>0.76278639999999998</v>
      </c>
      <c r="AE460" s="46">
        <v>1.4116903999999999</v>
      </c>
      <c r="AF460" s="46">
        <v>7.0714189000000003</v>
      </c>
      <c r="AG460" s="46">
        <v>0.42677700000000002</v>
      </c>
      <c r="AH460" s="46">
        <v>0.4476367</v>
      </c>
      <c r="AI460" s="47">
        <f>AB460+AC460</f>
        <v>89.879690600000004</v>
      </c>
      <c r="AJ460" s="47">
        <f>AD460+AE460+AF460+AG460+AH460</f>
        <v>10.1203094</v>
      </c>
      <c r="AK460" s="46">
        <v>20.0180899</v>
      </c>
      <c r="AL460" s="46">
        <v>76.739387500000007</v>
      </c>
      <c r="AM460" s="46">
        <v>0.17524600000000001</v>
      </c>
      <c r="AN460" s="46">
        <v>6.78372E-2</v>
      </c>
      <c r="AO460" s="46">
        <v>2.4228234</v>
      </c>
      <c r="AP460" s="46">
        <v>0.21152009999999999</v>
      </c>
      <c r="AQ460" s="46">
        <v>0.36509589999999997</v>
      </c>
      <c r="AR460" s="48">
        <f>AK460+AL460</f>
        <v>96.757477399999999</v>
      </c>
      <c r="AS460" s="48">
        <f>AM460+AN460+AO460+AP460+AQ460</f>
        <v>3.2425226</v>
      </c>
    </row>
    <row r="461" spans="2:45" ht="15" hidden="1" customHeight="1" x14ac:dyDescent="0.25">
      <c r="B461" s="35">
        <v>455</v>
      </c>
      <c r="C461" s="36" t="s">
        <v>31</v>
      </c>
      <c r="D461" s="36" t="s">
        <v>172</v>
      </c>
      <c r="E461" s="36" t="s">
        <v>173</v>
      </c>
      <c r="F461" s="36" t="s">
        <v>172</v>
      </c>
      <c r="G461" s="37" t="s">
        <v>25</v>
      </c>
      <c r="H461" s="38">
        <v>177376</v>
      </c>
      <c r="I461" s="38">
        <v>50924</v>
      </c>
      <c r="J461" s="38">
        <v>108501</v>
      </c>
      <c r="K461" s="38">
        <v>1353</v>
      </c>
      <c r="L461" s="38">
        <v>2504</v>
      </c>
      <c r="M461" s="38">
        <v>12543</v>
      </c>
      <c r="N461" s="38">
        <v>757</v>
      </c>
      <c r="O461" s="38">
        <v>794</v>
      </c>
      <c r="P461" s="38"/>
      <c r="Q461" s="38"/>
      <c r="R461" s="38">
        <v>212257</v>
      </c>
      <c r="S461" s="38">
        <v>42493</v>
      </c>
      <c r="T461" s="38">
        <v>162897</v>
      </c>
      <c r="U461" s="38">
        <v>372</v>
      </c>
      <c r="V461" s="38">
        <v>144</v>
      </c>
      <c r="W461" s="38">
        <v>5131</v>
      </c>
      <c r="X461" s="38">
        <v>446</v>
      </c>
      <c r="Y461" s="38">
        <v>774</v>
      </c>
      <c r="Z461" s="38"/>
      <c r="AA461" s="38"/>
      <c r="AB461" s="39">
        <v>28.709633799999999</v>
      </c>
      <c r="AC461" s="39">
        <v>61.170056799999998</v>
      </c>
      <c r="AD461" s="39">
        <v>0.76278639999999998</v>
      </c>
      <c r="AE461" s="39">
        <v>1.4116903999999999</v>
      </c>
      <c r="AF461" s="39">
        <v>7.0714189000000003</v>
      </c>
      <c r="AG461" s="39">
        <v>0.42677700000000002</v>
      </c>
      <c r="AH461" s="39">
        <v>0.4476367</v>
      </c>
      <c r="AI461" s="39"/>
      <c r="AJ461" s="39"/>
      <c r="AK461" s="39">
        <v>20.019598899999998</v>
      </c>
      <c r="AL461" s="39">
        <v>76.745172100000005</v>
      </c>
      <c r="AM461" s="39">
        <v>0.1752592</v>
      </c>
      <c r="AN461" s="39">
        <v>6.7842299999999994E-2</v>
      </c>
      <c r="AO461" s="39">
        <v>2.4173524999999998</v>
      </c>
      <c r="AP461" s="39">
        <v>0.21012259999999999</v>
      </c>
      <c r="AQ461" s="39">
        <v>0.36465229999999998</v>
      </c>
      <c r="AR461" s="40"/>
      <c r="AS461" s="40"/>
    </row>
    <row r="462" spans="2:45" ht="15" hidden="1" customHeight="1" x14ac:dyDescent="0.25">
      <c r="B462" s="35">
        <v>456</v>
      </c>
      <c r="C462" s="36" t="s">
        <v>31</v>
      </c>
      <c r="D462" s="36" t="s">
        <v>172</v>
      </c>
      <c r="E462" s="36" t="s">
        <v>173</v>
      </c>
      <c r="F462" s="36" t="s">
        <v>172</v>
      </c>
      <c r="G462" s="37" t="s">
        <v>26</v>
      </c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>
        <v>16</v>
      </c>
      <c r="S462" s="38">
        <v>0</v>
      </c>
      <c r="T462" s="38">
        <v>0</v>
      </c>
      <c r="U462" s="38">
        <v>0</v>
      </c>
      <c r="V462" s="38">
        <v>0</v>
      </c>
      <c r="W462" s="38">
        <v>12</v>
      </c>
      <c r="X462" s="38">
        <v>3</v>
      </c>
      <c r="Y462" s="38">
        <v>1</v>
      </c>
      <c r="Z462" s="38"/>
      <c r="AA462" s="38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>
        <v>0</v>
      </c>
      <c r="AL462" s="39">
        <v>0</v>
      </c>
      <c r="AM462" s="39">
        <v>0</v>
      </c>
      <c r="AN462" s="39">
        <v>0</v>
      </c>
      <c r="AO462" s="39">
        <v>75</v>
      </c>
      <c r="AP462" s="39">
        <v>18.75</v>
      </c>
      <c r="AQ462" s="39">
        <v>6.25</v>
      </c>
      <c r="AR462" s="40"/>
      <c r="AS462" s="40"/>
    </row>
    <row r="463" spans="2:45" ht="15" hidden="1" customHeight="1" x14ac:dyDescent="0.25">
      <c r="B463" s="30">
        <v>457</v>
      </c>
      <c r="C463" s="31" t="s">
        <v>29</v>
      </c>
      <c r="D463" s="50" t="s">
        <v>172</v>
      </c>
      <c r="E463" s="50" t="s">
        <v>174</v>
      </c>
      <c r="F463" s="50"/>
      <c r="G463" s="31" t="s">
        <v>174</v>
      </c>
      <c r="H463" s="32">
        <v>9470</v>
      </c>
      <c r="I463" s="32">
        <v>327</v>
      </c>
      <c r="J463" s="32">
        <v>2777</v>
      </c>
      <c r="K463" s="32">
        <v>2683</v>
      </c>
      <c r="L463" s="32">
        <v>1404</v>
      </c>
      <c r="M463" s="32">
        <v>1481</v>
      </c>
      <c r="N463" s="32">
        <v>348</v>
      </c>
      <c r="O463" s="32">
        <v>450</v>
      </c>
      <c r="P463" s="32"/>
      <c r="Q463" s="32"/>
      <c r="R463" s="32">
        <v>10796</v>
      </c>
      <c r="S463" s="32">
        <v>652</v>
      </c>
      <c r="T463" s="32">
        <v>3507</v>
      </c>
      <c r="U463" s="32">
        <v>834</v>
      </c>
      <c r="V463" s="32">
        <v>375</v>
      </c>
      <c r="W463" s="32">
        <v>4506</v>
      </c>
      <c r="X463" s="32">
        <v>704</v>
      </c>
      <c r="Y463" s="32">
        <v>218</v>
      </c>
      <c r="Z463" s="32"/>
      <c r="AA463" s="32"/>
      <c r="AB463" s="33">
        <v>3.4530094999999998</v>
      </c>
      <c r="AC463" s="33">
        <v>29.324181599999999</v>
      </c>
      <c r="AD463" s="33">
        <v>28.3315734</v>
      </c>
      <c r="AE463" s="33">
        <v>14.8257656</v>
      </c>
      <c r="AF463" s="33">
        <v>15.6388596</v>
      </c>
      <c r="AG463" s="33">
        <v>3.6747624000000001</v>
      </c>
      <c r="AH463" s="33">
        <v>4.7518478999999996</v>
      </c>
      <c r="AI463" s="33"/>
      <c r="AJ463" s="33"/>
      <c r="AK463" s="33">
        <v>6.0392738000000001</v>
      </c>
      <c r="AL463" s="33">
        <v>32.4842534</v>
      </c>
      <c r="AM463" s="33">
        <v>7.7250833999999999</v>
      </c>
      <c r="AN463" s="33">
        <v>3.4735087</v>
      </c>
      <c r="AO463" s="33">
        <v>41.737680599999997</v>
      </c>
      <c r="AP463" s="33">
        <v>6.5209336999999996</v>
      </c>
      <c r="AQ463" s="33">
        <v>2.0192663999999998</v>
      </c>
      <c r="AR463" s="34"/>
      <c r="AS463" s="34"/>
    </row>
    <row r="464" spans="2:45" ht="15" hidden="1" customHeight="1" x14ac:dyDescent="0.25">
      <c r="B464" s="35">
        <v>458</v>
      </c>
      <c r="C464" s="36" t="s">
        <v>29</v>
      </c>
      <c r="D464" s="36" t="s">
        <v>172</v>
      </c>
      <c r="E464" s="36" t="s">
        <v>174</v>
      </c>
      <c r="F464" s="36"/>
      <c r="G464" s="37" t="s">
        <v>25</v>
      </c>
      <c r="H464" s="38">
        <v>2826</v>
      </c>
      <c r="I464" s="38">
        <v>250</v>
      </c>
      <c r="J464" s="38">
        <v>2327</v>
      </c>
      <c r="K464" s="38">
        <v>34</v>
      </c>
      <c r="L464" s="38">
        <v>62</v>
      </c>
      <c r="M464" s="38">
        <v>130</v>
      </c>
      <c r="N464" s="38">
        <v>18</v>
      </c>
      <c r="O464" s="38">
        <v>5</v>
      </c>
      <c r="P464" s="38"/>
      <c r="Q464" s="38"/>
      <c r="R464" s="38">
        <v>3351</v>
      </c>
      <c r="S464" s="38">
        <v>460</v>
      </c>
      <c r="T464" s="38">
        <v>2731</v>
      </c>
      <c r="U464" s="38">
        <v>16</v>
      </c>
      <c r="V464" s="38">
        <v>4</v>
      </c>
      <c r="W464" s="38">
        <v>100</v>
      </c>
      <c r="X464" s="38">
        <v>32</v>
      </c>
      <c r="Y464" s="38">
        <v>8</v>
      </c>
      <c r="Z464" s="38"/>
      <c r="AA464" s="38"/>
      <c r="AB464" s="39">
        <v>8.8464259999999992</v>
      </c>
      <c r="AC464" s="39">
        <v>82.342533599999996</v>
      </c>
      <c r="AD464" s="39">
        <v>1.2031139</v>
      </c>
      <c r="AE464" s="39">
        <v>2.1939137</v>
      </c>
      <c r="AF464" s="39">
        <v>4.6001415000000003</v>
      </c>
      <c r="AG464" s="39">
        <v>0.63694269999999997</v>
      </c>
      <c r="AH464" s="39">
        <v>0.17692849999999999</v>
      </c>
      <c r="AI464" s="39"/>
      <c r="AJ464" s="39"/>
      <c r="AK464" s="39">
        <v>13.7272456</v>
      </c>
      <c r="AL464" s="39">
        <v>81.498060300000006</v>
      </c>
      <c r="AM464" s="39">
        <v>0.47746939999999999</v>
      </c>
      <c r="AN464" s="39">
        <v>0.1193674</v>
      </c>
      <c r="AO464" s="39">
        <v>2.9841837999999998</v>
      </c>
      <c r="AP464" s="39">
        <v>0.95493879999999998</v>
      </c>
      <c r="AQ464" s="39">
        <v>0.23873469999999999</v>
      </c>
      <c r="AR464" s="40"/>
      <c r="AS464" s="40"/>
    </row>
    <row r="465" spans="2:45" ht="15" hidden="1" customHeight="1" x14ac:dyDescent="0.25">
      <c r="B465" s="35">
        <v>459</v>
      </c>
      <c r="C465" s="36" t="s">
        <v>29</v>
      </c>
      <c r="D465" s="36" t="s">
        <v>172</v>
      </c>
      <c r="E465" s="36" t="s">
        <v>174</v>
      </c>
      <c r="F465" s="36"/>
      <c r="G465" s="37" t="s">
        <v>26</v>
      </c>
      <c r="H465" s="38">
        <v>6644</v>
      </c>
      <c r="I465" s="38">
        <v>77</v>
      </c>
      <c r="J465" s="38">
        <v>450</v>
      </c>
      <c r="K465" s="38">
        <v>2649</v>
      </c>
      <c r="L465" s="38">
        <v>1342</v>
      </c>
      <c r="M465" s="38">
        <v>1351</v>
      </c>
      <c r="N465" s="38">
        <v>330</v>
      </c>
      <c r="O465" s="38">
        <v>445</v>
      </c>
      <c r="P465" s="38"/>
      <c r="Q465" s="38"/>
      <c r="R465" s="38">
        <v>7445</v>
      </c>
      <c r="S465" s="38">
        <v>192</v>
      </c>
      <c r="T465" s="38">
        <v>776</v>
      </c>
      <c r="U465" s="38">
        <v>818</v>
      </c>
      <c r="V465" s="38">
        <v>371</v>
      </c>
      <c r="W465" s="38">
        <v>4406</v>
      </c>
      <c r="X465" s="38">
        <v>672</v>
      </c>
      <c r="Y465" s="38">
        <v>210</v>
      </c>
      <c r="Z465" s="38"/>
      <c r="AA465" s="38"/>
      <c r="AB465" s="39">
        <v>1.1589404000000001</v>
      </c>
      <c r="AC465" s="39">
        <v>6.7730283</v>
      </c>
      <c r="AD465" s="39">
        <v>39.870559900000003</v>
      </c>
      <c r="AE465" s="39">
        <v>20.1986755</v>
      </c>
      <c r="AF465" s="39">
        <v>20.334136099999998</v>
      </c>
      <c r="AG465" s="39">
        <v>4.9668874000000001</v>
      </c>
      <c r="AH465" s="39">
        <v>6.6977723999999998</v>
      </c>
      <c r="AI465" s="39"/>
      <c r="AJ465" s="39"/>
      <c r="AK465" s="39">
        <v>2.5789119999999999</v>
      </c>
      <c r="AL465" s="39">
        <v>10.423102800000001</v>
      </c>
      <c r="AM465" s="39">
        <v>10.987239799999999</v>
      </c>
      <c r="AN465" s="39">
        <v>4.9832102000000003</v>
      </c>
      <c r="AO465" s="39">
        <v>59.180658200000003</v>
      </c>
      <c r="AP465" s="39">
        <v>9.0261920999999994</v>
      </c>
      <c r="AQ465" s="39">
        <v>2.8206850000000001</v>
      </c>
      <c r="AR465" s="40"/>
      <c r="AS465" s="40"/>
    </row>
    <row r="466" spans="2:45" ht="15" customHeight="1" x14ac:dyDescent="0.25">
      <c r="B466" s="41">
        <v>460</v>
      </c>
      <c r="C466" s="42" t="s">
        <v>31</v>
      </c>
      <c r="D466" s="51" t="s">
        <v>172</v>
      </c>
      <c r="E466" s="51" t="s">
        <v>174</v>
      </c>
      <c r="F466" s="51" t="s">
        <v>175</v>
      </c>
      <c r="G466" s="52" t="s">
        <v>175</v>
      </c>
      <c r="H466" s="43">
        <v>6499</v>
      </c>
      <c r="I466" s="43">
        <v>254</v>
      </c>
      <c r="J466" s="43">
        <v>1943</v>
      </c>
      <c r="K466" s="43">
        <v>1879</v>
      </c>
      <c r="L466" s="43">
        <v>1123</v>
      </c>
      <c r="M466" s="43">
        <v>701</v>
      </c>
      <c r="N466" s="43">
        <v>261</v>
      </c>
      <c r="O466" s="43">
        <v>338</v>
      </c>
      <c r="P466" s="44">
        <f>K466+L466+M466+N466+O466</f>
        <v>4302</v>
      </c>
      <c r="Q466" s="44">
        <f>I466+J466</f>
        <v>2197</v>
      </c>
      <c r="R466" s="43">
        <v>7123</v>
      </c>
      <c r="S466" s="43">
        <v>458</v>
      </c>
      <c r="T466" s="43">
        <v>2291</v>
      </c>
      <c r="U466" s="43">
        <v>629</v>
      </c>
      <c r="V466" s="43">
        <v>315</v>
      </c>
      <c r="W466" s="43">
        <v>2806</v>
      </c>
      <c r="X466" s="43">
        <v>472</v>
      </c>
      <c r="Y466" s="43">
        <v>152</v>
      </c>
      <c r="Z466" s="45">
        <f>U466+V466+W466+X466+Y466</f>
        <v>4374</v>
      </c>
      <c r="AA466" s="45">
        <f>S466+T466</f>
        <v>2749</v>
      </c>
      <c r="AB466" s="46">
        <v>3.9082935999999999</v>
      </c>
      <c r="AC466" s="46">
        <v>29.896907200000001</v>
      </c>
      <c r="AD466" s="46">
        <v>28.912140300000001</v>
      </c>
      <c r="AE466" s="46">
        <v>17.279581499999999</v>
      </c>
      <c r="AF466" s="46">
        <v>10.786274799999999</v>
      </c>
      <c r="AG466" s="46">
        <v>4.0160024999999999</v>
      </c>
      <c r="AH466" s="46">
        <v>5.2008001000000004</v>
      </c>
      <c r="AI466" s="47">
        <f>AB466+AC466</f>
        <v>33.805200800000001</v>
      </c>
      <c r="AJ466" s="47">
        <f>AD466+AE466+AF466+AG466+AH466</f>
        <v>66.194799199999991</v>
      </c>
      <c r="AK466" s="46">
        <v>6.4298751000000003</v>
      </c>
      <c r="AL466" s="46">
        <v>32.163414299999999</v>
      </c>
      <c r="AM466" s="46">
        <v>8.8305489000000001</v>
      </c>
      <c r="AN466" s="46">
        <v>4.4222939999999999</v>
      </c>
      <c r="AO466" s="46">
        <v>39.393514000000003</v>
      </c>
      <c r="AP466" s="46">
        <v>6.6264215000000002</v>
      </c>
      <c r="AQ466" s="46">
        <v>2.1339323000000001</v>
      </c>
      <c r="AR466" s="48">
        <f>AK466+AL466</f>
        <v>38.593289400000003</v>
      </c>
      <c r="AS466" s="48">
        <f>AM466+AN466+AO466+AP466+AQ466</f>
        <v>61.406710699999998</v>
      </c>
    </row>
    <row r="467" spans="2:45" ht="15" hidden="1" customHeight="1" x14ac:dyDescent="0.25">
      <c r="B467" s="35">
        <v>461</v>
      </c>
      <c r="C467" s="36" t="s">
        <v>31</v>
      </c>
      <c r="D467" s="36" t="s">
        <v>172</v>
      </c>
      <c r="E467" s="36" t="s">
        <v>174</v>
      </c>
      <c r="F467" s="36" t="s">
        <v>175</v>
      </c>
      <c r="G467" s="37" t="s">
        <v>25</v>
      </c>
      <c r="H467" s="38">
        <v>2282</v>
      </c>
      <c r="I467" s="38">
        <v>226</v>
      </c>
      <c r="J467" s="38">
        <v>1895</v>
      </c>
      <c r="K467" s="38">
        <v>30</v>
      </c>
      <c r="L467" s="38">
        <v>59</v>
      </c>
      <c r="M467" s="38">
        <v>57</v>
      </c>
      <c r="N467" s="38">
        <v>12</v>
      </c>
      <c r="O467" s="38">
        <v>3</v>
      </c>
      <c r="P467" s="38"/>
      <c r="Q467" s="38"/>
      <c r="R467" s="38">
        <v>2680</v>
      </c>
      <c r="S467" s="38">
        <v>398</v>
      </c>
      <c r="T467" s="38">
        <v>2209</v>
      </c>
      <c r="U467" s="38">
        <v>10</v>
      </c>
      <c r="V467" s="38">
        <v>4</v>
      </c>
      <c r="W467" s="38">
        <v>49</v>
      </c>
      <c r="X467" s="38">
        <v>5</v>
      </c>
      <c r="Y467" s="38">
        <v>5</v>
      </c>
      <c r="Z467" s="38"/>
      <c r="AA467" s="38"/>
      <c r="AB467" s="39">
        <v>9.9035933000000007</v>
      </c>
      <c r="AC467" s="39">
        <v>83.041191900000001</v>
      </c>
      <c r="AD467" s="39">
        <v>1.3146363000000001</v>
      </c>
      <c r="AE467" s="39">
        <v>2.5854514000000002</v>
      </c>
      <c r="AF467" s="39">
        <v>2.4978088999999999</v>
      </c>
      <c r="AG467" s="39">
        <v>0.5258545</v>
      </c>
      <c r="AH467" s="39">
        <v>0.13146360000000001</v>
      </c>
      <c r="AI467" s="39"/>
      <c r="AJ467" s="39"/>
      <c r="AK467" s="39">
        <v>14.850746300000001</v>
      </c>
      <c r="AL467" s="39">
        <v>82.425373100000002</v>
      </c>
      <c r="AM467" s="39">
        <v>0.37313429999999997</v>
      </c>
      <c r="AN467" s="39">
        <v>0.14925369999999999</v>
      </c>
      <c r="AO467" s="39">
        <v>1.8283582</v>
      </c>
      <c r="AP467" s="39">
        <v>0.18656719999999999</v>
      </c>
      <c r="AQ467" s="39">
        <v>0.18656719999999999</v>
      </c>
      <c r="AR467" s="40"/>
      <c r="AS467" s="40"/>
    </row>
    <row r="468" spans="2:45" ht="15" hidden="1" customHeight="1" x14ac:dyDescent="0.25">
      <c r="B468" s="35">
        <v>462</v>
      </c>
      <c r="C468" s="36" t="s">
        <v>31</v>
      </c>
      <c r="D468" s="36" t="s">
        <v>172</v>
      </c>
      <c r="E468" s="36" t="s">
        <v>174</v>
      </c>
      <c r="F468" s="36" t="s">
        <v>175</v>
      </c>
      <c r="G468" s="37" t="s">
        <v>26</v>
      </c>
      <c r="H468" s="38">
        <v>4217</v>
      </c>
      <c r="I468" s="38">
        <v>28</v>
      </c>
      <c r="J468" s="38">
        <v>48</v>
      </c>
      <c r="K468" s="38">
        <v>1849</v>
      </c>
      <c r="L468" s="38">
        <v>1064</v>
      </c>
      <c r="M468" s="38">
        <v>644</v>
      </c>
      <c r="N468" s="38">
        <v>249</v>
      </c>
      <c r="O468" s="38">
        <v>335</v>
      </c>
      <c r="P468" s="38"/>
      <c r="Q468" s="38"/>
      <c r="R468" s="38">
        <v>4443</v>
      </c>
      <c r="S468" s="38">
        <v>60</v>
      </c>
      <c r="T468" s="38">
        <v>82</v>
      </c>
      <c r="U468" s="38">
        <v>619</v>
      </c>
      <c r="V468" s="38">
        <v>311</v>
      </c>
      <c r="W468" s="38">
        <v>2757</v>
      </c>
      <c r="X468" s="38">
        <v>467</v>
      </c>
      <c r="Y468" s="38">
        <v>147</v>
      </c>
      <c r="Z468" s="38"/>
      <c r="AA468" s="38"/>
      <c r="AB468" s="39">
        <v>0.66397910000000004</v>
      </c>
      <c r="AC468" s="39">
        <v>1.1382498999999999</v>
      </c>
      <c r="AD468" s="39">
        <v>43.846336299999997</v>
      </c>
      <c r="AE468" s="39">
        <v>25.231207000000001</v>
      </c>
      <c r="AF468" s="39">
        <v>15.271520000000001</v>
      </c>
      <c r="AG468" s="39">
        <v>5.9046716000000004</v>
      </c>
      <c r="AH468" s="39">
        <v>7.9440359999999997</v>
      </c>
      <c r="AI468" s="39"/>
      <c r="AJ468" s="39"/>
      <c r="AK468" s="39">
        <v>1.3504389000000001</v>
      </c>
      <c r="AL468" s="39">
        <v>1.8455998</v>
      </c>
      <c r="AM468" s="39">
        <v>13.9320279</v>
      </c>
      <c r="AN468" s="39">
        <v>6.9997749000000002</v>
      </c>
      <c r="AO468" s="39">
        <v>62.052667100000001</v>
      </c>
      <c r="AP468" s="39">
        <v>10.510916</v>
      </c>
      <c r="AQ468" s="39">
        <v>3.3085753000000002</v>
      </c>
      <c r="AR468" s="40"/>
      <c r="AS468" s="40"/>
    </row>
    <row r="469" spans="2:45" ht="15" customHeight="1" x14ac:dyDescent="0.25">
      <c r="B469" s="41">
        <v>463</v>
      </c>
      <c r="C469" s="42" t="s">
        <v>31</v>
      </c>
      <c r="D469" s="51" t="s">
        <v>172</v>
      </c>
      <c r="E469" s="51" t="s">
        <v>174</v>
      </c>
      <c r="F469" s="51" t="s">
        <v>176</v>
      </c>
      <c r="G469" s="52" t="s">
        <v>176</v>
      </c>
      <c r="H469" s="43">
        <v>1537</v>
      </c>
      <c r="I469" s="43">
        <v>27</v>
      </c>
      <c r="J469" s="43">
        <v>438</v>
      </c>
      <c r="K469" s="43">
        <v>547</v>
      </c>
      <c r="L469" s="43">
        <v>99</v>
      </c>
      <c r="M469" s="43">
        <v>286</v>
      </c>
      <c r="N469" s="43">
        <v>51</v>
      </c>
      <c r="O469" s="43">
        <v>89</v>
      </c>
      <c r="P469" s="44">
        <f>K469+L469+M469+N469+O469</f>
        <v>1072</v>
      </c>
      <c r="Q469" s="44">
        <f>I469+J469</f>
        <v>465</v>
      </c>
      <c r="R469" s="43">
        <v>1753</v>
      </c>
      <c r="S469" s="43">
        <v>65</v>
      </c>
      <c r="T469" s="43">
        <v>526</v>
      </c>
      <c r="U469" s="43">
        <v>145</v>
      </c>
      <c r="V469" s="43">
        <v>29</v>
      </c>
      <c r="W469" s="43">
        <v>765</v>
      </c>
      <c r="X469" s="43">
        <v>181</v>
      </c>
      <c r="Y469" s="43">
        <v>42</v>
      </c>
      <c r="Z469" s="45">
        <f>U469+V469+W469+X469+Y469</f>
        <v>1162</v>
      </c>
      <c r="AA469" s="45">
        <f>S469+T469</f>
        <v>591</v>
      </c>
      <c r="AB469" s="46">
        <v>1.7566687999999999</v>
      </c>
      <c r="AC469" s="46">
        <v>28.497072200000002</v>
      </c>
      <c r="AD469" s="46">
        <v>35.588809400000002</v>
      </c>
      <c r="AE469" s="46">
        <v>6.4411190999999999</v>
      </c>
      <c r="AF469" s="46">
        <v>18.607677299999999</v>
      </c>
      <c r="AG469" s="46">
        <v>3.3181522000000001</v>
      </c>
      <c r="AH469" s="46">
        <v>5.7905009999999999</v>
      </c>
      <c r="AI469" s="47">
        <f>AB469+AC469</f>
        <v>30.253741000000002</v>
      </c>
      <c r="AJ469" s="47">
        <f>AD469+AE469+AF469+AG469+AH469</f>
        <v>69.746259000000009</v>
      </c>
      <c r="AK469" s="46">
        <v>3.7079293</v>
      </c>
      <c r="AL469" s="46">
        <v>30.0057045</v>
      </c>
      <c r="AM469" s="46">
        <v>8.2715344999999996</v>
      </c>
      <c r="AN469" s="46">
        <v>1.6543068999999999</v>
      </c>
      <c r="AO469" s="46">
        <v>43.6394752</v>
      </c>
      <c r="AP469" s="46">
        <v>10.3251569</v>
      </c>
      <c r="AQ469" s="46">
        <v>2.3958927999999999</v>
      </c>
      <c r="AR469" s="48">
        <f>AK469+AL469</f>
        <v>33.713633799999997</v>
      </c>
      <c r="AS469" s="48">
        <f>AM469+AN469+AO469+AP469+AQ469</f>
        <v>66.286366299999997</v>
      </c>
    </row>
    <row r="470" spans="2:45" ht="15" hidden="1" customHeight="1" x14ac:dyDescent="0.25">
      <c r="B470" s="35">
        <v>464</v>
      </c>
      <c r="C470" s="36" t="s">
        <v>31</v>
      </c>
      <c r="D470" s="36" t="s">
        <v>172</v>
      </c>
      <c r="E470" s="36" t="s">
        <v>174</v>
      </c>
      <c r="F470" s="36" t="s">
        <v>176</v>
      </c>
      <c r="G470" s="37" t="s">
        <v>25</v>
      </c>
      <c r="H470" s="38">
        <v>544</v>
      </c>
      <c r="I470" s="38">
        <v>24</v>
      </c>
      <c r="J470" s="38">
        <v>432</v>
      </c>
      <c r="K470" s="38">
        <v>4</v>
      </c>
      <c r="L470" s="38">
        <v>3</v>
      </c>
      <c r="M470" s="38">
        <v>73</v>
      </c>
      <c r="N470" s="38">
        <v>6</v>
      </c>
      <c r="O470" s="38">
        <v>2</v>
      </c>
      <c r="P470" s="38"/>
      <c r="Q470" s="38"/>
      <c r="R470" s="38">
        <v>671</v>
      </c>
      <c r="S470" s="38">
        <v>62</v>
      </c>
      <c r="T470" s="38">
        <v>522</v>
      </c>
      <c r="U470" s="38">
        <v>6</v>
      </c>
      <c r="V470" s="38">
        <v>0</v>
      </c>
      <c r="W470" s="38">
        <v>51</v>
      </c>
      <c r="X470" s="38">
        <v>27</v>
      </c>
      <c r="Y470" s="38">
        <v>3</v>
      </c>
      <c r="Z470" s="38"/>
      <c r="AA470" s="38"/>
      <c r="AB470" s="39">
        <v>4.4117647</v>
      </c>
      <c r="AC470" s="39">
        <v>79.411764700000006</v>
      </c>
      <c r="AD470" s="39">
        <v>0.73529409999999995</v>
      </c>
      <c r="AE470" s="39">
        <v>0.55147060000000003</v>
      </c>
      <c r="AF470" s="39">
        <v>13.4191176</v>
      </c>
      <c r="AG470" s="39">
        <v>1.1029412000000001</v>
      </c>
      <c r="AH470" s="39">
        <v>0.3676471</v>
      </c>
      <c r="AI470" s="39"/>
      <c r="AJ470" s="39"/>
      <c r="AK470" s="39">
        <v>9.2399404000000001</v>
      </c>
      <c r="AL470" s="39">
        <v>77.794336799999996</v>
      </c>
      <c r="AM470" s="39">
        <v>0.89418779999999998</v>
      </c>
      <c r="AN470" s="39">
        <v>0</v>
      </c>
      <c r="AO470" s="39">
        <v>7.6005960999999997</v>
      </c>
      <c r="AP470" s="39">
        <v>4.0238449999999997</v>
      </c>
      <c r="AQ470" s="39">
        <v>0.44709389999999999</v>
      </c>
      <c r="AR470" s="40"/>
      <c r="AS470" s="40"/>
    </row>
    <row r="471" spans="2:45" ht="15" hidden="1" customHeight="1" x14ac:dyDescent="0.25">
      <c r="B471" s="35">
        <v>465</v>
      </c>
      <c r="C471" s="36" t="s">
        <v>31</v>
      </c>
      <c r="D471" s="36" t="s">
        <v>172</v>
      </c>
      <c r="E471" s="36" t="s">
        <v>174</v>
      </c>
      <c r="F471" s="36" t="s">
        <v>176</v>
      </c>
      <c r="G471" s="37" t="s">
        <v>26</v>
      </c>
      <c r="H471" s="38">
        <v>993</v>
      </c>
      <c r="I471" s="38">
        <v>3</v>
      </c>
      <c r="J471" s="38">
        <v>6</v>
      </c>
      <c r="K471" s="38">
        <v>543</v>
      </c>
      <c r="L471" s="38">
        <v>96</v>
      </c>
      <c r="M471" s="38">
        <v>213</v>
      </c>
      <c r="N471" s="38">
        <v>45</v>
      </c>
      <c r="O471" s="38">
        <v>87</v>
      </c>
      <c r="P471" s="38"/>
      <c r="Q471" s="38"/>
      <c r="R471" s="38">
        <v>1082</v>
      </c>
      <c r="S471" s="38">
        <v>3</v>
      </c>
      <c r="T471" s="38">
        <v>4</v>
      </c>
      <c r="U471" s="38">
        <v>139</v>
      </c>
      <c r="V471" s="38">
        <v>29</v>
      </c>
      <c r="W471" s="38">
        <v>714</v>
      </c>
      <c r="X471" s="38">
        <v>154</v>
      </c>
      <c r="Y471" s="38">
        <v>39</v>
      </c>
      <c r="Z471" s="38"/>
      <c r="AA471" s="38"/>
      <c r="AB471" s="39">
        <v>0.30211480000000002</v>
      </c>
      <c r="AC471" s="39">
        <v>0.60422960000000003</v>
      </c>
      <c r="AD471" s="39">
        <v>54.682779500000002</v>
      </c>
      <c r="AE471" s="39">
        <v>9.6676736999999999</v>
      </c>
      <c r="AF471" s="39">
        <v>21.450151099999999</v>
      </c>
      <c r="AG471" s="39">
        <v>4.5317220999999996</v>
      </c>
      <c r="AH471" s="39">
        <v>8.7613292999999999</v>
      </c>
      <c r="AI471" s="39"/>
      <c r="AJ471" s="39"/>
      <c r="AK471" s="39">
        <v>0.27726430000000002</v>
      </c>
      <c r="AL471" s="39">
        <v>0.36968580000000001</v>
      </c>
      <c r="AM471" s="39">
        <v>12.846580400000001</v>
      </c>
      <c r="AN471" s="39">
        <v>2.6802218</v>
      </c>
      <c r="AO471" s="39">
        <v>65.988909399999997</v>
      </c>
      <c r="AP471" s="39">
        <v>14.232901999999999</v>
      </c>
      <c r="AQ471" s="39">
        <v>3.6044361999999999</v>
      </c>
      <c r="AR471" s="40"/>
      <c r="AS471" s="40"/>
    </row>
    <row r="472" spans="2:45" ht="15" customHeight="1" x14ac:dyDescent="0.25">
      <c r="B472" s="41">
        <v>466</v>
      </c>
      <c r="C472" s="42" t="s">
        <v>31</v>
      </c>
      <c r="D472" s="51" t="s">
        <v>172</v>
      </c>
      <c r="E472" s="51" t="s">
        <v>174</v>
      </c>
      <c r="F472" s="51" t="s">
        <v>177</v>
      </c>
      <c r="G472" s="52" t="s">
        <v>177</v>
      </c>
      <c r="H472" s="43">
        <v>1434</v>
      </c>
      <c r="I472" s="43">
        <v>46</v>
      </c>
      <c r="J472" s="43">
        <v>396</v>
      </c>
      <c r="K472" s="43">
        <v>257</v>
      </c>
      <c r="L472" s="43">
        <v>182</v>
      </c>
      <c r="M472" s="43">
        <v>494</v>
      </c>
      <c r="N472" s="43">
        <v>36</v>
      </c>
      <c r="O472" s="43">
        <v>23</v>
      </c>
      <c r="P472" s="44">
        <f>K472+L472+M472+N472+O472</f>
        <v>992</v>
      </c>
      <c r="Q472" s="44">
        <f>I472+J472</f>
        <v>442</v>
      </c>
      <c r="R472" s="43">
        <v>1920</v>
      </c>
      <c r="S472" s="43">
        <v>129</v>
      </c>
      <c r="T472" s="43">
        <v>690</v>
      </c>
      <c r="U472" s="43">
        <v>60</v>
      </c>
      <c r="V472" s="43">
        <v>31</v>
      </c>
      <c r="W472" s="43">
        <v>935</v>
      </c>
      <c r="X472" s="43">
        <v>51</v>
      </c>
      <c r="Y472" s="43">
        <v>24</v>
      </c>
      <c r="Z472" s="45">
        <f>U472+V472+W472+X472+Y472</f>
        <v>1101</v>
      </c>
      <c r="AA472" s="45">
        <f>S472+T472</f>
        <v>819</v>
      </c>
      <c r="AB472" s="46">
        <v>3.2078102999999998</v>
      </c>
      <c r="AC472" s="46">
        <v>27.6150628</v>
      </c>
      <c r="AD472" s="46">
        <v>17.921896799999999</v>
      </c>
      <c r="AE472" s="46">
        <v>12.691771299999999</v>
      </c>
      <c r="AF472" s="46">
        <v>34.449093400000002</v>
      </c>
      <c r="AG472" s="46">
        <v>2.5104603000000001</v>
      </c>
      <c r="AH472" s="46">
        <v>1.6039052</v>
      </c>
      <c r="AI472" s="47">
        <f>AB472+AC472</f>
        <v>30.822873099999999</v>
      </c>
      <c r="AJ472" s="47">
        <f>AD472+AE472+AF472+AG472+AH472</f>
        <v>69.177126999999999</v>
      </c>
      <c r="AK472" s="46">
        <v>6.71875</v>
      </c>
      <c r="AL472" s="46">
        <v>35.9375</v>
      </c>
      <c r="AM472" s="46">
        <v>3.125</v>
      </c>
      <c r="AN472" s="46">
        <v>1.6145833000000001</v>
      </c>
      <c r="AO472" s="46">
        <v>48.6979167</v>
      </c>
      <c r="AP472" s="46">
        <v>2.65625</v>
      </c>
      <c r="AQ472" s="46">
        <v>1.25</v>
      </c>
      <c r="AR472" s="48">
        <f>AK472+AL472</f>
        <v>42.65625</v>
      </c>
      <c r="AS472" s="48">
        <f>AM472+AN472+AO472+AP472+AQ472</f>
        <v>57.34375</v>
      </c>
    </row>
    <row r="473" spans="2:45" ht="15" hidden="1" customHeight="1" x14ac:dyDescent="0.25">
      <c r="B473" s="35">
        <v>467</v>
      </c>
      <c r="C473" s="36" t="s">
        <v>31</v>
      </c>
      <c r="D473" s="36" t="s">
        <v>172</v>
      </c>
      <c r="E473" s="36" t="s">
        <v>174</v>
      </c>
      <c r="F473" s="36" t="s">
        <v>177</v>
      </c>
      <c r="G473" s="37" t="s">
        <v>25</v>
      </c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40"/>
      <c r="AS473" s="40"/>
    </row>
    <row r="474" spans="2:45" ht="15" hidden="1" customHeight="1" x14ac:dyDescent="0.25">
      <c r="B474" s="35">
        <v>468</v>
      </c>
      <c r="C474" s="36" t="s">
        <v>31</v>
      </c>
      <c r="D474" s="36" t="s">
        <v>172</v>
      </c>
      <c r="E474" s="36" t="s">
        <v>174</v>
      </c>
      <c r="F474" s="36" t="s">
        <v>177</v>
      </c>
      <c r="G474" s="37" t="s">
        <v>26</v>
      </c>
      <c r="H474" s="38">
        <v>1434</v>
      </c>
      <c r="I474" s="38">
        <v>46</v>
      </c>
      <c r="J474" s="38">
        <v>396</v>
      </c>
      <c r="K474" s="38">
        <v>257</v>
      </c>
      <c r="L474" s="38">
        <v>182</v>
      </c>
      <c r="M474" s="38">
        <v>494</v>
      </c>
      <c r="N474" s="38">
        <v>36</v>
      </c>
      <c r="O474" s="38">
        <v>23</v>
      </c>
      <c r="P474" s="38"/>
      <c r="Q474" s="38"/>
      <c r="R474" s="38">
        <v>1920</v>
      </c>
      <c r="S474" s="38">
        <v>129</v>
      </c>
      <c r="T474" s="38">
        <v>690</v>
      </c>
      <c r="U474" s="38">
        <v>60</v>
      </c>
      <c r="V474" s="38">
        <v>31</v>
      </c>
      <c r="W474" s="38">
        <v>935</v>
      </c>
      <c r="X474" s="38">
        <v>51</v>
      </c>
      <c r="Y474" s="38">
        <v>24</v>
      </c>
      <c r="Z474" s="38"/>
      <c r="AA474" s="38"/>
      <c r="AB474" s="39">
        <v>3.2078102999999998</v>
      </c>
      <c r="AC474" s="39">
        <v>27.6150628</v>
      </c>
      <c r="AD474" s="39">
        <v>17.921896799999999</v>
      </c>
      <c r="AE474" s="39">
        <v>12.691771299999999</v>
      </c>
      <c r="AF474" s="39">
        <v>34.449093400000002</v>
      </c>
      <c r="AG474" s="39">
        <v>2.5104603000000001</v>
      </c>
      <c r="AH474" s="39">
        <v>1.6039052</v>
      </c>
      <c r="AI474" s="39"/>
      <c r="AJ474" s="39"/>
      <c r="AK474" s="39">
        <v>6.71875</v>
      </c>
      <c r="AL474" s="39">
        <v>35.9375</v>
      </c>
      <c r="AM474" s="39">
        <v>3.125</v>
      </c>
      <c r="AN474" s="39">
        <v>1.6145833000000001</v>
      </c>
      <c r="AO474" s="39">
        <v>48.6979167</v>
      </c>
      <c r="AP474" s="39">
        <v>2.65625</v>
      </c>
      <c r="AQ474" s="39">
        <v>1.25</v>
      </c>
      <c r="AR474" s="40"/>
      <c r="AS474" s="40"/>
    </row>
    <row r="475" spans="2:45" ht="15" hidden="1" customHeight="1" x14ac:dyDescent="0.25">
      <c r="B475" s="30">
        <v>469</v>
      </c>
      <c r="C475" s="31" t="s">
        <v>29</v>
      </c>
      <c r="D475" s="50" t="s">
        <v>172</v>
      </c>
      <c r="E475" s="50" t="s">
        <v>178</v>
      </c>
      <c r="F475" s="50"/>
      <c r="G475" s="31" t="s">
        <v>178</v>
      </c>
      <c r="H475" s="32">
        <v>16203</v>
      </c>
      <c r="I475" s="32">
        <v>229</v>
      </c>
      <c r="J475" s="32">
        <v>724</v>
      </c>
      <c r="K475" s="32">
        <v>2466</v>
      </c>
      <c r="L475" s="32">
        <v>2853</v>
      </c>
      <c r="M475" s="32">
        <v>8630</v>
      </c>
      <c r="N475" s="32">
        <v>951</v>
      </c>
      <c r="O475" s="32">
        <v>350</v>
      </c>
      <c r="P475" s="32"/>
      <c r="Q475" s="32"/>
      <c r="R475" s="32">
        <v>21034</v>
      </c>
      <c r="S475" s="32">
        <v>221</v>
      </c>
      <c r="T475" s="32">
        <v>678</v>
      </c>
      <c r="U475" s="32">
        <v>658</v>
      </c>
      <c r="V475" s="32">
        <v>846</v>
      </c>
      <c r="W475" s="32">
        <v>17291</v>
      </c>
      <c r="X475" s="32">
        <v>1142</v>
      </c>
      <c r="Y475" s="32">
        <v>198</v>
      </c>
      <c r="Z475" s="32"/>
      <c r="AA475" s="32"/>
      <c r="AB475" s="33">
        <v>1.4133184999999999</v>
      </c>
      <c r="AC475" s="33">
        <v>4.4683083000000003</v>
      </c>
      <c r="AD475" s="33">
        <v>15.2194038</v>
      </c>
      <c r="AE475" s="33">
        <v>17.6078504</v>
      </c>
      <c r="AF475" s="33">
        <v>53.261741700000002</v>
      </c>
      <c r="AG475" s="33">
        <v>5.8692834999999999</v>
      </c>
      <c r="AH475" s="33">
        <v>2.1600937999999998</v>
      </c>
      <c r="AI475" s="33"/>
      <c r="AJ475" s="33"/>
      <c r="AK475" s="33">
        <v>1.0506799</v>
      </c>
      <c r="AL475" s="33">
        <v>3.2233527</v>
      </c>
      <c r="AM475" s="33">
        <v>3.1282684999999999</v>
      </c>
      <c r="AN475" s="33">
        <v>4.0220595000000001</v>
      </c>
      <c r="AO475" s="33">
        <v>82.2050014</v>
      </c>
      <c r="AP475" s="33">
        <v>5.4293049</v>
      </c>
      <c r="AQ475" s="33">
        <v>0.94133310000000003</v>
      </c>
      <c r="AR475" s="34"/>
      <c r="AS475" s="34"/>
    </row>
    <row r="476" spans="2:45" ht="15" hidden="1" customHeight="1" x14ac:dyDescent="0.25">
      <c r="B476" s="35">
        <v>470</v>
      </c>
      <c r="C476" s="36" t="s">
        <v>29</v>
      </c>
      <c r="D476" s="36" t="s">
        <v>172</v>
      </c>
      <c r="E476" s="36" t="s">
        <v>178</v>
      </c>
      <c r="F476" s="36"/>
      <c r="G476" s="37" t="s">
        <v>25</v>
      </c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40"/>
      <c r="AS476" s="40"/>
    </row>
    <row r="477" spans="2:45" ht="15" hidden="1" customHeight="1" x14ac:dyDescent="0.25">
      <c r="B477" s="35">
        <v>471</v>
      </c>
      <c r="C477" s="36" t="s">
        <v>29</v>
      </c>
      <c r="D477" s="36" t="s">
        <v>172</v>
      </c>
      <c r="E477" s="36" t="s">
        <v>178</v>
      </c>
      <c r="F477" s="36"/>
      <c r="G477" s="37" t="s">
        <v>26</v>
      </c>
      <c r="H477" s="38">
        <v>16203</v>
      </c>
      <c r="I477" s="38">
        <v>229</v>
      </c>
      <c r="J477" s="38">
        <v>724</v>
      </c>
      <c r="K477" s="38">
        <v>2466</v>
      </c>
      <c r="L477" s="38">
        <v>2853</v>
      </c>
      <c r="M477" s="38">
        <v>8630</v>
      </c>
      <c r="N477" s="38">
        <v>951</v>
      </c>
      <c r="O477" s="38">
        <v>350</v>
      </c>
      <c r="P477" s="38"/>
      <c r="Q477" s="38"/>
      <c r="R477" s="38">
        <v>21034</v>
      </c>
      <c r="S477" s="38">
        <v>221</v>
      </c>
      <c r="T477" s="38">
        <v>678</v>
      </c>
      <c r="U477" s="38">
        <v>658</v>
      </c>
      <c r="V477" s="38">
        <v>846</v>
      </c>
      <c r="W477" s="38">
        <v>17291</v>
      </c>
      <c r="X477" s="38">
        <v>1142</v>
      </c>
      <c r="Y477" s="38">
        <v>198</v>
      </c>
      <c r="Z477" s="38"/>
      <c r="AA477" s="38"/>
      <c r="AB477" s="39">
        <v>1.4133184999999999</v>
      </c>
      <c r="AC477" s="39">
        <v>4.4683083000000003</v>
      </c>
      <c r="AD477" s="39">
        <v>15.2194038</v>
      </c>
      <c r="AE477" s="39">
        <v>17.6078504</v>
      </c>
      <c r="AF477" s="39">
        <v>53.261741700000002</v>
      </c>
      <c r="AG477" s="39">
        <v>5.8692834999999999</v>
      </c>
      <c r="AH477" s="39">
        <v>2.1600937999999998</v>
      </c>
      <c r="AI477" s="39"/>
      <c r="AJ477" s="39"/>
      <c r="AK477" s="39">
        <v>1.0506799</v>
      </c>
      <c r="AL477" s="39">
        <v>3.2233527</v>
      </c>
      <c r="AM477" s="39">
        <v>3.1282684999999999</v>
      </c>
      <c r="AN477" s="39">
        <v>4.0220595000000001</v>
      </c>
      <c r="AO477" s="39">
        <v>82.2050014</v>
      </c>
      <c r="AP477" s="39">
        <v>5.4293049</v>
      </c>
      <c r="AQ477" s="39">
        <v>0.94133310000000003</v>
      </c>
      <c r="AR477" s="40"/>
      <c r="AS477" s="40"/>
    </row>
    <row r="478" spans="2:45" ht="15" customHeight="1" x14ac:dyDescent="0.25">
      <c r="B478" s="41">
        <v>472</v>
      </c>
      <c r="C478" s="42" t="s">
        <v>31</v>
      </c>
      <c r="D478" s="51" t="s">
        <v>172</v>
      </c>
      <c r="E478" s="51" t="s">
        <v>178</v>
      </c>
      <c r="F478" s="51" t="s">
        <v>178</v>
      </c>
      <c r="G478" s="52" t="s">
        <v>178</v>
      </c>
      <c r="H478" s="43">
        <v>7347</v>
      </c>
      <c r="I478" s="43">
        <v>104</v>
      </c>
      <c r="J478" s="43">
        <v>613</v>
      </c>
      <c r="K478" s="43">
        <v>1436</v>
      </c>
      <c r="L478" s="43">
        <v>1647</v>
      </c>
      <c r="M478" s="43">
        <v>3066</v>
      </c>
      <c r="N478" s="43">
        <v>354</v>
      </c>
      <c r="O478" s="43">
        <v>127</v>
      </c>
      <c r="P478" s="44">
        <f>K478+L478+M478+N478+O478</f>
        <v>6630</v>
      </c>
      <c r="Q478" s="44">
        <f>I478+J478</f>
        <v>717</v>
      </c>
      <c r="R478" s="43">
        <v>8442</v>
      </c>
      <c r="S478" s="43">
        <v>96</v>
      </c>
      <c r="T478" s="43">
        <v>524</v>
      </c>
      <c r="U478" s="43">
        <v>328</v>
      </c>
      <c r="V478" s="43">
        <v>486</v>
      </c>
      <c r="W478" s="43">
        <v>6587</v>
      </c>
      <c r="X478" s="43">
        <v>354</v>
      </c>
      <c r="Y478" s="43">
        <v>67</v>
      </c>
      <c r="Z478" s="45">
        <f>U478+V478+W478+X478+Y478</f>
        <v>7822</v>
      </c>
      <c r="AA478" s="45">
        <f>S478+T478</f>
        <v>620</v>
      </c>
      <c r="AB478" s="46">
        <v>1.4155438</v>
      </c>
      <c r="AC478" s="46">
        <v>8.3435416</v>
      </c>
      <c r="AD478" s="46">
        <v>19.545392700000001</v>
      </c>
      <c r="AE478" s="46">
        <v>22.417313199999999</v>
      </c>
      <c r="AF478" s="46">
        <v>41.731318899999998</v>
      </c>
      <c r="AG478" s="46">
        <v>4.8182932000000003</v>
      </c>
      <c r="AH478" s="46">
        <v>1.7285967</v>
      </c>
      <c r="AI478" s="47">
        <f>AB478+AC478</f>
        <v>9.7590854</v>
      </c>
      <c r="AJ478" s="47">
        <f>AD478+AE478+AF478+AG478+AH478</f>
        <v>90.24091469999999</v>
      </c>
      <c r="AK478" s="46">
        <v>1.1371713000000001</v>
      </c>
      <c r="AL478" s="46">
        <v>6.2070599</v>
      </c>
      <c r="AM478" s="46">
        <v>3.8853352000000001</v>
      </c>
      <c r="AN478" s="46">
        <v>5.7569296000000003</v>
      </c>
      <c r="AO478" s="46">
        <v>78.026533999999998</v>
      </c>
      <c r="AP478" s="46">
        <v>4.1933191000000001</v>
      </c>
      <c r="AQ478" s="46">
        <v>0.79365079999999999</v>
      </c>
      <c r="AR478" s="48">
        <f>AK478+AL478</f>
        <v>7.3442312000000003</v>
      </c>
      <c r="AS478" s="48">
        <f>AM478+AN478+AO478+AP478+AQ478</f>
        <v>92.655768699999982</v>
      </c>
    </row>
    <row r="479" spans="2:45" ht="15" hidden="1" customHeight="1" x14ac:dyDescent="0.25">
      <c r="B479" s="35">
        <v>473</v>
      </c>
      <c r="C479" s="36" t="s">
        <v>31</v>
      </c>
      <c r="D479" s="36" t="s">
        <v>172</v>
      </c>
      <c r="E479" s="36" t="s">
        <v>178</v>
      </c>
      <c r="F479" s="36" t="s">
        <v>178</v>
      </c>
      <c r="G479" s="37" t="s">
        <v>25</v>
      </c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40"/>
      <c r="AS479" s="40"/>
    </row>
    <row r="480" spans="2:45" ht="15" hidden="1" customHeight="1" x14ac:dyDescent="0.25">
      <c r="B480" s="35">
        <v>474</v>
      </c>
      <c r="C480" s="36" t="s">
        <v>31</v>
      </c>
      <c r="D480" s="36" t="s">
        <v>172</v>
      </c>
      <c r="E480" s="36" t="s">
        <v>178</v>
      </c>
      <c r="F480" s="36" t="s">
        <v>178</v>
      </c>
      <c r="G480" s="37" t="s">
        <v>26</v>
      </c>
      <c r="H480" s="38">
        <v>7347</v>
      </c>
      <c r="I480" s="38">
        <v>104</v>
      </c>
      <c r="J480" s="38">
        <v>613</v>
      </c>
      <c r="K480" s="38">
        <v>1436</v>
      </c>
      <c r="L480" s="38">
        <v>1647</v>
      </c>
      <c r="M480" s="38">
        <v>3066</v>
      </c>
      <c r="N480" s="38">
        <v>354</v>
      </c>
      <c r="O480" s="38">
        <v>127</v>
      </c>
      <c r="P480" s="38"/>
      <c r="Q480" s="38"/>
      <c r="R480" s="38">
        <v>8442</v>
      </c>
      <c r="S480" s="38">
        <v>96</v>
      </c>
      <c r="T480" s="38">
        <v>524</v>
      </c>
      <c r="U480" s="38">
        <v>328</v>
      </c>
      <c r="V480" s="38">
        <v>486</v>
      </c>
      <c r="W480" s="38">
        <v>6587</v>
      </c>
      <c r="X480" s="38">
        <v>354</v>
      </c>
      <c r="Y480" s="38">
        <v>67</v>
      </c>
      <c r="Z480" s="38"/>
      <c r="AA480" s="38"/>
      <c r="AB480" s="39">
        <v>1.4155438</v>
      </c>
      <c r="AC480" s="39">
        <v>8.3435416</v>
      </c>
      <c r="AD480" s="39">
        <v>19.545392700000001</v>
      </c>
      <c r="AE480" s="39">
        <v>22.417313199999999</v>
      </c>
      <c r="AF480" s="39">
        <v>41.731318899999998</v>
      </c>
      <c r="AG480" s="39">
        <v>4.8182932000000003</v>
      </c>
      <c r="AH480" s="39">
        <v>1.7285967</v>
      </c>
      <c r="AI480" s="39"/>
      <c r="AJ480" s="39"/>
      <c r="AK480" s="39">
        <v>1.1371713000000001</v>
      </c>
      <c r="AL480" s="39">
        <v>6.2070599</v>
      </c>
      <c r="AM480" s="39">
        <v>3.8853352000000001</v>
      </c>
      <c r="AN480" s="39">
        <v>5.7569296000000003</v>
      </c>
      <c r="AO480" s="39">
        <v>78.026533999999998</v>
      </c>
      <c r="AP480" s="39">
        <v>4.1933191000000001</v>
      </c>
      <c r="AQ480" s="39">
        <v>0.79365079999999999</v>
      </c>
      <c r="AR480" s="40"/>
      <c r="AS480" s="40"/>
    </row>
    <row r="481" spans="2:45" ht="15" customHeight="1" x14ac:dyDescent="0.25">
      <c r="B481" s="41">
        <v>475</v>
      </c>
      <c r="C481" s="42" t="s">
        <v>31</v>
      </c>
      <c r="D481" s="51" t="s">
        <v>172</v>
      </c>
      <c r="E481" s="51" t="s">
        <v>178</v>
      </c>
      <c r="F481" s="51" t="s">
        <v>179</v>
      </c>
      <c r="G481" s="52" t="s">
        <v>179</v>
      </c>
      <c r="H481" s="43">
        <v>3936</v>
      </c>
      <c r="I481" s="43">
        <v>104</v>
      </c>
      <c r="J481" s="43">
        <v>98</v>
      </c>
      <c r="K481" s="43">
        <v>509</v>
      </c>
      <c r="L481" s="43">
        <v>594</v>
      </c>
      <c r="M481" s="43">
        <v>2230</v>
      </c>
      <c r="N481" s="43">
        <v>311</v>
      </c>
      <c r="O481" s="43">
        <v>90</v>
      </c>
      <c r="P481" s="44">
        <f>K481+L481+M481+N481+O481</f>
        <v>3734</v>
      </c>
      <c r="Q481" s="44">
        <f>I481+J481</f>
        <v>202</v>
      </c>
      <c r="R481" s="43">
        <v>5081</v>
      </c>
      <c r="S481" s="43">
        <v>90</v>
      </c>
      <c r="T481" s="43">
        <v>137</v>
      </c>
      <c r="U481" s="43">
        <v>146</v>
      </c>
      <c r="V481" s="43">
        <v>180</v>
      </c>
      <c r="W481" s="43">
        <v>4200</v>
      </c>
      <c r="X481" s="43">
        <v>263</v>
      </c>
      <c r="Y481" s="43">
        <v>65</v>
      </c>
      <c r="Z481" s="45">
        <f>U481+V481+W481+X481+Y481</f>
        <v>4854</v>
      </c>
      <c r="AA481" s="45">
        <f>S481+T481</f>
        <v>227</v>
      </c>
      <c r="AB481" s="46">
        <v>2.6422764000000001</v>
      </c>
      <c r="AC481" s="46">
        <v>2.4898373999999999</v>
      </c>
      <c r="AD481" s="46">
        <v>12.9319106</v>
      </c>
      <c r="AE481" s="46">
        <v>15.0914634</v>
      </c>
      <c r="AF481" s="46">
        <v>56.656504099999999</v>
      </c>
      <c r="AG481" s="46">
        <v>7.9014227999999997</v>
      </c>
      <c r="AH481" s="46">
        <v>2.2865853999999999</v>
      </c>
      <c r="AI481" s="47">
        <f>AB481+AC481</f>
        <v>5.1321137999999999</v>
      </c>
      <c r="AJ481" s="47">
        <f>AD481+AE481+AF481+AG481+AH481</f>
        <v>94.867886300000009</v>
      </c>
      <c r="AK481" s="46">
        <v>1.7713049000000001</v>
      </c>
      <c r="AL481" s="46">
        <v>2.6963195999999998</v>
      </c>
      <c r="AM481" s="46">
        <v>2.8734500999999999</v>
      </c>
      <c r="AN481" s="46">
        <v>3.5426096999999999</v>
      </c>
      <c r="AO481" s="46">
        <v>82.6608935</v>
      </c>
      <c r="AP481" s="46">
        <v>5.1761464000000004</v>
      </c>
      <c r="AQ481" s="46">
        <v>1.2792756999999999</v>
      </c>
      <c r="AR481" s="48">
        <f>AK481+AL481</f>
        <v>4.4676244999999994</v>
      </c>
      <c r="AS481" s="48">
        <f>AM481+AN481+AO481+AP481+AQ481</f>
        <v>95.532375400000006</v>
      </c>
    </row>
    <row r="482" spans="2:45" ht="15" hidden="1" customHeight="1" x14ac:dyDescent="0.25">
      <c r="B482" s="35">
        <v>476</v>
      </c>
      <c r="C482" s="36" t="s">
        <v>31</v>
      </c>
      <c r="D482" s="36" t="s">
        <v>172</v>
      </c>
      <c r="E482" s="36" t="s">
        <v>178</v>
      </c>
      <c r="F482" s="36" t="s">
        <v>179</v>
      </c>
      <c r="G482" s="37" t="s">
        <v>25</v>
      </c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40"/>
      <c r="AS482" s="40"/>
    </row>
    <row r="483" spans="2:45" ht="15" hidden="1" customHeight="1" x14ac:dyDescent="0.25">
      <c r="B483" s="35">
        <v>477</v>
      </c>
      <c r="C483" s="36" t="s">
        <v>31</v>
      </c>
      <c r="D483" s="36" t="s">
        <v>172</v>
      </c>
      <c r="E483" s="36" t="s">
        <v>178</v>
      </c>
      <c r="F483" s="36" t="s">
        <v>179</v>
      </c>
      <c r="G483" s="37" t="s">
        <v>26</v>
      </c>
      <c r="H483" s="38">
        <v>3936</v>
      </c>
      <c r="I483" s="38">
        <v>104</v>
      </c>
      <c r="J483" s="38">
        <v>98</v>
      </c>
      <c r="K483" s="38">
        <v>509</v>
      </c>
      <c r="L483" s="38">
        <v>594</v>
      </c>
      <c r="M483" s="38">
        <v>2230</v>
      </c>
      <c r="N483" s="38">
        <v>311</v>
      </c>
      <c r="O483" s="38">
        <v>90</v>
      </c>
      <c r="P483" s="38"/>
      <c r="Q483" s="38"/>
      <c r="R483" s="38">
        <v>5081</v>
      </c>
      <c r="S483" s="38">
        <v>90</v>
      </c>
      <c r="T483" s="38">
        <v>137</v>
      </c>
      <c r="U483" s="38">
        <v>146</v>
      </c>
      <c r="V483" s="38">
        <v>180</v>
      </c>
      <c r="W483" s="38">
        <v>4200</v>
      </c>
      <c r="X483" s="38">
        <v>263</v>
      </c>
      <c r="Y483" s="38">
        <v>65</v>
      </c>
      <c r="Z483" s="38"/>
      <c r="AA483" s="38"/>
      <c r="AB483" s="39">
        <v>2.6422764000000001</v>
      </c>
      <c r="AC483" s="39">
        <v>2.4898373999999999</v>
      </c>
      <c r="AD483" s="39">
        <v>12.9319106</v>
      </c>
      <c r="AE483" s="39">
        <v>15.0914634</v>
      </c>
      <c r="AF483" s="39">
        <v>56.656504099999999</v>
      </c>
      <c r="AG483" s="39">
        <v>7.9014227999999997</v>
      </c>
      <c r="AH483" s="39">
        <v>2.2865853999999999</v>
      </c>
      <c r="AI483" s="39"/>
      <c r="AJ483" s="39"/>
      <c r="AK483" s="39">
        <v>1.7713049000000001</v>
      </c>
      <c r="AL483" s="39">
        <v>2.6963195999999998</v>
      </c>
      <c r="AM483" s="39">
        <v>2.8734500999999999</v>
      </c>
      <c r="AN483" s="39">
        <v>3.5426096999999999</v>
      </c>
      <c r="AO483" s="39">
        <v>82.6608935</v>
      </c>
      <c r="AP483" s="39">
        <v>5.1761464000000004</v>
      </c>
      <c r="AQ483" s="39">
        <v>1.2792756999999999</v>
      </c>
      <c r="AR483" s="40"/>
      <c r="AS483" s="40"/>
    </row>
    <row r="484" spans="2:45" ht="15" customHeight="1" x14ac:dyDescent="0.25">
      <c r="B484" s="41">
        <v>478</v>
      </c>
      <c r="C484" s="42" t="s">
        <v>31</v>
      </c>
      <c r="D484" s="51" t="s">
        <v>172</v>
      </c>
      <c r="E484" s="51" t="s">
        <v>178</v>
      </c>
      <c r="F484" s="51" t="s">
        <v>180</v>
      </c>
      <c r="G484" s="52" t="s">
        <v>180</v>
      </c>
      <c r="H484" s="43">
        <v>4920</v>
      </c>
      <c r="I484" s="43">
        <v>21</v>
      </c>
      <c r="J484" s="43">
        <v>13</v>
      </c>
      <c r="K484" s="43">
        <v>521</v>
      </c>
      <c r="L484" s="43">
        <v>612</v>
      </c>
      <c r="M484" s="43">
        <v>3334</v>
      </c>
      <c r="N484" s="43">
        <v>286</v>
      </c>
      <c r="O484" s="43">
        <v>133</v>
      </c>
      <c r="P484" s="44">
        <f>K484+L484+M484+N484+O484</f>
        <v>4886</v>
      </c>
      <c r="Q484" s="44">
        <f>I484+J484</f>
        <v>34</v>
      </c>
      <c r="R484" s="43">
        <v>7511</v>
      </c>
      <c r="S484" s="43">
        <v>35</v>
      </c>
      <c r="T484" s="43">
        <v>17</v>
      </c>
      <c r="U484" s="43">
        <v>184</v>
      </c>
      <c r="V484" s="43">
        <v>180</v>
      </c>
      <c r="W484" s="43">
        <v>6504</v>
      </c>
      <c r="X484" s="43">
        <v>525</v>
      </c>
      <c r="Y484" s="43">
        <v>66</v>
      </c>
      <c r="Z484" s="45">
        <f>U484+V484+W484+X484+Y484</f>
        <v>7459</v>
      </c>
      <c r="AA484" s="45">
        <f>S484+T484</f>
        <v>52</v>
      </c>
      <c r="AB484" s="46">
        <v>0.42682930000000002</v>
      </c>
      <c r="AC484" s="46">
        <v>0.26422760000000001</v>
      </c>
      <c r="AD484" s="46">
        <v>10.5894309</v>
      </c>
      <c r="AE484" s="46">
        <v>12.439024399999999</v>
      </c>
      <c r="AF484" s="46">
        <v>67.764227599999998</v>
      </c>
      <c r="AG484" s="46">
        <v>5.8130081000000002</v>
      </c>
      <c r="AH484" s="46">
        <v>2.703252</v>
      </c>
      <c r="AI484" s="47">
        <f>AB484+AC484</f>
        <v>0.69105689999999997</v>
      </c>
      <c r="AJ484" s="47">
        <f>AD484+AE484+AF484+AG484+AH484</f>
        <v>99.308942999999999</v>
      </c>
      <c r="AK484" s="46">
        <v>0.46598319999999999</v>
      </c>
      <c r="AL484" s="46">
        <v>0.2263347</v>
      </c>
      <c r="AM484" s="46">
        <v>2.4497404</v>
      </c>
      <c r="AN484" s="46">
        <v>2.3964851999999999</v>
      </c>
      <c r="AO484" s="46">
        <v>86.592996900000003</v>
      </c>
      <c r="AP484" s="46">
        <v>6.9897483999999999</v>
      </c>
      <c r="AQ484" s="46">
        <v>0.87871120000000003</v>
      </c>
      <c r="AR484" s="48">
        <f>AK484+AL484</f>
        <v>0.69231789999999993</v>
      </c>
      <c r="AS484" s="48">
        <f>AM484+AN484+AO484+AP484+AQ484</f>
        <v>99.307682099999994</v>
      </c>
    </row>
    <row r="485" spans="2:45" ht="15" hidden="1" customHeight="1" x14ac:dyDescent="0.25">
      <c r="B485" s="35">
        <v>479</v>
      </c>
      <c r="C485" s="36" t="s">
        <v>31</v>
      </c>
      <c r="D485" s="36" t="s">
        <v>172</v>
      </c>
      <c r="E485" s="36" t="s">
        <v>178</v>
      </c>
      <c r="F485" s="36" t="s">
        <v>180</v>
      </c>
      <c r="G485" s="37" t="s">
        <v>25</v>
      </c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40"/>
      <c r="AS485" s="40"/>
    </row>
    <row r="486" spans="2:45" ht="15" hidden="1" customHeight="1" x14ac:dyDescent="0.25">
      <c r="B486" s="35">
        <v>480</v>
      </c>
      <c r="C486" s="36" t="s">
        <v>31</v>
      </c>
      <c r="D486" s="36" t="s">
        <v>172</v>
      </c>
      <c r="E486" s="36" t="s">
        <v>178</v>
      </c>
      <c r="F486" s="36" t="s">
        <v>180</v>
      </c>
      <c r="G486" s="37" t="s">
        <v>26</v>
      </c>
      <c r="H486" s="38">
        <v>4920</v>
      </c>
      <c r="I486" s="38">
        <v>21</v>
      </c>
      <c r="J486" s="38">
        <v>13</v>
      </c>
      <c r="K486" s="38">
        <v>521</v>
      </c>
      <c r="L486" s="38">
        <v>612</v>
      </c>
      <c r="M486" s="38">
        <v>3334</v>
      </c>
      <c r="N486" s="38">
        <v>286</v>
      </c>
      <c r="O486" s="38">
        <v>133</v>
      </c>
      <c r="P486" s="38"/>
      <c r="Q486" s="38"/>
      <c r="R486" s="38">
        <v>7511</v>
      </c>
      <c r="S486" s="38">
        <v>35</v>
      </c>
      <c r="T486" s="38">
        <v>17</v>
      </c>
      <c r="U486" s="38">
        <v>184</v>
      </c>
      <c r="V486" s="38">
        <v>180</v>
      </c>
      <c r="W486" s="38">
        <v>6504</v>
      </c>
      <c r="X486" s="38">
        <v>525</v>
      </c>
      <c r="Y486" s="38">
        <v>66</v>
      </c>
      <c r="Z486" s="38"/>
      <c r="AA486" s="38"/>
      <c r="AB486" s="39">
        <v>0.42682930000000002</v>
      </c>
      <c r="AC486" s="39">
        <v>0.26422760000000001</v>
      </c>
      <c r="AD486" s="39">
        <v>10.5894309</v>
      </c>
      <c r="AE486" s="39">
        <v>12.439024399999999</v>
      </c>
      <c r="AF486" s="39">
        <v>67.764227599999998</v>
      </c>
      <c r="AG486" s="39">
        <v>5.8130081000000002</v>
      </c>
      <c r="AH486" s="39">
        <v>2.703252</v>
      </c>
      <c r="AI486" s="39"/>
      <c r="AJ486" s="39"/>
      <c r="AK486" s="39">
        <v>0.46598319999999999</v>
      </c>
      <c r="AL486" s="39">
        <v>0.2263347</v>
      </c>
      <c r="AM486" s="39">
        <v>2.4497404</v>
      </c>
      <c r="AN486" s="39">
        <v>2.3964851999999999</v>
      </c>
      <c r="AO486" s="39">
        <v>86.592996900000003</v>
      </c>
      <c r="AP486" s="39">
        <v>6.9897483999999999</v>
      </c>
      <c r="AQ486" s="39">
        <v>0.87871120000000003</v>
      </c>
      <c r="AR486" s="40"/>
      <c r="AS486" s="40"/>
    </row>
    <row r="487" spans="2:45" ht="15" hidden="1" customHeight="1" x14ac:dyDescent="0.25">
      <c r="B487" s="30">
        <v>481</v>
      </c>
      <c r="C487" s="31" t="s">
        <v>29</v>
      </c>
      <c r="D487" s="50" t="s">
        <v>172</v>
      </c>
      <c r="E487" s="50" t="s">
        <v>181</v>
      </c>
      <c r="F487" s="50"/>
      <c r="G487" s="31" t="s">
        <v>181</v>
      </c>
      <c r="H487" s="32">
        <v>12234</v>
      </c>
      <c r="I487" s="32">
        <v>262</v>
      </c>
      <c r="J487" s="32">
        <v>1184</v>
      </c>
      <c r="K487" s="32">
        <v>1929</v>
      </c>
      <c r="L487" s="32">
        <v>2384</v>
      </c>
      <c r="M487" s="32">
        <v>5548</v>
      </c>
      <c r="N487" s="32">
        <v>622</v>
      </c>
      <c r="O487" s="32">
        <v>305</v>
      </c>
      <c r="P487" s="32"/>
      <c r="Q487" s="32"/>
      <c r="R487" s="32">
        <v>20096</v>
      </c>
      <c r="S487" s="32">
        <v>1633</v>
      </c>
      <c r="T487" s="32">
        <v>4818</v>
      </c>
      <c r="U487" s="32">
        <v>654</v>
      </c>
      <c r="V487" s="32">
        <v>771</v>
      </c>
      <c r="W487" s="32">
        <v>10788</v>
      </c>
      <c r="X487" s="32">
        <v>996</v>
      </c>
      <c r="Y487" s="32">
        <v>436</v>
      </c>
      <c r="Z487" s="32"/>
      <c r="AA487" s="32"/>
      <c r="AB487" s="33">
        <v>2.1415727000000002</v>
      </c>
      <c r="AC487" s="33">
        <v>9.6779466999999997</v>
      </c>
      <c r="AD487" s="33">
        <v>15.7675331</v>
      </c>
      <c r="AE487" s="33">
        <v>19.486676500000002</v>
      </c>
      <c r="AF487" s="33">
        <v>45.349027300000003</v>
      </c>
      <c r="AG487" s="33">
        <v>5.0841915999999996</v>
      </c>
      <c r="AH487" s="33">
        <v>2.4930520999999999</v>
      </c>
      <c r="AI487" s="33"/>
      <c r="AJ487" s="33"/>
      <c r="AK487" s="33">
        <v>8.1259952000000002</v>
      </c>
      <c r="AL487" s="33">
        <v>23.974920399999998</v>
      </c>
      <c r="AM487" s="33">
        <v>3.2543790000000001</v>
      </c>
      <c r="AN487" s="33">
        <v>3.8365844</v>
      </c>
      <c r="AO487" s="33">
        <v>53.682324800000004</v>
      </c>
      <c r="AP487" s="33">
        <v>4.9562102000000001</v>
      </c>
      <c r="AQ487" s="33">
        <v>2.1695859999999998</v>
      </c>
      <c r="AR487" s="34"/>
      <c r="AS487" s="34"/>
    </row>
    <row r="488" spans="2:45" ht="15" hidden="1" customHeight="1" x14ac:dyDescent="0.25">
      <c r="B488" s="35">
        <v>482</v>
      </c>
      <c r="C488" s="36" t="s">
        <v>29</v>
      </c>
      <c r="D488" s="36" t="s">
        <v>172</v>
      </c>
      <c r="E488" s="36" t="s">
        <v>181</v>
      </c>
      <c r="F488" s="36"/>
      <c r="G488" s="37" t="s">
        <v>25</v>
      </c>
      <c r="H488" s="38">
        <v>2238</v>
      </c>
      <c r="I488" s="38">
        <v>114</v>
      </c>
      <c r="J488" s="38">
        <v>710</v>
      </c>
      <c r="K488" s="38">
        <v>63</v>
      </c>
      <c r="L488" s="38">
        <v>485</v>
      </c>
      <c r="M488" s="38">
        <v>778</v>
      </c>
      <c r="N488" s="38">
        <v>58</v>
      </c>
      <c r="O488" s="38">
        <v>30</v>
      </c>
      <c r="P488" s="38"/>
      <c r="Q488" s="38"/>
      <c r="R488" s="38">
        <v>8824</v>
      </c>
      <c r="S488" s="38">
        <v>1141</v>
      </c>
      <c r="T488" s="38">
        <v>3666</v>
      </c>
      <c r="U488" s="38">
        <v>44</v>
      </c>
      <c r="V488" s="38">
        <v>108</v>
      </c>
      <c r="W488" s="38">
        <v>3433</v>
      </c>
      <c r="X488" s="38">
        <v>252</v>
      </c>
      <c r="Y488" s="38">
        <v>180</v>
      </c>
      <c r="Z488" s="38"/>
      <c r="AA488" s="38"/>
      <c r="AB488" s="39">
        <v>5.0938337999999996</v>
      </c>
      <c r="AC488" s="39">
        <v>31.7247542</v>
      </c>
      <c r="AD488" s="39">
        <v>2.8150134000000002</v>
      </c>
      <c r="AE488" s="39">
        <v>21.671134899999998</v>
      </c>
      <c r="AF488" s="39">
        <v>34.763181400000001</v>
      </c>
      <c r="AG488" s="39">
        <v>2.5915995999999999</v>
      </c>
      <c r="AH488" s="39">
        <v>1.3404826000000001</v>
      </c>
      <c r="AI488" s="39"/>
      <c r="AJ488" s="39"/>
      <c r="AK488" s="39">
        <v>12.930643699999999</v>
      </c>
      <c r="AL488" s="39">
        <v>41.5457842</v>
      </c>
      <c r="AM488" s="39">
        <v>0.49864009999999998</v>
      </c>
      <c r="AN488" s="39">
        <v>1.2239347</v>
      </c>
      <c r="AO488" s="39">
        <v>38.905258400000001</v>
      </c>
      <c r="AP488" s="39">
        <v>2.8558477</v>
      </c>
      <c r="AQ488" s="39">
        <v>2.0398912</v>
      </c>
      <c r="AR488" s="40"/>
      <c r="AS488" s="40"/>
    </row>
    <row r="489" spans="2:45" ht="15" hidden="1" customHeight="1" x14ac:dyDescent="0.25">
      <c r="B489" s="35">
        <v>483</v>
      </c>
      <c r="C489" s="36" t="s">
        <v>29</v>
      </c>
      <c r="D489" s="36" t="s">
        <v>172</v>
      </c>
      <c r="E489" s="36" t="s">
        <v>181</v>
      </c>
      <c r="F489" s="36"/>
      <c r="G489" s="37" t="s">
        <v>26</v>
      </c>
      <c r="H489" s="38">
        <v>9996</v>
      </c>
      <c r="I489" s="38">
        <v>148</v>
      </c>
      <c r="J489" s="38">
        <v>474</v>
      </c>
      <c r="K489" s="38">
        <v>1866</v>
      </c>
      <c r="L489" s="38">
        <v>1899</v>
      </c>
      <c r="M489" s="38">
        <v>4770</v>
      </c>
      <c r="N489" s="38">
        <v>564</v>
      </c>
      <c r="O489" s="38">
        <v>275</v>
      </c>
      <c r="P489" s="38"/>
      <c r="Q489" s="38"/>
      <c r="R489" s="38">
        <v>11272</v>
      </c>
      <c r="S489" s="38">
        <v>492</v>
      </c>
      <c r="T489" s="38">
        <v>1152</v>
      </c>
      <c r="U489" s="38">
        <v>610</v>
      </c>
      <c r="V489" s="38">
        <v>663</v>
      </c>
      <c r="W489" s="38">
        <v>7355</v>
      </c>
      <c r="X489" s="38">
        <v>744</v>
      </c>
      <c r="Y489" s="38">
        <v>256</v>
      </c>
      <c r="Z489" s="38"/>
      <c r="AA489" s="38"/>
      <c r="AB489" s="39">
        <v>1.4805922</v>
      </c>
      <c r="AC489" s="39">
        <v>4.7418968000000001</v>
      </c>
      <c r="AD489" s="39">
        <v>18.667466999999998</v>
      </c>
      <c r="AE489" s="39">
        <v>18.997599000000001</v>
      </c>
      <c r="AF489" s="39">
        <v>47.719087600000002</v>
      </c>
      <c r="AG489" s="39">
        <v>5.6422568999999996</v>
      </c>
      <c r="AH489" s="39">
        <v>2.7511003999999999</v>
      </c>
      <c r="AI489" s="39"/>
      <c r="AJ489" s="39"/>
      <c r="AK489" s="39">
        <v>4.3647976999999996</v>
      </c>
      <c r="AL489" s="39">
        <v>10.2200142</v>
      </c>
      <c r="AM489" s="39">
        <v>5.4116394999999997</v>
      </c>
      <c r="AN489" s="39">
        <v>5.8818311000000003</v>
      </c>
      <c r="AO489" s="39">
        <v>65.250177399999998</v>
      </c>
      <c r="AP489" s="39">
        <v>6.6004258</v>
      </c>
      <c r="AQ489" s="39">
        <v>2.2711142999999998</v>
      </c>
      <c r="AR489" s="40"/>
      <c r="AS489" s="40"/>
    </row>
    <row r="490" spans="2:45" ht="15" customHeight="1" x14ac:dyDescent="0.25">
      <c r="B490" s="41">
        <v>484</v>
      </c>
      <c r="C490" s="42" t="s">
        <v>31</v>
      </c>
      <c r="D490" s="51" t="s">
        <v>172</v>
      </c>
      <c r="E490" s="51" t="s">
        <v>181</v>
      </c>
      <c r="F490" s="51" t="s">
        <v>182</v>
      </c>
      <c r="G490" s="52" t="s">
        <v>182</v>
      </c>
      <c r="H490" s="43">
        <v>2593</v>
      </c>
      <c r="I490" s="43">
        <v>71</v>
      </c>
      <c r="J490" s="43">
        <v>625</v>
      </c>
      <c r="K490" s="43">
        <v>352</v>
      </c>
      <c r="L490" s="43">
        <v>784</v>
      </c>
      <c r="M490" s="43">
        <v>630</v>
      </c>
      <c r="N490" s="43">
        <v>78</v>
      </c>
      <c r="O490" s="43">
        <v>53</v>
      </c>
      <c r="P490" s="44">
        <f>K490+L490+M490+N490+O490</f>
        <v>1897</v>
      </c>
      <c r="Q490" s="44">
        <f>I490+J490</f>
        <v>696</v>
      </c>
      <c r="R490" s="43">
        <v>4030</v>
      </c>
      <c r="S490" s="43">
        <v>240</v>
      </c>
      <c r="T490" s="43">
        <v>1351</v>
      </c>
      <c r="U490" s="43">
        <v>141</v>
      </c>
      <c r="V490" s="43">
        <v>206</v>
      </c>
      <c r="W490" s="43">
        <v>1906</v>
      </c>
      <c r="X490" s="43">
        <v>145</v>
      </c>
      <c r="Y490" s="43">
        <v>41</v>
      </c>
      <c r="Z490" s="45">
        <f>U490+V490+W490+X490+Y490</f>
        <v>2439</v>
      </c>
      <c r="AA490" s="45">
        <f>S490+T490</f>
        <v>1591</v>
      </c>
      <c r="AB490" s="46">
        <v>2.7381411</v>
      </c>
      <c r="AC490" s="46">
        <v>24.103355199999999</v>
      </c>
      <c r="AD490" s="46">
        <v>13.5750096</v>
      </c>
      <c r="AE490" s="46">
        <v>30.2352487</v>
      </c>
      <c r="AF490" s="46">
        <v>24.296182000000002</v>
      </c>
      <c r="AG490" s="46">
        <v>3.0080987000000001</v>
      </c>
      <c r="AH490" s="46">
        <v>2.0439645</v>
      </c>
      <c r="AI490" s="47">
        <f>AB490+AC490</f>
        <v>26.841496299999999</v>
      </c>
      <c r="AJ490" s="47">
        <f>AD490+AE490+AF490+AG490+AH490</f>
        <v>73.158503500000009</v>
      </c>
      <c r="AK490" s="46">
        <v>5.9553349999999998</v>
      </c>
      <c r="AL490" s="46">
        <v>33.523573200000001</v>
      </c>
      <c r="AM490" s="46">
        <v>3.4987593000000001</v>
      </c>
      <c r="AN490" s="46">
        <v>5.1116625000000004</v>
      </c>
      <c r="AO490" s="46">
        <v>47.295285399999997</v>
      </c>
      <c r="AP490" s="46">
        <v>3.5980148999999999</v>
      </c>
      <c r="AQ490" s="46">
        <v>1.0173696999999999</v>
      </c>
      <c r="AR490" s="48">
        <f>AK490+AL490</f>
        <v>39.478908199999999</v>
      </c>
      <c r="AS490" s="48">
        <f>AM490+AN490+AO490+AP490+AQ490</f>
        <v>60.521091800000001</v>
      </c>
    </row>
    <row r="491" spans="2:45" ht="15" hidden="1" customHeight="1" x14ac:dyDescent="0.25">
      <c r="B491" s="35">
        <v>485</v>
      </c>
      <c r="C491" s="36" t="s">
        <v>31</v>
      </c>
      <c r="D491" s="36" t="s">
        <v>172</v>
      </c>
      <c r="E491" s="36" t="s">
        <v>181</v>
      </c>
      <c r="F491" s="36" t="s">
        <v>182</v>
      </c>
      <c r="G491" s="37" t="s">
        <v>25</v>
      </c>
      <c r="H491" s="38">
        <v>1084</v>
      </c>
      <c r="I491" s="38">
        <v>68</v>
      </c>
      <c r="J491" s="38">
        <v>621</v>
      </c>
      <c r="K491" s="38">
        <v>19</v>
      </c>
      <c r="L491" s="38">
        <v>248</v>
      </c>
      <c r="M491" s="38">
        <v>102</v>
      </c>
      <c r="N491" s="38">
        <v>14</v>
      </c>
      <c r="O491" s="38">
        <v>12</v>
      </c>
      <c r="P491" s="38"/>
      <c r="Q491" s="38"/>
      <c r="R491" s="38">
        <v>1431</v>
      </c>
      <c r="S491" s="38">
        <v>176</v>
      </c>
      <c r="T491" s="38">
        <v>1125</v>
      </c>
      <c r="U491" s="38">
        <v>6</v>
      </c>
      <c r="V491" s="38">
        <v>11</v>
      </c>
      <c r="W491" s="38">
        <v>99</v>
      </c>
      <c r="X491" s="38">
        <v>8</v>
      </c>
      <c r="Y491" s="38">
        <v>6</v>
      </c>
      <c r="Z491" s="38"/>
      <c r="AA491" s="38"/>
      <c r="AB491" s="39">
        <v>6.2730626999999997</v>
      </c>
      <c r="AC491" s="39">
        <v>57.287822900000002</v>
      </c>
      <c r="AD491" s="39">
        <v>1.7527675</v>
      </c>
      <c r="AE491" s="39">
        <v>22.878228799999999</v>
      </c>
      <c r="AF491" s="39">
        <v>9.4095940999999996</v>
      </c>
      <c r="AG491" s="39">
        <v>1.2915129000000001</v>
      </c>
      <c r="AH491" s="39">
        <v>1.1070111</v>
      </c>
      <c r="AI491" s="39"/>
      <c r="AJ491" s="39"/>
      <c r="AK491" s="39">
        <v>12.299091499999999</v>
      </c>
      <c r="AL491" s="39">
        <v>78.616352199999994</v>
      </c>
      <c r="AM491" s="39">
        <v>0.41928720000000003</v>
      </c>
      <c r="AN491" s="39">
        <v>0.76869319999999997</v>
      </c>
      <c r="AO491" s="39">
        <v>6.9182389999999998</v>
      </c>
      <c r="AP491" s="39">
        <v>0.55904960000000004</v>
      </c>
      <c r="AQ491" s="39">
        <v>0.41928720000000003</v>
      </c>
      <c r="AR491" s="40"/>
      <c r="AS491" s="40"/>
    </row>
    <row r="492" spans="2:45" ht="15" hidden="1" customHeight="1" x14ac:dyDescent="0.25">
      <c r="B492" s="35">
        <v>486</v>
      </c>
      <c r="C492" s="36" t="s">
        <v>31</v>
      </c>
      <c r="D492" s="36" t="s">
        <v>172</v>
      </c>
      <c r="E492" s="36" t="s">
        <v>181</v>
      </c>
      <c r="F492" s="36" t="s">
        <v>182</v>
      </c>
      <c r="G492" s="37" t="s">
        <v>26</v>
      </c>
      <c r="H492" s="38">
        <v>1509</v>
      </c>
      <c r="I492" s="38">
        <v>3</v>
      </c>
      <c r="J492" s="38">
        <v>4</v>
      </c>
      <c r="K492" s="38">
        <v>333</v>
      </c>
      <c r="L492" s="38">
        <v>536</v>
      </c>
      <c r="M492" s="38">
        <v>528</v>
      </c>
      <c r="N492" s="38">
        <v>64</v>
      </c>
      <c r="O492" s="38">
        <v>41</v>
      </c>
      <c r="P492" s="38"/>
      <c r="Q492" s="38"/>
      <c r="R492" s="38">
        <v>2599</v>
      </c>
      <c r="S492" s="38">
        <v>64</v>
      </c>
      <c r="T492" s="38">
        <v>226</v>
      </c>
      <c r="U492" s="38">
        <v>135</v>
      </c>
      <c r="V492" s="38">
        <v>195</v>
      </c>
      <c r="W492" s="38">
        <v>1807</v>
      </c>
      <c r="X492" s="38">
        <v>137</v>
      </c>
      <c r="Y492" s="38">
        <v>35</v>
      </c>
      <c r="Z492" s="38"/>
      <c r="AA492" s="38"/>
      <c r="AB492" s="39">
        <v>0.19880719999999999</v>
      </c>
      <c r="AC492" s="39">
        <v>0.26507619999999998</v>
      </c>
      <c r="AD492" s="39">
        <v>22.067594400000001</v>
      </c>
      <c r="AE492" s="39">
        <v>35.520212100000002</v>
      </c>
      <c r="AF492" s="39">
        <v>34.990059600000002</v>
      </c>
      <c r="AG492" s="39">
        <v>4.2412194000000003</v>
      </c>
      <c r="AH492" s="39">
        <v>2.7170310999999998</v>
      </c>
      <c r="AI492" s="39"/>
      <c r="AJ492" s="39"/>
      <c r="AK492" s="39">
        <v>2.4624855999999999</v>
      </c>
      <c r="AL492" s="39">
        <v>8.6956521999999996</v>
      </c>
      <c r="AM492" s="39">
        <v>5.1943054999999996</v>
      </c>
      <c r="AN492" s="39">
        <v>7.5028857000000002</v>
      </c>
      <c r="AO492" s="39">
        <v>69.526741099999995</v>
      </c>
      <c r="AP492" s="39">
        <v>5.2712582000000001</v>
      </c>
      <c r="AQ492" s="39">
        <v>1.3466718</v>
      </c>
      <c r="AR492" s="40"/>
      <c r="AS492" s="40"/>
    </row>
    <row r="493" spans="2:45" ht="15" customHeight="1" x14ac:dyDescent="0.25">
      <c r="B493" s="41">
        <v>487</v>
      </c>
      <c r="C493" s="42" t="s">
        <v>31</v>
      </c>
      <c r="D493" s="51" t="s">
        <v>172</v>
      </c>
      <c r="E493" s="51" t="s">
        <v>181</v>
      </c>
      <c r="F493" s="51" t="s">
        <v>183</v>
      </c>
      <c r="G493" s="52" t="s">
        <v>183</v>
      </c>
      <c r="H493" s="43">
        <v>2636</v>
      </c>
      <c r="I493" s="43">
        <v>64</v>
      </c>
      <c r="J493" s="43">
        <v>315</v>
      </c>
      <c r="K493" s="43">
        <v>891</v>
      </c>
      <c r="L493" s="43">
        <v>554</v>
      </c>
      <c r="M493" s="43">
        <v>535</v>
      </c>
      <c r="N493" s="43">
        <v>178</v>
      </c>
      <c r="O493" s="43">
        <v>99</v>
      </c>
      <c r="P493" s="44">
        <f>K493+L493+M493+N493+O493</f>
        <v>2257</v>
      </c>
      <c r="Q493" s="44">
        <f>I493+J493</f>
        <v>379</v>
      </c>
      <c r="R493" s="43">
        <v>3362</v>
      </c>
      <c r="S493" s="43">
        <v>125</v>
      </c>
      <c r="T493" s="43">
        <v>474</v>
      </c>
      <c r="U493" s="43">
        <v>277</v>
      </c>
      <c r="V493" s="43">
        <v>292</v>
      </c>
      <c r="W493" s="43">
        <v>1853</v>
      </c>
      <c r="X493" s="43">
        <v>248</v>
      </c>
      <c r="Y493" s="43">
        <v>93</v>
      </c>
      <c r="Z493" s="45">
        <f>U493+V493+W493+X493+Y493</f>
        <v>2763</v>
      </c>
      <c r="AA493" s="45">
        <f>S493+T493</f>
        <v>599</v>
      </c>
      <c r="AB493" s="46">
        <v>2.4279210999999998</v>
      </c>
      <c r="AC493" s="46">
        <v>11.9499241</v>
      </c>
      <c r="AD493" s="46">
        <v>33.801214000000002</v>
      </c>
      <c r="AE493" s="46">
        <v>21.016691999999999</v>
      </c>
      <c r="AF493" s="46">
        <v>20.295902900000002</v>
      </c>
      <c r="AG493" s="46">
        <v>6.7526555000000004</v>
      </c>
      <c r="AH493" s="46">
        <v>3.7556904000000002</v>
      </c>
      <c r="AI493" s="47">
        <f>AB493+AC493</f>
        <v>14.377845199999999</v>
      </c>
      <c r="AJ493" s="47">
        <f>AD493+AE493+AF493+AG493+AH493</f>
        <v>85.622154800000018</v>
      </c>
      <c r="AK493" s="46">
        <v>3.7180249999999999</v>
      </c>
      <c r="AL493" s="46">
        <v>14.0987507</v>
      </c>
      <c r="AM493" s="46">
        <v>8.2391433999999997</v>
      </c>
      <c r="AN493" s="46">
        <v>8.6853064</v>
      </c>
      <c r="AO493" s="46">
        <v>55.116002399999999</v>
      </c>
      <c r="AP493" s="46">
        <v>7.3765615999999996</v>
      </c>
      <c r="AQ493" s="46">
        <v>2.7662106</v>
      </c>
      <c r="AR493" s="48">
        <f>AK493+AL493</f>
        <v>17.816775700000001</v>
      </c>
      <c r="AS493" s="48">
        <f>AM493+AN493+AO493+AP493+AQ493</f>
        <v>82.1832244</v>
      </c>
    </row>
    <row r="494" spans="2:45" ht="15" hidden="1" customHeight="1" x14ac:dyDescent="0.25">
      <c r="B494" s="35">
        <v>488</v>
      </c>
      <c r="C494" s="36" t="s">
        <v>31</v>
      </c>
      <c r="D494" s="36" t="s">
        <v>172</v>
      </c>
      <c r="E494" s="36" t="s">
        <v>181</v>
      </c>
      <c r="F494" s="36" t="s">
        <v>183</v>
      </c>
      <c r="G494" s="37" t="s">
        <v>25</v>
      </c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40"/>
      <c r="AS494" s="40"/>
    </row>
    <row r="495" spans="2:45" ht="15" hidden="1" customHeight="1" x14ac:dyDescent="0.25">
      <c r="B495" s="35">
        <v>489</v>
      </c>
      <c r="C495" s="36" t="s">
        <v>31</v>
      </c>
      <c r="D495" s="36" t="s">
        <v>172</v>
      </c>
      <c r="E495" s="36" t="s">
        <v>181</v>
      </c>
      <c r="F495" s="36" t="s">
        <v>183</v>
      </c>
      <c r="G495" s="37" t="s">
        <v>26</v>
      </c>
      <c r="H495" s="38">
        <v>2636</v>
      </c>
      <c r="I495" s="38">
        <v>64</v>
      </c>
      <c r="J495" s="38">
        <v>315</v>
      </c>
      <c r="K495" s="38">
        <v>891</v>
      </c>
      <c r="L495" s="38">
        <v>554</v>
      </c>
      <c r="M495" s="38">
        <v>535</v>
      </c>
      <c r="N495" s="38">
        <v>178</v>
      </c>
      <c r="O495" s="38">
        <v>99</v>
      </c>
      <c r="P495" s="38"/>
      <c r="Q495" s="38"/>
      <c r="R495" s="38">
        <v>3362</v>
      </c>
      <c r="S495" s="38">
        <v>125</v>
      </c>
      <c r="T495" s="38">
        <v>474</v>
      </c>
      <c r="U495" s="38">
        <v>277</v>
      </c>
      <c r="V495" s="38">
        <v>292</v>
      </c>
      <c r="W495" s="38">
        <v>1853</v>
      </c>
      <c r="X495" s="38">
        <v>248</v>
      </c>
      <c r="Y495" s="38">
        <v>93</v>
      </c>
      <c r="Z495" s="38"/>
      <c r="AA495" s="38"/>
      <c r="AB495" s="39">
        <v>2.4279210999999998</v>
      </c>
      <c r="AC495" s="39">
        <v>11.9499241</v>
      </c>
      <c r="AD495" s="39">
        <v>33.801214000000002</v>
      </c>
      <c r="AE495" s="39">
        <v>21.016691999999999</v>
      </c>
      <c r="AF495" s="39">
        <v>20.295902900000002</v>
      </c>
      <c r="AG495" s="39">
        <v>6.7526555000000004</v>
      </c>
      <c r="AH495" s="39">
        <v>3.7556904000000002</v>
      </c>
      <c r="AI495" s="39"/>
      <c r="AJ495" s="39"/>
      <c r="AK495" s="39">
        <v>3.7180249999999999</v>
      </c>
      <c r="AL495" s="39">
        <v>14.0987507</v>
      </c>
      <c r="AM495" s="39">
        <v>8.2391433999999997</v>
      </c>
      <c r="AN495" s="39">
        <v>8.6853064</v>
      </c>
      <c r="AO495" s="39">
        <v>55.116002399999999</v>
      </c>
      <c r="AP495" s="39">
        <v>7.3765615999999996</v>
      </c>
      <c r="AQ495" s="39">
        <v>2.7662106</v>
      </c>
      <c r="AR495" s="40"/>
      <c r="AS495" s="40"/>
    </row>
    <row r="496" spans="2:45" ht="15" customHeight="1" x14ac:dyDescent="0.25">
      <c r="B496" s="41">
        <v>490</v>
      </c>
      <c r="C496" s="42" t="s">
        <v>31</v>
      </c>
      <c r="D496" s="51" t="s">
        <v>172</v>
      </c>
      <c r="E496" s="51" t="s">
        <v>181</v>
      </c>
      <c r="F496" s="51" t="s">
        <v>184</v>
      </c>
      <c r="G496" s="52" t="s">
        <v>184</v>
      </c>
      <c r="H496" s="43">
        <v>5532</v>
      </c>
      <c r="I496" s="43">
        <v>123</v>
      </c>
      <c r="J496" s="43">
        <v>141</v>
      </c>
      <c r="K496" s="43">
        <v>222</v>
      </c>
      <c r="L496" s="43">
        <v>772</v>
      </c>
      <c r="M496" s="43">
        <v>3916</v>
      </c>
      <c r="N496" s="43">
        <v>273</v>
      </c>
      <c r="O496" s="43">
        <v>85</v>
      </c>
      <c r="P496" s="44">
        <f>K496+L496+M496+N496+O496</f>
        <v>5268</v>
      </c>
      <c r="Q496" s="44">
        <f>I496+J496</f>
        <v>264</v>
      </c>
      <c r="R496" s="43">
        <v>10848</v>
      </c>
      <c r="S496" s="43">
        <v>1213</v>
      </c>
      <c r="T496" s="43">
        <v>2859</v>
      </c>
      <c r="U496" s="43">
        <v>97</v>
      </c>
      <c r="V496" s="43">
        <v>147</v>
      </c>
      <c r="W496" s="43">
        <v>5819</v>
      </c>
      <c r="X496" s="43">
        <v>436</v>
      </c>
      <c r="Y496" s="43">
        <v>277</v>
      </c>
      <c r="Z496" s="45">
        <f>U496+V496+W496+X496+Y496</f>
        <v>6776</v>
      </c>
      <c r="AA496" s="45">
        <f>S496+T496</f>
        <v>4072</v>
      </c>
      <c r="AB496" s="46">
        <v>2.2234273</v>
      </c>
      <c r="AC496" s="46">
        <v>2.5488069000000002</v>
      </c>
      <c r="AD496" s="46">
        <v>4.0130151999999999</v>
      </c>
      <c r="AE496" s="46">
        <v>13.9551699</v>
      </c>
      <c r="AF496" s="46">
        <v>70.788141699999997</v>
      </c>
      <c r="AG496" s="46">
        <v>4.9349240999999999</v>
      </c>
      <c r="AH496" s="46">
        <v>1.5365148</v>
      </c>
      <c r="AI496" s="47">
        <f>AB496+AC496</f>
        <v>4.7722341999999998</v>
      </c>
      <c r="AJ496" s="47">
        <f>AD496+AE496+AF496+AG496+AH496</f>
        <v>95.227765700000006</v>
      </c>
      <c r="AK496" s="46">
        <v>11.1817847</v>
      </c>
      <c r="AL496" s="46">
        <v>26.355088500000001</v>
      </c>
      <c r="AM496" s="46">
        <v>0.89417400000000002</v>
      </c>
      <c r="AN496" s="46">
        <v>1.3550884999999999</v>
      </c>
      <c r="AO496" s="46">
        <v>53.641224200000003</v>
      </c>
      <c r="AP496" s="46">
        <v>4.0191739999999996</v>
      </c>
      <c r="AQ496" s="46">
        <v>2.5534661000000001</v>
      </c>
      <c r="AR496" s="48">
        <f>AK496+AL496</f>
        <v>37.536873200000002</v>
      </c>
      <c r="AS496" s="48">
        <f>AM496+AN496+AO496+AP496+AQ496</f>
        <v>62.463126800000005</v>
      </c>
    </row>
    <row r="497" spans="2:45" ht="15" hidden="1" customHeight="1" x14ac:dyDescent="0.25">
      <c r="B497" s="35">
        <v>491</v>
      </c>
      <c r="C497" s="36" t="s">
        <v>31</v>
      </c>
      <c r="D497" s="36" t="s">
        <v>172</v>
      </c>
      <c r="E497" s="36" t="s">
        <v>181</v>
      </c>
      <c r="F497" s="36" t="s">
        <v>184</v>
      </c>
      <c r="G497" s="37" t="s">
        <v>25</v>
      </c>
      <c r="H497" s="38">
        <v>1154</v>
      </c>
      <c r="I497" s="38">
        <v>46</v>
      </c>
      <c r="J497" s="38">
        <v>89</v>
      </c>
      <c r="K497" s="38">
        <v>44</v>
      </c>
      <c r="L497" s="38">
        <v>237</v>
      </c>
      <c r="M497" s="38">
        <v>676</v>
      </c>
      <c r="N497" s="38">
        <v>44</v>
      </c>
      <c r="O497" s="38">
        <v>18</v>
      </c>
      <c r="P497" s="38"/>
      <c r="Q497" s="38"/>
      <c r="R497" s="38">
        <v>7393</v>
      </c>
      <c r="S497" s="38">
        <v>965</v>
      </c>
      <c r="T497" s="38">
        <v>2541</v>
      </c>
      <c r="U497" s="38">
        <v>38</v>
      </c>
      <c r="V497" s="38">
        <v>97</v>
      </c>
      <c r="W497" s="38">
        <v>3334</v>
      </c>
      <c r="X497" s="38">
        <v>244</v>
      </c>
      <c r="Y497" s="38">
        <v>174</v>
      </c>
      <c r="Z497" s="38"/>
      <c r="AA497" s="38"/>
      <c r="AB497" s="39">
        <v>3.9861352000000001</v>
      </c>
      <c r="AC497" s="39">
        <v>7.7123049999999997</v>
      </c>
      <c r="AD497" s="39">
        <v>3.8128250000000001</v>
      </c>
      <c r="AE497" s="39">
        <v>20.537261699999998</v>
      </c>
      <c r="AF497" s="39">
        <v>58.578856199999997</v>
      </c>
      <c r="AG497" s="39">
        <v>3.8128250000000001</v>
      </c>
      <c r="AH497" s="39">
        <v>1.5597920000000001</v>
      </c>
      <c r="AI497" s="39"/>
      <c r="AJ497" s="39"/>
      <c r="AK497" s="39">
        <v>13.0528879</v>
      </c>
      <c r="AL497" s="39">
        <v>34.370350299999998</v>
      </c>
      <c r="AM497" s="39">
        <v>0.51399969999999995</v>
      </c>
      <c r="AN497" s="39">
        <v>1.3120518999999999</v>
      </c>
      <c r="AO497" s="39">
        <v>45.096713100000002</v>
      </c>
      <c r="AP497" s="39">
        <v>3.3004193000000002</v>
      </c>
      <c r="AQ497" s="39">
        <v>2.3535777000000002</v>
      </c>
      <c r="AR497" s="40"/>
      <c r="AS497" s="40"/>
    </row>
    <row r="498" spans="2:45" ht="15" hidden="1" customHeight="1" x14ac:dyDescent="0.25">
      <c r="B498" s="35">
        <v>492</v>
      </c>
      <c r="C498" s="36" t="s">
        <v>31</v>
      </c>
      <c r="D498" s="36" t="s">
        <v>172</v>
      </c>
      <c r="E498" s="36" t="s">
        <v>181</v>
      </c>
      <c r="F498" s="36" t="s">
        <v>184</v>
      </c>
      <c r="G498" s="37" t="s">
        <v>26</v>
      </c>
      <c r="H498" s="38">
        <v>4378</v>
      </c>
      <c r="I498" s="38">
        <v>77</v>
      </c>
      <c r="J498" s="38">
        <v>52</v>
      </c>
      <c r="K498" s="38">
        <v>178</v>
      </c>
      <c r="L498" s="38">
        <v>535</v>
      </c>
      <c r="M498" s="38">
        <v>3240</v>
      </c>
      <c r="N498" s="38">
        <v>229</v>
      </c>
      <c r="O498" s="38">
        <v>67</v>
      </c>
      <c r="P498" s="38"/>
      <c r="Q498" s="38"/>
      <c r="R498" s="38">
        <v>3455</v>
      </c>
      <c r="S498" s="38">
        <v>248</v>
      </c>
      <c r="T498" s="38">
        <v>318</v>
      </c>
      <c r="U498" s="38">
        <v>59</v>
      </c>
      <c r="V498" s="38">
        <v>50</v>
      </c>
      <c r="W498" s="38">
        <v>2485</v>
      </c>
      <c r="X498" s="38">
        <v>192</v>
      </c>
      <c r="Y498" s="38">
        <v>103</v>
      </c>
      <c r="Z498" s="38"/>
      <c r="AA498" s="38"/>
      <c r="AB498" s="39">
        <v>1.758794</v>
      </c>
      <c r="AC498" s="39">
        <v>1.187757</v>
      </c>
      <c r="AD498" s="39">
        <v>4.0657835000000002</v>
      </c>
      <c r="AE498" s="39">
        <v>12.2201919</v>
      </c>
      <c r="AF498" s="39">
        <v>74.006395600000005</v>
      </c>
      <c r="AG498" s="39">
        <v>5.2306989000000002</v>
      </c>
      <c r="AH498" s="39">
        <v>1.5303792000000001</v>
      </c>
      <c r="AI498" s="39"/>
      <c r="AJ498" s="39"/>
      <c r="AK498" s="39">
        <v>7.1780029000000001</v>
      </c>
      <c r="AL498" s="39">
        <v>9.2040521000000002</v>
      </c>
      <c r="AM498" s="39">
        <v>1.70767</v>
      </c>
      <c r="AN498" s="39">
        <v>1.4471780000000001</v>
      </c>
      <c r="AO498" s="39">
        <v>71.9247467</v>
      </c>
      <c r="AP498" s="39">
        <v>5.5571634999999997</v>
      </c>
      <c r="AQ498" s="39">
        <v>2.9811866999999999</v>
      </c>
      <c r="AR498" s="40"/>
      <c r="AS498" s="40"/>
    </row>
    <row r="499" spans="2:45" ht="15" customHeight="1" x14ac:dyDescent="0.25">
      <c r="B499" s="41">
        <v>493</v>
      </c>
      <c r="C499" s="42" t="s">
        <v>31</v>
      </c>
      <c r="D499" s="51" t="s">
        <v>172</v>
      </c>
      <c r="E499" s="51" t="s">
        <v>181</v>
      </c>
      <c r="F499" s="51" t="s">
        <v>185</v>
      </c>
      <c r="G499" s="52" t="s">
        <v>185</v>
      </c>
      <c r="H499" s="43">
        <v>1473</v>
      </c>
      <c r="I499" s="43">
        <v>4</v>
      </c>
      <c r="J499" s="43">
        <v>103</v>
      </c>
      <c r="K499" s="43">
        <v>464</v>
      </c>
      <c r="L499" s="43">
        <v>274</v>
      </c>
      <c r="M499" s="43">
        <v>467</v>
      </c>
      <c r="N499" s="43">
        <v>93</v>
      </c>
      <c r="O499" s="43">
        <v>68</v>
      </c>
      <c r="P499" s="44">
        <f>K499+L499+M499+N499+O499</f>
        <v>1366</v>
      </c>
      <c r="Q499" s="44">
        <f>I499+J499</f>
        <v>107</v>
      </c>
      <c r="R499" s="43">
        <v>1856</v>
      </c>
      <c r="S499" s="43">
        <v>55</v>
      </c>
      <c r="T499" s="43">
        <v>134</v>
      </c>
      <c r="U499" s="43">
        <v>139</v>
      </c>
      <c r="V499" s="43">
        <v>126</v>
      </c>
      <c r="W499" s="43">
        <v>1210</v>
      </c>
      <c r="X499" s="43">
        <v>167</v>
      </c>
      <c r="Y499" s="43">
        <v>25</v>
      </c>
      <c r="Z499" s="45">
        <f>U499+V499+W499+X499+Y499</f>
        <v>1667</v>
      </c>
      <c r="AA499" s="45">
        <f>S499+T499</f>
        <v>189</v>
      </c>
      <c r="AB499" s="46">
        <v>0.27155469999999998</v>
      </c>
      <c r="AC499" s="46">
        <v>6.9925322000000003</v>
      </c>
      <c r="AD499" s="46">
        <v>31.500339400000001</v>
      </c>
      <c r="AE499" s="46">
        <v>18.601493600000001</v>
      </c>
      <c r="AF499" s="46">
        <v>31.7040054</v>
      </c>
      <c r="AG499" s="46">
        <v>6.3136456000000001</v>
      </c>
      <c r="AH499" s="46">
        <v>4.6164291000000004</v>
      </c>
      <c r="AI499" s="47">
        <f>AB499+AC499</f>
        <v>7.2640869000000006</v>
      </c>
      <c r="AJ499" s="47">
        <f>AD499+AE499+AF499+AG499+AH499</f>
        <v>92.735913100000005</v>
      </c>
      <c r="AK499" s="46">
        <v>2.9633620999999999</v>
      </c>
      <c r="AL499" s="46">
        <v>7.2198276000000003</v>
      </c>
      <c r="AM499" s="46">
        <v>7.4892241000000004</v>
      </c>
      <c r="AN499" s="46">
        <v>6.7887931000000004</v>
      </c>
      <c r="AO499" s="46">
        <v>65.193965500000004</v>
      </c>
      <c r="AP499" s="46">
        <v>8.9978447999999993</v>
      </c>
      <c r="AQ499" s="46">
        <v>1.3469827999999999</v>
      </c>
      <c r="AR499" s="48">
        <f>AK499+AL499</f>
        <v>10.1831897</v>
      </c>
      <c r="AS499" s="48">
        <f>AM499+AN499+AO499+AP499+AQ499</f>
        <v>89.816810300000014</v>
      </c>
    </row>
    <row r="500" spans="2:45" ht="15" hidden="1" customHeight="1" x14ac:dyDescent="0.25">
      <c r="B500" s="35">
        <v>494</v>
      </c>
      <c r="C500" s="36" t="s">
        <v>31</v>
      </c>
      <c r="D500" s="36" t="s">
        <v>172</v>
      </c>
      <c r="E500" s="36" t="s">
        <v>181</v>
      </c>
      <c r="F500" s="36" t="s">
        <v>185</v>
      </c>
      <c r="G500" s="37" t="s">
        <v>25</v>
      </c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40"/>
      <c r="AS500" s="40"/>
    </row>
    <row r="501" spans="2:45" ht="15" hidden="1" customHeight="1" x14ac:dyDescent="0.25">
      <c r="B501" s="35">
        <v>495</v>
      </c>
      <c r="C501" s="36" t="s">
        <v>31</v>
      </c>
      <c r="D501" s="36" t="s">
        <v>172</v>
      </c>
      <c r="E501" s="36" t="s">
        <v>181</v>
      </c>
      <c r="F501" s="36" t="s">
        <v>185</v>
      </c>
      <c r="G501" s="37" t="s">
        <v>26</v>
      </c>
      <c r="H501" s="38">
        <v>1473</v>
      </c>
      <c r="I501" s="38">
        <v>4</v>
      </c>
      <c r="J501" s="38">
        <v>103</v>
      </c>
      <c r="K501" s="38">
        <v>464</v>
      </c>
      <c r="L501" s="38">
        <v>274</v>
      </c>
      <c r="M501" s="38">
        <v>467</v>
      </c>
      <c r="N501" s="38">
        <v>93</v>
      </c>
      <c r="O501" s="38">
        <v>68</v>
      </c>
      <c r="P501" s="38"/>
      <c r="Q501" s="38"/>
      <c r="R501" s="38">
        <v>1856</v>
      </c>
      <c r="S501" s="38">
        <v>55</v>
      </c>
      <c r="T501" s="38">
        <v>134</v>
      </c>
      <c r="U501" s="38">
        <v>139</v>
      </c>
      <c r="V501" s="38">
        <v>126</v>
      </c>
      <c r="W501" s="38">
        <v>1210</v>
      </c>
      <c r="X501" s="38">
        <v>167</v>
      </c>
      <c r="Y501" s="38">
        <v>25</v>
      </c>
      <c r="Z501" s="38"/>
      <c r="AA501" s="38"/>
      <c r="AB501" s="39">
        <v>0.27155469999999998</v>
      </c>
      <c r="AC501" s="39">
        <v>6.9925322000000003</v>
      </c>
      <c r="AD501" s="39">
        <v>31.500339400000001</v>
      </c>
      <c r="AE501" s="39">
        <v>18.601493600000001</v>
      </c>
      <c r="AF501" s="39">
        <v>31.7040054</v>
      </c>
      <c r="AG501" s="39">
        <v>6.3136456000000001</v>
      </c>
      <c r="AH501" s="39">
        <v>4.6164291000000004</v>
      </c>
      <c r="AI501" s="39"/>
      <c r="AJ501" s="39"/>
      <c r="AK501" s="39">
        <v>2.9633620999999999</v>
      </c>
      <c r="AL501" s="39">
        <v>7.2198276000000003</v>
      </c>
      <c r="AM501" s="39">
        <v>7.4892241000000004</v>
      </c>
      <c r="AN501" s="39">
        <v>6.7887931000000004</v>
      </c>
      <c r="AO501" s="39">
        <v>65.193965500000004</v>
      </c>
      <c r="AP501" s="39">
        <v>8.9978447999999993</v>
      </c>
      <c r="AQ501" s="39">
        <v>1.3469827999999999</v>
      </c>
      <c r="AR501" s="40"/>
      <c r="AS501" s="40"/>
    </row>
    <row r="502" spans="2:45" ht="15" hidden="1" customHeight="1" x14ac:dyDescent="0.25">
      <c r="B502" s="30">
        <v>496</v>
      </c>
      <c r="C502" s="31" t="s">
        <v>29</v>
      </c>
      <c r="D502" s="50" t="s">
        <v>172</v>
      </c>
      <c r="E502" s="50" t="s">
        <v>186</v>
      </c>
      <c r="F502" s="50"/>
      <c r="G502" s="31" t="s">
        <v>186</v>
      </c>
      <c r="H502" s="32">
        <v>6346</v>
      </c>
      <c r="I502" s="32">
        <v>88</v>
      </c>
      <c r="J502" s="32">
        <v>730</v>
      </c>
      <c r="K502" s="32">
        <v>1169</v>
      </c>
      <c r="L502" s="32">
        <v>1277</v>
      </c>
      <c r="M502" s="32">
        <v>2715</v>
      </c>
      <c r="N502" s="32">
        <v>275</v>
      </c>
      <c r="O502" s="32">
        <v>92</v>
      </c>
      <c r="P502" s="32"/>
      <c r="Q502" s="32"/>
      <c r="R502" s="32">
        <v>7847</v>
      </c>
      <c r="S502" s="32">
        <v>419</v>
      </c>
      <c r="T502" s="32">
        <v>2230</v>
      </c>
      <c r="U502" s="32">
        <v>348</v>
      </c>
      <c r="V502" s="32">
        <v>258</v>
      </c>
      <c r="W502" s="32">
        <v>4284</v>
      </c>
      <c r="X502" s="32">
        <v>223</v>
      </c>
      <c r="Y502" s="32">
        <v>85</v>
      </c>
      <c r="Z502" s="32"/>
      <c r="AA502" s="32"/>
      <c r="AB502" s="33">
        <v>1.3867003</v>
      </c>
      <c r="AC502" s="33">
        <v>11.5033092</v>
      </c>
      <c r="AD502" s="33">
        <v>18.421052599999999</v>
      </c>
      <c r="AE502" s="33">
        <v>20.122912100000001</v>
      </c>
      <c r="AF502" s="33">
        <v>42.782855300000001</v>
      </c>
      <c r="AG502" s="33">
        <v>4.3334384000000004</v>
      </c>
      <c r="AH502" s="33">
        <v>1.4497321000000001</v>
      </c>
      <c r="AI502" s="33"/>
      <c r="AJ502" s="33"/>
      <c r="AK502" s="33">
        <v>5.3396201999999997</v>
      </c>
      <c r="AL502" s="33">
        <v>28.418503900000001</v>
      </c>
      <c r="AM502" s="33">
        <v>4.4348159000000003</v>
      </c>
      <c r="AN502" s="33">
        <v>3.2878807000000001</v>
      </c>
      <c r="AO502" s="33">
        <v>54.5941124</v>
      </c>
      <c r="AP502" s="33">
        <v>2.8418504000000002</v>
      </c>
      <c r="AQ502" s="33">
        <v>1.0832165</v>
      </c>
      <c r="AR502" s="34"/>
      <c r="AS502" s="34"/>
    </row>
    <row r="503" spans="2:45" ht="15" hidden="1" customHeight="1" x14ac:dyDescent="0.25">
      <c r="B503" s="35">
        <v>497</v>
      </c>
      <c r="C503" s="36" t="s">
        <v>29</v>
      </c>
      <c r="D503" s="36" t="s">
        <v>172</v>
      </c>
      <c r="E503" s="36" t="s">
        <v>186</v>
      </c>
      <c r="F503" s="36"/>
      <c r="G503" s="37" t="s">
        <v>25</v>
      </c>
      <c r="H503" s="38">
        <v>1047</v>
      </c>
      <c r="I503" s="38">
        <v>81</v>
      </c>
      <c r="J503" s="38">
        <v>673</v>
      </c>
      <c r="K503" s="38">
        <v>20</v>
      </c>
      <c r="L503" s="38">
        <v>179</v>
      </c>
      <c r="M503" s="38">
        <v>85</v>
      </c>
      <c r="N503" s="38">
        <v>5</v>
      </c>
      <c r="O503" s="38">
        <v>4</v>
      </c>
      <c r="P503" s="38"/>
      <c r="Q503" s="38"/>
      <c r="R503" s="38">
        <v>1373</v>
      </c>
      <c r="S503" s="38">
        <v>194</v>
      </c>
      <c r="T503" s="38">
        <v>1074</v>
      </c>
      <c r="U503" s="38">
        <v>14</v>
      </c>
      <c r="V503" s="38">
        <v>11</v>
      </c>
      <c r="W503" s="38">
        <v>73</v>
      </c>
      <c r="X503" s="38">
        <v>4</v>
      </c>
      <c r="Y503" s="38">
        <v>3</v>
      </c>
      <c r="Z503" s="38"/>
      <c r="AA503" s="38"/>
      <c r="AB503" s="39">
        <v>7.7363897000000001</v>
      </c>
      <c r="AC503" s="39">
        <v>64.278892099999993</v>
      </c>
      <c r="AD503" s="39">
        <v>1.9102197000000001</v>
      </c>
      <c r="AE503" s="39">
        <v>17.096466100000001</v>
      </c>
      <c r="AF503" s="39">
        <v>8.1184335999999995</v>
      </c>
      <c r="AG503" s="39">
        <v>0.4775549</v>
      </c>
      <c r="AH503" s="39">
        <v>0.38204389999999999</v>
      </c>
      <c r="AI503" s="39"/>
      <c r="AJ503" s="39"/>
      <c r="AK503" s="39">
        <v>14.129643099999999</v>
      </c>
      <c r="AL503" s="39">
        <v>78.222869599999996</v>
      </c>
      <c r="AM503" s="39">
        <v>1.019665</v>
      </c>
      <c r="AN503" s="39">
        <v>0.80116529999999997</v>
      </c>
      <c r="AO503" s="39">
        <v>5.3168245000000001</v>
      </c>
      <c r="AP503" s="39">
        <v>0.2913328</v>
      </c>
      <c r="AQ503" s="39">
        <v>0.21849959999999999</v>
      </c>
      <c r="AR503" s="40"/>
      <c r="AS503" s="40"/>
    </row>
    <row r="504" spans="2:45" ht="15" hidden="1" customHeight="1" x14ac:dyDescent="0.25">
      <c r="B504" s="35">
        <v>498</v>
      </c>
      <c r="C504" s="36" t="s">
        <v>29</v>
      </c>
      <c r="D504" s="36" t="s">
        <v>172</v>
      </c>
      <c r="E504" s="36" t="s">
        <v>186</v>
      </c>
      <c r="F504" s="36"/>
      <c r="G504" s="37" t="s">
        <v>26</v>
      </c>
      <c r="H504" s="38">
        <v>5299</v>
      </c>
      <c r="I504" s="38">
        <v>7</v>
      </c>
      <c r="J504" s="38">
        <v>57</v>
      </c>
      <c r="K504" s="38">
        <v>1149</v>
      </c>
      <c r="L504" s="38">
        <v>1098</v>
      </c>
      <c r="M504" s="38">
        <v>2630</v>
      </c>
      <c r="N504" s="38">
        <v>270</v>
      </c>
      <c r="O504" s="38">
        <v>88</v>
      </c>
      <c r="P504" s="38"/>
      <c r="Q504" s="38"/>
      <c r="R504" s="38">
        <v>6474</v>
      </c>
      <c r="S504" s="38">
        <v>225</v>
      </c>
      <c r="T504" s="38">
        <v>1156</v>
      </c>
      <c r="U504" s="38">
        <v>334</v>
      </c>
      <c r="V504" s="38">
        <v>247</v>
      </c>
      <c r="W504" s="38">
        <v>4211</v>
      </c>
      <c r="X504" s="38">
        <v>219</v>
      </c>
      <c r="Y504" s="38">
        <v>82</v>
      </c>
      <c r="Z504" s="38"/>
      <c r="AA504" s="38"/>
      <c r="AB504" s="39">
        <v>0.13210040000000001</v>
      </c>
      <c r="AC504" s="39">
        <v>1.0756747</v>
      </c>
      <c r="AD504" s="39">
        <v>21.683336499999999</v>
      </c>
      <c r="AE504" s="39">
        <v>20.720890700000002</v>
      </c>
      <c r="AF504" s="39">
        <v>49.632005999999997</v>
      </c>
      <c r="AG504" s="39">
        <v>5.0953010000000001</v>
      </c>
      <c r="AH504" s="39">
        <v>1.6606907</v>
      </c>
      <c r="AI504" s="39"/>
      <c r="AJ504" s="39"/>
      <c r="AK504" s="39">
        <v>3.4754402</v>
      </c>
      <c r="AL504" s="39">
        <v>17.856039500000001</v>
      </c>
      <c r="AM504" s="39">
        <v>5.1590978999999999</v>
      </c>
      <c r="AN504" s="39">
        <v>3.815261</v>
      </c>
      <c r="AO504" s="39">
        <v>65.044794600000003</v>
      </c>
      <c r="AP504" s="39">
        <v>3.3827617999999999</v>
      </c>
      <c r="AQ504" s="39">
        <v>1.2666048999999999</v>
      </c>
      <c r="AR504" s="40"/>
      <c r="AS504" s="40"/>
    </row>
    <row r="505" spans="2:45" ht="15" customHeight="1" x14ac:dyDescent="0.25">
      <c r="B505" s="41">
        <v>499</v>
      </c>
      <c r="C505" s="42" t="s">
        <v>31</v>
      </c>
      <c r="D505" s="51" t="s">
        <v>172</v>
      </c>
      <c r="E505" s="51" t="s">
        <v>186</v>
      </c>
      <c r="F505" s="51" t="s">
        <v>186</v>
      </c>
      <c r="G505" s="52" t="s">
        <v>186</v>
      </c>
      <c r="H505" s="43">
        <v>3144</v>
      </c>
      <c r="I505" s="43">
        <v>86</v>
      </c>
      <c r="J505" s="43">
        <v>726</v>
      </c>
      <c r="K505" s="43">
        <v>621</v>
      </c>
      <c r="L505" s="43">
        <v>624</v>
      </c>
      <c r="M505" s="43">
        <v>880</v>
      </c>
      <c r="N505" s="43">
        <v>148</v>
      </c>
      <c r="O505" s="43">
        <v>59</v>
      </c>
      <c r="P505" s="44">
        <f>K505+L505+M505+N505+O505</f>
        <v>2332</v>
      </c>
      <c r="Q505" s="44">
        <f>I505+J505</f>
        <v>812</v>
      </c>
      <c r="R505" s="43">
        <v>4241</v>
      </c>
      <c r="S505" s="43">
        <v>380</v>
      </c>
      <c r="T505" s="43">
        <v>2026</v>
      </c>
      <c r="U505" s="43">
        <v>159</v>
      </c>
      <c r="V505" s="43">
        <v>117</v>
      </c>
      <c r="W505" s="43">
        <v>1426</v>
      </c>
      <c r="X505" s="43">
        <v>84</v>
      </c>
      <c r="Y505" s="43">
        <v>49</v>
      </c>
      <c r="Z505" s="45">
        <f>U505+V505+W505+X505+Y505</f>
        <v>1835</v>
      </c>
      <c r="AA505" s="45">
        <f>S505+T505</f>
        <v>2406</v>
      </c>
      <c r="AB505" s="46">
        <v>2.7353689999999999</v>
      </c>
      <c r="AC505" s="46">
        <v>23.0916031</v>
      </c>
      <c r="AD505" s="46">
        <v>19.751908400000001</v>
      </c>
      <c r="AE505" s="46">
        <v>19.8473282</v>
      </c>
      <c r="AF505" s="46">
        <v>27.989821899999999</v>
      </c>
      <c r="AG505" s="46">
        <v>4.7073790999999998</v>
      </c>
      <c r="AH505" s="46">
        <v>1.8765902999999999</v>
      </c>
      <c r="AI505" s="47">
        <f>AB505+AC505</f>
        <v>25.826972099999999</v>
      </c>
      <c r="AJ505" s="47">
        <f>AD505+AE505+AF505+AG505+AH505</f>
        <v>74.173027899999994</v>
      </c>
      <c r="AK505" s="46">
        <v>8.9601509000000004</v>
      </c>
      <c r="AL505" s="46">
        <v>47.771751899999998</v>
      </c>
      <c r="AM505" s="46">
        <v>3.7491158000000002</v>
      </c>
      <c r="AN505" s="46">
        <v>2.7587833000000002</v>
      </c>
      <c r="AO505" s="46">
        <v>33.624145200000001</v>
      </c>
      <c r="AP505" s="46">
        <v>1.9806649000000001</v>
      </c>
      <c r="AQ505" s="46">
        <v>1.1553879</v>
      </c>
      <c r="AR505" s="48">
        <f>AK505+AL505</f>
        <v>56.7319028</v>
      </c>
      <c r="AS505" s="48">
        <f>AM505+AN505+AO505+AP505+AQ505</f>
        <v>43.268097100000006</v>
      </c>
    </row>
    <row r="506" spans="2:45" ht="15" hidden="1" customHeight="1" x14ac:dyDescent="0.25">
      <c r="B506" s="35">
        <v>500</v>
      </c>
      <c r="C506" s="36" t="s">
        <v>31</v>
      </c>
      <c r="D506" s="36" t="s">
        <v>172</v>
      </c>
      <c r="E506" s="36" t="s">
        <v>186</v>
      </c>
      <c r="F506" s="36" t="s">
        <v>186</v>
      </c>
      <c r="G506" s="37" t="s">
        <v>25</v>
      </c>
      <c r="H506" s="38">
        <v>1047</v>
      </c>
      <c r="I506" s="38">
        <v>81</v>
      </c>
      <c r="J506" s="38">
        <v>673</v>
      </c>
      <c r="K506" s="38">
        <v>20</v>
      </c>
      <c r="L506" s="38">
        <v>179</v>
      </c>
      <c r="M506" s="38">
        <v>85</v>
      </c>
      <c r="N506" s="38">
        <v>5</v>
      </c>
      <c r="O506" s="38">
        <v>4</v>
      </c>
      <c r="P506" s="38"/>
      <c r="Q506" s="38"/>
      <c r="R506" s="38">
        <v>1373</v>
      </c>
      <c r="S506" s="38">
        <v>194</v>
      </c>
      <c r="T506" s="38">
        <v>1074</v>
      </c>
      <c r="U506" s="38">
        <v>14</v>
      </c>
      <c r="V506" s="38">
        <v>11</v>
      </c>
      <c r="W506" s="38">
        <v>73</v>
      </c>
      <c r="X506" s="38">
        <v>4</v>
      </c>
      <c r="Y506" s="38">
        <v>3</v>
      </c>
      <c r="Z506" s="38"/>
      <c r="AA506" s="38"/>
      <c r="AB506" s="39">
        <v>7.7363897000000001</v>
      </c>
      <c r="AC506" s="39">
        <v>64.278892099999993</v>
      </c>
      <c r="AD506" s="39">
        <v>1.9102197000000001</v>
      </c>
      <c r="AE506" s="39">
        <v>17.096466100000001</v>
      </c>
      <c r="AF506" s="39">
        <v>8.1184335999999995</v>
      </c>
      <c r="AG506" s="39">
        <v>0.4775549</v>
      </c>
      <c r="AH506" s="39">
        <v>0.38204389999999999</v>
      </c>
      <c r="AI506" s="39"/>
      <c r="AJ506" s="39"/>
      <c r="AK506" s="39">
        <v>14.129643099999999</v>
      </c>
      <c r="AL506" s="39">
        <v>78.222869599999996</v>
      </c>
      <c r="AM506" s="39">
        <v>1.019665</v>
      </c>
      <c r="AN506" s="39">
        <v>0.80116529999999997</v>
      </c>
      <c r="AO506" s="39">
        <v>5.3168245000000001</v>
      </c>
      <c r="AP506" s="39">
        <v>0.2913328</v>
      </c>
      <c r="AQ506" s="39">
        <v>0.21849959999999999</v>
      </c>
      <c r="AR506" s="40"/>
      <c r="AS506" s="40"/>
    </row>
    <row r="507" spans="2:45" ht="15" hidden="1" customHeight="1" x14ac:dyDescent="0.25">
      <c r="B507" s="35">
        <v>501</v>
      </c>
      <c r="C507" s="36" t="s">
        <v>31</v>
      </c>
      <c r="D507" s="36" t="s">
        <v>172</v>
      </c>
      <c r="E507" s="36" t="s">
        <v>186</v>
      </c>
      <c r="F507" s="36" t="s">
        <v>186</v>
      </c>
      <c r="G507" s="37" t="s">
        <v>26</v>
      </c>
      <c r="H507" s="38">
        <v>2097</v>
      </c>
      <c r="I507" s="38">
        <v>5</v>
      </c>
      <c r="J507" s="38">
        <v>53</v>
      </c>
      <c r="K507" s="38">
        <v>601</v>
      </c>
      <c r="L507" s="38">
        <v>445</v>
      </c>
      <c r="M507" s="38">
        <v>795</v>
      </c>
      <c r="N507" s="38">
        <v>143</v>
      </c>
      <c r="O507" s="38">
        <v>55</v>
      </c>
      <c r="P507" s="38"/>
      <c r="Q507" s="38"/>
      <c r="R507" s="38">
        <v>2868</v>
      </c>
      <c r="S507" s="38">
        <v>186</v>
      </c>
      <c r="T507" s="38">
        <v>952</v>
      </c>
      <c r="U507" s="38">
        <v>145</v>
      </c>
      <c r="V507" s="38">
        <v>106</v>
      </c>
      <c r="W507" s="38">
        <v>1353</v>
      </c>
      <c r="X507" s="38">
        <v>80</v>
      </c>
      <c r="Y507" s="38">
        <v>46</v>
      </c>
      <c r="Z507" s="38"/>
      <c r="AA507" s="38"/>
      <c r="AB507" s="39">
        <v>0.23843590000000001</v>
      </c>
      <c r="AC507" s="39">
        <v>2.5274201000000001</v>
      </c>
      <c r="AD507" s="39">
        <v>28.659990499999999</v>
      </c>
      <c r="AE507" s="39">
        <v>21.220791599999998</v>
      </c>
      <c r="AF507" s="39">
        <v>37.911301899999998</v>
      </c>
      <c r="AG507" s="39">
        <v>6.8192655999999996</v>
      </c>
      <c r="AH507" s="39">
        <v>2.6227944999999999</v>
      </c>
      <c r="AI507" s="39"/>
      <c r="AJ507" s="39"/>
      <c r="AK507" s="39">
        <v>6.4853556000000001</v>
      </c>
      <c r="AL507" s="39">
        <v>33.193863299999997</v>
      </c>
      <c r="AM507" s="39">
        <v>5.0557879999999997</v>
      </c>
      <c r="AN507" s="39">
        <v>3.6959553999999999</v>
      </c>
      <c r="AO507" s="39">
        <v>47.175732199999999</v>
      </c>
      <c r="AP507" s="39">
        <v>2.7894003000000001</v>
      </c>
      <c r="AQ507" s="39">
        <v>1.6039052</v>
      </c>
      <c r="AR507" s="40"/>
      <c r="AS507" s="40"/>
    </row>
    <row r="508" spans="2:45" ht="15" customHeight="1" x14ac:dyDescent="0.25">
      <c r="B508" s="41">
        <v>502</v>
      </c>
      <c r="C508" s="42" t="s">
        <v>31</v>
      </c>
      <c r="D508" s="51" t="s">
        <v>172</v>
      </c>
      <c r="E508" s="51" t="s">
        <v>186</v>
      </c>
      <c r="F508" s="51" t="s">
        <v>187</v>
      </c>
      <c r="G508" s="52" t="s">
        <v>187</v>
      </c>
      <c r="H508" s="43">
        <v>3202</v>
      </c>
      <c r="I508" s="43">
        <v>2</v>
      </c>
      <c r="J508" s="43">
        <v>4</v>
      </c>
      <c r="K508" s="43">
        <v>548</v>
      </c>
      <c r="L508" s="43">
        <v>653</v>
      </c>
      <c r="M508" s="43">
        <v>1835</v>
      </c>
      <c r="N508" s="43">
        <v>127</v>
      </c>
      <c r="O508" s="43">
        <v>33</v>
      </c>
      <c r="P508" s="44">
        <f>K508+L508+M508+N508+O508</f>
        <v>3196</v>
      </c>
      <c r="Q508" s="44">
        <f>I508+J508</f>
        <v>6</v>
      </c>
      <c r="R508" s="43">
        <v>3606</v>
      </c>
      <c r="S508" s="43">
        <v>39</v>
      </c>
      <c r="T508" s="43">
        <v>204</v>
      </c>
      <c r="U508" s="43">
        <v>189</v>
      </c>
      <c r="V508" s="43">
        <v>141</v>
      </c>
      <c r="W508" s="43">
        <v>2858</v>
      </c>
      <c r="X508" s="43">
        <v>139</v>
      </c>
      <c r="Y508" s="43">
        <v>36</v>
      </c>
      <c r="Z508" s="45">
        <f>U508+V508+W508+X508+Y508</f>
        <v>3363</v>
      </c>
      <c r="AA508" s="45">
        <f>S508+T508</f>
        <v>243</v>
      </c>
      <c r="AB508" s="46">
        <v>6.2461000000000003E-2</v>
      </c>
      <c r="AC508" s="46">
        <v>0.1249219</v>
      </c>
      <c r="AD508" s="46">
        <v>17.1143036</v>
      </c>
      <c r="AE508" s="46">
        <v>20.393504100000001</v>
      </c>
      <c r="AF508" s="46">
        <v>57.3079325</v>
      </c>
      <c r="AG508" s="46">
        <v>3.9662711000000002</v>
      </c>
      <c r="AH508" s="46">
        <v>1.0306059000000001</v>
      </c>
      <c r="AI508" s="47">
        <f>AB508+AC508</f>
        <v>0.18738290000000002</v>
      </c>
      <c r="AJ508" s="47">
        <f>AD508+AE508+AF508+AG508+AH508</f>
        <v>99.812617199999991</v>
      </c>
      <c r="AK508" s="46">
        <v>1.0815307999999999</v>
      </c>
      <c r="AL508" s="46">
        <v>5.6572379000000002</v>
      </c>
      <c r="AM508" s="46">
        <v>5.2412646000000001</v>
      </c>
      <c r="AN508" s="46">
        <v>3.9101498000000001</v>
      </c>
      <c r="AO508" s="46">
        <v>79.256794200000002</v>
      </c>
      <c r="AP508" s="46">
        <v>3.8546866</v>
      </c>
      <c r="AQ508" s="46">
        <v>0.99833609999999995</v>
      </c>
      <c r="AR508" s="48">
        <f>AK508+AL508</f>
        <v>6.7387686999999996</v>
      </c>
      <c r="AS508" s="48">
        <f>AM508+AN508+AO508+AP508+AQ508</f>
        <v>93.261231299999992</v>
      </c>
    </row>
    <row r="509" spans="2:45" ht="15" hidden="1" customHeight="1" x14ac:dyDescent="0.25">
      <c r="B509" s="35">
        <v>503</v>
      </c>
      <c r="C509" s="36" t="s">
        <v>31</v>
      </c>
      <c r="D509" s="36" t="s">
        <v>172</v>
      </c>
      <c r="E509" s="36" t="s">
        <v>186</v>
      </c>
      <c r="F509" s="36" t="s">
        <v>187</v>
      </c>
      <c r="G509" s="37" t="s">
        <v>25</v>
      </c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40"/>
      <c r="AS509" s="40"/>
    </row>
    <row r="510" spans="2:45" ht="15" hidden="1" customHeight="1" x14ac:dyDescent="0.25">
      <c r="B510" s="35">
        <v>504</v>
      </c>
      <c r="C510" s="36" t="s">
        <v>31</v>
      </c>
      <c r="D510" s="36" t="s">
        <v>172</v>
      </c>
      <c r="E510" s="36" t="s">
        <v>186</v>
      </c>
      <c r="F510" s="36" t="s">
        <v>187</v>
      </c>
      <c r="G510" s="37" t="s">
        <v>26</v>
      </c>
      <c r="H510" s="38">
        <v>3202</v>
      </c>
      <c r="I510" s="38">
        <v>2</v>
      </c>
      <c r="J510" s="38">
        <v>4</v>
      </c>
      <c r="K510" s="38">
        <v>548</v>
      </c>
      <c r="L510" s="38">
        <v>653</v>
      </c>
      <c r="M510" s="38">
        <v>1835</v>
      </c>
      <c r="N510" s="38">
        <v>127</v>
      </c>
      <c r="O510" s="38">
        <v>33</v>
      </c>
      <c r="P510" s="38"/>
      <c r="Q510" s="38"/>
      <c r="R510" s="38">
        <v>3606</v>
      </c>
      <c r="S510" s="38">
        <v>39</v>
      </c>
      <c r="T510" s="38">
        <v>204</v>
      </c>
      <c r="U510" s="38">
        <v>189</v>
      </c>
      <c r="V510" s="38">
        <v>141</v>
      </c>
      <c r="W510" s="38">
        <v>2858</v>
      </c>
      <c r="X510" s="38">
        <v>139</v>
      </c>
      <c r="Y510" s="38">
        <v>36</v>
      </c>
      <c r="Z510" s="38"/>
      <c r="AA510" s="38"/>
      <c r="AB510" s="39">
        <v>6.2461000000000003E-2</v>
      </c>
      <c r="AC510" s="39">
        <v>0.1249219</v>
      </c>
      <c r="AD510" s="39">
        <v>17.1143036</v>
      </c>
      <c r="AE510" s="39">
        <v>20.393504100000001</v>
      </c>
      <c r="AF510" s="39">
        <v>57.3079325</v>
      </c>
      <c r="AG510" s="39">
        <v>3.9662711000000002</v>
      </c>
      <c r="AH510" s="39">
        <v>1.0306059000000001</v>
      </c>
      <c r="AI510" s="39"/>
      <c r="AJ510" s="39"/>
      <c r="AK510" s="39">
        <v>1.0815307999999999</v>
      </c>
      <c r="AL510" s="39">
        <v>5.6572379000000002</v>
      </c>
      <c r="AM510" s="39">
        <v>5.2412646000000001</v>
      </c>
      <c r="AN510" s="39">
        <v>3.9101498000000001</v>
      </c>
      <c r="AO510" s="39">
        <v>79.256794200000002</v>
      </c>
      <c r="AP510" s="39">
        <v>3.8546866</v>
      </c>
      <c r="AQ510" s="39">
        <v>0.99833609999999995</v>
      </c>
      <c r="AR510" s="40"/>
      <c r="AS510" s="40"/>
    </row>
    <row r="511" spans="2:45" ht="15" hidden="1" customHeight="1" x14ac:dyDescent="0.25">
      <c r="B511" s="30">
        <v>505</v>
      </c>
      <c r="C511" s="31" t="s">
        <v>29</v>
      </c>
      <c r="D511" s="50" t="s">
        <v>172</v>
      </c>
      <c r="E511" s="50" t="s">
        <v>188</v>
      </c>
      <c r="F511" s="50"/>
      <c r="G511" s="31" t="s">
        <v>188</v>
      </c>
      <c r="H511" s="32">
        <v>6640</v>
      </c>
      <c r="I511" s="32">
        <v>8</v>
      </c>
      <c r="J511" s="32">
        <v>27</v>
      </c>
      <c r="K511" s="32">
        <v>1253</v>
      </c>
      <c r="L511" s="32">
        <v>2139</v>
      </c>
      <c r="M511" s="32">
        <v>2721</v>
      </c>
      <c r="N511" s="32">
        <v>397</v>
      </c>
      <c r="O511" s="32">
        <v>95</v>
      </c>
      <c r="P511" s="32"/>
      <c r="Q511" s="32"/>
      <c r="R511" s="32">
        <v>8126</v>
      </c>
      <c r="S511" s="32">
        <v>87</v>
      </c>
      <c r="T511" s="32">
        <v>17</v>
      </c>
      <c r="U511" s="32">
        <v>135</v>
      </c>
      <c r="V511" s="32">
        <v>606</v>
      </c>
      <c r="W511" s="32">
        <v>6668</v>
      </c>
      <c r="X511" s="32">
        <v>529</v>
      </c>
      <c r="Y511" s="32">
        <v>84</v>
      </c>
      <c r="Z511" s="32"/>
      <c r="AA511" s="32"/>
      <c r="AB511" s="33">
        <v>0.1204819</v>
      </c>
      <c r="AC511" s="33">
        <v>0.4066265</v>
      </c>
      <c r="AD511" s="33">
        <v>18.870481900000001</v>
      </c>
      <c r="AE511" s="33">
        <v>32.2138554</v>
      </c>
      <c r="AF511" s="33">
        <v>40.978915700000002</v>
      </c>
      <c r="AG511" s="33">
        <v>5.9789156999999999</v>
      </c>
      <c r="AH511" s="33">
        <v>1.4307228999999999</v>
      </c>
      <c r="AI511" s="33"/>
      <c r="AJ511" s="33"/>
      <c r="AK511" s="33">
        <v>1.0706374999999999</v>
      </c>
      <c r="AL511" s="33">
        <v>0.209205</v>
      </c>
      <c r="AM511" s="33">
        <v>1.6613340000000001</v>
      </c>
      <c r="AN511" s="33">
        <v>7.4575437000000004</v>
      </c>
      <c r="AO511" s="33">
        <v>82.057592900000003</v>
      </c>
      <c r="AP511" s="33">
        <v>6.5099679999999998</v>
      </c>
      <c r="AQ511" s="33">
        <v>1.0337189</v>
      </c>
      <c r="AR511" s="34"/>
      <c r="AS511" s="34"/>
    </row>
    <row r="512" spans="2:45" ht="15" hidden="1" customHeight="1" x14ac:dyDescent="0.25">
      <c r="B512" s="35">
        <v>506</v>
      </c>
      <c r="C512" s="36" t="s">
        <v>29</v>
      </c>
      <c r="D512" s="36" t="s">
        <v>172</v>
      </c>
      <c r="E512" s="36" t="s">
        <v>188</v>
      </c>
      <c r="F512" s="36"/>
      <c r="G512" s="37" t="s">
        <v>25</v>
      </c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40"/>
      <c r="AS512" s="40"/>
    </row>
    <row r="513" spans="2:45" ht="15" hidden="1" customHeight="1" x14ac:dyDescent="0.25">
      <c r="B513" s="35">
        <v>507</v>
      </c>
      <c r="C513" s="36" t="s">
        <v>29</v>
      </c>
      <c r="D513" s="36" t="s">
        <v>172</v>
      </c>
      <c r="E513" s="36" t="s">
        <v>188</v>
      </c>
      <c r="F513" s="36"/>
      <c r="G513" s="37" t="s">
        <v>26</v>
      </c>
      <c r="H513" s="38">
        <v>6640</v>
      </c>
      <c r="I513" s="38">
        <v>8</v>
      </c>
      <c r="J513" s="38">
        <v>27</v>
      </c>
      <c r="K513" s="38">
        <v>1253</v>
      </c>
      <c r="L513" s="38">
        <v>2139</v>
      </c>
      <c r="M513" s="38">
        <v>2721</v>
      </c>
      <c r="N513" s="38">
        <v>397</v>
      </c>
      <c r="O513" s="38">
        <v>95</v>
      </c>
      <c r="P513" s="38"/>
      <c r="Q513" s="38"/>
      <c r="R513" s="38">
        <v>8126</v>
      </c>
      <c r="S513" s="38">
        <v>87</v>
      </c>
      <c r="T513" s="38">
        <v>17</v>
      </c>
      <c r="U513" s="38">
        <v>135</v>
      </c>
      <c r="V513" s="38">
        <v>606</v>
      </c>
      <c r="W513" s="38">
        <v>6668</v>
      </c>
      <c r="X513" s="38">
        <v>529</v>
      </c>
      <c r="Y513" s="38">
        <v>84</v>
      </c>
      <c r="Z513" s="38"/>
      <c r="AA513" s="38"/>
      <c r="AB513" s="39">
        <v>0.1204819</v>
      </c>
      <c r="AC513" s="39">
        <v>0.4066265</v>
      </c>
      <c r="AD513" s="39">
        <v>18.870481900000001</v>
      </c>
      <c r="AE513" s="39">
        <v>32.2138554</v>
      </c>
      <c r="AF513" s="39">
        <v>40.978915700000002</v>
      </c>
      <c r="AG513" s="39">
        <v>5.9789156999999999</v>
      </c>
      <c r="AH513" s="39">
        <v>1.4307228999999999</v>
      </c>
      <c r="AI513" s="39"/>
      <c r="AJ513" s="39"/>
      <c r="AK513" s="39">
        <v>1.0706374999999999</v>
      </c>
      <c r="AL513" s="39">
        <v>0.209205</v>
      </c>
      <c r="AM513" s="39">
        <v>1.6613340000000001</v>
      </c>
      <c r="AN513" s="39">
        <v>7.4575437000000004</v>
      </c>
      <c r="AO513" s="39">
        <v>82.057592900000003</v>
      </c>
      <c r="AP513" s="39">
        <v>6.5099679999999998</v>
      </c>
      <c r="AQ513" s="39">
        <v>1.0337189</v>
      </c>
      <c r="AR513" s="40"/>
      <c r="AS513" s="40"/>
    </row>
    <row r="514" spans="2:45" ht="15" customHeight="1" x14ac:dyDescent="0.25">
      <c r="B514" s="41">
        <v>508</v>
      </c>
      <c r="C514" s="42" t="s">
        <v>31</v>
      </c>
      <c r="D514" s="51" t="s">
        <v>172</v>
      </c>
      <c r="E514" s="51" t="s">
        <v>188</v>
      </c>
      <c r="F514" s="51" t="s">
        <v>188</v>
      </c>
      <c r="G514" s="52" t="s">
        <v>188</v>
      </c>
      <c r="H514" s="43">
        <v>3303</v>
      </c>
      <c r="I514" s="43">
        <v>5</v>
      </c>
      <c r="J514" s="43">
        <v>14</v>
      </c>
      <c r="K514" s="43">
        <v>766</v>
      </c>
      <c r="L514" s="43">
        <v>1151</v>
      </c>
      <c r="M514" s="43">
        <v>1090</v>
      </c>
      <c r="N514" s="43">
        <v>201</v>
      </c>
      <c r="O514" s="43">
        <v>76</v>
      </c>
      <c r="P514" s="44">
        <f>K514+L514+M514+N514+O514</f>
        <v>3284</v>
      </c>
      <c r="Q514" s="44">
        <f>I514+J514</f>
        <v>19</v>
      </c>
      <c r="R514" s="43">
        <v>3900</v>
      </c>
      <c r="S514" s="43">
        <v>76</v>
      </c>
      <c r="T514" s="43">
        <v>9</v>
      </c>
      <c r="U514" s="43">
        <v>71</v>
      </c>
      <c r="V514" s="43">
        <v>363</v>
      </c>
      <c r="W514" s="43">
        <v>3141</v>
      </c>
      <c r="X514" s="43">
        <v>207</v>
      </c>
      <c r="Y514" s="43">
        <v>33</v>
      </c>
      <c r="Z514" s="45">
        <f>U514+V514+W514+X514+Y514</f>
        <v>3815</v>
      </c>
      <c r="AA514" s="45">
        <f>S514+T514</f>
        <v>85</v>
      </c>
      <c r="AB514" s="46">
        <v>0.1513775</v>
      </c>
      <c r="AC514" s="46">
        <v>0.42385709999999999</v>
      </c>
      <c r="AD514" s="46">
        <v>23.1910384</v>
      </c>
      <c r="AE514" s="46">
        <v>34.8471087</v>
      </c>
      <c r="AF514" s="46">
        <v>33.0003028</v>
      </c>
      <c r="AG514" s="46">
        <v>6.0853769</v>
      </c>
      <c r="AH514" s="46">
        <v>2.3009385</v>
      </c>
      <c r="AI514" s="47">
        <f>AB514+AC514</f>
        <v>0.57523459999999993</v>
      </c>
      <c r="AJ514" s="47">
        <f>AD514+AE514+AF514+AG514+AH514</f>
        <v>99.424765300000004</v>
      </c>
      <c r="AK514" s="46">
        <v>1.9487178999999999</v>
      </c>
      <c r="AL514" s="46">
        <v>0.23076920000000001</v>
      </c>
      <c r="AM514" s="46">
        <v>1.8205127999999999</v>
      </c>
      <c r="AN514" s="46">
        <v>9.3076922999999994</v>
      </c>
      <c r="AO514" s="46">
        <v>80.538461499999997</v>
      </c>
      <c r="AP514" s="46">
        <v>5.3076923000000003</v>
      </c>
      <c r="AQ514" s="46">
        <v>0.84615379999999996</v>
      </c>
      <c r="AR514" s="48">
        <f>AK514+AL514</f>
        <v>2.1794870999999998</v>
      </c>
      <c r="AS514" s="48">
        <f>AM514+AN514+AO514+AP514+AQ514</f>
        <v>97.820512699999995</v>
      </c>
    </row>
    <row r="515" spans="2:45" ht="15" hidden="1" customHeight="1" x14ac:dyDescent="0.25">
      <c r="B515" s="35">
        <v>509</v>
      </c>
      <c r="C515" s="36" t="s">
        <v>31</v>
      </c>
      <c r="D515" s="36" t="s">
        <v>172</v>
      </c>
      <c r="E515" s="36" t="s">
        <v>188</v>
      </c>
      <c r="F515" s="36" t="s">
        <v>188</v>
      </c>
      <c r="G515" s="37" t="s">
        <v>25</v>
      </c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40"/>
      <c r="AS515" s="40"/>
    </row>
    <row r="516" spans="2:45" ht="15" hidden="1" customHeight="1" x14ac:dyDescent="0.25">
      <c r="B516" s="35">
        <v>510</v>
      </c>
      <c r="C516" s="36" t="s">
        <v>31</v>
      </c>
      <c r="D516" s="36" t="s">
        <v>172</v>
      </c>
      <c r="E516" s="36" t="s">
        <v>188</v>
      </c>
      <c r="F516" s="36" t="s">
        <v>188</v>
      </c>
      <c r="G516" s="37" t="s">
        <v>26</v>
      </c>
      <c r="H516" s="38">
        <v>3303</v>
      </c>
      <c r="I516" s="38">
        <v>5</v>
      </c>
      <c r="J516" s="38">
        <v>14</v>
      </c>
      <c r="K516" s="38">
        <v>766</v>
      </c>
      <c r="L516" s="38">
        <v>1151</v>
      </c>
      <c r="M516" s="38">
        <v>1090</v>
      </c>
      <c r="N516" s="38">
        <v>201</v>
      </c>
      <c r="O516" s="38">
        <v>76</v>
      </c>
      <c r="P516" s="38"/>
      <c r="Q516" s="38"/>
      <c r="R516" s="38">
        <v>3900</v>
      </c>
      <c r="S516" s="38">
        <v>76</v>
      </c>
      <c r="T516" s="38">
        <v>9</v>
      </c>
      <c r="U516" s="38">
        <v>71</v>
      </c>
      <c r="V516" s="38">
        <v>363</v>
      </c>
      <c r="W516" s="38">
        <v>3141</v>
      </c>
      <c r="X516" s="38">
        <v>207</v>
      </c>
      <c r="Y516" s="38">
        <v>33</v>
      </c>
      <c r="Z516" s="38"/>
      <c r="AA516" s="38"/>
      <c r="AB516" s="39">
        <v>0.1513775</v>
      </c>
      <c r="AC516" s="39">
        <v>0.42385709999999999</v>
      </c>
      <c r="AD516" s="39">
        <v>23.1910384</v>
      </c>
      <c r="AE516" s="39">
        <v>34.8471087</v>
      </c>
      <c r="AF516" s="39">
        <v>33.0003028</v>
      </c>
      <c r="AG516" s="39">
        <v>6.0853769</v>
      </c>
      <c r="AH516" s="39">
        <v>2.3009385</v>
      </c>
      <c r="AI516" s="39"/>
      <c r="AJ516" s="39"/>
      <c r="AK516" s="39">
        <v>1.9487178999999999</v>
      </c>
      <c r="AL516" s="39">
        <v>0.23076920000000001</v>
      </c>
      <c r="AM516" s="39">
        <v>1.8205127999999999</v>
      </c>
      <c r="AN516" s="39">
        <v>9.3076922999999994</v>
      </c>
      <c r="AO516" s="39">
        <v>80.538461499999997</v>
      </c>
      <c r="AP516" s="39">
        <v>5.3076923000000003</v>
      </c>
      <c r="AQ516" s="39">
        <v>0.84615379999999996</v>
      </c>
      <c r="AR516" s="40"/>
      <c r="AS516" s="40"/>
    </row>
    <row r="517" spans="2:45" ht="15" customHeight="1" x14ac:dyDescent="0.25">
      <c r="B517" s="41">
        <v>511</v>
      </c>
      <c r="C517" s="42" t="s">
        <v>31</v>
      </c>
      <c r="D517" s="51" t="s">
        <v>172</v>
      </c>
      <c r="E517" s="51" t="s">
        <v>188</v>
      </c>
      <c r="F517" s="51" t="s">
        <v>189</v>
      </c>
      <c r="G517" s="52" t="s">
        <v>189</v>
      </c>
      <c r="H517" s="43">
        <v>3337</v>
      </c>
      <c r="I517" s="43">
        <v>3</v>
      </c>
      <c r="J517" s="43">
        <v>13</v>
      </c>
      <c r="K517" s="43">
        <v>487</v>
      </c>
      <c r="L517" s="43">
        <v>988</v>
      </c>
      <c r="M517" s="43">
        <v>1631</v>
      </c>
      <c r="N517" s="43">
        <v>196</v>
      </c>
      <c r="O517" s="43">
        <v>19</v>
      </c>
      <c r="P517" s="44">
        <f>K517+L517+M517+N517+O517</f>
        <v>3321</v>
      </c>
      <c r="Q517" s="44">
        <f>I517+J517</f>
        <v>16</v>
      </c>
      <c r="R517" s="43">
        <v>4226</v>
      </c>
      <c r="S517" s="43">
        <v>11</v>
      </c>
      <c r="T517" s="43">
        <v>8</v>
      </c>
      <c r="U517" s="43">
        <v>64</v>
      </c>
      <c r="V517" s="43">
        <v>243</v>
      </c>
      <c r="W517" s="43">
        <v>3527</v>
      </c>
      <c r="X517" s="43">
        <v>322</v>
      </c>
      <c r="Y517" s="43">
        <v>51</v>
      </c>
      <c r="Z517" s="45">
        <f>U517+V517+W517+X517+Y517</f>
        <v>4207</v>
      </c>
      <c r="AA517" s="45">
        <f>S517+T517</f>
        <v>19</v>
      </c>
      <c r="AB517" s="46">
        <v>8.9901099999999998E-2</v>
      </c>
      <c r="AC517" s="46">
        <v>0.38957150000000001</v>
      </c>
      <c r="AD517" s="46">
        <v>14.5939467</v>
      </c>
      <c r="AE517" s="46">
        <v>29.607431800000001</v>
      </c>
      <c r="AF517" s="46">
        <v>48.8762361</v>
      </c>
      <c r="AG517" s="46">
        <v>5.8735391000000003</v>
      </c>
      <c r="AH517" s="46">
        <v>0.56937369999999998</v>
      </c>
      <c r="AI517" s="47">
        <f>AB517+AC517</f>
        <v>0.47947260000000003</v>
      </c>
      <c r="AJ517" s="47">
        <f>AD517+AE517+AF517+AG517+AH517</f>
        <v>99.520527400000006</v>
      </c>
      <c r="AK517" s="46">
        <v>0.26029340000000001</v>
      </c>
      <c r="AL517" s="46">
        <v>0.18930430000000001</v>
      </c>
      <c r="AM517" s="46">
        <v>1.5144344999999999</v>
      </c>
      <c r="AN517" s="46">
        <v>5.7501182999999996</v>
      </c>
      <c r="AO517" s="46">
        <v>83.459536200000002</v>
      </c>
      <c r="AP517" s="46">
        <v>7.6194983000000001</v>
      </c>
      <c r="AQ517" s="46">
        <v>1.206815</v>
      </c>
      <c r="AR517" s="48">
        <f>AK517+AL517</f>
        <v>0.44959769999999999</v>
      </c>
      <c r="AS517" s="48">
        <f>AM517+AN517+AO517+AP517+AQ517</f>
        <v>99.550402300000016</v>
      </c>
    </row>
    <row r="518" spans="2:45" ht="15" hidden="1" customHeight="1" x14ac:dyDescent="0.25">
      <c r="B518" s="35">
        <v>512</v>
      </c>
      <c r="C518" s="36" t="s">
        <v>31</v>
      </c>
      <c r="D518" s="36" t="s">
        <v>172</v>
      </c>
      <c r="E518" s="36" t="s">
        <v>188</v>
      </c>
      <c r="F518" s="36" t="s">
        <v>189</v>
      </c>
      <c r="G518" s="37" t="s">
        <v>25</v>
      </c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40"/>
      <c r="AS518" s="40"/>
    </row>
    <row r="519" spans="2:45" ht="15" hidden="1" customHeight="1" x14ac:dyDescent="0.25">
      <c r="B519" s="35">
        <v>513</v>
      </c>
      <c r="C519" s="36" t="s">
        <v>31</v>
      </c>
      <c r="D519" s="36" t="s">
        <v>172</v>
      </c>
      <c r="E519" s="36" t="s">
        <v>188</v>
      </c>
      <c r="F519" s="36" t="s">
        <v>189</v>
      </c>
      <c r="G519" s="37" t="s">
        <v>26</v>
      </c>
      <c r="H519" s="38">
        <v>3337</v>
      </c>
      <c r="I519" s="38">
        <v>3</v>
      </c>
      <c r="J519" s="38">
        <v>13</v>
      </c>
      <c r="K519" s="38">
        <v>487</v>
      </c>
      <c r="L519" s="38">
        <v>988</v>
      </c>
      <c r="M519" s="38">
        <v>1631</v>
      </c>
      <c r="N519" s="38">
        <v>196</v>
      </c>
      <c r="O519" s="38">
        <v>19</v>
      </c>
      <c r="P519" s="38"/>
      <c r="Q519" s="38"/>
      <c r="R519" s="38">
        <v>4226</v>
      </c>
      <c r="S519" s="38">
        <v>11</v>
      </c>
      <c r="T519" s="38">
        <v>8</v>
      </c>
      <c r="U519" s="38">
        <v>64</v>
      </c>
      <c r="V519" s="38">
        <v>243</v>
      </c>
      <c r="W519" s="38">
        <v>3527</v>
      </c>
      <c r="X519" s="38">
        <v>322</v>
      </c>
      <c r="Y519" s="38">
        <v>51</v>
      </c>
      <c r="Z519" s="38"/>
      <c r="AA519" s="38"/>
      <c r="AB519" s="39">
        <v>8.9901099999999998E-2</v>
      </c>
      <c r="AC519" s="39">
        <v>0.38957150000000001</v>
      </c>
      <c r="AD519" s="39">
        <v>14.5939467</v>
      </c>
      <c r="AE519" s="39">
        <v>29.607431800000001</v>
      </c>
      <c r="AF519" s="39">
        <v>48.8762361</v>
      </c>
      <c r="AG519" s="39">
        <v>5.8735391000000003</v>
      </c>
      <c r="AH519" s="39">
        <v>0.56937369999999998</v>
      </c>
      <c r="AI519" s="39"/>
      <c r="AJ519" s="39"/>
      <c r="AK519" s="39">
        <v>0.26029340000000001</v>
      </c>
      <c r="AL519" s="39">
        <v>0.18930430000000001</v>
      </c>
      <c r="AM519" s="39">
        <v>1.5144344999999999</v>
      </c>
      <c r="AN519" s="39">
        <v>5.7501182999999996</v>
      </c>
      <c r="AO519" s="39">
        <v>83.459536200000002</v>
      </c>
      <c r="AP519" s="39">
        <v>7.6194983000000001</v>
      </c>
      <c r="AQ519" s="39">
        <v>1.206815</v>
      </c>
      <c r="AR519" s="40"/>
      <c r="AS519" s="40"/>
    </row>
    <row r="520" spans="2:45" ht="15" hidden="1" customHeight="1" x14ac:dyDescent="0.25">
      <c r="B520" s="30">
        <v>514</v>
      </c>
      <c r="C520" s="31" t="s">
        <v>29</v>
      </c>
      <c r="D520" s="50" t="s">
        <v>172</v>
      </c>
      <c r="E520" s="50" t="s">
        <v>190</v>
      </c>
      <c r="F520" s="50"/>
      <c r="G520" s="31" t="s">
        <v>190</v>
      </c>
      <c r="H520" s="32">
        <v>9414</v>
      </c>
      <c r="I520" s="32">
        <v>357</v>
      </c>
      <c r="J520" s="32">
        <v>2200</v>
      </c>
      <c r="K520" s="32">
        <v>748</v>
      </c>
      <c r="L520" s="32">
        <v>1298</v>
      </c>
      <c r="M520" s="32">
        <v>4391</v>
      </c>
      <c r="N520" s="32">
        <v>336</v>
      </c>
      <c r="O520" s="32">
        <v>84</v>
      </c>
      <c r="P520" s="32"/>
      <c r="Q520" s="32"/>
      <c r="R520" s="32">
        <v>11318</v>
      </c>
      <c r="S520" s="32">
        <v>854</v>
      </c>
      <c r="T520" s="32">
        <v>3143</v>
      </c>
      <c r="U520" s="32">
        <v>161</v>
      </c>
      <c r="V520" s="32">
        <v>252</v>
      </c>
      <c r="W520" s="32">
        <v>6557</v>
      </c>
      <c r="X520" s="32">
        <v>257</v>
      </c>
      <c r="Y520" s="32">
        <v>94</v>
      </c>
      <c r="Z520" s="32"/>
      <c r="AA520" s="32"/>
      <c r="AB520" s="33">
        <v>3.7922243</v>
      </c>
      <c r="AC520" s="33">
        <v>23.369449800000002</v>
      </c>
      <c r="AD520" s="33">
        <v>7.9456129000000004</v>
      </c>
      <c r="AE520" s="33">
        <v>13.787975400000001</v>
      </c>
      <c r="AF520" s="33">
        <v>46.643297199999999</v>
      </c>
      <c r="AG520" s="33">
        <v>3.5691522999999998</v>
      </c>
      <c r="AH520" s="33">
        <v>0.89228810000000003</v>
      </c>
      <c r="AI520" s="33"/>
      <c r="AJ520" s="33"/>
      <c r="AK520" s="33">
        <v>7.5455027000000001</v>
      </c>
      <c r="AL520" s="33">
        <v>27.769924</v>
      </c>
      <c r="AM520" s="33">
        <v>1.4225128</v>
      </c>
      <c r="AN520" s="33">
        <v>2.2265418000000001</v>
      </c>
      <c r="AO520" s="33">
        <v>57.934263999999999</v>
      </c>
      <c r="AP520" s="33">
        <v>2.2707191999999998</v>
      </c>
      <c r="AQ520" s="33">
        <v>0.83053540000000003</v>
      </c>
      <c r="AR520" s="34"/>
      <c r="AS520" s="34"/>
    </row>
    <row r="521" spans="2:45" ht="15" hidden="1" customHeight="1" x14ac:dyDescent="0.25">
      <c r="B521" s="35">
        <v>515</v>
      </c>
      <c r="C521" s="36" t="s">
        <v>29</v>
      </c>
      <c r="D521" s="36" t="s">
        <v>172</v>
      </c>
      <c r="E521" s="36" t="s">
        <v>190</v>
      </c>
      <c r="F521" s="36"/>
      <c r="G521" s="37" t="s">
        <v>25</v>
      </c>
      <c r="H521" s="38">
        <v>2560</v>
      </c>
      <c r="I521" s="38">
        <v>291</v>
      </c>
      <c r="J521" s="38">
        <v>1767</v>
      </c>
      <c r="K521" s="38">
        <v>29</v>
      </c>
      <c r="L521" s="38">
        <v>68</v>
      </c>
      <c r="M521" s="38">
        <v>380</v>
      </c>
      <c r="N521" s="38">
        <v>16</v>
      </c>
      <c r="O521" s="38">
        <v>9</v>
      </c>
      <c r="P521" s="38"/>
      <c r="Q521" s="38"/>
      <c r="R521" s="38">
        <v>2765</v>
      </c>
      <c r="S521" s="38">
        <v>418</v>
      </c>
      <c r="T521" s="38">
        <v>1857</v>
      </c>
      <c r="U521" s="38">
        <v>6</v>
      </c>
      <c r="V521" s="38">
        <v>14</v>
      </c>
      <c r="W521" s="38">
        <v>453</v>
      </c>
      <c r="X521" s="38">
        <v>8</v>
      </c>
      <c r="Y521" s="38">
        <v>9</v>
      </c>
      <c r="Z521" s="38"/>
      <c r="AA521" s="38"/>
      <c r="AB521" s="39">
        <v>11.3671875</v>
      </c>
      <c r="AC521" s="39">
        <v>69.0234375</v>
      </c>
      <c r="AD521" s="39">
        <v>1.1328125</v>
      </c>
      <c r="AE521" s="39">
        <v>2.65625</v>
      </c>
      <c r="AF521" s="39">
        <v>14.84375</v>
      </c>
      <c r="AG521" s="39">
        <v>0.625</v>
      </c>
      <c r="AH521" s="39">
        <v>0.3515625</v>
      </c>
      <c r="AI521" s="39"/>
      <c r="AJ521" s="39"/>
      <c r="AK521" s="39">
        <v>15.117540699999999</v>
      </c>
      <c r="AL521" s="39">
        <v>67.160940299999993</v>
      </c>
      <c r="AM521" s="39">
        <v>0.2169982</v>
      </c>
      <c r="AN521" s="39">
        <v>0.50632909999999998</v>
      </c>
      <c r="AO521" s="39">
        <v>16.383363500000002</v>
      </c>
      <c r="AP521" s="39">
        <v>0.2893309</v>
      </c>
      <c r="AQ521" s="39">
        <v>0.32549729999999999</v>
      </c>
      <c r="AR521" s="40"/>
      <c r="AS521" s="40"/>
    </row>
    <row r="522" spans="2:45" ht="15" hidden="1" customHeight="1" x14ac:dyDescent="0.25">
      <c r="B522" s="35">
        <v>516</v>
      </c>
      <c r="C522" s="36" t="s">
        <v>29</v>
      </c>
      <c r="D522" s="36" t="s">
        <v>172</v>
      </c>
      <c r="E522" s="36" t="s">
        <v>190</v>
      </c>
      <c r="F522" s="36"/>
      <c r="G522" s="37" t="s">
        <v>26</v>
      </c>
      <c r="H522" s="38">
        <v>6854</v>
      </c>
      <c r="I522" s="38">
        <v>66</v>
      </c>
      <c r="J522" s="38">
        <v>433</v>
      </c>
      <c r="K522" s="38">
        <v>719</v>
      </c>
      <c r="L522" s="38">
        <v>1230</v>
      </c>
      <c r="M522" s="38">
        <v>4011</v>
      </c>
      <c r="N522" s="38">
        <v>320</v>
      </c>
      <c r="O522" s="38">
        <v>75</v>
      </c>
      <c r="P522" s="38"/>
      <c r="Q522" s="38"/>
      <c r="R522" s="38">
        <v>8553</v>
      </c>
      <c r="S522" s="38">
        <v>436</v>
      </c>
      <c r="T522" s="38">
        <v>1286</v>
      </c>
      <c r="U522" s="38">
        <v>155</v>
      </c>
      <c r="V522" s="38">
        <v>238</v>
      </c>
      <c r="W522" s="38">
        <v>6104</v>
      </c>
      <c r="X522" s="38">
        <v>249</v>
      </c>
      <c r="Y522" s="38">
        <v>85</v>
      </c>
      <c r="Z522" s="38"/>
      <c r="AA522" s="38"/>
      <c r="AB522" s="39">
        <v>0.9629413</v>
      </c>
      <c r="AC522" s="39">
        <v>6.3174787999999999</v>
      </c>
      <c r="AD522" s="39">
        <v>10.490224700000001</v>
      </c>
      <c r="AE522" s="39">
        <v>17.945725100000001</v>
      </c>
      <c r="AF522" s="39">
        <v>58.5205719</v>
      </c>
      <c r="AG522" s="39">
        <v>4.6688064999999996</v>
      </c>
      <c r="AH522" s="39">
        <v>1.0942514999999999</v>
      </c>
      <c r="AI522" s="39"/>
      <c r="AJ522" s="39"/>
      <c r="AK522" s="39">
        <v>5.0976265999999999</v>
      </c>
      <c r="AL522" s="39">
        <v>15.03566</v>
      </c>
      <c r="AM522" s="39">
        <v>1.8122296</v>
      </c>
      <c r="AN522" s="39">
        <v>2.7826493999999999</v>
      </c>
      <c r="AO522" s="39">
        <v>71.366771900000003</v>
      </c>
      <c r="AP522" s="39">
        <v>2.9112591999999999</v>
      </c>
      <c r="AQ522" s="39">
        <v>0.99380329999999995</v>
      </c>
      <c r="AR522" s="40"/>
      <c r="AS522" s="40"/>
    </row>
    <row r="523" spans="2:45" ht="15" customHeight="1" x14ac:dyDescent="0.25">
      <c r="B523" s="41">
        <v>517</v>
      </c>
      <c r="C523" s="42" t="s">
        <v>31</v>
      </c>
      <c r="D523" s="51" t="s">
        <v>172</v>
      </c>
      <c r="E523" s="51" t="s">
        <v>190</v>
      </c>
      <c r="F523" s="51" t="s">
        <v>190</v>
      </c>
      <c r="G523" s="52" t="s">
        <v>190</v>
      </c>
      <c r="H523" s="43">
        <v>5928</v>
      </c>
      <c r="I523" s="43">
        <v>304</v>
      </c>
      <c r="J523" s="43">
        <v>1911</v>
      </c>
      <c r="K523" s="43">
        <v>369</v>
      </c>
      <c r="L523" s="43">
        <v>698</v>
      </c>
      <c r="M523" s="43">
        <v>2411</v>
      </c>
      <c r="N523" s="43">
        <v>200</v>
      </c>
      <c r="O523" s="43">
        <v>35</v>
      </c>
      <c r="P523" s="44">
        <f>K523+L523+M523+N523+O523</f>
        <v>3713</v>
      </c>
      <c r="Q523" s="44">
        <f>I523+J523</f>
        <v>2215</v>
      </c>
      <c r="R523" s="43">
        <v>6991</v>
      </c>
      <c r="S523" s="43">
        <v>685</v>
      </c>
      <c r="T523" s="43">
        <v>2655</v>
      </c>
      <c r="U523" s="43">
        <v>78</v>
      </c>
      <c r="V523" s="43">
        <v>146</v>
      </c>
      <c r="W523" s="43">
        <v>3245</v>
      </c>
      <c r="X523" s="43">
        <v>136</v>
      </c>
      <c r="Y523" s="43">
        <v>46</v>
      </c>
      <c r="Z523" s="45">
        <f>U523+V523+W523+X523+Y523</f>
        <v>3651</v>
      </c>
      <c r="AA523" s="45">
        <f>S523+T523</f>
        <v>3340</v>
      </c>
      <c r="AB523" s="46">
        <v>5.1282050999999997</v>
      </c>
      <c r="AC523" s="46">
        <v>32.236842099999997</v>
      </c>
      <c r="AD523" s="46">
        <v>6.2246964</v>
      </c>
      <c r="AE523" s="46">
        <v>11.7746289</v>
      </c>
      <c r="AF523" s="46">
        <v>40.671390000000002</v>
      </c>
      <c r="AG523" s="46">
        <v>3.3738191999999998</v>
      </c>
      <c r="AH523" s="46">
        <v>0.59041840000000001</v>
      </c>
      <c r="AI523" s="47">
        <f>AB523+AC523</f>
        <v>37.365047199999999</v>
      </c>
      <c r="AJ523" s="47">
        <f>AD523+AE523+AF523+AG523+AH523</f>
        <v>62.634952899999995</v>
      </c>
      <c r="AK523" s="46">
        <v>9.7983121000000004</v>
      </c>
      <c r="AL523" s="46">
        <v>37.977399499999997</v>
      </c>
      <c r="AM523" s="46">
        <v>1.1157201999999999</v>
      </c>
      <c r="AN523" s="46">
        <v>2.0883994000000001</v>
      </c>
      <c r="AO523" s="46">
        <v>46.416821599999999</v>
      </c>
      <c r="AP523" s="46">
        <v>1.9453583000000001</v>
      </c>
      <c r="AQ523" s="46">
        <v>0.65798880000000004</v>
      </c>
      <c r="AR523" s="48">
        <f>AK523+AL523</f>
        <v>47.775711599999994</v>
      </c>
      <c r="AS523" s="48">
        <f>AM523+AN523+AO523+AP523+AQ523</f>
        <v>52.224288299999998</v>
      </c>
    </row>
    <row r="524" spans="2:45" ht="15" hidden="1" customHeight="1" x14ac:dyDescent="0.25">
      <c r="B524" s="35">
        <v>518</v>
      </c>
      <c r="C524" s="36" t="s">
        <v>31</v>
      </c>
      <c r="D524" s="36" t="s">
        <v>172</v>
      </c>
      <c r="E524" s="36" t="s">
        <v>190</v>
      </c>
      <c r="F524" s="36" t="s">
        <v>190</v>
      </c>
      <c r="G524" s="37" t="s">
        <v>25</v>
      </c>
      <c r="H524" s="38">
        <v>2560</v>
      </c>
      <c r="I524" s="38">
        <v>291</v>
      </c>
      <c r="J524" s="38">
        <v>1767</v>
      </c>
      <c r="K524" s="38">
        <v>29</v>
      </c>
      <c r="L524" s="38">
        <v>68</v>
      </c>
      <c r="M524" s="38">
        <v>380</v>
      </c>
      <c r="N524" s="38">
        <v>16</v>
      </c>
      <c r="O524" s="38">
        <v>9</v>
      </c>
      <c r="P524" s="38"/>
      <c r="Q524" s="38"/>
      <c r="R524" s="38">
        <v>2765</v>
      </c>
      <c r="S524" s="38">
        <v>418</v>
      </c>
      <c r="T524" s="38">
        <v>1857</v>
      </c>
      <c r="U524" s="38">
        <v>6</v>
      </c>
      <c r="V524" s="38">
        <v>14</v>
      </c>
      <c r="W524" s="38">
        <v>453</v>
      </c>
      <c r="X524" s="38">
        <v>8</v>
      </c>
      <c r="Y524" s="38">
        <v>9</v>
      </c>
      <c r="Z524" s="38"/>
      <c r="AA524" s="38"/>
      <c r="AB524" s="39">
        <v>11.3671875</v>
      </c>
      <c r="AC524" s="39">
        <v>69.0234375</v>
      </c>
      <c r="AD524" s="39">
        <v>1.1328125</v>
      </c>
      <c r="AE524" s="39">
        <v>2.65625</v>
      </c>
      <c r="AF524" s="39">
        <v>14.84375</v>
      </c>
      <c r="AG524" s="39">
        <v>0.625</v>
      </c>
      <c r="AH524" s="39">
        <v>0.3515625</v>
      </c>
      <c r="AI524" s="39"/>
      <c r="AJ524" s="39"/>
      <c r="AK524" s="39">
        <v>15.117540699999999</v>
      </c>
      <c r="AL524" s="39">
        <v>67.160940299999993</v>
      </c>
      <c r="AM524" s="39">
        <v>0.2169982</v>
      </c>
      <c r="AN524" s="39">
        <v>0.50632909999999998</v>
      </c>
      <c r="AO524" s="39">
        <v>16.383363500000002</v>
      </c>
      <c r="AP524" s="39">
        <v>0.2893309</v>
      </c>
      <c r="AQ524" s="39">
        <v>0.32549729999999999</v>
      </c>
      <c r="AR524" s="40"/>
      <c r="AS524" s="40"/>
    </row>
    <row r="525" spans="2:45" ht="15" hidden="1" customHeight="1" x14ac:dyDescent="0.25">
      <c r="B525" s="35">
        <v>519</v>
      </c>
      <c r="C525" s="36" t="s">
        <v>31</v>
      </c>
      <c r="D525" s="36" t="s">
        <v>172</v>
      </c>
      <c r="E525" s="36" t="s">
        <v>190</v>
      </c>
      <c r="F525" s="36" t="s">
        <v>190</v>
      </c>
      <c r="G525" s="37" t="s">
        <v>26</v>
      </c>
      <c r="H525" s="38">
        <v>3368</v>
      </c>
      <c r="I525" s="38">
        <v>13</v>
      </c>
      <c r="J525" s="38">
        <v>144</v>
      </c>
      <c r="K525" s="38">
        <v>340</v>
      </c>
      <c r="L525" s="38">
        <v>630</v>
      </c>
      <c r="M525" s="38">
        <v>2031</v>
      </c>
      <c r="N525" s="38">
        <v>184</v>
      </c>
      <c r="O525" s="38">
        <v>26</v>
      </c>
      <c r="P525" s="38"/>
      <c r="Q525" s="38"/>
      <c r="R525" s="38">
        <v>4226</v>
      </c>
      <c r="S525" s="38">
        <v>267</v>
      </c>
      <c r="T525" s="38">
        <v>798</v>
      </c>
      <c r="U525" s="38">
        <v>72</v>
      </c>
      <c r="V525" s="38">
        <v>132</v>
      </c>
      <c r="W525" s="38">
        <v>2792</v>
      </c>
      <c r="X525" s="38">
        <v>128</v>
      </c>
      <c r="Y525" s="38">
        <v>37</v>
      </c>
      <c r="Z525" s="38"/>
      <c r="AA525" s="38"/>
      <c r="AB525" s="39">
        <v>0.38598569999999999</v>
      </c>
      <c r="AC525" s="39">
        <v>4.2755343999999997</v>
      </c>
      <c r="AD525" s="39">
        <v>10.095011899999999</v>
      </c>
      <c r="AE525" s="39">
        <v>18.705463200000001</v>
      </c>
      <c r="AF525" s="39">
        <v>60.302850399999997</v>
      </c>
      <c r="AG525" s="39">
        <v>5.4631828999999996</v>
      </c>
      <c r="AH525" s="39">
        <v>0.77197150000000003</v>
      </c>
      <c r="AI525" s="39"/>
      <c r="AJ525" s="39"/>
      <c r="AK525" s="39">
        <v>6.3180312000000001</v>
      </c>
      <c r="AL525" s="39">
        <v>18.883104599999999</v>
      </c>
      <c r="AM525" s="39">
        <v>1.7037388</v>
      </c>
      <c r="AN525" s="39">
        <v>3.1235211000000001</v>
      </c>
      <c r="AO525" s="39">
        <v>66.067203000000006</v>
      </c>
      <c r="AP525" s="39">
        <v>3.0288689</v>
      </c>
      <c r="AQ525" s="39">
        <v>0.87553239999999999</v>
      </c>
      <c r="AR525" s="40"/>
      <c r="AS525" s="40"/>
    </row>
    <row r="526" spans="2:45" ht="15" customHeight="1" x14ac:dyDescent="0.25">
      <c r="B526" s="41">
        <v>520</v>
      </c>
      <c r="C526" s="42" t="s">
        <v>31</v>
      </c>
      <c r="D526" s="51" t="s">
        <v>172</v>
      </c>
      <c r="E526" s="51" t="s">
        <v>190</v>
      </c>
      <c r="F526" s="51" t="s">
        <v>191</v>
      </c>
      <c r="G526" s="52" t="s">
        <v>191</v>
      </c>
      <c r="H526" s="43">
        <v>2403</v>
      </c>
      <c r="I526" s="43">
        <v>52</v>
      </c>
      <c r="J526" s="43">
        <v>285</v>
      </c>
      <c r="K526" s="43">
        <v>253</v>
      </c>
      <c r="L526" s="43">
        <v>242</v>
      </c>
      <c r="M526" s="43">
        <v>1438</v>
      </c>
      <c r="N526" s="43">
        <v>86</v>
      </c>
      <c r="O526" s="43">
        <v>47</v>
      </c>
      <c r="P526" s="44">
        <f>K526+L526+M526+N526+O526</f>
        <v>2066</v>
      </c>
      <c r="Q526" s="44">
        <f>I526+J526</f>
        <v>337</v>
      </c>
      <c r="R526" s="43">
        <v>3008</v>
      </c>
      <c r="S526" s="43">
        <v>167</v>
      </c>
      <c r="T526" s="43">
        <v>488</v>
      </c>
      <c r="U526" s="43">
        <v>69</v>
      </c>
      <c r="V526" s="43">
        <v>45</v>
      </c>
      <c r="W526" s="43">
        <v>2097</v>
      </c>
      <c r="X526" s="43">
        <v>99</v>
      </c>
      <c r="Y526" s="43">
        <v>43</v>
      </c>
      <c r="Z526" s="45">
        <f>U526+V526+W526+X526+Y526</f>
        <v>2353</v>
      </c>
      <c r="AA526" s="45">
        <f>S526+T526</f>
        <v>655</v>
      </c>
      <c r="AB526" s="46">
        <v>2.1639617000000002</v>
      </c>
      <c r="AC526" s="46">
        <v>11.860174799999999</v>
      </c>
      <c r="AD526" s="46">
        <v>10.528506</v>
      </c>
      <c r="AE526" s="46">
        <v>10.070744899999999</v>
      </c>
      <c r="AF526" s="46">
        <v>59.841864299999997</v>
      </c>
      <c r="AG526" s="46">
        <v>3.5788598</v>
      </c>
      <c r="AH526" s="46">
        <v>1.9558884999999999</v>
      </c>
      <c r="AI526" s="47">
        <f>AB526+AC526</f>
        <v>14.024136499999999</v>
      </c>
      <c r="AJ526" s="47">
        <f>AD526+AE526+AF526+AG526+AH526</f>
        <v>85.975863500000003</v>
      </c>
      <c r="AK526" s="46">
        <v>5.5518616999999999</v>
      </c>
      <c r="AL526" s="46">
        <v>16.223404299999999</v>
      </c>
      <c r="AM526" s="46">
        <v>2.2938830000000001</v>
      </c>
      <c r="AN526" s="46">
        <v>1.4960106</v>
      </c>
      <c r="AO526" s="46">
        <v>69.714095700000001</v>
      </c>
      <c r="AP526" s="46">
        <v>3.2912233999999998</v>
      </c>
      <c r="AQ526" s="46">
        <v>1.4295213</v>
      </c>
      <c r="AR526" s="48">
        <f>AK526+AL526</f>
        <v>21.775265999999998</v>
      </c>
      <c r="AS526" s="48">
        <f>AM526+AN526+AO526+AP526+AQ526</f>
        <v>78.224734000000012</v>
      </c>
    </row>
    <row r="527" spans="2:45" ht="15" hidden="1" customHeight="1" x14ac:dyDescent="0.25">
      <c r="B527" s="35">
        <v>521</v>
      </c>
      <c r="C527" s="36" t="s">
        <v>31</v>
      </c>
      <c r="D527" s="36" t="s">
        <v>172</v>
      </c>
      <c r="E527" s="36" t="s">
        <v>190</v>
      </c>
      <c r="F527" s="36" t="s">
        <v>191</v>
      </c>
      <c r="G527" s="37" t="s">
        <v>25</v>
      </c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40"/>
      <c r="AS527" s="40"/>
    </row>
    <row r="528" spans="2:45" ht="15" hidden="1" customHeight="1" x14ac:dyDescent="0.25">
      <c r="B528" s="35">
        <v>522</v>
      </c>
      <c r="C528" s="36" t="s">
        <v>31</v>
      </c>
      <c r="D528" s="36" t="s">
        <v>172</v>
      </c>
      <c r="E528" s="36" t="s">
        <v>190</v>
      </c>
      <c r="F528" s="36" t="s">
        <v>191</v>
      </c>
      <c r="G528" s="37" t="s">
        <v>26</v>
      </c>
      <c r="H528" s="38">
        <v>2403</v>
      </c>
      <c r="I528" s="38">
        <v>52</v>
      </c>
      <c r="J528" s="38">
        <v>285</v>
      </c>
      <c r="K528" s="38">
        <v>253</v>
      </c>
      <c r="L528" s="38">
        <v>242</v>
      </c>
      <c r="M528" s="38">
        <v>1438</v>
      </c>
      <c r="N528" s="38">
        <v>86</v>
      </c>
      <c r="O528" s="38">
        <v>47</v>
      </c>
      <c r="P528" s="38"/>
      <c r="Q528" s="38"/>
      <c r="R528" s="38">
        <v>3008</v>
      </c>
      <c r="S528" s="38">
        <v>167</v>
      </c>
      <c r="T528" s="38">
        <v>488</v>
      </c>
      <c r="U528" s="38">
        <v>69</v>
      </c>
      <c r="V528" s="38">
        <v>45</v>
      </c>
      <c r="W528" s="38">
        <v>2097</v>
      </c>
      <c r="X528" s="38">
        <v>99</v>
      </c>
      <c r="Y528" s="38">
        <v>43</v>
      </c>
      <c r="Z528" s="38"/>
      <c r="AA528" s="38"/>
      <c r="AB528" s="39">
        <v>2.1639617000000002</v>
      </c>
      <c r="AC528" s="39">
        <v>11.860174799999999</v>
      </c>
      <c r="AD528" s="39">
        <v>10.528506</v>
      </c>
      <c r="AE528" s="39">
        <v>10.070744899999999</v>
      </c>
      <c r="AF528" s="39">
        <v>59.841864299999997</v>
      </c>
      <c r="AG528" s="39">
        <v>3.5788598</v>
      </c>
      <c r="AH528" s="39">
        <v>1.9558884999999999</v>
      </c>
      <c r="AI528" s="39"/>
      <c r="AJ528" s="39"/>
      <c r="AK528" s="39">
        <v>5.5518616999999999</v>
      </c>
      <c r="AL528" s="39">
        <v>16.223404299999999</v>
      </c>
      <c r="AM528" s="39">
        <v>2.2938830000000001</v>
      </c>
      <c r="AN528" s="39">
        <v>1.4960106</v>
      </c>
      <c r="AO528" s="39">
        <v>69.714095700000001</v>
      </c>
      <c r="AP528" s="39">
        <v>3.2912233999999998</v>
      </c>
      <c r="AQ528" s="39">
        <v>1.4295213</v>
      </c>
      <c r="AR528" s="40"/>
      <c r="AS528" s="40"/>
    </row>
    <row r="529" spans="2:45" ht="15" customHeight="1" x14ac:dyDescent="0.25">
      <c r="B529" s="41">
        <v>523</v>
      </c>
      <c r="C529" s="42" t="s">
        <v>31</v>
      </c>
      <c r="D529" s="51" t="s">
        <v>172</v>
      </c>
      <c r="E529" s="51" t="s">
        <v>190</v>
      </c>
      <c r="F529" s="51" t="s">
        <v>192</v>
      </c>
      <c r="G529" s="52" t="s">
        <v>192</v>
      </c>
      <c r="H529" s="43">
        <v>1083</v>
      </c>
      <c r="I529" s="43">
        <v>1</v>
      </c>
      <c r="J529" s="43">
        <v>4</v>
      </c>
      <c r="K529" s="43">
        <v>126</v>
      </c>
      <c r="L529" s="43">
        <v>358</v>
      </c>
      <c r="M529" s="43">
        <v>542</v>
      </c>
      <c r="N529" s="43">
        <v>50</v>
      </c>
      <c r="O529" s="43">
        <v>2</v>
      </c>
      <c r="P529" s="44">
        <f>K529+L529+M529+N529+O529</f>
        <v>1078</v>
      </c>
      <c r="Q529" s="44">
        <f>I529+J529</f>
        <v>5</v>
      </c>
      <c r="R529" s="43">
        <v>1319</v>
      </c>
      <c r="S529" s="43">
        <v>2</v>
      </c>
      <c r="T529" s="43">
        <v>0</v>
      </c>
      <c r="U529" s="43">
        <v>14</v>
      </c>
      <c r="V529" s="43">
        <v>61</v>
      </c>
      <c r="W529" s="43">
        <v>1215</v>
      </c>
      <c r="X529" s="43">
        <v>22</v>
      </c>
      <c r="Y529" s="43">
        <v>5</v>
      </c>
      <c r="Z529" s="45">
        <f>U529+V529+W529+X529+Y529</f>
        <v>1317</v>
      </c>
      <c r="AA529" s="45">
        <f>S529+T529</f>
        <v>2</v>
      </c>
      <c r="AB529" s="46">
        <v>9.2336100000000004E-2</v>
      </c>
      <c r="AC529" s="46">
        <v>0.36934440000000002</v>
      </c>
      <c r="AD529" s="46">
        <v>11.634349</v>
      </c>
      <c r="AE529" s="46">
        <v>33.056325000000001</v>
      </c>
      <c r="AF529" s="46">
        <v>50.046168100000003</v>
      </c>
      <c r="AG529" s="46">
        <v>4.6168051999999999</v>
      </c>
      <c r="AH529" s="46">
        <v>0.18467220000000001</v>
      </c>
      <c r="AI529" s="47">
        <f>AB529+AC529</f>
        <v>0.46168050000000005</v>
      </c>
      <c r="AJ529" s="47">
        <f>AD529+AE529+AF529+AG529+AH529</f>
        <v>99.5383195</v>
      </c>
      <c r="AK529" s="46">
        <v>0.15162999999999999</v>
      </c>
      <c r="AL529" s="46">
        <v>0</v>
      </c>
      <c r="AM529" s="46">
        <v>1.0614102000000001</v>
      </c>
      <c r="AN529" s="46">
        <v>4.6247157000000003</v>
      </c>
      <c r="AO529" s="46">
        <v>92.1152388</v>
      </c>
      <c r="AP529" s="46">
        <v>1.6679303000000001</v>
      </c>
      <c r="AQ529" s="46">
        <v>0.3790751</v>
      </c>
      <c r="AR529" s="48">
        <f>AK529+AL529</f>
        <v>0.15162999999999999</v>
      </c>
      <c r="AS529" s="48">
        <f>AM529+AN529+AO529+AP529+AQ529</f>
        <v>99.848370099999983</v>
      </c>
    </row>
    <row r="530" spans="2:45" ht="15" hidden="1" customHeight="1" x14ac:dyDescent="0.25">
      <c r="B530" s="35">
        <v>524</v>
      </c>
      <c r="C530" s="36" t="s">
        <v>31</v>
      </c>
      <c r="D530" s="36" t="s">
        <v>172</v>
      </c>
      <c r="E530" s="36" t="s">
        <v>190</v>
      </c>
      <c r="F530" s="36" t="s">
        <v>192</v>
      </c>
      <c r="G530" s="37" t="s">
        <v>25</v>
      </c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40"/>
      <c r="AS530" s="40"/>
    </row>
    <row r="531" spans="2:45" ht="15" hidden="1" customHeight="1" x14ac:dyDescent="0.25">
      <c r="B531" s="35">
        <v>525</v>
      </c>
      <c r="C531" s="36" t="s">
        <v>31</v>
      </c>
      <c r="D531" s="36" t="s">
        <v>172</v>
      </c>
      <c r="E531" s="36" t="s">
        <v>190</v>
      </c>
      <c r="F531" s="36" t="s">
        <v>192</v>
      </c>
      <c r="G531" s="37" t="s">
        <v>26</v>
      </c>
      <c r="H531" s="38">
        <v>1083</v>
      </c>
      <c r="I531" s="38">
        <v>1</v>
      </c>
      <c r="J531" s="38">
        <v>4</v>
      </c>
      <c r="K531" s="38">
        <v>126</v>
      </c>
      <c r="L531" s="38">
        <v>358</v>
      </c>
      <c r="M531" s="38">
        <v>542</v>
      </c>
      <c r="N531" s="38">
        <v>50</v>
      </c>
      <c r="O531" s="38">
        <v>2</v>
      </c>
      <c r="P531" s="38"/>
      <c r="Q531" s="38"/>
      <c r="R531" s="38">
        <v>1319</v>
      </c>
      <c r="S531" s="38">
        <v>2</v>
      </c>
      <c r="T531" s="38">
        <v>0</v>
      </c>
      <c r="U531" s="38">
        <v>14</v>
      </c>
      <c r="V531" s="38">
        <v>61</v>
      </c>
      <c r="W531" s="38">
        <v>1215</v>
      </c>
      <c r="X531" s="38">
        <v>22</v>
      </c>
      <c r="Y531" s="38">
        <v>5</v>
      </c>
      <c r="Z531" s="38"/>
      <c r="AA531" s="38"/>
      <c r="AB531" s="39">
        <v>9.2336100000000004E-2</v>
      </c>
      <c r="AC531" s="39">
        <v>0.36934440000000002</v>
      </c>
      <c r="AD531" s="39">
        <v>11.634349</v>
      </c>
      <c r="AE531" s="39">
        <v>33.056325000000001</v>
      </c>
      <c r="AF531" s="39">
        <v>50.046168100000003</v>
      </c>
      <c r="AG531" s="39">
        <v>4.6168051999999999</v>
      </c>
      <c r="AH531" s="39">
        <v>0.18467220000000001</v>
      </c>
      <c r="AI531" s="39"/>
      <c r="AJ531" s="39"/>
      <c r="AK531" s="39">
        <v>0.15162999999999999</v>
      </c>
      <c r="AL531" s="39">
        <v>0</v>
      </c>
      <c r="AM531" s="39">
        <v>1.0614102000000001</v>
      </c>
      <c r="AN531" s="39">
        <v>4.6247157000000003</v>
      </c>
      <c r="AO531" s="39">
        <v>92.1152388</v>
      </c>
      <c r="AP531" s="39">
        <v>1.6679303000000001</v>
      </c>
      <c r="AQ531" s="39">
        <v>0.3790751</v>
      </c>
      <c r="AR531" s="40"/>
      <c r="AS531" s="40"/>
    </row>
    <row r="532" spans="2:45" ht="15" hidden="1" customHeight="1" x14ac:dyDescent="0.25">
      <c r="B532" s="30">
        <v>526</v>
      </c>
      <c r="C532" s="31" t="s">
        <v>29</v>
      </c>
      <c r="D532" s="50" t="s">
        <v>172</v>
      </c>
      <c r="E532" s="50" t="s">
        <v>193</v>
      </c>
      <c r="F532" s="50"/>
      <c r="G532" s="31" t="s">
        <v>193</v>
      </c>
      <c r="H532" s="32">
        <v>9491</v>
      </c>
      <c r="I532" s="32">
        <v>553</v>
      </c>
      <c r="J532" s="32">
        <v>3117</v>
      </c>
      <c r="K532" s="32">
        <v>1030</v>
      </c>
      <c r="L532" s="32">
        <v>959</v>
      </c>
      <c r="M532" s="32">
        <v>3348</v>
      </c>
      <c r="N532" s="32">
        <v>308</v>
      </c>
      <c r="O532" s="32">
        <v>176</v>
      </c>
      <c r="P532" s="32"/>
      <c r="Q532" s="32"/>
      <c r="R532" s="32">
        <v>11426</v>
      </c>
      <c r="S532" s="32">
        <v>1211</v>
      </c>
      <c r="T532" s="32">
        <v>5284</v>
      </c>
      <c r="U532" s="32">
        <v>240</v>
      </c>
      <c r="V532" s="32">
        <v>119</v>
      </c>
      <c r="W532" s="32">
        <v>4218</v>
      </c>
      <c r="X532" s="32">
        <v>248</v>
      </c>
      <c r="Y532" s="32">
        <v>106</v>
      </c>
      <c r="Z532" s="32"/>
      <c r="AA532" s="32"/>
      <c r="AB532" s="33">
        <v>5.8265725000000002</v>
      </c>
      <c r="AC532" s="33">
        <v>32.841639399999998</v>
      </c>
      <c r="AD532" s="33">
        <v>10.8523865</v>
      </c>
      <c r="AE532" s="33">
        <v>10.104309300000001</v>
      </c>
      <c r="AF532" s="33">
        <v>35.2755242</v>
      </c>
      <c r="AG532" s="33">
        <v>3.2451796000000002</v>
      </c>
      <c r="AH532" s="33">
        <v>1.8543883999999999</v>
      </c>
      <c r="AI532" s="33"/>
      <c r="AJ532" s="33"/>
      <c r="AK532" s="33">
        <v>10.5986347</v>
      </c>
      <c r="AL532" s="33">
        <v>46.2454052</v>
      </c>
      <c r="AM532" s="33">
        <v>2.1004725999999998</v>
      </c>
      <c r="AN532" s="33">
        <v>1.0414843</v>
      </c>
      <c r="AO532" s="33">
        <v>36.915806099999998</v>
      </c>
      <c r="AP532" s="33">
        <v>2.1704884</v>
      </c>
      <c r="AQ532" s="33">
        <v>0.92770870000000005</v>
      </c>
      <c r="AR532" s="34"/>
      <c r="AS532" s="34"/>
    </row>
    <row r="533" spans="2:45" ht="15" hidden="1" customHeight="1" x14ac:dyDescent="0.25">
      <c r="B533" s="35">
        <v>527</v>
      </c>
      <c r="C533" s="36" t="s">
        <v>29</v>
      </c>
      <c r="D533" s="36" t="s">
        <v>172</v>
      </c>
      <c r="E533" s="36" t="s">
        <v>193</v>
      </c>
      <c r="F533" s="36"/>
      <c r="G533" s="37" t="s">
        <v>25</v>
      </c>
      <c r="H533" s="38">
        <v>3807</v>
      </c>
      <c r="I533" s="38">
        <v>396</v>
      </c>
      <c r="J533" s="38">
        <v>2392</v>
      </c>
      <c r="K533" s="38">
        <v>81</v>
      </c>
      <c r="L533" s="38">
        <v>190</v>
      </c>
      <c r="M533" s="38">
        <v>674</v>
      </c>
      <c r="N533" s="38">
        <v>51</v>
      </c>
      <c r="O533" s="38">
        <v>23</v>
      </c>
      <c r="P533" s="38"/>
      <c r="Q533" s="38"/>
      <c r="R533" s="38">
        <v>3701</v>
      </c>
      <c r="S533" s="38">
        <v>523</v>
      </c>
      <c r="T533" s="38">
        <v>2919</v>
      </c>
      <c r="U533" s="38">
        <v>22</v>
      </c>
      <c r="V533" s="38">
        <v>12</v>
      </c>
      <c r="W533" s="38">
        <v>199</v>
      </c>
      <c r="X533" s="38">
        <v>10</v>
      </c>
      <c r="Y533" s="38">
        <v>16</v>
      </c>
      <c r="Z533" s="38"/>
      <c r="AA533" s="38"/>
      <c r="AB533" s="39">
        <v>10.401891300000001</v>
      </c>
      <c r="AC533" s="39">
        <v>62.831626</v>
      </c>
      <c r="AD533" s="39">
        <v>2.1276595999999999</v>
      </c>
      <c r="AE533" s="39">
        <v>4.9908064000000003</v>
      </c>
      <c r="AF533" s="39">
        <v>17.704229099999999</v>
      </c>
      <c r="AG533" s="39">
        <v>1.3396375</v>
      </c>
      <c r="AH533" s="39">
        <v>0.60415019999999997</v>
      </c>
      <c r="AI533" s="39"/>
      <c r="AJ533" s="39"/>
      <c r="AK533" s="39">
        <v>14.131315900000001</v>
      </c>
      <c r="AL533" s="39">
        <v>78.870575500000001</v>
      </c>
      <c r="AM533" s="39">
        <v>0.59443389999999996</v>
      </c>
      <c r="AN533" s="39">
        <v>0.32423669999999999</v>
      </c>
      <c r="AO533" s="39">
        <v>5.3769251999999996</v>
      </c>
      <c r="AP533" s="39">
        <v>0.27019720000000003</v>
      </c>
      <c r="AQ533" s="39">
        <v>0.43231560000000002</v>
      </c>
      <c r="AR533" s="40"/>
      <c r="AS533" s="40"/>
    </row>
    <row r="534" spans="2:45" ht="15" hidden="1" customHeight="1" x14ac:dyDescent="0.25">
      <c r="B534" s="35">
        <v>528</v>
      </c>
      <c r="C534" s="36" t="s">
        <v>29</v>
      </c>
      <c r="D534" s="36" t="s">
        <v>172</v>
      </c>
      <c r="E534" s="36" t="s">
        <v>193</v>
      </c>
      <c r="F534" s="36"/>
      <c r="G534" s="37" t="s">
        <v>26</v>
      </c>
      <c r="H534" s="38">
        <v>5684</v>
      </c>
      <c r="I534" s="38">
        <v>157</v>
      </c>
      <c r="J534" s="38">
        <v>725</v>
      </c>
      <c r="K534" s="38">
        <v>949</v>
      </c>
      <c r="L534" s="38">
        <v>769</v>
      </c>
      <c r="M534" s="38">
        <v>2674</v>
      </c>
      <c r="N534" s="38">
        <v>257</v>
      </c>
      <c r="O534" s="38">
        <v>153</v>
      </c>
      <c r="P534" s="38"/>
      <c r="Q534" s="38"/>
      <c r="R534" s="38">
        <v>7725</v>
      </c>
      <c r="S534" s="38">
        <v>688</v>
      </c>
      <c r="T534" s="38">
        <v>2365</v>
      </c>
      <c r="U534" s="38">
        <v>218</v>
      </c>
      <c r="V534" s="38">
        <v>107</v>
      </c>
      <c r="W534" s="38">
        <v>4019</v>
      </c>
      <c r="X534" s="38">
        <v>238</v>
      </c>
      <c r="Y534" s="38">
        <v>90</v>
      </c>
      <c r="Z534" s="38"/>
      <c r="AA534" s="38"/>
      <c r="AB534" s="39">
        <v>2.7621392999999999</v>
      </c>
      <c r="AC534" s="39">
        <v>12.755102000000001</v>
      </c>
      <c r="AD534" s="39">
        <v>16.695988700000001</v>
      </c>
      <c r="AE534" s="39">
        <v>13.5292048</v>
      </c>
      <c r="AF534" s="39">
        <v>47.044334999999997</v>
      </c>
      <c r="AG534" s="39">
        <v>4.5214638000000003</v>
      </c>
      <c r="AH534" s="39">
        <v>2.6917664000000001</v>
      </c>
      <c r="AI534" s="39"/>
      <c r="AJ534" s="39"/>
      <c r="AK534" s="39">
        <v>8.9061488999999998</v>
      </c>
      <c r="AL534" s="39">
        <v>30.6148867</v>
      </c>
      <c r="AM534" s="39">
        <v>2.8220065000000001</v>
      </c>
      <c r="AN534" s="39">
        <v>1.3851133</v>
      </c>
      <c r="AO534" s="39">
        <v>52.025889999999997</v>
      </c>
      <c r="AP534" s="39">
        <v>3.0809061</v>
      </c>
      <c r="AQ534" s="39">
        <v>1.1650484999999999</v>
      </c>
      <c r="AR534" s="40"/>
      <c r="AS534" s="40"/>
    </row>
    <row r="535" spans="2:45" ht="15" customHeight="1" x14ac:dyDescent="0.25">
      <c r="B535" s="41">
        <v>529</v>
      </c>
      <c r="C535" s="42" t="s">
        <v>31</v>
      </c>
      <c r="D535" s="51" t="s">
        <v>172</v>
      </c>
      <c r="E535" s="51" t="s">
        <v>193</v>
      </c>
      <c r="F535" s="51" t="s">
        <v>194</v>
      </c>
      <c r="G535" s="52" t="s">
        <v>194</v>
      </c>
      <c r="H535" s="43">
        <v>5960</v>
      </c>
      <c r="I535" s="43">
        <v>447</v>
      </c>
      <c r="J535" s="43">
        <v>2633</v>
      </c>
      <c r="K535" s="43">
        <v>399</v>
      </c>
      <c r="L535" s="43">
        <v>536</v>
      </c>
      <c r="M535" s="43">
        <v>1691</v>
      </c>
      <c r="N535" s="43">
        <v>173</v>
      </c>
      <c r="O535" s="43">
        <v>81</v>
      </c>
      <c r="P535" s="44">
        <f>K535+L535+M535+N535+O535</f>
        <v>2880</v>
      </c>
      <c r="Q535" s="44">
        <f>I535+J535</f>
        <v>3080</v>
      </c>
      <c r="R535" s="43">
        <v>6338</v>
      </c>
      <c r="S535" s="43">
        <v>753</v>
      </c>
      <c r="T535" s="43">
        <v>4152</v>
      </c>
      <c r="U535" s="43">
        <v>92</v>
      </c>
      <c r="V535" s="43">
        <v>29</v>
      </c>
      <c r="W535" s="43">
        <v>1210</v>
      </c>
      <c r="X535" s="43">
        <v>61</v>
      </c>
      <c r="Y535" s="43">
        <v>41</v>
      </c>
      <c r="Z535" s="45">
        <f>U535+V535+W535+X535+Y535</f>
        <v>1433</v>
      </c>
      <c r="AA535" s="45">
        <f>S535+T535</f>
        <v>4905</v>
      </c>
      <c r="AB535" s="46">
        <v>7.5</v>
      </c>
      <c r="AC535" s="46">
        <v>44.177852299999998</v>
      </c>
      <c r="AD535" s="46">
        <v>6.6946308999999999</v>
      </c>
      <c r="AE535" s="46">
        <v>8.9932885999999996</v>
      </c>
      <c r="AF535" s="46">
        <v>28.372483200000001</v>
      </c>
      <c r="AG535" s="46">
        <v>2.9026846000000002</v>
      </c>
      <c r="AH535" s="46">
        <v>1.3590603999999999</v>
      </c>
      <c r="AI535" s="47">
        <f>AB535+AC535</f>
        <v>51.677852299999998</v>
      </c>
      <c r="AJ535" s="47">
        <f>AD535+AE535+AF535+AG535+AH535</f>
        <v>48.322147699999995</v>
      </c>
      <c r="AK535" s="46">
        <v>11.8807195</v>
      </c>
      <c r="AL535" s="46">
        <v>65.509624500000001</v>
      </c>
      <c r="AM535" s="46">
        <v>1.451562</v>
      </c>
      <c r="AN535" s="46">
        <v>0.45755760000000001</v>
      </c>
      <c r="AO535" s="46">
        <v>19.091196</v>
      </c>
      <c r="AP535" s="46">
        <v>0.96244870000000005</v>
      </c>
      <c r="AQ535" s="46">
        <v>0.64689180000000002</v>
      </c>
      <c r="AR535" s="48">
        <f>AK535+AL535</f>
        <v>77.390343999999999</v>
      </c>
      <c r="AS535" s="48">
        <f>AM535+AN535+AO535+AP535+AQ535</f>
        <v>22.609656099999999</v>
      </c>
    </row>
    <row r="536" spans="2:45" ht="15" hidden="1" customHeight="1" x14ac:dyDescent="0.25">
      <c r="B536" s="35">
        <v>530</v>
      </c>
      <c r="C536" s="36" t="s">
        <v>31</v>
      </c>
      <c r="D536" s="36" t="s">
        <v>172</v>
      </c>
      <c r="E536" s="36" t="s">
        <v>193</v>
      </c>
      <c r="F536" s="36" t="s">
        <v>194</v>
      </c>
      <c r="G536" s="37" t="s">
        <v>25</v>
      </c>
      <c r="H536" s="38">
        <v>2937</v>
      </c>
      <c r="I536" s="38">
        <v>336</v>
      </c>
      <c r="J536" s="38">
        <v>2053</v>
      </c>
      <c r="K536" s="38">
        <v>56</v>
      </c>
      <c r="L536" s="38">
        <v>163</v>
      </c>
      <c r="M536" s="38">
        <v>286</v>
      </c>
      <c r="N536" s="38">
        <v>28</v>
      </c>
      <c r="O536" s="38">
        <v>15</v>
      </c>
      <c r="P536" s="38"/>
      <c r="Q536" s="38"/>
      <c r="R536" s="38">
        <v>3096</v>
      </c>
      <c r="S536" s="38">
        <v>426</v>
      </c>
      <c r="T536" s="38">
        <v>2530</v>
      </c>
      <c r="U536" s="38">
        <v>14</v>
      </c>
      <c r="V536" s="38">
        <v>9</v>
      </c>
      <c r="W536" s="38">
        <v>99</v>
      </c>
      <c r="X536" s="38">
        <v>5</v>
      </c>
      <c r="Y536" s="38">
        <v>13</v>
      </c>
      <c r="Z536" s="38"/>
      <c r="AA536" s="38"/>
      <c r="AB536" s="39">
        <v>11.4402451</v>
      </c>
      <c r="AC536" s="39">
        <v>69.901259800000005</v>
      </c>
      <c r="AD536" s="39">
        <v>1.9067075</v>
      </c>
      <c r="AE536" s="39">
        <v>5.5498808000000004</v>
      </c>
      <c r="AF536" s="39">
        <v>9.7378277000000004</v>
      </c>
      <c r="AG536" s="39">
        <v>0.95335380000000003</v>
      </c>
      <c r="AH536" s="39">
        <v>0.51072519999999999</v>
      </c>
      <c r="AI536" s="39"/>
      <c r="AJ536" s="39"/>
      <c r="AK536" s="39">
        <v>13.7596899</v>
      </c>
      <c r="AL536" s="39">
        <v>81.718346299999993</v>
      </c>
      <c r="AM536" s="39">
        <v>0.4521964</v>
      </c>
      <c r="AN536" s="39">
        <v>0.2906977</v>
      </c>
      <c r="AO536" s="39">
        <v>3.1976743999999999</v>
      </c>
      <c r="AP536" s="39">
        <v>0.1614987</v>
      </c>
      <c r="AQ536" s="39">
        <v>0.41989660000000001</v>
      </c>
      <c r="AR536" s="40"/>
      <c r="AS536" s="40"/>
    </row>
    <row r="537" spans="2:45" ht="15" hidden="1" customHeight="1" x14ac:dyDescent="0.25">
      <c r="B537" s="35">
        <v>531</v>
      </c>
      <c r="C537" s="36" t="s">
        <v>31</v>
      </c>
      <c r="D537" s="36" t="s">
        <v>172</v>
      </c>
      <c r="E537" s="36" t="s">
        <v>193</v>
      </c>
      <c r="F537" s="36" t="s">
        <v>194</v>
      </c>
      <c r="G537" s="37" t="s">
        <v>26</v>
      </c>
      <c r="H537" s="38">
        <v>3023</v>
      </c>
      <c r="I537" s="38">
        <v>111</v>
      </c>
      <c r="J537" s="38">
        <v>580</v>
      </c>
      <c r="K537" s="38">
        <v>343</v>
      </c>
      <c r="L537" s="38">
        <v>373</v>
      </c>
      <c r="M537" s="38">
        <v>1405</v>
      </c>
      <c r="N537" s="38">
        <v>145</v>
      </c>
      <c r="O537" s="38">
        <v>66</v>
      </c>
      <c r="P537" s="38"/>
      <c r="Q537" s="38"/>
      <c r="R537" s="38">
        <v>3242</v>
      </c>
      <c r="S537" s="38">
        <v>327</v>
      </c>
      <c r="T537" s="38">
        <v>1622</v>
      </c>
      <c r="U537" s="38">
        <v>78</v>
      </c>
      <c r="V537" s="38">
        <v>20</v>
      </c>
      <c r="W537" s="38">
        <v>1111</v>
      </c>
      <c r="X537" s="38">
        <v>56</v>
      </c>
      <c r="Y537" s="38">
        <v>28</v>
      </c>
      <c r="Z537" s="38"/>
      <c r="AA537" s="38"/>
      <c r="AB537" s="39">
        <v>3.6718492</v>
      </c>
      <c r="AC537" s="39">
        <v>19.186238800000002</v>
      </c>
      <c r="AD537" s="39">
        <v>11.3463447</v>
      </c>
      <c r="AE537" s="39">
        <v>12.3387364</v>
      </c>
      <c r="AF537" s="39">
        <v>46.477009600000002</v>
      </c>
      <c r="AG537" s="39">
        <v>4.7965597000000004</v>
      </c>
      <c r="AH537" s="39">
        <v>2.1832617000000001</v>
      </c>
      <c r="AI537" s="39"/>
      <c r="AJ537" s="39"/>
      <c r="AK537" s="39">
        <v>10.086366399999999</v>
      </c>
      <c r="AL537" s="39">
        <v>50.030845200000002</v>
      </c>
      <c r="AM537" s="39">
        <v>2.4059222999999998</v>
      </c>
      <c r="AN537" s="39">
        <v>0.61690310000000004</v>
      </c>
      <c r="AO537" s="39">
        <v>34.268969800000001</v>
      </c>
      <c r="AP537" s="39">
        <v>1.7273288</v>
      </c>
      <c r="AQ537" s="39">
        <v>0.8636644</v>
      </c>
      <c r="AR537" s="40"/>
      <c r="AS537" s="40"/>
    </row>
    <row r="538" spans="2:45" ht="15" customHeight="1" x14ac:dyDescent="0.25">
      <c r="B538" s="41">
        <v>532</v>
      </c>
      <c r="C538" s="42" t="s">
        <v>31</v>
      </c>
      <c r="D538" s="51" t="s">
        <v>172</v>
      </c>
      <c r="E538" s="51" t="s">
        <v>193</v>
      </c>
      <c r="F538" s="51" t="s">
        <v>195</v>
      </c>
      <c r="G538" s="52" t="s">
        <v>195</v>
      </c>
      <c r="H538" s="43">
        <v>2061</v>
      </c>
      <c r="I538" s="43">
        <v>27</v>
      </c>
      <c r="J538" s="43">
        <v>138</v>
      </c>
      <c r="K538" s="43">
        <v>560</v>
      </c>
      <c r="L538" s="43">
        <v>355</v>
      </c>
      <c r="M538" s="43">
        <v>827</v>
      </c>
      <c r="N538" s="43">
        <v>80</v>
      </c>
      <c r="O538" s="43">
        <v>74</v>
      </c>
      <c r="P538" s="44">
        <f>K538+L538+M538+N538+O538</f>
        <v>1896</v>
      </c>
      <c r="Q538" s="44">
        <f>I538+J538</f>
        <v>165</v>
      </c>
      <c r="R538" s="43">
        <v>2572</v>
      </c>
      <c r="S538" s="43">
        <v>175</v>
      </c>
      <c r="T538" s="43">
        <v>691</v>
      </c>
      <c r="U538" s="43">
        <v>115</v>
      </c>
      <c r="V538" s="43">
        <v>62</v>
      </c>
      <c r="W538" s="43">
        <v>1420</v>
      </c>
      <c r="X538" s="43">
        <v>91</v>
      </c>
      <c r="Y538" s="43">
        <v>18</v>
      </c>
      <c r="Z538" s="45">
        <f>U538+V538+W538+X538+Y538</f>
        <v>1706</v>
      </c>
      <c r="AA538" s="45">
        <f>S538+T538</f>
        <v>866</v>
      </c>
      <c r="AB538" s="46">
        <v>1.3100437</v>
      </c>
      <c r="AC538" s="46">
        <v>6.6957787</v>
      </c>
      <c r="AD538" s="46">
        <v>27.1712761</v>
      </c>
      <c r="AE538" s="46">
        <v>17.224648200000001</v>
      </c>
      <c r="AF538" s="46">
        <v>40.126152400000002</v>
      </c>
      <c r="AG538" s="46">
        <v>3.8816109000000001</v>
      </c>
      <c r="AH538" s="46">
        <v>3.5904900999999998</v>
      </c>
      <c r="AI538" s="47">
        <f>AB538+AC538</f>
        <v>8.0058223999999996</v>
      </c>
      <c r="AJ538" s="47">
        <f>AD538+AE538+AF538+AG538+AH538</f>
        <v>91.994177700000009</v>
      </c>
      <c r="AK538" s="46">
        <v>6.8040434999999997</v>
      </c>
      <c r="AL538" s="46">
        <v>26.866251900000002</v>
      </c>
      <c r="AM538" s="46">
        <v>4.4712285999999999</v>
      </c>
      <c r="AN538" s="46">
        <v>2.4105753999999999</v>
      </c>
      <c r="AO538" s="46">
        <v>55.209953300000002</v>
      </c>
      <c r="AP538" s="46">
        <v>3.5381026000000002</v>
      </c>
      <c r="AQ538" s="46">
        <v>0.69984449999999998</v>
      </c>
      <c r="AR538" s="48">
        <f>AK538+AL538</f>
        <v>33.670295400000001</v>
      </c>
      <c r="AS538" s="48">
        <f>AM538+AN538+AO538+AP538+AQ538</f>
        <v>66.329704399999997</v>
      </c>
    </row>
    <row r="539" spans="2:45" ht="15" hidden="1" customHeight="1" x14ac:dyDescent="0.25">
      <c r="B539" s="35">
        <v>533</v>
      </c>
      <c r="C539" s="36" t="s">
        <v>31</v>
      </c>
      <c r="D539" s="36" t="s">
        <v>172</v>
      </c>
      <c r="E539" s="36" t="s">
        <v>193</v>
      </c>
      <c r="F539" s="36" t="s">
        <v>195</v>
      </c>
      <c r="G539" s="37" t="s">
        <v>25</v>
      </c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40"/>
      <c r="AS539" s="40"/>
    </row>
    <row r="540" spans="2:45" ht="15" hidden="1" customHeight="1" x14ac:dyDescent="0.25">
      <c r="B540" s="35">
        <v>534</v>
      </c>
      <c r="C540" s="36" t="s">
        <v>31</v>
      </c>
      <c r="D540" s="36" t="s">
        <v>172</v>
      </c>
      <c r="E540" s="36" t="s">
        <v>193</v>
      </c>
      <c r="F540" s="36" t="s">
        <v>195</v>
      </c>
      <c r="G540" s="37" t="s">
        <v>26</v>
      </c>
      <c r="H540" s="38">
        <v>2061</v>
      </c>
      <c r="I540" s="38">
        <v>27</v>
      </c>
      <c r="J540" s="38">
        <v>138</v>
      </c>
      <c r="K540" s="38">
        <v>560</v>
      </c>
      <c r="L540" s="38">
        <v>355</v>
      </c>
      <c r="M540" s="38">
        <v>827</v>
      </c>
      <c r="N540" s="38">
        <v>80</v>
      </c>
      <c r="O540" s="38">
        <v>74</v>
      </c>
      <c r="P540" s="38"/>
      <c r="Q540" s="38"/>
      <c r="R540" s="38">
        <v>2572</v>
      </c>
      <c r="S540" s="38">
        <v>175</v>
      </c>
      <c r="T540" s="38">
        <v>691</v>
      </c>
      <c r="U540" s="38">
        <v>115</v>
      </c>
      <c r="V540" s="38">
        <v>62</v>
      </c>
      <c r="W540" s="38">
        <v>1420</v>
      </c>
      <c r="X540" s="38">
        <v>91</v>
      </c>
      <c r="Y540" s="38">
        <v>18</v>
      </c>
      <c r="Z540" s="38"/>
      <c r="AA540" s="38"/>
      <c r="AB540" s="39">
        <v>1.3100437</v>
      </c>
      <c r="AC540" s="39">
        <v>6.6957787</v>
      </c>
      <c r="AD540" s="39">
        <v>27.1712761</v>
      </c>
      <c r="AE540" s="39">
        <v>17.224648200000001</v>
      </c>
      <c r="AF540" s="39">
        <v>40.126152400000002</v>
      </c>
      <c r="AG540" s="39">
        <v>3.8816109000000001</v>
      </c>
      <c r="AH540" s="39">
        <v>3.5904900999999998</v>
      </c>
      <c r="AI540" s="39"/>
      <c r="AJ540" s="39"/>
      <c r="AK540" s="39">
        <v>6.8040434999999997</v>
      </c>
      <c r="AL540" s="39">
        <v>26.866251900000002</v>
      </c>
      <c r="AM540" s="39">
        <v>4.4712285999999999</v>
      </c>
      <c r="AN540" s="39">
        <v>2.4105753999999999</v>
      </c>
      <c r="AO540" s="39">
        <v>55.209953300000002</v>
      </c>
      <c r="AP540" s="39">
        <v>3.5381026000000002</v>
      </c>
      <c r="AQ540" s="39">
        <v>0.69984449999999998</v>
      </c>
      <c r="AR540" s="40"/>
      <c r="AS540" s="40"/>
    </row>
    <row r="541" spans="2:45" ht="15" customHeight="1" x14ac:dyDescent="0.25">
      <c r="B541" s="41">
        <v>535</v>
      </c>
      <c r="C541" s="42" t="s">
        <v>31</v>
      </c>
      <c r="D541" s="51" t="s">
        <v>172</v>
      </c>
      <c r="E541" s="51" t="s">
        <v>193</v>
      </c>
      <c r="F541" s="51" t="s">
        <v>196</v>
      </c>
      <c r="G541" s="52" t="s">
        <v>196</v>
      </c>
      <c r="H541" s="43">
        <v>1470</v>
      </c>
      <c r="I541" s="43">
        <v>79</v>
      </c>
      <c r="J541" s="43">
        <v>346</v>
      </c>
      <c r="K541" s="43">
        <v>71</v>
      </c>
      <c r="L541" s="43">
        <v>68</v>
      </c>
      <c r="M541" s="43">
        <v>830</v>
      </c>
      <c r="N541" s="43">
        <v>55</v>
      </c>
      <c r="O541" s="43">
        <v>21</v>
      </c>
      <c r="P541" s="44">
        <f>K541+L541+M541+N541+O541</f>
        <v>1045</v>
      </c>
      <c r="Q541" s="44">
        <f>I541+J541</f>
        <v>425</v>
      </c>
      <c r="R541" s="43">
        <v>2516</v>
      </c>
      <c r="S541" s="43">
        <v>283</v>
      </c>
      <c r="T541" s="43">
        <v>441</v>
      </c>
      <c r="U541" s="43">
        <v>33</v>
      </c>
      <c r="V541" s="43">
        <v>28</v>
      </c>
      <c r="W541" s="43">
        <v>1588</v>
      </c>
      <c r="X541" s="43">
        <v>96</v>
      </c>
      <c r="Y541" s="43">
        <v>47</v>
      </c>
      <c r="Z541" s="45">
        <f>U541+V541+W541+X541+Y541</f>
        <v>1792</v>
      </c>
      <c r="AA541" s="45">
        <f>S541+T541</f>
        <v>724</v>
      </c>
      <c r="AB541" s="46">
        <v>5.3741497000000003</v>
      </c>
      <c r="AC541" s="46">
        <v>23.537414999999999</v>
      </c>
      <c r="AD541" s="46">
        <v>4.8299320000000003</v>
      </c>
      <c r="AE541" s="46">
        <v>4.6258502999999997</v>
      </c>
      <c r="AF541" s="46">
        <v>56.462584999999997</v>
      </c>
      <c r="AG541" s="46">
        <v>3.7414966000000001</v>
      </c>
      <c r="AH541" s="46">
        <v>1.4285714</v>
      </c>
      <c r="AI541" s="47">
        <f>AB541+AC541</f>
        <v>28.9115647</v>
      </c>
      <c r="AJ541" s="47">
        <f>AD541+AE541+AF541+AG541+AH541</f>
        <v>71.0884353</v>
      </c>
      <c r="AK541" s="46">
        <v>11.2480127</v>
      </c>
      <c r="AL541" s="46">
        <v>17.527821899999999</v>
      </c>
      <c r="AM541" s="46">
        <v>1.3116057000000001</v>
      </c>
      <c r="AN541" s="46">
        <v>1.1128776</v>
      </c>
      <c r="AO541" s="46">
        <v>63.1160572</v>
      </c>
      <c r="AP541" s="46">
        <v>3.8155803000000001</v>
      </c>
      <c r="AQ541" s="46">
        <v>1.8680445000000001</v>
      </c>
      <c r="AR541" s="48">
        <f>AK541+AL541</f>
        <v>28.7758346</v>
      </c>
      <c r="AS541" s="48">
        <f>AM541+AN541+AO541+AP541+AQ541</f>
        <v>71.224165299999996</v>
      </c>
    </row>
    <row r="542" spans="2:45" ht="15" hidden="1" customHeight="1" x14ac:dyDescent="0.25">
      <c r="B542" s="35">
        <v>536</v>
      </c>
      <c r="C542" s="36" t="s">
        <v>31</v>
      </c>
      <c r="D542" s="36" t="s">
        <v>172</v>
      </c>
      <c r="E542" s="36" t="s">
        <v>193</v>
      </c>
      <c r="F542" s="36" t="s">
        <v>196</v>
      </c>
      <c r="G542" s="37" t="s">
        <v>25</v>
      </c>
      <c r="H542" s="38">
        <v>870</v>
      </c>
      <c r="I542" s="38">
        <v>60</v>
      </c>
      <c r="J542" s="38">
        <v>339</v>
      </c>
      <c r="K542" s="38">
        <v>25</v>
      </c>
      <c r="L542" s="38">
        <v>27</v>
      </c>
      <c r="M542" s="38">
        <v>388</v>
      </c>
      <c r="N542" s="38">
        <v>23</v>
      </c>
      <c r="O542" s="38">
        <v>8</v>
      </c>
      <c r="P542" s="38"/>
      <c r="Q542" s="38"/>
      <c r="R542" s="38">
        <v>605</v>
      </c>
      <c r="S542" s="38">
        <v>97</v>
      </c>
      <c r="T542" s="38">
        <v>389</v>
      </c>
      <c r="U542" s="38">
        <v>8</v>
      </c>
      <c r="V542" s="38">
        <v>3</v>
      </c>
      <c r="W542" s="38">
        <v>100</v>
      </c>
      <c r="X542" s="38">
        <v>5</v>
      </c>
      <c r="Y542" s="38">
        <v>3</v>
      </c>
      <c r="Z542" s="38"/>
      <c r="AA542" s="38"/>
      <c r="AB542" s="39">
        <v>6.8965516999999998</v>
      </c>
      <c r="AC542" s="39">
        <v>38.965517200000001</v>
      </c>
      <c r="AD542" s="39">
        <v>2.8735632</v>
      </c>
      <c r="AE542" s="39">
        <v>3.1034483000000002</v>
      </c>
      <c r="AF542" s="39">
        <v>44.597701100000002</v>
      </c>
      <c r="AG542" s="39">
        <v>2.6436782000000001</v>
      </c>
      <c r="AH542" s="39">
        <v>0.91954020000000003</v>
      </c>
      <c r="AI542" s="39"/>
      <c r="AJ542" s="39"/>
      <c r="AK542" s="39">
        <v>16.033057899999999</v>
      </c>
      <c r="AL542" s="39">
        <v>64.297520700000007</v>
      </c>
      <c r="AM542" s="39">
        <v>1.322314</v>
      </c>
      <c r="AN542" s="39">
        <v>0.49586780000000003</v>
      </c>
      <c r="AO542" s="39">
        <v>16.528925600000001</v>
      </c>
      <c r="AP542" s="39">
        <v>0.82644629999999997</v>
      </c>
      <c r="AQ542" s="39">
        <v>0.49586780000000003</v>
      </c>
      <c r="AR542" s="40"/>
      <c r="AS542" s="40"/>
    </row>
    <row r="543" spans="2:45" ht="15" hidden="1" customHeight="1" x14ac:dyDescent="0.25">
      <c r="B543" s="35">
        <v>537</v>
      </c>
      <c r="C543" s="36" t="s">
        <v>31</v>
      </c>
      <c r="D543" s="36" t="s">
        <v>172</v>
      </c>
      <c r="E543" s="36" t="s">
        <v>193</v>
      </c>
      <c r="F543" s="36" t="s">
        <v>196</v>
      </c>
      <c r="G543" s="37" t="s">
        <v>26</v>
      </c>
      <c r="H543" s="38">
        <v>600</v>
      </c>
      <c r="I543" s="38">
        <v>19</v>
      </c>
      <c r="J543" s="38">
        <v>7</v>
      </c>
      <c r="K543" s="38">
        <v>46</v>
      </c>
      <c r="L543" s="38">
        <v>41</v>
      </c>
      <c r="M543" s="38">
        <v>442</v>
      </c>
      <c r="N543" s="38">
        <v>32</v>
      </c>
      <c r="O543" s="38">
        <v>13</v>
      </c>
      <c r="P543" s="38"/>
      <c r="Q543" s="38"/>
      <c r="R543" s="38">
        <v>1911</v>
      </c>
      <c r="S543" s="38">
        <v>186</v>
      </c>
      <c r="T543" s="38">
        <v>52</v>
      </c>
      <c r="U543" s="38">
        <v>25</v>
      </c>
      <c r="V543" s="38">
        <v>25</v>
      </c>
      <c r="W543" s="38">
        <v>1488</v>
      </c>
      <c r="X543" s="38">
        <v>91</v>
      </c>
      <c r="Y543" s="38">
        <v>44</v>
      </c>
      <c r="Z543" s="38"/>
      <c r="AA543" s="38"/>
      <c r="AB543" s="39">
        <v>3.1666666999999999</v>
      </c>
      <c r="AC543" s="39">
        <v>1.1666666999999999</v>
      </c>
      <c r="AD543" s="39">
        <v>7.6666667000000004</v>
      </c>
      <c r="AE543" s="39">
        <v>6.8333332999999996</v>
      </c>
      <c r="AF543" s="39">
        <v>73.666666699999993</v>
      </c>
      <c r="AG543" s="39">
        <v>5.3333332999999996</v>
      </c>
      <c r="AH543" s="39">
        <v>2.1666666999999999</v>
      </c>
      <c r="AI543" s="39"/>
      <c r="AJ543" s="39"/>
      <c r="AK543" s="39">
        <v>9.7331240000000001</v>
      </c>
      <c r="AL543" s="39">
        <v>2.7210884000000002</v>
      </c>
      <c r="AM543" s="39">
        <v>1.3082156</v>
      </c>
      <c r="AN543" s="39">
        <v>1.3082156</v>
      </c>
      <c r="AO543" s="39">
        <v>77.864992200000003</v>
      </c>
      <c r="AP543" s="39">
        <v>4.7619047999999999</v>
      </c>
      <c r="AQ543" s="39">
        <v>2.3024594</v>
      </c>
      <c r="AR543" s="40"/>
      <c r="AS543" s="40"/>
    </row>
    <row r="544" spans="2:45" ht="15" hidden="1" customHeight="1" x14ac:dyDescent="0.25">
      <c r="B544" s="30">
        <v>538</v>
      </c>
      <c r="C544" s="31" t="s">
        <v>29</v>
      </c>
      <c r="D544" s="50" t="s">
        <v>172</v>
      </c>
      <c r="E544" s="50" t="s">
        <v>197</v>
      </c>
      <c r="F544" s="50"/>
      <c r="G544" s="31" t="s">
        <v>197</v>
      </c>
      <c r="H544" s="32">
        <v>89217</v>
      </c>
      <c r="I544" s="32">
        <v>10059</v>
      </c>
      <c r="J544" s="32">
        <v>49533</v>
      </c>
      <c r="K544" s="32">
        <v>1795</v>
      </c>
      <c r="L544" s="32">
        <v>3880</v>
      </c>
      <c r="M544" s="32">
        <v>21730</v>
      </c>
      <c r="N544" s="32">
        <v>1494</v>
      </c>
      <c r="O544" s="32">
        <v>726</v>
      </c>
      <c r="P544" s="32"/>
      <c r="Q544" s="32"/>
      <c r="R544" s="32">
        <v>121175</v>
      </c>
      <c r="S544" s="32">
        <v>17884</v>
      </c>
      <c r="T544" s="32">
        <v>85481</v>
      </c>
      <c r="U544" s="32">
        <v>504</v>
      </c>
      <c r="V544" s="32">
        <v>444</v>
      </c>
      <c r="W544" s="32">
        <v>15157</v>
      </c>
      <c r="X544" s="32">
        <v>1012</v>
      </c>
      <c r="Y544" s="32">
        <v>693</v>
      </c>
      <c r="Z544" s="32"/>
      <c r="AA544" s="32"/>
      <c r="AB544" s="33">
        <v>11.2747571</v>
      </c>
      <c r="AC544" s="33">
        <v>55.519688000000002</v>
      </c>
      <c r="AD544" s="33">
        <v>2.0119484000000001</v>
      </c>
      <c r="AE544" s="33">
        <v>4.3489468999999996</v>
      </c>
      <c r="AF544" s="33">
        <v>24.3563446</v>
      </c>
      <c r="AG544" s="33">
        <v>1.6745687</v>
      </c>
      <c r="AH544" s="33">
        <v>0.81374630000000003</v>
      </c>
      <c r="AI544" s="33"/>
      <c r="AJ544" s="33"/>
      <c r="AK544" s="33">
        <v>14.758819900000001</v>
      </c>
      <c r="AL544" s="33">
        <v>70.543428899999995</v>
      </c>
      <c r="AM544" s="33">
        <v>0.4159274</v>
      </c>
      <c r="AN544" s="33">
        <v>0.36641220000000002</v>
      </c>
      <c r="AO544" s="33">
        <v>12.508355699999999</v>
      </c>
      <c r="AP544" s="33">
        <v>0.8351558</v>
      </c>
      <c r="AQ544" s="33">
        <v>0.57190010000000002</v>
      </c>
      <c r="AR544" s="34"/>
      <c r="AS544" s="34"/>
    </row>
    <row r="545" spans="2:45" ht="15" hidden="1" customHeight="1" x14ac:dyDescent="0.25">
      <c r="B545" s="35">
        <v>539</v>
      </c>
      <c r="C545" s="36" t="s">
        <v>29</v>
      </c>
      <c r="D545" s="36" t="s">
        <v>172</v>
      </c>
      <c r="E545" s="36" t="s">
        <v>197</v>
      </c>
      <c r="F545" s="36"/>
      <c r="G545" s="37" t="s">
        <v>25</v>
      </c>
      <c r="H545" s="38">
        <v>75248</v>
      </c>
      <c r="I545" s="38">
        <v>9794</v>
      </c>
      <c r="J545" s="38">
        <v>48597</v>
      </c>
      <c r="K545" s="38">
        <v>1119</v>
      </c>
      <c r="L545" s="38">
        <v>2003</v>
      </c>
      <c r="M545" s="38">
        <v>12283</v>
      </c>
      <c r="N545" s="38">
        <v>871</v>
      </c>
      <c r="O545" s="38">
        <v>581</v>
      </c>
      <c r="P545" s="38"/>
      <c r="Q545" s="38"/>
      <c r="R545" s="38">
        <v>108515</v>
      </c>
      <c r="S545" s="38">
        <v>16912</v>
      </c>
      <c r="T545" s="38">
        <v>81370</v>
      </c>
      <c r="U545" s="38">
        <v>388</v>
      </c>
      <c r="V545" s="38">
        <v>259</v>
      </c>
      <c r="W545" s="38">
        <v>8487</v>
      </c>
      <c r="X545" s="38">
        <v>508</v>
      </c>
      <c r="Y545" s="38">
        <v>591</v>
      </c>
      <c r="Z545" s="38"/>
      <c r="AA545" s="38"/>
      <c r="AB545" s="39">
        <v>13.015628299999999</v>
      </c>
      <c r="AC545" s="39">
        <v>64.582447400000007</v>
      </c>
      <c r="AD545" s="39">
        <v>1.4870827</v>
      </c>
      <c r="AE545" s="39">
        <v>2.6618648</v>
      </c>
      <c r="AF545" s="39">
        <v>16.323357399999999</v>
      </c>
      <c r="AG545" s="39">
        <v>1.1575058</v>
      </c>
      <c r="AH545" s="39">
        <v>0.77211350000000001</v>
      </c>
      <c r="AI545" s="39"/>
      <c r="AJ545" s="39"/>
      <c r="AK545" s="39">
        <v>15.5849422</v>
      </c>
      <c r="AL545" s="39">
        <v>74.985025100000001</v>
      </c>
      <c r="AM545" s="39">
        <v>0.35755429999999999</v>
      </c>
      <c r="AN545" s="39">
        <v>0.23867669999999999</v>
      </c>
      <c r="AO545" s="39">
        <v>7.8210385999999996</v>
      </c>
      <c r="AP545" s="39">
        <v>0.468138</v>
      </c>
      <c r="AQ545" s="39">
        <v>0.54462520000000003</v>
      </c>
      <c r="AR545" s="40"/>
      <c r="AS545" s="40"/>
    </row>
    <row r="546" spans="2:45" ht="15" hidden="1" customHeight="1" x14ac:dyDescent="0.25">
      <c r="B546" s="35">
        <v>540</v>
      </c>
      <c r="C546" s="36" t="s">
        <v>29</v>
      </c>
      <c r="D546" s="36" t="s">
        <v>172</v>
      </c>
      <c r="E546" s="36" t="s">
        <v>197</v>
      </c>
      <c r="F546" s="36"/>
      <c r="G546" s="37" t="s">
        <v>26</v>
      </c>
      <c r="H546" s="38">
        <v>13969</v>
      </c>
      <c r="I546" s="38">
        <v>265</v>
      </c>
      <c r="J546" s="38">
        <v>936</v>
      </c>
      <c r="K546" s="38">
        <v>676</v>
      </c>
      <c r="L546" s="38">
        <v>1877</v>
      </c>
      <c r="M546" s="38">
        <v>9447</v>
      </c>
      <c r="N546" s="38">
        <v>623</v>
      </c>
      <c r="O546" s="38">
        <v>145</v>
      </c>
      <c r="P546" s="38"/>
      <c r="Q546" s="38"/>
      <c r="R546" s="38">
        <v>12660</v>
      </c>
      <c r="S546" s="38">
        <v>972</v>
      </c>
      <c r="T546" s="38">
        <v>4111</v>
      </c>
      <c r="U546" s="38">
        <v>116</v>
      </c>
      <c r="V546" s="38">
        <v>185</v>
      </c>
      <c r="W546" s="38">
        <v>6670</v>
      </c>
      <c r="X546" s="38">
        <v>504</v>
      </c>
      <c r="Y546" s="38">
        <v>102</v>
      </c>
      <c r="Z546" s="38"/>
      <c r="AA546" s="38"/>
      <c r="AB546" s="39">
        <v>1.8970578</v>
      </c>
      <c r="AC546" s="39">
        <v>6.7005511999999996</v>
      </c>
      <c r="AD546" s="39">
        <v>4.8392869999999997</v>
      </c>
      <c r="AE546" s="39">
        <v>13.436896000000001</v>
      </c>
      <c r="AF546" s="39">
        <v>67.628319899999994</v>
      </c>
      <c r="AG546" s="39">
        <v>4.4598753999999996</v>
      </c>
      <c r="AH546" s="39">
        <v>1.0380126999999999</v>
      </c>
      <c r="AI546" s="39"/>
      <c r="AJ546" s="39"/>
      <c r="AK546" s="39">
        <v>7.6777251</v>
      </c>
      <c r="AL546" s="39">
        <v>32.472353900000002</v>
      </c>
      <c r="AM546" s="39">
        <v>0.91627170000000002</v>
      </c>
      <c r="AN546" s="39">
        <v>1.4612954</v>
      </c>
      <c r="AO546" s="39">
        <v>52.685623999999997</v>
      </c>
      <c r="AP546" s="39">
        <v>3.9810427000000002</v>
      </c>
      <c r="AQ546" s="39">
        <v>0.80568720000000005</v>
      </c>
      <c r="AR546" s="40"/>
      <c r="AS546" s="40"/>
    </row>
    <row r="547" spans="2:45" ht="15" customHeight="1" x14ac:dyDescent="0.25">
      <c r="B547" s="41">
        <v>541</v>
      </c>
      <c r="C547" s="42" t="s">
        <v>31</v>
      </c>
      <c r="D547" s="51" t="s">
        <v>172</v>
      </c>
      <c r="E547" s="51" t="s">
        <v>197</v>
      </c>
      <c r="F547" s="51" t="s">
        <v>197</v>
      </c>
      <c r="G547" s="52" t="s">
        <v>197</v>
      </c>
      <c r="H547" s="43">
        <v>35931</v>
      </c>
      <c r="I547" s="43">
        <v>4433</v>
      </c>
      <c r="J547" s="43">
        <v>22953</v>
      </c>
      <c r="K547" s="43">
        <v>666</v>
      </c>
      <c r="L547" s="43">
        <v>922</v>
      </c>
      <c r="M547" s="43">
        <v>6315</v>
      </c>
      <c r="N547" s="43">
        <v>442</v>
      </c>
      <c r="O547" s="43">
        <v>200</v>
      </c>
      <c r="P547" s="44">
        <f>K547+L547+M547+N547+O547</f>
        <v>8545</v>
      </c>
      <c r="Q547" s="44">
        <f>I547+J547</f>
        <v>27386</v>
      </c>
      <c r="R547" s="43">
        <v>49171</v>
      </c>
      <c r="S547" s="43">
        <v>7725</v>
      </c>
      <c r="T547" s="43">
        <v>36081</v>
      </c>
      <c r="U547" s="43">
        <v>233</v>
      </c>
      <c r="V547" s="43">
        <v>94</v>
      </c>
      <c r="W547" s="43">
        <v>4431</v>
      </c>
      <c r="X547" s="43">
        <v>336</v>
      </c>
      <c r="Y547" s="43">
        <v>271</v>
      </c>
      <c r="Z547" s="45">
        <f>U547+V547+W547+X547+Y547</f>
        <v>5365</v>
      </c>
      <c r="AA547" s="45">
        <f>S547+T547</f>
        <v>43806</v>
      </c>
      <c r="AB547" s="46">
        <v>12.337535799999999</v>
      </c>
      <c r="AC547" s="46">
        <v>63.880771500000002</v>
      </c>
      <c r="AD547" s="46">
        <v>1.8535526</v>
      </c>
      <c r="AE547" s="46">
        <v>2.5660292999999998</v>
      </c>
      <c r="AF547" s="46">
        <v>17.575352800000001</v>
      </c>
      <c r="AG547" s="46">
        <v>1.2301355</v>
      </c>
      <c r="AH547" s="46">
        <v>0.55662239999999996</v>
      </c>
      <c r="AI547" s="47">
        <f>AB547+AC547</f>
        <v>76.218307300000006</v>
      </c>
      <c r="AJ547" s="47">
        <f>AD547+AE547+AF547+AG547+AH547</f>
        <v>23.7816926</v>
      </c>
      <c r="AK547" s="46">
        <v>15.7104798</v>
      </c>
      <c r="AL547" s="46">
        <v>73.378617500000004</v>
      </c>
      <c r="AM547" s="46">
        <v>0.47385650000000001</v>
      </c>
      <c r="AN547" s="46">
        <v>0.1911696</v>
      </c>
      <c r="AO547" s="46">
        <v>9.0114091999999992</v>
      </c>
      <c r="AP547" s="46">
        <v>0.68332959999999998</v>
      </c>
      <c r="AQ547" s="46">
        <v>0.55113789999999996</v>
      </c>
      <c r="AR547" s="48">
        <f>AK547+AL547</f>
        <v>89.089097300000006</v>
      </c>
      <c r="AS547" s="48">
        <f>AM547+AN547+AO547+AP547+AQ547</f>
        <v>10.910902800000001</v>
      </c>
    </row>
    <row r="548" spans="2:45" ht="15" hidden="1" customHeight="1" x14ac:dyDescent="0.25">
      <c r="B548" s="35">
        <v>542</v>
      </c>
      <c r="C548" s="36" t="s">
        <v>31</v>
      </c>
      <c r="D548" s="36" t="s">
        <v>172</v>
      </c>
      <c r="E548" s="36" t="s">
        <v>197</v>
      </c>
      <c r="F548" s="36" t="s">
        <v>197</v>
      </c>
      <c r="G548" s="37" t="s">
        <v>25</v>
      </c>
      <c r="H548" s="38">
        <v>34151</v>
      </c>
      <c r="I548" s="38">
        <v>4405</v>
      </c>
      <c r="J548" s="38">
        <v>22902</v>
      </c>
      <c r="K548" s="38">
        <v>528</v>
      </c>
      <c r="L548" s="38">
        <v>699</v>
      </c>
      <c r="M548" s="38">
        <v>5117</v>
      </c>
      <c r="N548" s="38">
        <v>329</v>
      </c>
      <c r="O548" s="38">
        <v>171</v>
      </c>
      <c r="P548" s="38"/>
      <c r="Q548" s="38"/>
      <c r="R548" s="38">
        <v>46686</v>
      </c>
      <c r="S548" s="38">
        <v>7604</v>
      </c>
      <c r="T548" s="38">
        <v>35471</v>
      </c>
      <c r="U548" s="38">
        <v>213</v>
      </c>
      <c r="V548" s="38">
        <v>76</v>
      </c>
      <c r="W548" s="38">
        <v>2866</v>
      </c>
      <c r="X548" s="38">
        <v>211</v>
      </c>
      <c r="Y548" s="38">
        <v>245</v>
      </c>
      <c r="Z548" s="38"/>
      <c r="AA548" s="38"/>
      <c r="AB548" s="39">
        <v>12.8985974</v>
      </c>
      <c r="AC548" s="39">
        <v>67.060993800000006</v>
      </c>
      <c r="AD548" s="39">
        <v>1.5460748</v>
      </c>
      <c r="AE548" s="39">
        <v>2.0467922000000001</v>
      </c>
      <c r="AF548" s="39">
        <v>14.9834558</v>
      </c>
      <c r="AG548" s="39">
        <v>0.96336860000000002</v>
      </c>
      <c r="AH548" s="39">
        <v>0.50071739999999998</v>
      </c>
      <c r="AI548" s="39"/>
      <c r="AJ548" s="39"/>
      <c r="AK548" s="39">
        <v>16.287538000000001</v>
      </c>
      <c r="AL548" s="39">
        <v>75.977809199999996</v>
      </c>
      <c r="AM548" s="39">
        <v>0.45623960000000002</v>
      </c>
      <c r="AN548" s="39">
        <v>0.16278970000000001</v>
      </c>
      <c r="AO548" s="39">
        <v>6.1388853000000001</v>
      </c>
      <c r="AP548" s="39">
        <v>0.45195560000000001</v>
      </c>
      <c r="AQ548" s="39">
        <v>0.52478259999999999</v>
      </c>
      <c r="AR548" s="40"/>
      <c r="AS548" s="40"/>
    </row>
    <row r="549" spans="2:45" ht="15" hidden="1" customHeight="1" x14ac:dyDescent="0.25">
      <c r="B549" s="35">
        <v>543</v>
      </c>
      <c r="C549" s="36" t="s">
        <v>31</v>
      </c>
      <c r="D549" s="36" t="s">
        <v>172</v>
      </c>
      <c r="E549" s="36" t="s">
        <v>197</v>
      </c>
      <c r="F549" s="36" t="s">
        <v>197</v>
      </c>
      <c r="G549" s="37" t="s">
        <v>26</v>
      </c>
      <c r="H549" s="38">
        <v>1780</v>
      </c>
      <c r="I549" s="38">
        <v>28</v>
      </c>
      <c r="J549" s="38">
        <v>51</v>
      </c>
      <c r="K549" s="38">
        <v>138</v>
      </c>
      <c r="L549" s="38">
        <v>223</v>
      </c>
      <c r="M549" s="38">
        <v>1198</v>
      </c>
      <c r="N549" s="38">
        <v>113</v>
      </c>
      <c r="O549" s="38">
        <v>29</v>
      </c>
      <c r="P549" s="38"/>
      <c r="Q549" s="38"/>
      <c r="R549" s="38">
        <v>2485</v>
      </c>
      <c r="S549" s="38">
        <v>121</v>
      </c>
      <c r="T549" s="38">
        <v>610</v>
      </c>
      <c r="U549" s="38">
        <v>20</v>
      </c>
      <c r="V549" s="38">
        <v>18</v>
      </c>
      <c r="W549" s="38">
        <v>1565</v>
      </c>
      <c r="X549" s="38">
        <v>125</v>
      </c>
      <c r="Y549" s="38">
        <v>26</v>
      </c>
      <c r="Z549" s="38"/>
      <c r="AA549" s="38"/>
      <c r="AB549" s="39">
        <v>1.5730337000000001</v>
      </c>
      <c r="AC549" s="39">
        <v>2.8651684999999998</v>
      </c>
      <c r="AD549" s="39">
        <v>7.7528090000000001</v>
      </c>
      <c r="AE549" s="39">
        <v>12.528089899999999</v>
      </c>
      <c r="AF549" s="39">
        <v>67.303370799999996</v>
      </c>
      <c r="AG549" s="39">
        <v>6.3483146000000001</v>
      </c>
      <c r="AH549" s="39">
        <v>1.6292135000000001</v>
      </c>
      <c r="AI549" s="39"/>
      <c r="AJ549" s="39"/>
      <c r="AK549" s="39">
        <v>4.8692152999999996</v>
      </c>
      <c r="AL549" s="39">
        <v>24.547283700000001</v>
      </c>
      <c r="AM549" s="39">
        <v>0.80482900000000002</v>
      </c>
      <c r="AN549" s="39">
        <v>0.72434609999999999</v>
      </c>
      <c r="AO549" s="39">
        <v>62.977867199999999</v>
      </c>
      <c r="AP549" s="39">
        <v>5.0301811000000001</v>
      </c>
      <c r="AQ549" s="39">
        <v>1.0462777000000001</v>
      </c>
      <c r="AR549" s="40"/>
      <c r="AS549" s="40"/>
    </row>
    <row r="550" spans="2:45" ht="15" customHeight="1" x14ac:dyDescent="0.25">
      <c r="B550" s="41">
        <v>544</v>
      </c>
      <c r="C550" s="42" t="s">
        <v>31</v>
      </c>
      <c r="D550" s="51" t="s">
        <v>172</v>
      </c>
      <c r="E550" s="51" t="s">
        <v>197</v>
      </c>
      <c r="F550" s="51" t="s">
        <v>198</v>
      </c>
      <c r="G550" s="52" t="s">
        <v>198</v>
      </c>
      <c r="H550" s="43">
        <v>11603</v>
      </c>
      <c r="I550" s="43">
        <v>475</v>
      </c>
      <c r="J550" s="43">
        <v>1829</v>
      </c>
      <c r="K550" s="43">
        <v>476</v>
      </c>
      <c r="L550" s="43">
        <v>1657</v>
      </c>
      <c r="M550" s="43">
        <v>6667</v>
      </c>
      <c r="N550" s="43">
        <v>376</v>
      </c>
      <c r="O550" s="43">
        <v>123</v>
      </c>
      <c r="P550" s="44">
        <f>K550+L550+M550+N550+O550</f>
        <v>9299</v>
      </c>
      <c r="Q550" s="44">
        <f>I550+J550</f>
        <v>2304</v>
      </c>
      <c r="R550" s="43">
        <v>17824</v>
      </c>
      <c r="S550" s="43">
        <v>1996</v>
      </c>
      <c r="T550" s="43">
        <v>10248</v>
      </c>
      <c r="U550" s="43">
        <v>104</v>
      </c>
      <c r="V550" s="43">
        <v>171</v>
      </c>
      <c r="W550" s="43">
        <v>4959</v>
      </c>
      <c r="X550" s="43">
        <v>213</v>
      </c>
      <c r="Y550" s="43">
        <v>133</v>
      </c>
      <c r="Z550" s="45">
        <f>U550+V550+W550+X550+Y550</f>
        <v>5580</v>
      </c>
      <c r="AA550" s="45">
        <f>S550+T550</f>
        <v>12244</v>
      </c>
      <c r="AB550" s="46">
        <v>4.0937688999999997</v>
      </c>
      <c r="AC550" s="46">
        <v>15.763164700000001</v>
      </c>
      <c r="AD550" s="46">
        <v>4.1023873000000002</v>
      </c>
      <c r="AE550" s="46">
        <v>14.280789499999999</v>
      </c>
      <c r="AF550" s="46">
        <v>57.459277800000002</v>
      </c>
      <c r="AG550" s="46">
        <v>3.2405412</v>
      </c>
      <c r="AH550" s="46">
        <v>1.0600707</v>
      </c>
      <c r="AI550" s="47">
        <f>AB550+AC550</f>
        <v>19.856933600000001</v>
      </c>
      <c r="AJ550" s="47">
        <f>AD550+AE550+AF550+AG550+AH550</f>
        <v>80.143066499999989</v>
      </c>
      <c r="AK550" s="46">
        <v>11.1983842</v>
      </c>
      <c r="AL550" s="46">
        <v>57.495511700000002</v>
      </c>
      <c r="AM550" s="46">
        <v>0.58348290000000003</v>
      </c>
      <c r="AN550" s="46">
        <v>0.95938060000000003</v>
      </c>
      <c r="AO550" s="46">
        <v>27.822037699999999</v>
      </c>
      <c r="AP550" s="46">
        <v>1.1950179999999999</v>
      </c>
      <c r="AQ550" s="46">
        <v>0.74618490000000004</v>
      </c>
      <c r="AR550" s="48">
        <f>AK550+AL550</f>
        <v>68.693895900000001</v>
      </c>
      <c r="AS550" s="48">
        <f>AM550+AN550+AO550+AP550+AQ550</f>
        <v>31.306104099999999</v>
      </c>
    </row>
    <row r="551" spans="2:45" ht="15" hidden="1" customHeight="1" x14ac:dyDescent="0.25">
      <c r="B551" s="35">
        <v>545</v>
      </c>
      <c r="C551" s="36" t="s">
        <v>31</v>
      </c>
      <c r="D551" s="36" t="s">
        <v>172</v>
      </c>
      <c r="E551" s="36" t="s">
        <v>197</v>
      </c>
      <c r="F551" s="36" t="s">
        <v>198</v>
      </c>
      <c r="G551" s="37" t="s">
        <v>25</v>
      </c>
      <c r="H551" s="38">
        <v>3778</v>
      </c>
      <c r="I551" s="38">
        <v>275</v>
      </c>
      <c r="J551" s="38">
        <v>1050</v>
      </c>
      <c r="K551" s="38">
        <v>162</v>
      </c>
      <c r="L551" s="38">
        <v>402</v>
      </c>
      <c r="M551" s="38">
        <v>1752</v>
      </c>
      <c r="N551" s="38">
        <v>96</v>
      </c>
      <c r="O551" s="38">
        <v>41</v>
      </c>
      <c r="P551" s="38"/>
      <c r="Q551" s="38"/>
      <c r="R551" s="38">
        <v>11577</v>
      </c>
      <c r="S551" s="38">
        <v>1332</v>
      </c>
      <c r="T551" s="38">
        <v>7534</v>
      </c>
      <c r="U551" s="38">
        <v>49</v>
      </c>
      <c r="V551" s="38">
        <v>70</v>
      </c>
      <c r="W551" s="38">
        <v>2420</v>
      </c>
      <c r="X551" s="38">
        <v>82</v>
      </c>
      <c r="Y551" s="38">
        <v>90</v>
      </c>
      <c r="Z551" s="38"/>
      <c r="AA551" s="38"/>
      <c r="AB551" s="39">
        <v>7.2789836000000001</v>
      </c>
      <c r="AC551" s="39">
        <v>27.792482799999998</v>
      </c>
      <c r="AD551" s="39">
        <v>4.2879830999999999</v>
      </c>
      <c r="AE551" s="39">
        <v>10.640550599999999</v>
      </c>
      <c r="AF551" s="39">
        <v>46.373742700000001</v>
      </c>
      <c r="AG551" s="39">
        <v>2.5410270000000001</v>
      </c>
      <c r="AH551" s="39">
        <v>1.0852303000000001</v>
      </c>
      <c r="AI551" s="39"/>
      <c r="AJ551" s="39"/>
      <c r="AK551" s="39">
        <v>11.505571399999999</v>
      </c>
      <c r="AL551" s="39">
        <v>65.077308500000001</v>
      </c>
      <c r="AM551" s="39">
        <v>0.42325299999999999</v>
      </c>
      <c r="AN551" s="39">
        <v>0.60464709999999999</v>
      </c>
      <c r="AO551" s="39">
        <v>20.903515599999999</v>
      </c>
      <c r="AP551" s="39">
        <v>0.70830090000000001</v>
      </c>
      <c r="AQ551" s="39">
        <v>0.77740350000000003</v>
      </c>
      <c r="AR551" s="40"/>
      <c r="AS551" s="40"/>
    </row>
    <row r="552" spans="2:45" ht="15" hidden="1" customHeight="1" x14ac:dyDescent="0.25">
      <c r="B552" s="35">
        <v>546</v>
      </c>
      <c r="C552" s="36" t="s">
        <v>31</v>
      </c>
      <c r="D552" s="36" t="s">
        <v>172</v>
      </c>
      <c r="E552" s="36" t="s">
        <v>197</v>
      </c>
      <c r="F552" s="36" t="s">
        <v>198</v>
      </c>
      <c r="G552" s="37" t="s">
        <v>26</v>
      </c>
      <c r="H552" s="38">
        <v>7825</v>
      </c>
      <c r="I552" s="38">
        <v>200</v>
      </c>
      <c r="J552" s="38">
        <v>779</v>
      </c>
      <c r="K552" s="38">
        <v>314</v>
      </c>
      <c r="L552" s="38">
        <v>1255</v>
      </c>
      <c r="M552" s="38">
        <v>4915</v>
      </c>
      <c r="N552" s="38">
        <v>280</v>
      </c>
      <c r="O552" s="38">
        <v>82</v>
      </c>
      <c r="P552" s="38"/>
      <c r="Q552" s="38"/>
      <c r="R552" s="38">
        <v>6247</v>
      </c>
      <c r="S552" s="38">
        <v>664</v>
      </c>
      <c r="T552" s="38">
        <v>2714</v>
      </c>
      <c r="U552" s="38">
        <v>55</v>
      </c>
      <c r="V552" s="38">
        <v>101</v>
      </c>
      <c r="W552" s="38">
        <v>2539</v>
      </c>
      <c r="X552" s="38">
        <v>131</v>
      </c>
      <c r="Y552" s="38">
        <v>43</v>
      </c>
      <c r="Z552" s="38"/>
      <c r="AA552" s="38"/>
      <c r="AB552" s="39">
        <v>2.5559105</v>
      </c>
      <c r="AC552" s="39">
        <v>9.9552715999999997</v>
      </c>
      <c r="AD552" s="39">
        <v>4.0127796</v>
      </c>
      <c r="AE552" s="39">
        <v>16.038338700000001</v>
      </c>
      <c r="AF552" s="39">
        <v>62.8115016</v>
      </c>
      <c r="AG552" s="39">
        <v>3.5782748</v>
      </c>
      <c r="AH552" s="39">
        <v>1.0479232999999999</v>
      </c>
      <c r="AI552" s="39"/>
      <c r="AJ552" s="39"/>
      <c r="AK552" s="39">
        <v>10.629102</v>
      </c>
      <c r="AL552" s="39">
        <v>43.444853500000001</v>
      </c>
      <c r="AM552" s="39">
        <v>0.88042260000000006</v>
      </c>
      <c r="AN552" s="39">
        <v>1.6167761</v>
      </c>
      <c r="AO552" s="39">
        <v>40.6435089</v>
      </c>
      <c r="AP552" s="39">
        <v>2.0970065999999998</v>
      </c>
      <c r="AQ552" s="39">
        <v>0.68833040000000001</v>
      </c>
      <c r="AR552" s="40"/>
      <c r="AS552" s="40"/>
    </row>
    <row r="553" spans="2:45" ht="15" customHeight="1" x14ac:dyDescent="0.25">
      <c r="B553" s="41">
        <v>547</v>
      </c>
      <c r="C553" s="42" t="s">
        <v>31</v>
      </c>
      <c r="D553" s="51" t="s">
        <v>172</v>
      </c>
      <c r="E553" s="51" t="s">
        <v>197</v>
      </c>
      <c r="F553" s="51" t="s">
        <v>199</v>
      </c>
      <c r="G553" s="52" t="s">
        <v>199</v>
      </c>
      <c r="H553" s="43">
        <v>13857</v>
      </c>
      <c r="I553" s="43">
        <v>1855</v>
      </c>
      <c r="J553" s="43">
        <v>9176</v>
      </c>
      <c r="K553" s="43">
        <v>183</v>
      </c>
      <c r="L553" s="43">
        <v>240</v>
      </c>
      <c r="M553" s="43">
        <v>2028</v>
      </c>
      <c r="N553" s="43">
        <v>229</v>
      </c>
      <c r="O553" s="43">
        <v>146</v>
      </c>
      <c r="P553" s="44">
        <f>K553+L553+M553+N553+O553</f>
        <v>2826</v>
      </c>
      <c r="Q553" s="44">
        <f>I553+J553</f>
        <v>11031</v>
      </c>
      <c r="R553" s="43">
        <v>17932</v>
      </c>
      <c r="S553" s="43">
        <v>2969</v>
      </c>
      <c r="T553" s="43">
        <v>13467</v>
      </c>
      <c r="U553" s="43">
        <v>54</v>
      </c>
      <c r="V553" s="43">
        <v>27</v>
      </c>
      <c r="W553" s="43">
        <v>1108</v>
      </c>
      <c r="X553" s="43">
        <v>189</v>
      </c>
      <c r="Y553" s="43">
        <v>118</v>
      </c>
      <c r="Z553" s="45">
        <f>U553+V553+W553+X553+Y553</f>
        <v>1496</v>
      </c>
      <c r="AA553" s="45">
        <f>S553+T553</f>
        <v>16436</v>
      </c>
      <c r="AB553" s="46">
        <v>13.3867359</v>
      </c>
      <c r="AC553" s="46">
        <v>66.219239400000006</v>
      </c>
      <c r="AD553" s="46">
        <v>1.3206321999999999</v>
      </c>
      <c r="AE553" s="46">
        <v>1.7319766000000001</v>
      </c>
      <c r="AF553" s="46">
        <v>14.635202400000001</v>
      </c>
      <c r="AG553" s="46">
        <v>1.6525943999999999</v>
      </c>
      <c r="AH553" s="46">
        <v>1.0536190999999999</v>
      </c>
      <c r="AI553" s="47">
        <f>AB553+AC553</f>
        <v>79.605975300000011</v>
      </c>
      <c r="AJ553" s="47">
        <f>AD553+AE553+AF553+AG553+AH553</f>
        <v>20.394024699999996</v>
      </c>
      <c r="AK553" s="46">
        <v>16.5569931</v>
      </c>
      <c r="AL553" s="46">
        <v>75.100379200000006</v>
      </c>
      <c r="AM553" s="46">
        <v>0.30113760000000001</v>
      </c>
      <c r="AN553" s="46">
        <v>0.1505688</v>
      </c>
      <c r="AO553" s="46">
        <v>6.1788980999999996</v>
      </c>
      <c r="AP553" s="46">
        <v>1.0539817</v>
      </c>
      <c r="AQ553" s="46">
        <v>0.65804149999999995</v>
      </c>
      <c r="AR553" s="48">
        <f>AK553+AL553</f>
        <v>91.657372300000006</v>
      </c>
      <c r="AS553" s="48">
        <f>AM553+AN553+AO553+AP553+AQ553</f>
        <v>8.3426276999999995</v>
      </c>
    </row>
    <row r="554" spans="2:45" ht="15" hidden="1" customHeight="1" x14ac:dyDescent="0.25">
      <c r="B554" s="35">
        <v>548</v>
      </c>
      <c r="C554" s="36" t="s">
        <v>31</v>
      </c>
      <c r="D554" s="36" t="s">
        <v>172</v>
      </c>
      <c r="E554" s="36" t="s">
        <v>197</v>
      </c>
      <c r="F554" s="36" t="s">
        <v>199</v>
      </c>
      <c r="G554" s="37" t="s">
        <v>25</v>
      </c>
      <c r="H554" s="38">
        <v>12525</v>
      </c>
      <c r="I554" s="38">
        <v>1854</v>
      </c>
      <c r="J554" s="38">
        <v>9174</v>
      </c>
      <c r="K554" s="38">
        <v>56</v>
      </c>
      <c r="L554" s="38">
        <v>144</v>
      </c>
      <c r="M554" s="38">
        <v>1045</v>
      </c>
      <c r="N554" s="38">
        <v>118</v>
      </c>
      <c r="O554" s="38">
        <v>134</v>
      </c>
      <c r="P554" s="38"/>
      <c r="Q554" s="38"/>
      <c r="R554" s="38">
        <v>16820</v>
      </c>
      <c r="S554" s="38">
        <v>2962</v>
      </c>
      <c r="T554" s="38">
        <v>13463</v>
      </c>
      <c r="U554" s="38">
        <v>31</v>
      </c>
      <c r="V554" s="38">
        <v>5</v>
      </c>
      <c r="W554" s="38">
        <v>222</v>
      </c>
      <c r="X554" s="38">
        <v>35</v>
      </c>
      <c r="Y554" s="38">
        <v>102</v>
      </c>
      <c r="Z554" s="38"/>
      <c r="AA554" s="38"/>
      <c r="AB554" s="39">
        <v>14.802395199999999</v>
      </c>
      <c r="AC554" s="39">
        <v>73.245508999999998</v>
      </c>
      <c r="AD554" s="39">
        <v>0.4471058</v>
      </c>
      <c r="AE554" s="39">
        <v>1.1497006000000001</v>
      </c>
      <c r="AF554" s="39">
        <v>8.3433133999999995</v>
      </c>
      <c r="AG554" s="39">
        <v>0.94211579999999995</v>
      </c>
      <c r="AH554" s="39">
        <v>1.0698603</v>
      </c>
      <c r="AI554" s="39"/>
      <c r="AJ554" s="39"/>
      <c r="AK554" s="39">
        <v>17.609988099999999</v>
      </c>
      <c r="AL554" s="39">
        <v>80.041617099999996</v>
      </c>
      <c r="AM554" s="39">
        <v>0.18430440000000001</v>
      </c>
      <c r="AN554" s="39">
        <v>2.9726499999999999E-2</v>
      </c>
      <c r="AO554" s="39">
        <v>1.3198573</v>
      </c>
      <c r="AP554" s="39">
        <v>0.20808560000000001</v>
      </c>
      <c r="AQ554" s="39">
        <v>0.60642090000000004</v>
      </c>
      <c r="AR554" s="40"/>
      <c r="AS554" s="40"/>
    </row>
    <row r="555" spans="2:45" ht="15" hidden="1" customHeight="1" x14ac:dyDescent="0.25">
      <c r="B555" s="35">
        <v>549</v>
      </c>
      <c r="C555" s="36" t="s">
        <v>31</v>
      </c>
      <c r="D555" s="36" t="s">
        <v>172</v>
      </c>
      <c r="E555" s="36" t="s">
        <v>197</v>
      </c>
      <c r="F555" s="36" t="s">
        <v>199</v>
      </c>
      <c r="G555" s="37" t="s">
        <v>26</v>
      </c>
      <c r="H555" s="38">
        <v>1332</v>
      </c>
      <c r="I555" s="38">
        <v>1</v>
      </c>
      <c r="J555" s="38">
        <v>2</v>
      </c>
      <c r="K555" s="38">
        <v>127</v>
      </c>
      <c r="L555" s="38">
        <v>96</v>
      </c>
      <c r="M555" s="38">
        <v>983</v>
      </c>
      <c r="N555" s="38">
        <v>111</v>
      </c>
      <c r="O555" s="38">
        <v>12</v>
      </c>
      <c r="P555" s="38"/>
      <c r="Q555" s="38"/>
      <c r="R555" s="38">
        <v>1112</v>
      </c>
      <c r="S555" s="38">
        <v>7</v>
      </c>
      <c r="T555" s="38">
        <v>4</v>
      </c>
      <c r="U555" s="38">
        <v>23</v>
      </c>
      <c r="V555" s="38">
        <v>22</v>
      </c>
      <c r="W555" s="38">
        <v>886</v>
      </c>
      <c r="X555" s="38">
        <v>154</v>
      </c>
      <c r="Y555" s="38">
        <v>16</v>
      </c>
      <c r="Z555" s="38"/>
      <c r="AA555" s="38"/>
      <c r="AB555" s="39">
        <v>7.5075100000000006E-2</v>
      </c>
      <c r="AC555" s="39">
        <v>0.15015020000000001</v>
      </c>
      <c r="AD555" s="39">
        <v>9.5345344999999995</v>
      </c>
      <c r="AE555" s="39">
        <v>7.2072072</v>
      </c>
      <c r="AF555" s="39">
        <v>73.7987988</v>
      </c>
      <c r="AG555" s="39">
        <v>8.3333332999999996</v>
      </c>
      <c r="AH555" s="39">
        <v>0.9009009</v>
      </c>
      <c r="AI555" s="39"/>
      <c r="AJ555" s="39"/>
      <c r="AK555" s="39">
        <v>0.62949639999999996</v>
      </c>
      <c r="AL555" s="39">
        <v>0.35971219999999998</v>
      </c>
      <c r="AM555" s="39">
        <v>2.0683452999999998</v>
      </c>
      <c r="AN555" s="39">
        <v>1.9784173</v>
      </c>
      <c r="AO555" s="39">
        <v>79.676259000000002</v>
      </c>
      <c r="AP555" s="39">
        <v>13.8489209</v>
      </c>
      <c r="AQ555" s="39">
        <v>1.4388489</v>
      </c>
      <c r="AR555" s="40"/>
      <c r="AS555" s="40"/>
    </row>
    <row r="556" spans="2:45" ht="15" customHeight="1" x14ac:dyDescent="0.25">
      <c r="B556" s="41">
        <v>550</v>
      </c>
      <c r="C556" s="42" t="s">
        <v>31</v>
      </c>
      <c r="D556" s="51" t="s">
        <v>172</v>
      </c>
      <c r="E556" s="51" t="s">
        <v>197</v>
      </c>
      <c r="F556" s="51" t="s">
        <v>200</v>
      </c>
      <c r="G556" s="52" t="s">
        <v>200</v>
      </c>
      <c r="H556" s="43">
        <v>14312</v>
      </c>
      <c r="I556" s="43">
        <v>1170</v>
      </c>
      <c r="J556" s="43">
        <v>5901</v>
      </c>
      <c r="K556" s="43">
        <v>325</v>
      </c>
      <c r="L556" s="43">
        <v>958</v>
      </c>
      <c r="M556" s="43">
        <v>5516</v>
      </c>
      <c r="N556" s="43">
        <v>352</v>
      </c>
      <c r="O556" s="43">
        <v>90</v>
      </c>
      <c r="P556" s="44">
        <f>K556+L556+M556+N556+O556</f>
        <v>7241</v>
      </c>
      <c r="Q556" s="44">
        <f>I556+J556</f>
        <v>7071</v>
      </c>
      <c r="R556" s="43">
        <v>17058</v>
      </c>
      <c r="S556" s="43">
        <v>1958</v>
      </c>
      <c r="T556" s="43">
        <v>10126</v>
      </c>
      <c r="U556" s="43">
        <v>90</v>
      </c>
      <c r="V556" s="43">
        <v>151</v>
      </c>
      <c r="W556" s="43">
        <v>4356</v>
      </c>
      <c r="X556" s="43">
        <v>247</v>
      </c>
      <c r="Y556" s="43">
        <v>130</v>
      </c>
      <c r="Z556" s="45">
        <f>U556+V556+W556+X556+Y556</f>
        <v>4974</v>
      </c>
      <c r="AA556" s="45">
        <f>S556+T556</f>
        <v>12084</v>
      </c>
      <c r="AB556" s="46">
        <v>8.1749580999999996</v>
      </c>
      <c r="AC556" s="46">
        <v>41.231134699999998</v>
      </c>
      <c r="AD556" s="46">
        <v>2.2708216999999999</v>
      </c>
      <c r="AE556" s="46">
        <v>6.6936836</v>
      </c>
      <c r="AF556" s="46">
        <v>38.541084400000003</v>
      </c>
      <c r="AG556" s="46">
        <v>2.4594746000000001</v>
      </c>
      <c r="AH556" s="46">
        <v>0.62884289999999998</v>
      </c>
      <c r="AI556" s="47">
        <f>AB556+AC556</f>
        <v>49.406092799999996</v>
      </c>
      <c r="AJ556" s="47">
        <f>AD556+AE556+AF556+AG556+AH556</f>
        <v>50.593907200000004</v>
      </c>
      <c r="AK556" s="46">
        <v>11.4784852</v>
      </c>
      <c r="AL556" s="46">
        <v>59.362176099999999</v>
      </c>
      <c r="AM556" s="46">
        <v>0.52761170000000002</v>
      </c>
      <c r="AN556" s="46">
        <v>0.88521510000000003</v>
      </c>
      <c r="AO556" s="46">
        <v>25.536405200000001</v>
      </c>
      <c r="AP556" s="46">
        <v>1.4480009</v>
      </c>
      <c r="AQ556" s="46">
        <v>0.76210580000000006</v>
      </c>
      <c r="AR556" s="48">
        <f>AK556+AL556</f>
        <v>70.840661299999994</v>
      </c>
      <c r="AS556" s="48">
        <f>AM556+AN556+AO556+AP556+AQ556</f>
        <v>29.159338700000003</v>
      </c>
    </row>
    <row r="557" spans="2:45" ht="15" hidden="1" customHeight="1" x14ac:dyDescent="0.25">
      <c r="B557" s="35">
        <v>551</v>
      </c>
      <c r="C557" s="36" t="s">
        <v>31</v>
      </c>
      <c r="D557" s="36" t="s">
        <v>172</v>
      </c>
      <c r="E557" s="36" t="s">
        <v>197</v>
      </c>
      <c r="F557" s="36" t="s">
        <v>200</v>
      </c>
      <c r="G557" s="37" t="s">
        <v>25</v>
      </c>
      <c r="H557" s="38">
        <v>11280</v>
      </c>
      <c r="I557" s="38">
        <v>1134</v>
      </c>
      <c r="J557" s="38">
        <v>5797</v>
      </c>
      <c r="K557" s="38">
        <v>228</v>
      </c>
      <c r="L557" s="38">
        <v>655</v>
      </c>
      <c r="M557" s="38">
        <v>3165</v>
      </c>
      <c r="N557" s="38">
        <v>233</v>
      </c>
      <c r="O557" s="38">
        <v>68</v>
      </c>
      <c r="P557" s="38"/>
      <c r="Q557" s="38"/>
      <c r="R557" s="38">
        <v>14242</v>
      </c>
      <c r="S557" s="38">
        <v>1778</v>
      </c>
      <c r="T557" s="38">
        <v>9343</v>
      </c>
      <c r="U557" s="38">
        <v>72</v>
      </c>
      <c r="V557" s="38">
        <v>107</v>
      </c>
      <c r="W557" s="38">
        <v>2676</v>
      </c>
      <c r="X557" s="38">
        <v>153</v>
      </c>
      <c r="Y557" s="38">
        <v>113</v>
      </c>
      <c r="Z557" s="38"/>
      <c r="AA557" s="38"/>
      <c r="AB557" s="39">
        <v>10.053191500000001</v>
      </c>
      <c r="AC557" s="39">
        <v>51.391843999999999</v>
      </c>
      <c r="AD557" s="39">
        <v>2.0212766000000002</v>
      </c>
      <c r="AE557" s="39">
        <v>5.8067375999999999</v>
      </c>
      <c r="AF557" s="39">
        <v>28.058510600000002</v>
      </c>
      <c r="AG557" s="39">
        <v>2.0656028000000002</v>
      </c>
      <c r="AH557" s="39">
        <v>0.60283690000000001</v>
      </c>
      <c r="AI557" s="39"/>
      <c r="AJ557" s="39"/>
      <c r="AK557" s="39">
        <v>12.4842017</v>
      </c>
      <c r="AL557" s="39">
        <v>65.6017413</v>
      </c>
      <c r="AM557" s="39">
        <v>0.50554699999999997</v>
      </c>
      <c r="AN557" s="39">
        <v>0.75129900000000005</v>
      </c>
      <c r="AO557" s="39">
        <v>18.789495899999999</v>
      </c>
      <c r="AP557" s="39">
        <v>1.0742872999999999</v>
      </c>
      <c r="AQ557" s="39">
        <v>0.79342789999999996</v>
      </c>
      <c r="AR557" s="40"/>
      <c r="AS557" s="40"/>
    </row>
    <row r="558" spans="2:45" ht="15" hidden="1" customHeight="1" x14ac:dyDescent="0.25">
      <c r="B558" s="35">
        <v>552</v>
      </c>
      <c r="C558" s="36" t="s">
        <v>31</v>
      </c>
      <c r="D558" s="36" t="s">
        <v>172</v>
      </c>
      <c r="E558" s="36" t="s">
        <v>197</v>
      </c>
      <c r="F558" s="36" t="s">
        <v>200</v>
      </c>
      <c r="G558" s="37" t="s">
        <v>26</v>
      </c>
      <c r="H558" s="38">
        <v>3032</v>
      </c>
      <c r="I558" s="38">
        <v>36</v>
      </c>
      <c r="J558" s="38">
        <v>104</v>
      </c>
      <c r="K558" s="38">
        <v>97</v>
      </c>
      <c r="L558" s="38">
        <v>303</v>
      </c>
      <c r="M558" s="38">
        <v>2351</v>
      </c>
      <c r="N558" s="38">
        <v>119</v>
      </c>
      <c r="O558" s="38">
        <v>22</v>
      </c>
      <c r="P558" s="38"/>
      <c r="Q558" s="38"/>
      <c r="R558" s="38">
        <v>2816</v>
      </c>
      <c r="S558" s="38">
        <v>180</v>
      </c>
      <c r="T558" s="38">
        <v>783</v>
      </c>
      <c r="U558" s="38">
        <v>18</v>
      </c>
      <c r="V558" s="38">
        <v>44</v>
      </c>
      <c r="W558" s="38">
        <v>1680</v>
      </c>
      <c r="X558" s="38">
        <v>94</v>
      </c>
      <c r="Y558" s="38">
        <v>17</v>
      </c>
      <c r="Z558" s="38"/>
      <c r="AA558" s="38"/>
      <c r="AB558" s="39">
        <v>1.1873351000000001</v>
      </c>
      <c r="AC558" s="39">
        <v>3.4300792000000002</v>
      </c>
      <c r="AD558" s="39">
        <v>3.1992083999999998</v>
      </c>
      <c r="AE558" s="39">
        <v>9.9934037</v>
      </c>
      <c r="AF558" s="39">
        <v>77.539577800000004</v>
      </c>
      <c r="AG558" s="39">
        <v>3.9248021</v>
      </c>
      <c r="AH558" s="39">
        <v>0.72559370000000001</v>
      </c>
      <c r="AI558" s="39"/>
      <c r="AJ558" s="39"/>
      <c r="AK558" s="39">
        <v>6.3920455</v>
      </c>
      <c r="AL558" s="39">
        <v>27.8053977</v>
      </c>
      <c r="AM558" s="39">
        <v>0.63920449999999995</v>
      </c>
      <c r="AN558" s="39">
        <v>1.5625</v>
      </c>
      <c r="AO558" s="39">
        <v>59.659090900000002</v>
      </c>
      <c r="AP558" s="39">
        <v>3.3380681999999999</v>
      </c>
      <c r="AQ558" s="39">
        <v>0.60369320000000004</v>
      </c>
      <c r="AR558" s="40"/>
      <c r="AS558" s="40"/>
    </row>
    <row r="559" spans="2:45" ht="15" customHeight="1" x14ac:dyDescent="0.25">
      <c r="B559" s="41">
        <v>553</v>
      </c>
      <c r="C559" s="42" t="s">
        <v>31</v>
      </c>
      <c r="D559" s="51" t="s">
        <v>172</v>
      </c>
      <c r="E559" s="51" t="s">
        <v>197</v>
      </c>
      <c r="F559" s="51" t="s">
        <v>201</v>
      </c>
      <c r="G559" s="52" t="s">
        <v>201</v>
      </c>
      <c r="H559" s="43">
        <v>13514</v>
      </c>
      <c r="I559" s="43">
        <v>2126</v>
      </c>
      <c r="J559" s="43">
        <v>9674</v>
      </c>
      <c r="K559" s="43">
        <v>145</v>
      </c>
      <c r="L559" s="43">
        <v>103</v>
      </c>
      <c r="M559" s="43">
        <v>1204</v>
      </c>
      <c r="N559" s="43">
        <v>95</v>
      </c>
      <c r="O559" s="43">
        <v>167</v>
      </c>
      <c r="P559" s="44">
        <f>K559+L559+M559+N559+O559</f>
        <v>1714</v>
      </c>
      <c r="Q559" s="44">
        <f>I559+J559</f>
        <v>11800</v>
      </c>
      <c r="R559" s="43">
        <v>19190</v>
      </c>
      <c r="S559" s="43">
        <v>3236</v>
      </c>
      <c r="T559" s="43">
        <v>15559</v>
      </c>
      <c r="U559" s="43">
        <v>23</v>
      </c>
      <c r="V559" s="43">
        <v>1</v>
      </c>
      <c r="W559" s="43">
        <v>303</v>
      </c>
      <c r="X559" s="43">
        <v>27</v>
      </c>
      <c r="Y559" s="43">
        <v>41</v>
      </c>
      <c r="Z559" s="45">
        <f>U559+V559+W559+X559+Y559</f>
        <v>395</v>
      </c>
      <c r="AA559" s="45">
        <f>S559+T559</f>
        <v>18795</v>
      </c>
      <c r="AB559" s="46">
        <v>15.731833699999999</v>
      </c>
      <c r="AC559" s="46">
        <v>71.585022899999998</v>
      </c>
      <c r="AD559" s="46">
        <v>1.0729614000000001</v>
      </c>
      <c r="AE559" s="46">
        <v>0.76217259999999998</v>
      </c>
      <c r="AF559" s="46">
        <v>8.9092792999999997</v>
      </c>
      <c r="AG559" s="46">
        <v>0.70297469999999995</v>
      </c>
      <c r="AH559" s="46">
        <v>1.2357555</v>
      </c>
      <c r="AI559" s="47">
        <f>AB559+AC559</f>
        <v>87.316856599999994</v>
      </c>
      <c r="AJ559" s="47">
        <f>AD559+AE559+AF559+AG559+AH559</f>
        <v>12.6831435</v>
      </c>
      <c r="AK559" s="46">
        <v>16.862949499999999</v>
      </c>
      <c r="AL559" s="46">
        <v>81.0786868</v>
      </c>
      <c r="AM559" s="46">
        <v>0.11985410000000001</v>
      </c>
      <c r="AN559" s="46">
        <v>5.2110000000000004E-3</v>
      </c>
      <c r="AO559" s="46">
        <v>1.5789473999999999</v>
      </c>
      <c r="AP559" s="46">
        <v>0.1406983</v>
      </c>
      <c r="AQ559" s="46">
        <v>0.21365290000000001</v>
      </c>
      <c r="AR559" s="48">
        <f>AK559+AL559</f>
        <v>97.941636299999999</v>
      </c>
      <c r="AS559" s="48">
        <f>AM559+AN559+AO559+AP559+AQ559</f>
        <v>2.0583636999999997</v>
      </c>
    </row>
    <row r="560" spans="2:45" ht="15" hidden="1" customHeight="1" x14ac:dyDescent="0.25">
      <c r="B560" s="35">
        <v>554</v>
      </c>
      <c r="C560" s="36" t="s">
        <v>31</v>
      </c>
      <c r="D560" s="36" t="s">
        <v>172</v>
      </c>
      <c r="E560" s="36" t="s">
        <v>197</v>
      </c>
      <c r="F560" s="36" t="s">
        <v>201</v>
      </c>
      <c r="G560" s="37" t="s">
        <v>25</v>
      </c>
      <c r="H560" s="38">
        <v>13514</v>
      </c>
      <c r="I560" s="38">
        <v>2126</v>
      </c>
      <c r="J560" s="38">
        <v>9674</v>
      </c>
      <c r="K560" s="38">
        <v>145</v>
      </c>
      <c r="L560" s="38">
        <v>103</v>
      </c>
      <c r="M560" s="38">
        <v>1204</v>
      </c>
      <c r="N560" s="38">
        <v>95</v>
      </c>
      <c r="O560" s="38">
        <v>167</v>
      </c>
      <c r="P560" s="38"/>
      <c r="Q560" s="38"/>
      <c r="R560" s="38">
        <v>19190</v>
      </c>
      <c r="S560" s="38">
        <v>3236</v>
      </c>
      <c r="T560" s="38">
        <v>15559</v>
      </c>
      <c r="U560" s="38">
        <v>23</v>
      </c>
      <c r="V560" s="38">
        <v>1</v>
      </c>
      <c r="W560" s="38">
        <v>303</v>
      </c>
      <c r="X560" s="38">
        <v>27</v>
      </c>
      <c r="Y560" s="38">
        <v>41</v>
      </c>
      <c r="Z560" s="38"/>
      <c r="AA560" s="38"/>
      <c r="AB560" s="39">
        <v>15.731833699999999</v>
      </c>
      <c r="AC560" s="39">
        <v>71.585022899999998</v>
      </c>
      <c r="AD560" s="39">
        <v>1.0729614000000001</v>
      </c>
      <c r="AE560" s="39">
        <v>0.76217259999999998</v>
      </c>
      <c r="AF560" s="39">
        <v>8.9092792999999997</v>
      </c>
      <c r="AG560" s="39">
        <v>0.70297469999999995</v>
      </c>
      <c r="AH560" s="39">
        <v>1.2357555</v>
      </c>
      <c r="AI560" s="39"/>
      <c r="AJ560" s="39"/>
      <c r="AK560" s="39">
        <v>16.862949499999999</v>
      </c>
      <c r="AL560" s="39">
        <v>81.0786868</v>
      </c>
      <c r="AM560" s="39">
        <v>0.11985410000000001</v>
      </c>
      <c r="AN560" s="39">
        <v>5.2110000000000004E-3</v>
      </c>
      <c r="AO560" s="39">
        <v>1.5789473999999999</v>
      </c>
      <c r="AP560" s="39">
        <v>0.1406983</v>
      </c>
      <c r="AQ560" s="39">
        <v>0.21365290000000001</v>
      </c>
      <c r="AR560" s="40"/>
      <c r="AS560" s="40"/>
    </row>
    <row r="561" spans="2:45" ht="15" hidden="1" customHeight="1" x14ac:dyDescent="0.25">
      <c r="B561" s="35">
        <v>555</v>
      </c>
      <c r="C561" s="36" t="s">
        <v>31</v>
      </c>
      <c r="D561" s="36" t="s">
        <v>172</v>
      </c>
      <c r="E561" s="36" t="s">
        <v>197</v>
      </c>
      <c r="F561" s="36" t="s">
        <v>201</v>
      </c>
      <c r="G561" s="37" t="s">
        <v>26</v>
      </c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40"/>
      <c r="AS561" s="40"/>
    </row>
    <row r="562" spans="2:45" ht="15" hidden="1" customHeight="1" x14ac:dyDescent="0.25">
      <c r="B562" s="30">
        <v>556</v>
      </c>
      <c r="C562" s="31" t="s">
        <v>29</v>
      </c>
      <c r="D562" s="50" t="s">
        <v>172</v>
      </c>
      <c r="E562" s="50" t="s">
        <v>202</v>
      </c>
      <c r="F562" s="50"/>
      <c r="G562" s="31" t="s">
        <v>202</v>
      </c>
      <c r="H562" s="32">
        <v>80283</v>
      </c>
      <c r="I562" s="32">
        <v>7041</v>
      </c>
      <c r="J562" s="32">
        <v>28344</v>
      </c>
      <c r="K562" s="32">
        <v>4700</v>
      </c>
      <c r="L562" s="32">
        <v>4253</v>
      </c>
      <c r="M562" s="32">
        <v>29715</v>
      </c>
      <c r="N562" s="32">
        <v>4232</v>
      </c>
      <c r="O562" s="32">
        <v>1998</v>
      </c>
      <c r="P562" s="32"/>
      <c r="Q562" s="32"/>
      <c r="R562" s="32">
        <v>119757</v>
      </c>
      <c r="S562" s="32">
        <v>11068</v>
      </c>
      <c r="T562" s="32">
        <v>55174</v>
      </c>
      <c r="U562" s="32">
        <v>1292</v>
      </c>
      <c r="V562" s="32">
        <v>611</v>
      </c>
      <c r="W562" s="32">
        <v>47319</v>
      </c>
      <c r="X562" s="32">
        <v>3187</v>
      </c>
      <c r="Y562" s="32">
        <v>1106</v>
      </c>
      <c r="Z562" s="32"/>
      <c r="AA562" s="32"/>
      <c r="AB562" s="33">
        <v>8.7702252999999999</v>
      </c>
      <c r="AC562" s="33">
        <v>35.305108199999999</v>
      </c>
      <c r="AD562" s="33">
        <v>5.8542904</v>
      </c>
      <c r="AE562" s="33">
        <v>5.2975101000000002</v>
      </c>
      <c r="AF562" s="33">
        <v>37.012817200000001</v>
      </c>
      <c r="AG562" s="33">
        <v>5.2713526000000002</v>
      </c>
      <c r="AH562" s="33">
        <v>2.4886962000000001</v>
      </c>
      <c r="AI562" s="33"/>
      <c r="AJ562" s="33"/>
      <c r="AK562" s="33">
        <v>9.2420484999999992</v>
      </c>
      <c r="AL562" s="33">
        <v>46.071628400000002</v>
      </c>
      <c r="AM562" s="33">
        <v>1.0788513</v>
      </c>
      <c r="AN562" s="33">
        <v>0.51019979999999998</v>
      </c>
      <c r="AO562" s="33">
        <v>39.512512800000003</v>
      </c>
      <c r="AP562" s="33">
        <v>2.6612222999999999</v>
      </c>
      <c r="AQ562" s="33">
        <v>0.92353680000000005</v>
      </c>
      <c r="AR562" s="34"/>
      <c r="AS562" s="34"/>
    </row>
    <row r="563" spans="2:45" ht="15" hidden="1" customHeight="1" x14ac:dyDescent="0.25">
      <c r="B563" s="35">
        <v>557</v>
      </c>
      <c r="C563" s="36" t="s">
        <v>29</v>
      </c>
      <c r="D563" s="36" t="s">
        <v>172</v>
      </c>
      <c r="E563" s="36" t="s">
        <v>202</v>
      </c>
      <c r="F563" s="36"/>
      <c r="G563" s="37" t="s">
        <v>25</v>
      </c>
      <c r="H563" s="38">
        <v>43500</v>
      </c>
      <c r="I563" s="38">
        <v>6759</v>
      </c>
      <c r="J563" s="38">
        <v>27130</v>
      </c>
      <c r="K563" s="38">
        <v>804</v>
      </c>
      <c r="L563" s="38">
        <v>1825</v>
      </c>
      <c r="M563" s="38">
        <v>6245</v>
      </c>
      <c r="N563" s="38">
        <v>379</v>
      </c>
      <c r="O563" s="38">
        <v>358</v>
      </c>
      <c r="P563" s="38"/>
      <c r="Q563" s="38"/>
      <c r="R563" s="38">
        <v>64168</v>
      </c>
      <c r="S563" s="38">
        <v>9321</v>
      </c>
      <c r="T563" s="38">
        <v>49577</v>
      </c>
      <c r="U563" s="38">
        <v>221</v>
      </c>
      <c r="V563" s="38">
        <v>177</v>
      </c>
      <c r="W563" s="38">
        <v>4298</v>
      </c>
      <c r="X563" s="38">
        <v>254</v>
      </c>
      <c r="Y563" s="38">
        <v>320</v>
      </c>
      <c r="Z563" s="38"/>
      <c r="AA563" s="38"/>
      <c r="AB563" s="39">
        <v>15.537931</v>
      </c>
      <c r="AC563" s="39">
        <v>62.367816099999999</v>
      </c>
      <c r="AD563" s="39">
        <v>1.8482759</v>
      </c>
      <c r="AE563" s="39">
        <v>4.1954022999999996</v>
      </c>
      <c r="AF563" s="39">
        <v>14.3563218</v>
      </c>
      <c r="AG563" s="39">
        <v>0.87126440000000005</v>
      </c>
      <c r="AH563" s="39">
        <v>0.82298850000000001</v>
      </c>
      <c r="AI563" s="39"/>
      <c r="AJ563" s="39"/>
      <c r="AK563" s="39">
        <v>14.5259319</v>
      </c>
      <c r="AL563" s="39">
        <v>77.261251700000003</v>
      </c>
      <c r="AM563" s="39">
        <v>0.3444084</v>
      </c>
      <c r="AN563" s="39">
        <v>0.27583839999999998</v>
      </c>
      <c r="AO563" s="39">
        <v>6.6980426</v>
      </c>
      <c r="AP563" s="39">
        <v>0.39583590000000002</v>
      </c>
      <c r="AQ563" s="39">
        <v>0.49869089999999999</v>
      </c>
      <c r="AR563" s="40"/>
      <c r="AS563" s="40"/>
    </row>
    <row r="564" spans="2:45" ht="15" hidden="1" customHeight="1" x14ac:dyDescent="0.25">
      <c r="B564" s="35">
        <v>558</v>
      </c>
      <c r="C564" s="36" t="s">
        <v>29</v>
      </c>
      <c r="D564" s="36" t="s">
        <v>172</v>
      </c>
      <c r="E564" s="36" t="s">
        <v>202</v>
      </c>
      <c r="F564" s="36"/>
      <c r="G564" s="37" t="s">
        <v>26</v>
      </c>
      <c r="H564" s="38">
        <v>36783</v>
      </c>
      <c r="I564" s="38">
        <v>282</v>
      </c>
      <c r="J564" s="38">
        <v>1214</v>
      </c>
      <c r="K564" s="38">
        <v>3896</v>
      </c>
      <c r="L564" s="38">
        <v>2428</v>
      </c>
      <c r="M564" s="38">
        <v>23470</v>
      </c>
      <c r="N564" s="38">
        <v>3853</v>
      </c>
      <c r="O564" s="38">
        <v>1640</v>
      </c>
      <c r="P564" s="38"/>
      <c r="Q564" s="38"/>
      <c r="R564" s="38">
        <v>55589</v>
      </c>
      <c r="S564" s="38">
        <v>1747</v>
      </c>
      <c r="T564" s="38">
        <v>5597</v>
      </c>
      <c r="U564" s="38">
        <v>1071</v>
      </c>
      <c r="V564" s="38">
        <v>434</v>
      </c>
      <c r="W564" s="38">
        <v>43021</v>
      </c>
      <c r="X564" s="38">
        <v>2933</v>
      </c>
      <c r="Y564" s="38">
        <v>786</v>
      </c>
      <c r="Z564" s="38"/>
      <c r="AA564" s="38"/>
      <c r="AB564" s="39">
        <v>0.76665850000000002</v>
      </c>
      <c r="AC564" s="39">
        <v>3.3004376999999998</v>
      </c>
      <c r="AD564" s="39">
        <v>10.5918495</v>
      </c>
      <c r="AE564" s="39">
        <v>6.6008753999999996</v>
      </c>
      <c r="AF564" s="39">
        <v>63.806649800000002</v>
      </c>
      <c r="AG564" s="39">
        <v>10.4749477</v>
      </c>
      <c r="AH564" s="39">
        <v>4.4585813999999999</v>
      </c>
      <c r="AI564" s="39"/>
      <c r="AJ564" s="39"/>
      <c r="AK564" s="39">
        <v>3.1427081000000001</v>
      </c>
      <c r="AL564" s="39">
        <v>10.0685387</v>
      </c>
      <c r="AM564" s="39">
        <v>1.9266402</v>
      </c>
      <c r="AN564" s="39">
        <v>0.78073000000000004</v>
      </c>
      <c r="AO564" s="39">
        <v>77.3912105</v>
      </c>
      <c r="AP564" s="39">
        <v>5.2762237000000001</v>
      </c>
      <c r="AQ564" s="39">
        <v>1.4139488</v>
      </c>
      <c r="AR564" s="40"/>
      <c r="AS564" s="40"/>
    </row>
    <row r="565" spans="2:45" ht="15" customHeight="1" x14ac:dyDescent="0.25">
      <c r="B565" s="41">
        <v>559</v>
      </c>
      <c r="C565" s="42" t="s">
        <v>31</v>
      </c>
      <c r="D565" s="51" t="s">
        <v>172</v>
      </c>
      <c r="E565" s="51" t="s">
        <v>202</v>
      </c>
      <c r="F565" s="51" t="s">
        <v>203</v>
      </c>
      <c r="G565" s="52" t="s">
        <v>203</v>
      </c>
      <c r="H565" s="43">
        <v>47536</v>
      </c>
      <c r="I565" s="43">
        <v>6430</v>
      </c>
      <c r="J565" s="43">
        <v>25053</v>
      </c>
      <c r="K565" s="43">
        <v>1466</v>
      </c>
      <c r="L565" s="43">
        <v>2811</v>
      </c>
      <c r="M565" s="43">
        <v>10669</v>
      </c>
      <c r="N565" s="43">
        <v>660</v>
      </c>
      <c r="O565" s="43">
        <v>447</v>
      </c>
      <c r="P565" s="44">
        <f>K565+L565+M565+N565+O565</f>
        <v>16053</v>
      </c>
      <c r="Q565" s="44">
        <f>I565+J565</f>
        <v>31483</v>
      </c>
      <c r="R565" s="43">
        <v>69313</v>
      </c>
      <c r="S565" s="43">
        <v>9352</v>
      </c>
      <c r="T565" s="43">
        <v>48754</v>
      </c>
      <c r="U565" s="43">
        <v>345</v>
      </c>
      <c r="V565" s="43">
        <v>316</v>
      </c>
      <c r="W565" s="43">
        <v>9481</v>
      </c>
      <c r="X565" s="43">
        <v>618</v>
      </c>
      <c r="Y565" s="43">
        <v>447</v>
      </c>
      <c r="Z565" s="45">
        <f>U565+V565+W565+X565+Y565</f>
        <v>11207</v>
      </c>
      <c r="AA565" s="45">
        <f>S565+T565</f>
        <v>58106</v>
      </c>
      <c r="AB565" s="46">
        <v>13.5265904</v>
      </c>
      <c r="AC565" s="46">
        <v>52.7032144</v>
      </c>
      <c r="AD565" s="46">
        <v>3.0839785000000002</v>
      </c>
      <c r="AE565" s="46">
        <v>5.9134130000000003</v>
      </c>
      <c r="AF565" s="46">
        <v>22.444042400000001</v>
      </c>
      <c r="AG565" s="46">
        <v>1.3884213999999999</v>
      </c>
      <c r="AH565" s="46">
        <v>0.94033999999999995</v>
      </c>
      <c r="AI565" s="47">
        <f>AB565+AC565</f>
        <v>66.229804799999997</v>
      </c>
      <c r="AJ565" s="47">
        <f>AD565+AE565+AF565+AG565+AH565</f>
        <v>33.770195299999997</v>
      </c>
      <c r="AK565" s="46">
        <v>13.4924184</v>
      </c>
      <c r="AL565" s="46">
        <v>70.338897500000002</v>
      </c>
      <c r="AM565" s="46">
        <v>0.49774210000000002</v>
      </c>
      <c r="AN565" s="46">
        <v>0.4559029</v>
      </c>
      <c r="AO565" s="46">
        <v>13.6785307</v>
      </c>
      <c r="AP565" s="46">
        <v>0.89160759999999994</v>
      </c>
      <c r="AQ565" s="46">
        <v>0.64490069999999999</v>
      </c>
      <c r="AR565" s="48">
        <f>AK565+AL565</f>
        <v>83.831315900000007</v>
      </c>
      <c r="AS565" s="48">
        <f>AM565+AN565+AO565+AP565+AQ565</f>
        <v>16.168683999999999</v>
      </c>
    </row>
    <row r="566" spans="2:45" ht="15" hidden="1" customHeight="1" x14ac:dyDescent="0.25">
      <c r="B566" s="35">
        <v>560</v>
      </c>
      <c r="C566" s="36" t="s">
        <v>31</v>
      </c>
      <c r="D566" s="36" t="s">
        <v>172</v>
      </c>
      <c r="E566" s="36" t="s">
        <v>202</v>
      </c>
      <c r="F566" s="36" t="s">
        <v>203</v>
      </c>
      <c r="G566" s="37" t="s">
        <v>25</v>
      </c>
      <c r="H566" s="38">
        <v>40192</v>
      </c>
      <c r="I566" s="38">
        <v>6342</v>
      </c>
      <c r="J566" s="38">
        <v>24872</v>
      </c>
      <c r="K566" s="38">
        <v>744</v>
      </c>
      <c r="L566" s="38">
        <v>1794</v>
      </c>
      <c r="M566" s="38">
        <v>5785</v>
      </c>
      <c r="N566" s="38">
        <v>333</v>
      </c>
      <c r="O566" s="38">
        <v>322</v>
      </c>
      <c r="P566" s="38"/>
      <c r="Q566" s="38"/>
      <c r="R566" s="38">
        <v>59013</v>
      </c>
      <c r="S566" s="38">
        <v>8582</v>
      </c>
      <c r="T566" s="38">
        <v>46095</v>
      </c>
      <c r="U566" s="38">
        <v>190</v>
      </c>
      <c r="V566" s="38">
        <v>173</v>
      </c>
      <c r="W566" s="38">
        <v>3461</v>
      </c>
      <c r="X566" s="38">
        <v>226</v>
      </c>
      <c r="Y566" s="38">
        <v>286</v>
      </c>
      <c r="Z566" s="38"/>
      <c r="AA566" s="38"/>
      <c r="AB566" s="39">
        <v>15.7792596</v>
      </c>
      <c r="AC566" s="39">
        <v>61.882961799999997</v>
      </c>
      <c r="AD566" s="39">
        <v>1.8511146000000001</v>
      </c>
      <c r="AE566" s="39">
        <v>4.4635748</v>
      </c>
      <c r="AF566" s="39">
        <v>14.3934116</v>
      </c>
      <c r="AG566" s="39">
        <v>0.82852309999999996</v>
      </c>
      <c r="AH566" s="39">
        <v>0.80115449999999999</v>
      </c>
      <c r="AI566" s="39"/>
      <c r="AJ566" s="39"/>
      <c r="AK566" s="39">
        <v>14.542558400000001</v>
      </c>
      <c r="AL566" s="39">
        <v>78.109908000000004</v>
      </c>
      <c r="AM566" s="39">
        <v>0.321963</v>
      </c>
      <c r="AN566" s="39">
        <v>0.29315570000000002</v>
      </c>
      <c r="AO566" s="39">
        <v>5.8648094000000004</v>
      </c>
      <c r="AP566" s="39">
        <v>0.38296649999999999</v>
      </c>
      <c r="AQ566" s="39">
        <v>0.48463899999999999</v>
      </c>
      <c r="AR566" s="40"/>
      <c r="AS566" s="40"/>
    </row>
    <row r="567" spans="2:45" ht="15" hidden="1" customHeight="1" x14ac:dyDescent="0.25">
      <c r="B567" s="35">
        <v>561</v>
      </c>
      <c r="C567" s="36" t="s">
        <v>31</v>
      </c>
      <c r="D567" s="36" t="s">
        <v>172</v>
      </c>
      <c r="E567" s="36" t="s">
        <v>202</v>
      </c>
      <c r="F567" s="36" t="s">
        <v>203</v>
      </c>
      <c r="G567" s="37" t="s">
        <v>26</v>
      </c>
      <c r="H567" s="38">
        <v>7344</v>
      </c>
      <c r="I567" s="38">
        <v>88</v>
      </c>
      <c r="J567" s="38">
        <v>181</v>
      </c>
      <c r="K567" s="38">
        <v>722</v>
      </c>
      <c r="L567" s="38">
        <v>1017</v>
      </c>
      <c r="M567" s="38">
        <v>4884</v>
      </c>
      <c r="N567" s="38">
        <v>327</v>
      </c>
      <c r="O567" s="38">
        <v>125</v>
      </c>
      <c r="P567" s="38"/>
      <c r="Q567" s="38"/>
      <c r="R567" s="38">
        <v>10300</v>
      </c>
      <c r="S567" s="38">
        <v>770</v>
      </c>
      <c r="T567" s="38">
        <v>2659</v>
      </c>
      <c r="U567" s="38">
        <v>155</v>
      </c>
      <c r="V567" s="38">
        <v>143</v>
      </c>
      <c r="W567" s="38">
        <v>6020</v>
      </c>
      <c r="X567" s="38">
        <v>392</v>
      </c>
      <c r="Y567" s="38">
        <v>161</v>
      </c>
      <c r="Z567" s="38"/>
      <c r="AA567" s="38"/>
      <c r="AB567" s="39">
        <v>1.1982571</v>
      </c>
      <c r="AC567" s="39">
        <v>2.4645969000000001</v>
      </c>
      <c r="AD567" s="39">
        <v>9.8311547000000008</v>
      </c>
      <c r="AE567" s="39">
        <v>13.848039200000001</v>
      </c>
      <c r="AF567" s="39">
        <v>66.503268000000006</v>
      </c>
      <c r="AG567" s="39">
        <v>4.4526143999999999</v>
      </c>
      <c r="AH567" s="39">
        <v>1.7020697</v>
      </c>
      <c r="AI567" s="39"/>
      <c r="AJ567" s="39"/>
      <c r="AK567" s="39">
        <v>7.4757281999999998</v>
      </c>
      <c r="AL567" s="39">
        <v>25.815534</v>
      </c>
      <c r="AM567" s="39">
        <v>1.5048543999999999</v>
      </c>
      <c r="AN567" s="39">
        <v>1.3883494999999999</v>
      </c>
      <c r="AO567" s="39">
        <v>58.446601899999997</v>
      </c>
      <c r="AP567" s="39">
        <v>3.8058252000000001</v>
      </c>
      <c r="AQ567" s="39">
        <v>1.5631067999999999</v>
      </c>
      <c r="AR567" s="40"/>
      <c r="AS567" s="40"/>
    </row>
    <row r="568" spans="2:45" ht="15" customHeight="1" x14ac:dyDescent="0.25">
      <c r="B568" s="41">
        <v>562</v>
      </c>
      <c r="C568" s="42" t="s">
        <v>31</v>
      </c>
      <c r="D568" s="51" t="s">
        <v>172</v>
      </c>
      <c r="E568" s="51" t="s">
        <v>202</v>
      </c>
      <c r="F568" s="51" t="s">
        <v>204</v>
      </c>
      <c r="G568" s="52" t="s">
        <v>204</v>
      </c>
      <c r="H568" s="43">
        <v>6022</v>
      </c>
      <c r="I568" s="43">
        <v>206</v>
      </c>
      <c r="J568" s="43">
        <v>1055</v>
      </c>
      <c r="K568" s="43">
        <v>452</v>
      </c>
      <c r="L568" s="43">
        <v>410</v>
      </c>
      <c r="M568" s="43">
        <v>3272</v>
      </c>
      <c r="N568" s="43">
        <v>475</v>
      </c>
      <c r="O568" s="43">
        <v>152</v>
      </c>
      <c r="P568" s="44">
        <f>K568+L568+M568+N568+O568</f>
        <v>4761</v>
      </c>
      <c r="Q568" s="44">
        <f>I568+J568</f>
        <v>1261</v>
      </c>
      <c r="R568" s="43">
        <v>8493</v>
      </c>
      <c r="S568" s="43">
        <v>540</v>
      </c>
      <c r="T568" s="43">
        <v>1961</v>
      </c>
      <c r="U568" s="43">
        <v>162</v>
      </c>
      <c r="V568" s="43">
        <v>83</v>
      </c>
      <c r="W568" s="43">
        <v>5167</v>
      </c>
      <c r="X568" s="43">
        <v>463</v>
      </c>
      <c r="Y568" s="43">
        <v>117</v>
      </c>
      <c r="Z568" s="45">
        <f>U568+V568+W568+X568+Y568</f>
        <v>5992</v>
      </c>
      <c r="AA568" s="45">
        <f>S568+T568</f>
        <v>2501</v>
      </c>
      <c r="AB568" s="46">
        <v>3.4207904</v>
      </c>
      <c r="AC568" s="46">
        <v>17.519096600000001</v>
      </c>
      <c r="AD568" s="46">
        <v>7.5058119999999997</v>
      </c>
      <c r="AE568" s="46">
        <v>6.8083692999999998</v>
      </c>
      <c r="AF568" s="46">
        <v>54.334108299999997</v>
      </c>
      <c r="AG568" s="46">
        <v>7.8877449000000004</v>
      </c>
      <c r="AH568" s="46">
        <v>2.5240784000000001</v>
      </c>
      <c r="AI568" s="47">
        <f>AB568+AC568</f>
        <v>20.939887000000002</v>
      </c>
      <c r="AJ568" s="47">
        <f>AD568+AE568+AF568+AG568+AH568</f>
        <v>79.060112899999993</v>
      </c>
      <c r="AK568" s="46">
        <v>6.3581773000000004</v>
      </c>
      <c r="AL568" s="46">
        <v>23.089603199999999</v>
      </c>
      <c r="AM568" s="46">
        <v>1.9074532</v>
      </c>
      <c r="AN568" s="46">
        <v>0.97727540000000002</v>
      </c>
      <c r="AO568" s="46">
        <v>60.838337500000002</v>
      </c>
      <c r="AP568" s="46">
        <v>5.4515482999999998</v>
      </c>
      <c r="AQ568" s="46">
        <v>1.3776051</v>
      </c>
      <c r="AR568" s="48">
        <f>AK568+AL568</f>
        <v>29.4477805</v>
      </c>
      <c r="AS568" s="48">
        <f>AM568+AN568+AO568+AP568+AQ568</f>
        <v>70.552219500000007</v>
      </c>
    </row>
    <row r="569" spans="2:45" ht="15" hidden="1" customHeight="1" x14ac:dyDescent="0.25">
      <c r="B569" s="35">
        <v>563</v>
      </c>
      <c r="C569" s="36" t="s">
        <v>31</v>
      </c>
      <c r="D569" s="36" t="s">
        <v>172</v>
      </c>
      <c r="E569" s="36" t="s">
        <v>202</v>
      </c>
      <c r="F569" s="36" t="s">
        <v>204</v>
      </c>
      <c r="G569" s="37" t="s">
        <v>25</v>
      </c>
      <c r="H569" s="38">
        <v>1016</v>
      </c>
      <c r="I569" s="38">
        <v>167</v>
      </c>
      <c r="J569" s="38">
        <v>773</v>
      </c>
      <c r="K569" s="38">
        <v>11</v>
      </c>
      <c r="L569" s="38">
        <v>20</v>
      </c>
      <c r="M569" s="38">
        <v>42</v>
      </c>
      <c r="N569" s="38">
        <v>3</v>
      </c>
      <c r="O569" s="38">
        <v>0</v>
      </c>
      <c r="P569" s="38"/>
      <c r="Q569" s="38"/>
      <c r="R569" s="38">
        <v>1257</v>
      </c>
      <c r="S569" s="38">
        <v>209</v>
      </c>
      <c r="T569" s="38">
        <v>995</v>
      </c>
      <c r="U569" s="38">
        <v>7</v>
      </c>
      <c r="V569" s="38">
        <v>2</v>
      </c>
      <c r="W569" s="38">
        <v>39</v>
      </c>
      <c r="X569" s="38">
        <v>1</v>
      </c>
      <c r="Y569" s="38">
        <v>4</v>
      </c>
      <c r="Z569" s="38"/>
      <c r="AA569" s="38"/>
      <c r="AB569" s="39">
        <v>16.437007900000001</v>
      </c>
      <c r="AC569" s="39">
        <v>76.082677200000006</v>
      </c>
      <c r="AD569" s="39">
        <v>1.0826772</v>
      </c>
      <c r="AE569" s="39">
        <v>1.9685039</v>
      </c>
      <c r="AF569" s="39">
        <v>4.1338583</v>
      </c>
      <c r="AG569" s="39">
        <v>0.29527560000000003</v>
      </c>
      <c r="AH569" s="39">
        <v>0</v>
      </c>
      <c r="AI569" s="39"/>
      <c r="AJ569" s="39"/>
      <c r="AK569" s="39">
        <v>16.6268894</v>
      </c>
      <c r="AL569" s="39">
        <v>79.156722400000007</v>
      </c>
      <c r="AM569" s="39">
        <v>0.55688150000000003</v>
      </c>
      <c r="AN569" s="39">
        <v>0.159109</v>
      </c>
      <c r="AO569" s="39">
        <v>3.1026253000000001</v>
      </c>
      <c r="AP569" s="39">
        <v>7.95545E-2</v>
      </c>
      <c r="AQ569" s="39">
        <v>0.318218</v>
      </c>
      <c r="AR569" s="40"/>
      <c r="AS569" s="40"/>
    </row>
    <row r="570" spans="2:45" ht="15" hidden="1" customHeight="1" x14ac:dyDescent="0.25">
      <c r="B570" s="35">
        <v>564</v>
      </c>
      <c r="C570" s="36" t="s">
        <v>31</v>
      </c>
      <c r="D570" s="36" t="s">
        <v>172</v>
      </c>
      <c r="E570" s="36" t="s">
        <v>202</v>
      </c>
      <c r="F570" s="36" t="s">
        <v>204</v>
      </c>
      <c r="G570" s="37" t="s">
        <v>26</v>
      </c>
      <c r="H570" s="38">
        <v>5006</v>
      </c>
      <c r="I570" s="38">
        <v>39</v>
      </c>
      <c r="J570" s="38">
        <v>282</v>
      </c>
      <c r="K570" s="38">
        <v>441</v>
      </c>
      <c r="L570" s="38">
        <v>390</v>
      </c>
      <c r="M570" s="38">
        <v>3230</v>
      </c>
      <c r="N570" s="38">
        <v>472</v>
      </c>
      <c r="O570" s="38">
        <v>152</v>
      </c>
      <c r="P570" s="38"/>
      <c r="Q570" s="38"/>
      <c r="R570" s="38">
        <v>7236</v>
      </c>
      <c r="S570" s="38">
        <v>331</v>
      </c>
      <c r="T570" s="38">
        <v>966</v>
      </c>
      <c r="U570" s="38">
        <v>155</v>
      </c>
      <c r="V570" s="38">
        <v>81</v>
      </c>
      <c r="W570" s="38">
        <v>5128</v>
      </c>
      <c r="X570" s="38">
        <v>462</v>
      </c>
      <c r="Y570" s="38">
        <v>113</v>
      </c>
      <c r="Z570" s="38"/>
      <c r="AA570" s="38"/>
      <c r="AB570" s="39">
        <v>0.77906509999999995</v>
      </c>
      <c r="AC570" s="39">
        <v>5.6332401000000001</v>
      </c>
      <c r="AD570" s="39">
        <v>8.8094286999999998</v>
      </c>
      <c r="AE570" s="39">
        <v>7.7906512000000001</v>
      </c>
      <c r="AF570" s="39">
        <v>64.5225729</v>
      </c>
      <c r="AG570" s="39">
        <v>9.4286855999999997</v>
      </c>
      <c r="AH570" s="39">
        <v>3.0363563999999998</v>
      </c>
      <c r="AI570" s="39"/>
      <c r="AJ570" s="39"/>
      <c r="AK570" s="39">
        <v>4.5743505000000004</v>
      </c>
      <c r="AL570" s="39">
        <v>13.349917100000001</v>
      </c>
      <c r="AM570" s="39">
        <v>2.1420674000000002</v>
      </c>
      <c r="AN570" s="39">
        <v>1.1194029999999999</v>
      </c>
      <c r="AO570" s="39">
        <v>70.867882800000004</v>
      </c>
      <c r="AP570" s="39">
        <v>6.3847430000000003</v>
      </c>
      <c r="AQ570" s="39">
        <v>1.5616363</v>
      </c>
      <c r="AR570" s="40"/>
      <c r="AS570" s="40"/>
    </row>
    <row r="571" spans="2:45" ht="15" customHeight="1" x14ac:dyDescent="0.25">
      <c r="B571" s="41">
        <v>565</v>
      </c>
      <c r="C571" s="42" t="s">
        <v>31</v>
      </c>
      <c r="D571" s="51" t="s">
        <v>172</v>
      </c>
      <c r="E571" s="51" t="s">
        <v>202</v>
      </c>
      <c r="F571" s="51" t="s">
        <v>205</v>
      </c>
      <c r="G571" s="52" t="s">
        <v>205</v>
      </c>
      <c r="H571" s="43">
        <v>26725</v>
      </c>
      <c r="I571" s="43">
        <v>405</v>
      </c>
      <c r="J571" s="43">
        <v>2236</v>
      </c>
      <c r="K571" s="43">
        <v>2782</v>
      </c>
      <c r="L571" s="43">
        <v>1032</v>
      </c>
      <c r="M571" s="43">
        <v>15774</v>
      </c>
      <c r="N571" s="43">
        <v>3097</v>
      </c>
      <c r="O571" s="43">
        <v>1399</v>
      </c>
      <c r="P571" s="44">
        <f>K571+L571+M571+N571+O571</f>
        <v>24084</v>
      </c>
      <c r="Q571" s="44">
        <f>I571+J571</f>
        <v>2641</v>
      </c>
      <c r="R571" s="43">
        <v>41951</v>
      </c>
      <c r="S571" s="43">
        <v>1176</v>
      </c>
      <c r="T571" s="43">
        <v>4459</v>
      </c>
      <c r="U571" s="43">
        <v>785</v>
      </c>
      <c r="V571" s="43">
        <v>212</v>
      </c>
      <c r="W571" s="43">
        <v>32671</v>
      </c>
      <c r="X571" s="43">
        <v>2106</v>
      </c>
      <c r="Y571" s="43">
        <v>542</v>
      </c>
      <c r="Z571" s="45">
        <f>U571+V571+W571+X571+Y571</f>
        <v>36316</v>
      </c>
      <c r="AA571" s="45">
        <f>S571+T571</f>
        <v>5635</v>
      </c>
      <c r="AB571" s="46">
        <v>1.5154350000000001</v>
      </c>
      <c r="AC571" s="46">
        <v>8.3666978000000007</v>
      </c>
      <c r="AD571" s="46">
        <v>10.409728700000001</v>
      </c>
      <c r="AE571" s="46">
        <v>3.8615529</v>
      </c>
      <c r="AF571" s="46">
        <v>59.023386299999999</v>
      </c>
      <c r="AG571" s="46">
        <v>11.588400399999999</v>
      </c>
      <c r="AH571" s="46">
        <v>5.2347989000000004</v>
      </c>
      <c r="AI571" s="47">
        <f>AB571+AC571</f>
        <v>9.8821328000000008</v>
      </c>
      <c r="AJ571" s="47">
        <f>AD571+AE571+AF571+AG571+AH571</f>
        <v>90.117867199999992</v>
      </c>
      <c r="AK571" s="46">
        <v>2.8032705</v>
      </c>
      <c r="AL571" s="46">
        <v>10.6290672</v>
      </c>
      <c r="AM571" s="46">
        <v>1.8712306999999999</v>
      </c>
      <c r="AN571" s="46">
        <v>0.50535149999999995</v>
      </c>
      <c r="AO571" s="46">
        <v>77.878953999999993</v>
      </c>
      <c r="AP571" s="46">
        <v>5.0201425000000004</v>
      </c>
      <c r="AQ571" s="46">
        <v>1.2919835</v>
      </c>
      <c r="AR571" s="48">
        <f>AK571+AL571</f>
        <v>13.4323377</v>
      </c>
      <c r="AS571" s="48">
        <f>AM571+AN571+AO571+AP571+AQ571</f>
        <v>86.567662200000001</v>
      </c>
    </row>
    <row r="572" spans="2:45" ht="15" hidden="1" customHeight="1" x14ac:dyDescent="0.25">
      <c r="B572" s="35">
        <v>566</v>
      </c>
      <c r="C572" s="36" t="s">
        <v>31</v>
      </c>
      <c r="D572" s="36" t="s">
        <v>172</v>
      </c>
      <c r="E572" s="36" t="s">
        <v>202</v>
      </c>
      <c r="F572" s="36" t="s">
        <v>205</v>
      </c>
      <c r="G572" s="37" t="s">
        <v>25</v>
      </c>
      <c r="H572" s="38">
        <v>2292</v>
      </c>
      <c r="I572" s="38">
        <v>250</v>
      </c>
      <c r="J572" s="38">
        <v>1485</v>
      </c>
      <c r="K572" s="38">
        <v>49</v>
      </c>
      <c r="L572" s="38">
        <v>11</v>
      </c>
      <c r="M572" s="38">
        <v>418</v>
      </c>
      <c r="N572" s="38">
        <v>43</v>
      </c>
      <c r="O572" s="38">
        <v>36</v>
      </c>
      <c r="P572" s="38"/>
      <c r="Q572" s="38"/>
      <c r="R572" s="38">
        <v>3898</v>
      </c>
      <c r="S572" s="38">
        <v>530</v>
      </c>
      <c r="T572" s="38">
        <v>2487</v>
      </c>
      <c r="U572" s="38">
        <v>24</v>
      </c>
      <c r="V572" s="38">
        <v>2</v>
      </c>
      <c r="W572" s="38">
        <v>798</v>
      </c>
      <c r="X572" s="38">
        <v>27</v>
      </c>
      <c r="Y572" s="38">
        <v>30</v>
      </c>
      <c r="Z572" s="38"/>
      <c r="AA572" s="38"/>
      <c r="AB572" s="39">
        <v>10.907504400000001</v>
      </c>
      <c r="AC572" s="39">
        <v>64.790575899999993</v>
      </c>
      <c r="AD572" s="39">
        <v>2.1378708999999998</v>
      </c>
      <c r="AE572" s="39">
        <v>0.47993019999999997</v>
      </c>
      <c r="AF572" s="39">
        <v>18.2373473</v>
      </c>
      <c r="AG572" s="39">
        <v>1.8760908000000001</v>
      </c>
      <c r="AH572" s="39">
        <v>1.5706806</v>
      </c>
      <c r="AI572" s="39"/>
      <c r="AJ572" s="39"/>
      <c r="AK572" s="39">
        <v>13.596716300000001</v>
      </c>
      <c r="AL572" s="39">
        <v>63.801949700000002</v>
      </c>
      <c r="AM572" s="39">
        <v>0.61570040000000004</v>
      </c>
      <c r="AN572" s="39">
        <v>5.1308399999999997E-2</v>
      </c>
      <c r="AO572" s="39">
        <v>20.472036899999999</v>
      </c>
      <c r="AP572" s="39">
        <v>0.69266289999999997</v>
      </c>
      <c r="AQ572" s="39">
        <v>0.76962540000000002</v>
      </c>
      <c r="AR572" s="40"/>
      <c r="AS572" s="40"/>
    </row>
    <row r="573" spans="2:45" ht="15" hidden="1" customHeight="1" x14ac:dyDescent="0.25">
      <c r="B573" s="35">
        <v>567</v>
      </c>
      <c r="C573" s="36" t="s">
        <v>31</v>
      </c>
      <c r="D573" s="36" t="s">
        <v>172</v>
      </c>
      <c r="E573" s="36" t="s">
        <v>202</v>
      </c>
      <c r="F573" s="36" t="s">
        <v>205</v>
      </c>
      <c r="G573" s="37" t="s">
        <v>26</v>
      </c>
      <c r="H573" s="38">
        <v>24433</v>
      </c>
      <c r="I573" s="38">
        <v>155</v>
      </c>
      <c r="J573" s="38">
        <v>751</v>
      </c>
      <c r="K573" s="38">
        <v>2733</v>
      </c>
      <c r="L573" s="38">
        <v>1021</v>
      </c>
      <c r="M573" s="38">
        <v>15356</v>
      </c>
      <c r="N573" s="38">
        <v>3054</v>
      </c>
      <c r="O573" s="38">
        <v>1363</v>
      </c>
      <c r="P573" s="38"/>
      <c r="Q573" s="38"/>
      <c r="R573" s="38">
        <v>38053</v>
      </c>
      <c r="S573" s="38">
        <v>646</v>
      </c>
      <c r="T573" s="38">
        <v>1972</v>
      </c>
      <c r="U573" s="38">
        <v>761</v>
      </c>
      <c r="V573" s="38">
        <v>210</v>
      </c>
      <c r="W573" s="38">
        <v>31873</v>
      </c>
      <c r="X573" s="38">
        <v>2079</v>
      </c>
      <c r="Y573" s="38">
        <v>512</v>
      </c>
      <c r="Z573" s="38"/>
      <c r="AA573" s="38"/>
      <c r="AB573" s="39">
        <v>0.6343879</v>
      </c>
      <c r="AC573" s="39">
        <v>3.0737117999999999</v>
      </c>
      <c r="AD573" s="39">
        <v>11.185691500000001</v>
      </c>
      <c r="AE573" s="39">
        <v>4.1787745999999997</v>
      </c>
      <c r="AF573" s="39">
        <v>62.849424999999997</v>
      </c>
      <c r="AG573" s="39">
        <v>12.499488400000001</v>
      </c>
      <c r="AH573" s="39">
        <v>5.5785209</v>
      </c>
      <c r="AI573" s="39"/>
      <c r="AJ573" s="39"/>
      <c r="AK573" s="39">
        <v>1.6976321999999999</v>
      </c>
      <c r="AL573" s="39">
        <v>5.1822457999999996</v>
      </c>
      <c r="AM573" s="39">
        <v>1.9998423000000001</v>
      </c>
      <c r="AN573" s="39">
        <v>0.55186190000000002</v>
      </c>
      <c r="AO573" s="39">
        <v>83.759493300000003</v>
      </c>
      <c r="AP573" s="39">
        <v>5.4634326</v>
      </c>
      <c r="AQ573" s="39">
        <v>1.3454918</v>
      </c>
      <c r="AR573" s="40"/>
      <c r="AS573" s="40"/>
    </row>
    <row r="574" spans="2:45" ht="15" hidden="1" customHeight="1" x14ac:dyDescent="0.25">
      <c r="B574" s="30">
        <v>568</v>
      </c>
      <c r="C574" s="31" t="s">
        <v>29</v>
      </c>
      <c r="D574" s="50" t="s">
        <v>172</v>
      </c>
      <c r="E574" s="50" t="s">
        <v>206</v>
      </c>
      <c r="F574" s="50"/>
      <c r="G574" s="31" t="s">
        <v>206</v>
      </c>
      <c r="H574" s="32">
        <v>8113</v>
      </c>
      <c r="I574" s="32">
        <v>29</v>
      </c>
      <c r="J574" s="32">
        <v>7</v>
      </c>
      <c r="K574" s="32">
        <v>691</v>
      </c>
      <c r="L574" s="32">
        <v>2594</v>
      </c>
      <c r="M574" s="32">
        <v>4123</v>
      </c>
      <c r="N574" s="32">
        <v>527</v>
      </c>
      <c r="O574" s="32">
        <v>142</v>
      </c>
      <c r="P574" s="32"/>
      <c r="Q574" s="32"/>
      <c r="R574" s="32">
        <v>9638</v>
      </c>
      <c r="S574" s="32">
        <v>93</v>
      </c>
      <c r="T574" s="32">
        <v>113</v>
      </c>
      <c r="U574" s="32">
        <v>160</v>
      </c>
      <c r="V574" s="32">
        <v>711</v>
      </c>
      <c r="W574" s="32">
        <v>7891</v>
      </c>
      <c r="X574" s="32">
        <v>559</v>
      </c>
      <c r="Y574" s="32">
        <v>111</v>
      </c>
      <c r="Z574" s="32"/>
      <c r="AA574" s="32"/>
      <c r="AB574" s="33">
        <v>0.35745100000000002</v>
      </c>
      <c r="AC574" s="33">
        <v>8.6281300000000005E-2</v>
      </c>
      <c r="AD574" s="33">
        <v>8.5171945999999998</v>
      </c>
      <c r="AE574" s="33">
        <v>31.973376099999999</v>
      </c>
      <c r="AF574" s="33">
        <v>50.819672099999998</v>
      </c>
      <c r="AG574" s="33">
        <v>6.4957475999999996</v>
      </c>
      <c r="AH574" s="33">
        <v>1.7502773</v>
      </c>
      <c r="AI574" s="33"/>
      <c r="AJ574" s="33"/>
      <c r="AK574" s="33">
        <v>0.96493050000000002</v>
      </c>
      <c r="AL574" s="33">
        <v>1.1724424</v>
      </c>
      <c r="AM574" s="33">
        <v>1.6600954999999999</v>
      </c>
      <c r="AN574" s="33">
        <v>7.3770492000000001</v>
      </c>
      <c r="AO574" s="33">
        <v>81.873832699999994</v>
      </c>
      <c r="AP574" s="33">
        <v>5.7999584999999998</v>
      </c>
      <c r="AQ574" s="33">
        <v>1.1516911999999999</v>
      </c>
      <c r="AR574" s="34"/>
      <c r="AS574" s="34"/>
    </row>
    <row r="575" spans="2:45" ht="15" hidden="1" customHeight="1" x14ac:dyDescent="0.25">
      <c r="B575" s="35">
        <v>569</v>
      </c>
      <c r="C575" s="36" t="s">
        <v>29</v>
      </c>
      <c r="D575" s="36" t="s">
        <v>172</v>
      </c>
      <c r="E575" s="36" t="s">
        <v>206</v>
      </c>
      <c r="F575" s="36"/>
      <c r="G575" s="37" t="s">
        <v>25</v>
      </c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40"/>
      <c r="AS575" s="40"/>
    </row>
    <row r="576" spans="2:45" ht="15" hidden="1" customHeight="1" x14ac:dyDescent="0.25">
      <c r="B576" s="35">
        <v>570</v>
      </c>
      <c r="C576" s="36" t="s">
        <v>29</v>
      </c>
      <c r="D576" s="36" t="s">
        <v>172</v>
      </c>
      <c r="E576" s="36" t="s">
        <v>206</v>
      </c>
      <c r="F576" s="36"/>
      <c r="G576" s="37" t="s">
        <v>26</v>
      </c>
      <c r="H576" s="38">
        <v>8113</v>
      </c>
      <c r="I576" s="38">
        <v>29</v>
      </c>
      <c r="J576" s="38">
        <v>7</v>
      </c>
      <c r="K576" s="38">
        <v>691</v>
      </c>
      <c r="L576" s="38">
        <v>2594</v>
      </c>
      <c r="M576" s="38">
        <v>4123</v>
      </c>
      <c r="N576" s="38">
        <v>527</v>
      </c>
      <c r="O576" s="38">
        <v>142</v>
      </c>
      <c r="P576" s="38"/>
      <c r="Q576" s="38"/>
      <c r="R576" s="38">
        <v>9638</v>
      </c>
      <c r="S576" s="38">
        <v>93</v>
      </c>
      <c r="T576" s="38">
        <v>113</v>
      </c>
      <c r="U576" s="38">
        <v>160</v>
      </c>
      <c r="V576" s="38">
        <v>711</v>
      </c>
      <c r="W576" s="38">
        <v>7891</v>
      </c>
      <c r="X576" s="38">
        <v>559</v>
      </c>
      <c r="Y576" s="38">
        <v>111</v>
      </c>
      <c r="Z576" s="38"/>
      <c r="AA576" s="38"/>
      <c r="AB576" s="39">
        <v>0.35745100000000002</v>
      </c>
      <c r="AC576" s="39">
        <v>8.6281300000000005E-2</v>
      </c>
      <c r="AD576" s="39">
        <v>8.5171945999999998</v>
      </c>
      <c r="AE576" s="39">
        <v>31.973376099999999</v>
      </c>
      <c r="AF576" s="39">
        <v>50.819672099999998</v>
      </c>
      <c r="AG576" s="39">
        <v>6.4957475999999996</v>
      </c>
      <c r="AH576" s="39">
        <v>1.7502773</v>
      </c>
      <c r="AI576" s="39"/>
      <c r="AJ576" s="39"/>
      <c r="AK576" s="39">
        <v>0.96493050000000002</v>
      </c>
      <c r="AL576" s="39">
        <v>1.1724424</v>
      </c>
      <c r="AM576" s="39">
        <v>1.6600954999999999</v>
      </c>
      <c r="AN576" s="39">
        <v>7.3770492000000001</v>
      </c>
      <c r="AO576" s="39">
        <v>81.873832699999994</v>
      </c>
      <c r="AP576" s="39">
        <v>5.7999584999999998</v>
      </c>
      <c r="AQ576" s="39">
        <v>1.1516911999999999</v>
      </c>
      <c r="AR576" s="40"/>
      <c r="AS576" s="40"/>
    </row>
    <row r="577" spans="2:45" ht="15" customHeight="1" x14ac:dyDescent="0.25">
      <c r="B577" s="41">
        <v>571</v>
      </c>
      <c r="C577" s="42" t="s">
        <v>31</v>
      </c>
      <c r="D577" s="51" t="s">
        <v>172</v>
      </c>
      <c r="E577" s="51" t="s">
        <v>206</v>
      </c>
      <c r="F577" s="51" t="s">
        <v>206</v>
      </c>
      <c r="G577" s="52" t="s">
        <v>206</v>
      </c>
      <c r="H577" s="43">
        <v>8113</v>
      </c>
      <c r="I577" s="43">
        <v>29</v>
      </c>
      <c r="J577" s="43">
        <v>7</v>
      </c>
      <c r="K577" s="43">
        <v>691</v>
      </c>
      <c r="L577" s="43">
        <v>2594</v>
      </c>
      <c r="M577" s="43">
        <v>4123</v>
      </c>
      <c r="N577" s="43">
        <v>527</v>
      </c>
      <c r="O577" s="43">
        <v>142</v>
      </c>
      <c r="P577" s="44">
        <f>K577+L577+M577+N577+O577</f>
        <v>8077</v>
      </c>
      <c r="Q577" s="44">
        <f>I577+J577</f>
        <v>36</v>
      </c>
      <c r="R577" s="43">
        <v>9638</v>
      </c>
      <c r="S577" s="43">
        <v>93</v>
      </c>
      <c r="T577" s="43">
        <v>113</v>
      </c>
      <c r="U577" s="43">
        <v>160</v>
      </c>
      <c r="V577" s="43">
        <v>711</v>
      </c>
      <c r="W577" s="43">
        <v>7891</v>
      </c>
      <c r="X577" s="43">
        <v>559</v>
      </c>
      <c r="Y577" s="43">
        <v>111</v>
      </c>
      <c r="Z577" s="45">
        <f>U577+V577+W577+X577+Y577</f>
        <v>9432</v>
      </c>
      <c r="AA577" s="45">
        <f>S577+T577</f>
        <v>206</v>
      </c>
      <c r="AB577" s="46">
        <v>0.35745100000000002</v>
      </c>
      <c r="AC577" s="46">
        <v>8.6281300000000005E-2</v>
      </c>
      <c r="AD577" s="46">
        <v>8.5171945999999998</v>
      </c>
      <c r="AE577" s="46">
        <v>31.973376099999999</v>
      </c>
      <c r="AF577" s="46">
        <v>50.819672099999998</v>
      </c>
      <c r="AG577" s="46">
        <v>6.4957475999999996</v>
      </c>
      <c r="AH577" s="46">
        <v>1.7502773</v>
      </c>
      <c r="AI577" s="47">
        <f>AB577+AC577</f>
        <v>0.44373230000000002</v>
      </c>
      <c r="AJ577" s="47">
        <f>AD577+AE577+AF577+AG577+AH577</f>
        <v>99.556267699999992</v>
      </c>
      <c r="AK577" s="46">
        <v>0.96493050000000002</v>
      </c>
      <c r="AL577" s="46">
        <v>1.1724424</v>
      </c>
      <c r="AM577" s="46">
        <v>1.6600954999999999</v>
      </c>
      <c r="AN577" s="46">
        <v>7.3770492000000001</v>
      </c>
      <c r="AO577" s="46">
        <v>81.873832699999994</v>
      </c>
      <c r="AP577" s="46">
        <v>5.7999584999999998</v>
      </c>
      <c r="AQ577" s="46">
        <v>1.1516911999999999</v>
      </c>
      <c r="AR577" s="48">
        <f>AK577+AL577</f>
        <v>2.1373728999999999</v>
      </c>
      <c r="AS577" s="48">
        <f>AM577+AN577+AO577+AP577+AQ577</f>
        <v>97.862627099999997</v>
      </c>
    </row>
    <row r="578" spans="2:45" ht="15" hidden="1" customHeight="1" x14ac:dyDescent="0.25">
      <c r="B578" s="35">
        <v>572</v>
      </c>
      <c r="C578" s="36" t="s">
        <v>31</v>
      </c>
      <c r="D578" s="36" t="s">
        <v>172</v>
      </c>
      <c r="E578" s="36" t="s">
        <v>206</v>
      </c>
      <c r="F578" s="36" t="s">
        <v>206</v>
      </c>
      <c r="G578" s="37" t="s">
        <v>25</v>
      </c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40"/>
      <c r="AS578" s="40"/>
    </row>
    <row r="579" spans="2:45" ht="15" hidden="1" customHeight="1" x14ac:dyDescent="0.25">
      <c r="B579" s="35">
        <v>573</v>
      </c>
      <c r="C579" s="36" t="s">
        <v>31</v>
      </c>
      <c r="D579" s="36" t="s">
        <v>172</v>
      </c>
      <c r="E579" s="36" t="s">
        <v>206</v>
      </c>
      <c r="F579" s="36" t="s">
        <v>206</v>
      </c>
      <c r="G579" s="37" t="s">
        <v>26</v>
      </c>
      <c r="H579" s="38">
        <v>8113</v>
      </c>
      <c r="I579" s="38">
        <v>29</v>
      </c>
      <c r="J579" s="38">
        <v>7</v>
      </c>
      <c r="K579" s="38">
        <v>691</v>
      </c>
      <c r="L579" s="38">
        <v>2594</v>
      </c>
      <c r="M579" s="38">
        <v>4123</v>
      </c>
      <c r="N579" s="38">
        <v>527</v>
      </c>
      <c r="O579" s="38">
        <v>142</v>
      </c>
      <c r="P579" s="38"/>
      <c r="Q579" s="38"/>
      <c r="R579" s="38">
        <v>9638</v>
      </c>
      <c r="S579" s="38">
        <v>93</v>
      </c>
      <c r="T579" s="38">
        <v>113</v>
      </c>
      <c r="U579" s="38">
        <v>160</v>
      </c>
      <c r="V579" s="38">
        <v>711</v>
      </c>
      <c r="W579" s="38">
        <v>7891</v>
      </c>
      <c r="X579" s="38">
        <v>559</v>
      </c>
      <c r="Y579" s="38">
        <v>111</v>
      </c>
      <c r="Z579" s="38"/>
      <c r="AA579" s="38"/>
      <c r="AB579" s="39">
        <v>0.35745100000000002</v>
      </c>
      <c r="AC579" s="39">
        <v>8.6281300000000005E-2</v>
      </c>
      <c r="AD579" s="39">
        <v>8.5171945999999998</v>
      </c>
      <c r="AE579" s="39">
        <v>31.973376099999999</v>
      </c>
      <c r="AF579" s="39">
        <v>50.819672099999998</v>
      </c>
      <c r="AG579" s="39">
        <v>6.4957475999999996</v>
      </c>
      <c r="AH579" s="39">
        <v>1.7502773</v>
      </c>
      <c r="AI579" s="39"/>
      <c r="AJ579" s="39"/>
      <c r="AK579" s="39">
        <v>0.96493050000000002</v>
      </c>
      <c r="AL579" s="39">
        <v>1.1724424</v>
      </c>
      <c r="AM579" s="39">
        <v>1.6600954999999999</v>
      </c>
      <c r="AN579" s="39">
        <v>7.3770492000000001</v>
      </c>
      <c r="AO579" s="39">
        <v>81.873832699999994</v>
      </c>
      <c r="AP579" s="39">
        <v>5.7999584999999998</v>
      </c>
      <c r="AQ579" s="39">
        <v>1.1516911999999999</v>
      </c>
      <c r="AR579" s="40"/>
      <c r="AS579" s="40"/>
    </row>
    <row r="580" spans="2:45" ht="15" hidden="1" customHeight="1" x14ac:dyDescent="0.25">
      <c r="B580" s="30">
        <v>574</v>
      </c>
      <c r="C580" s="31" t="s">
        <v>29</v>
      </c>
      <c r="D580" s="50" t="s">
        <v>172</v>
      </c>
      <c r="E580" s="50" t="s">
        <v>207</v>
      </c>
      <c r="F580" s="50"/>
      <c r="G580" s="31" t="s">
        <v>207</v>
      </c>
      <c r="H580" s="32">
        <v>47965</v>
      </c>
      <c r="I580" s="32">
        <v>1496</v>
      </c>
      <c r="J580" s="32">
        <v>7820</v>
      </c>
      <c r="K580" s="32">
        <v>5428</v>
      </c>
      <c r="L580" s="32">
        <v>2426</v>
      </c>
      <c r="M580" s="32">
        <v>24541</v>
      </c>
      <c r="N580" s="32">
        <v>4167</v>
      </c>
      <c r="O580" s="32">
        <v>2087</v>
      </c>
      <c r="P580" s="32"/>
      <c r="Q580" s="32"/>
      <c r="R580" s="32">
        <v>68141</v>
      </c>
      <c r="S580" s="32">
        <v>4116</v>
      </c>
      <c r="T580" s="32">
        <v>17322</v>
      </c>
      <c r="U580" s="32">
        <v>1011</v>
      </c>
      <c r="V580" s="32">
        <v>431</v>
      </c>
      <c r="W580" s="32">
        <v>41914</v>
      </c>
      <c r="X580" s="32">
        <v>2501</v>
      </c>
      <c r="Y580" s="32">
        <v>846</v>
      </c>
      <c r="Z580" s="32"/>
      <c r="AA580" s="32"/>
      <c r="AB580" s="33">
        <v>3.1189409000000001</v>
      </c>
      <c r="AC580" s="33">
        <v>16.303554699999999</v>
      </c>
      <c r="AD580" s="33">
        <v>11.316585</v>
      </c>
      <c r="AE580" s="33">
        <v>5.0578547</v>
      </c>
      <c r="AF580" s="33">
        <v>51.164390699999998</v>
      </c>
      <c r="AG580" s="33">
        <v>8.6875847000000004</v>
      </c>
      <c r="AH580" s="33">
        <v>4.3510892999999999</v>
      </c>
      <c r="AI580" s="33"/>
      <c r="AJ580" s="33"/>
      <c r="AK580" s="33">
        <v>6.0404162000000001</v>
      </c>
      <c r="AL580" s="33">
        <v>25.4208186</v>
      </c>
      <c r="AM580" s="33">
        <v>1.4836882</v>
      </c>
      <c r="AN580" s="33">
        <v>0.63251199999999996</v>
      </c>
      <c r="AO580" s="33">
        <v>61.510691100000003</v>
      </c>
      <c r="AP580" s="33">
        <v>3.6703306000000002</v>
      </c>
      <c r="AQ580" s="33">
        <v>1.2415433</v>
      </c>
      <c r="AR580" s="34"/>
      <c r="AS580" s="34"/>
    </row>
    <row r="581" spans="2:45" ht="15" hidden="1" customHeight="1" x14ac:dyDescent="0.25">
      <c r="B581" s="35">
        <v>575</v>
      </c>
      <c r="C581" s="36" t="s">
        <v>29</v>
      </c>
      <c r="D581" s="36" t="s">
        <v>172</v>
      </c>
      <c r="E581" s="36" t="s">
        <v>207</v>
      </c>
      <c r="F581" s="36"/>
      <c r="G581" s="37" t="s">
        <v>25</v>
      </c>
      <c r="H581" s="38">
        <v>10006</v>
      </c>
      <c r="I581" s="38">
        <v>1045</v>
      </c>
      <c r="J581" s="38">
        <v>5776</v>
      </c>
      <c r="K581" s="38">
        <v>250</v>
      </c>
      <c r="L581" s="38">
        <v>81</v>
      </c>
      <c r="M581" s="38">
        <v>2522</v>
      </c>
      <c r="N581" s="38">
        <v>217</v>
      </c>
      <c r="O581" s="38">
        <v>115</v>
      </c>
      <c r="P581" s="38"/>
      <c r="Q581" s="38"/>
      <c r="R581" s="38">
        <v>20306</v>
      </c>
      <c r="S581" s="38">
        <v>2783</v>
      </c>
      <c r="T581" s="38">
        <v>12610</v>
      </c>
      <c r="U581" s="38">
        <v>87</v>
      </c>
      <c r="V581" s="38">
        <v>24</v>
      </c>
      <c r="W581" s="38">
        <v>4539</v>
      </c>
      <c r="X581" s="38">
        <v>131</v>
      </c>
      <c r="Y581" s="38">
        <v>132</v>
      </c>
      <c r="Z581" s="38"/>
      <c r="AA581" s="38"/>
      <c r="AB581" s="39">
        <v>10.4437338</v>
      </c>
      <c r="AC581" s="39">
        <v>57.725364800000001</v>
      </c>
      <c r="AD581" s="39">
        <v>2.4985008999999998</v>
      </c>
      <c r="AE581" s="39">
        <v>0.80951430000000002</v>
      </c>
      <c r="AF581" s="39">
        <v>25.204877100000001</v>
      </c>
      <c r="AG581" s="39">
        <v>2.1686988</v>
      </c>
      <c r="AH581" s="39">
        <v>1.1493104000000001</v>
      </c>
      <c r="AI581" s="39"/>
      <c r="AJ581" s="39"/>
      <c r="AK581" s="39">
        <v>13.705308799999999</v>
      </c>
      <c r="AL581" s="39">
        <v>62.099871999999998</v>
      </c>
      <c r="AM581" s="39">
        <v>0.42844480000000001</v>
      </c>
      <c r="AN581" s="39">
        <v>0.1181917</v>
      </c>
      <c r="AO581" s="39">
        <v>22.352999100000002</v>
      </c>
      <c r="AP581" s="39">
        <v>0.64512950000000002</v>
      </c>
      <c r="AQ581" s="39">
        <v>0.65005420000000003</v>
      </c>
      <c r="AR581" s="40"/>
      <c r="AS581" s="40"/>
    </row>
    <row r="582" spans="2:45" ht="15" hidden="1" customHeight="1" x14ac:dyDescent="0.25">
      <c r="B582" s="35">
        <v>576</v>
      </c>
      <c r="C582" s="36" t="s">
        <v>29</v>
      </c>
      <c r="D582" s="36" t="s">
        <v>172</v>
      </c>
      <c r="E582" s="36" t="s">
        <v>207</v>
      </c>
      <c r="F582" s="36"/>
      <c r="G582" s="37" t="s">
        <v>26</v>
      </c>
      <c r="H582" s="38">
        <v>37959</v>
      </c>
      <c r="I582" s="38">
        <v>451</v>
      </c>
      <c r="J582" s="38">
        <v>2044</v>
      </c>
      <c r="K582" s="38">
        <v>5178</v>
      </c>
      <c r="L582" s="38">
        <v>2345</v>
      </c>
      <c r="M582" s="38">
        <v>22019</v>
      </c>
      <c r="N582" s="38">
        <v>3950</v>
      </c>
      <c r="O582" s="38">
        <v>1972</v>
      </c>
      <c r="P582" s="38"/>
      <c r="Q582" s="38"/>
      <c r="R582" s="38">
        <v>47835</v>
      </c>
      <c r="S582" s="38">
        <v>1333</v>
      </c>
      <c r="T582" s="38">
        <v>4712</v>
      </c>
      <c r="U582" s="38">
        <v>924</v>
      </c>
      <c r="V582" s="38">
        <v>407</v>
      </c>
      <c r="W582" s="38">
        <v>37375</v>
      </c>
      <c r="X582" s="38">
        <v>2370</v>
      </c>
      <c r="Y582" s="38">
        <v>714</v>
      </c>
      <c r="Z582" s="38"/>
      <c r="AA582" s="38"/>
      <c r="AB582" s="39">
        <v>1.188124</v>
      </c>
      <c r="AC582" s="39">
        <v>5.3847572000000001</v>
      </c>
      <c r="AD582" s="39">
        <v>13.641033699999999</v>
      </c>
      <c r="AE582" s="39">
        <v>6.1777180999999999</v>
      </c>
      <c r="AF582" s="39">
        <v>58.007323700000001</v>
      </c>
      <c r="AG582" s="39">
        <v>10.405964300000001</v>
      </c>
      <c r="AH582" s="39">
        <v>5.1950789000000004</v>
      </c>
      <c r="AI582" s="39"/>
      <c r="AJ582" s="39"/>
      <c r="AK582" s="39">
        <v>2.7866624999999998</v>
      </c>
      <c r="AL582" s="39">
        <v>9.8505278999999994</v>
      </c>
      <c r="AM582" s="39">
        <v>1.93164</v>
      </c>
      <c r="AN582" s="39">
        <v>0.85084139999999997</v>
      </c>
      <c r="AO582" s="39">
        <v>78.133166099999997</v>
      </c>
      <c r="AP582" s="39">
        <v>4.9545311999999999</v>
      </c>
      <c r="AQ582" s="39">
        <v>1.4926309</v>
      </c>
      <c r="AR582" s="40"/>
      <c r="AS582" s="40"/>
    </row>
    <row r="583" spans="2:45" ht="15" customHeight="1" x14ac:dyDescent="0.25">
      <c r="B583" s="41">
        <v>577</v>
      </c>
      <c r="C583" s="42" t="s">
        <v>31</v>
      </c>
      <c r="D583" s="51" t="s">
        <v>172</v>
      </c>
      <c r="E583" s="51" t="s">
        <v>207</v>
      </c>
      <c r="F583" s="51" t="s">
        <v>208</v>
      </c>
      <c r="G583" s="52" t="s">
        <v>208</v>
      </c>
      <c r="H583" s="43">
        <v>4729</v>
      </c>
      <c r="I583" s="43">
        <v>147</v>
      </c>
      <c r="J583" s="43">
        <v>395</v>
      </c>
      <c r="K583" s="43">
        <v>1012</v>
      </c>
      <c r="L583" s="43">
        <v>533</v>
      </c>
      <c r="M583" s="43">
        <v>1977</v>
      </c>
      <c r="N583" s="43">
        <v>521</v>
      </c>
      <c r="O583" s="43">
        <v>144</v>
      </c>
      <c r="P583" s="44">
        <f>K583+L583+M583+N583+O583</f>
        <v>4187</v>
      </c>
      <c r="Q583" s="44">
        <f>I583+J583</f>
        <v>542</v>
      </c>
      <c r="R583" s="43">
        <v>5351</v>
      </c>
      <c r="S583" s="43">
        <v>222</v>
      </c>
      <c r="T583" s="43">
        <v>618</v>
      </c>
      <c r="U583" s="43">
        <v>152</v>
      </c>
      <c r="V583" s="43">
        <v>122</v>
      </c>
      <c r="W583" s="43">
        <v>3781</v>
      </c>
      <c r="X583" s="43">
        <v>381</v>
      </c>
      <c r="Y583" s="43">
        <v>75</v>
      </c>
      <c r="Z583" s="45">
        <f>U583+V583+W583+X583+Y583</f>
        <v>4511</v>
      </c>
      <c r="AA583" s="45">
        <f>S583+T583</f>
        <v>840</v>
      </c>
      <c r="AB583" s="46">
        <v>3.1084795999999999</v>
      </c>
      <c r="AC583" s="46">
        <v>8.3527173000000001</v>
      </c>
      <c r="AD583" s="46">
        <v>21.399873100000001</v>
      </c>
      <c r="AE583" s="46">
        <v>11.2708818</v>
      </c>
      <c r="AF583" s="46">
        <v>41.8058786</v>
      </c>
      <c r="AG583" s="46">
        <v>11.017128400000001</v>
      </c>
      <c r="AH583" s="46">
        <v>3.0450412</v>
      </c>
      <c r="AI583" s="47">
        <f>AB583+AC583</f>
        <v>11.461196900000001</v>
      </c>
      <c r="AJ583" s="47">
        <f>AD583+AE583+AF583+AG583+AH583</f>
        <v>88.538803099999996</v>
      </c>
      <c r="AK583" s="46">
        <v>4.1487572000000004</v>
      </c>
      <c r="AL583" s="46">
        <v>11.5492431</v>
      </c>
      <c r="AM583" s="46">
        <v>2.8405904999999998</v>
      </c>
      <c r="AN583" s="46">
        <v>2.2799477000000001</v>
      </c>
      <c r="AO583" s="46">
        <v>70.659689799999995</v>
      </c>
      <c r="AP583" s="46">
        <v>7.1201644999999996</v>
      </c>
      <c r="AQ583" s="46">
        <v>1.4016071999999999</v>
      </c>
      <c r="AR583" s="48">
        <f>AK583+AL583</f>
        <v>15.6980003</v>
      </c>
      <c r="AS583" s="48">
        <f>AM583+AN583+AO583+AP583+AQ583</f>
        <v>84.301999699999996</v>
      </c>
    </row>
    <row r="584" spans="2:45" ht="15" hidden="1" customHeight="1" x14ac:dyDescent="0.25">
      <c r="B584" s="35">
        <v>578</v>
      </c>
      <c r="C584" s="36" t="s">
        <v>31</v>
      </c>
      <c r="D584" s="36" t="s">
        <v>172</v>
      </c>
      <c r="E584" s="36" t="s">
        <v>207</v>
      </c>
      <c r="F584" s="36" t="s">
        <v>208</v>
      </c>
      <c r="G584" s="37" t="s">
        <v>25</v>
      </c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40"/>
      <c r="AS584" s="40"/>
    </row>
    <row r="585" spans="2:45" ht="15" hidden="1" customHeight="1" x14ac:dyDescent="0.25">
      <c r="B585" s="35">
        <v>579</v>
      </c>
      <c r="C585" s="36" t="s">
        <v>31</v>
      </c>
      <c r="D585" s="36" t="s">
        <v>172</v>
      </c>
      <c r="E585" s="36" t="s">
        <v>207</v>
      </c>
      <c r="F585" s="36" t="s">
        <v>208</v>
      </c>
      <c r="G585" s="37" t="s">
        <v>26</v>
      </c>
      <c r="H585" s="38">
        <v>4729</v>
      </c>
      <c r="I585" s="38">
        <v>147</v>
      </c>
      <c r="J585" s="38">
        <v>395</v>
      </c>
      <c r="K585" s="38">
        <v>1012</v>
      </c>
      <c r="L585" s="38">
        <v>533</v>
      </c>
      <c r="M585" s="38">
        <v>1977</v>
      </c>
      <c r="N585" s="38">
        <v>521</v>
      </c>
      <c r="O585" s="38">
        <v>144</v>
      </c>
      <c r="P585" s="38"/>
      <c r="Q585" s="38"/>
      <c r="R585" s="38">
        <v>5351</v>
      </c>
      <c r="S585" s="38">
        <v>222</v>
      </c>
      <c r="T585" s="38">
        <v>618</v>
      </c>
      <c r="U585" s="38">
        <v>152</v>
      </c>
      <c r="V585" s="38">
        <v>122</v>
      </c>
      <c r="W585" s="38">
        <v>3781</v>
      </c>
      <c r="X585" s="38">
        <v>381</v>
      </c>
      <c r="Y585" s="38">
        <v>75</v>
      </c>
      <c r="Z585" s="38"/>
      <c r="AA585" s="38"/>
      <c r="AB585" s="39">
        <v>3.1084795999999999</v>
      </c>
      <c r="AC585" s="39">
        <v>8.3527173000000001</v>
      </c>
      <c r="AD585" s="39">
        <v>21.399873100000001</v>
      </c>
      <c r="AE585" s="39">
        <v>11.2708818</v>
      </c>
      <c r="AF585" s="39">
        <v>41.8058786</v>
      </c>
      <c r="AG585" s="39">
        <v>11.017128400000001</v>
      </c>
      <c r="AH585" s="39">
        <v>3.0450412</v>
      </c>
      <c r="AI585" s="39"/>
      <c r="AJ585" s="39"/>
      <c r="AK585" s="39">
        <v>4.1487572000000004</v>
      </c>
      <c r="AL585" s="39">
        <v>11.5492431</v>
      </c>
      <c r="AM585" s="39">
        <v>2.8405904999999998</v>
      </c>
      <c r="AN585" s="39">
        <v>2.2799477000000001</v>
      </c>
      <c r="AO585" s="39">
        <v>70.659689799999995</v>
      </c>
      <c r="AP585" s="39">
        <v>7.1201644999999996</v>
      </c>
      <c r="AQ585" s="39">
        <v>1.4016071999999999</v>
      </c>
      <c r="AR585" s="40"/>
      <c r="AS585" s="40"/>
    </row>
    <row r="586" spans="2:45" ht="15" customHeight="1" x14ac:dyDescent="0.25">
      <c r="B586" s="41">
        <v>580</v>
      </c>
      <c r="C586" s="42" t="s">
        <v>31</v>
      </c>
      <c r="D586" s="51" t="s">
        <v>172</v>
      </c>
      <c r="E586" s="51" t="s">
        <v>207</v>
      </c>
      <c r="F586" s="51" t="s">
        <v>209</v>
      </c>
      <c r="G586" s="52" t="s">
        <v>209</v>
      </c>
      <c r="H586" s="43">
        <v>3003</v>
      </c>
      <c r="I586" s="43">
        <v>23</v>
      </c>
      <c r="J586" s="43">
        <v>140</v>
      </c>
      <c r="K586" s="43">
        <v>670</v>
      </c>
      <c r="L586" s="43">
        <v>395</v>
      </c>
      <c r="M586" s="43">
        <v>1336</v>
      </c>
      <c r="N586" s="43">
        <v>231</v>
      </c>
      <c r="O586" s="43">
        <v>208</v>
      </c>
      <c r="P586" s="44">
        <f>K586+L586+M586+N586+O586</f>
        <v>2840</v>
      </c>
      <c r="Q586" s="44">
        <f>I586+J586</f>
        <v>163</v>
      </c>
      <c r="R586" s="43">
        <v>3705</v>
      </c>
      <c r="S586" s="43">
        <v>113</v>
      </c>
      <c r="T586" s="43">
        <v>492</v>
      </c>
      <c r="U586" s="43">
        <v>127</v>
      </c>
      <c r="V586" s="43">
        <v>42</v>
      </c>
      <c r="W586" s="43">
        <v>2724</v>
      </c>
      <c r="X586" s="43">
        <v>169</v>
      </c>
      <c r="Y586" s="43">
        <v>38</v>
      </c>
      <c r="Z586" s="45">
        <f>U586+V586+W586+X586+Y586</f>
        <v>3100</v>
      </c>
      <c r="AA586" s="45">
        <f>S586+T586</f>
        <v>605</v>
      </c>
      <c r="AB586" s="46">
        <v>0.76590080000000005</v>
      </c>
      <c r="AC586" s="46">
        <v>4.6620046999999998</v>
      </c>
      <c r="AD586" s="46">
        <v>22.311022300000001</v>
      </c>
      <c r="AE586" s="46">
        <v>13.153513200000001</v>
      </c>
      <c r="AF586" s="46">
        <v>44.488844499999999</v>
      </c>
      <c r="AG586" s="46">
        <v>7.6923076999999997</v>
      </c>
      <c r="AH586" s="46">
        <v>6.9264068999999999</v>
      </c>
      <c r="AI586" s="47">
        <f>AB586+AC586</f>
        <v>5.4279054999999996</v>
      </c>
      <c r="AJ586" s="47">
        <f>AD586+AE586+AF586+AG586+AH586</f>
        <v>94.572094600000014</v>
      </c>
      <c r="AK586" s="46">
        <v>3.0499325000000002</v>
      </c>
      <c r="AL586" s="46">
        <v>13.2793522</v>
      </c>
      <c r="AM586" s="46">
        <v>3.4278002999999999</v>
      </c>
      <c r="AN586" s="46">
        <v>1.1336032</v>
      </c>
      <c r="AO586" s="46">
        <v>73.522267200000002</v>
      </c>
      <c r="AP586" s="46">
        <v>4.5614034999999999</v>
      </c>
      <c r="AQ586" s="46">
        <v>1.025641</v>
      </c>
      <c r="AR586" s="48">
        <f>AK586+AL586</f>
        <v>16.329284699999999</v>
      </c>
      <c r="AS586" s="48">
        <f>AM586+AN586+AO586+AP586+AQ586</f>
        <v>83.670715199999989</v>
      </c>
    </row>
    <row r="587" spans="2:45" ht="15" hidden="1" customHeight="1" x14ac:dyDescent="0.25">
      <c r="B587" s="35">
        <v>581</v>
      </c>
      <c r="C587" s="36" t="s">
        <v>31</v>
      </c>
      <c r="D587" s="36" t="s">
        <v>172</v>
      </c>
      <c r="E587" s="36" t="s">
        <v>207</v>
      </c>
      <c r="F587" s="36" t="s">
        <v>209</v>
      </c>
      <c r="G587" s="37" t="s">
        <v>25</v>
      </c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40"/>
      <c r="AS587" s="40"/>
    </row>
    <row r="588" spans="2:45" ht="15" hidden="1" customHeight="1" x14ac:dyDescent="0.25">
      <c r="B588" s="35">
        <v>582</v>
      </c>
      <c r="C588" s="36" t="s">
        <v>31</v>
      </c>
      <c r="D588" s="36" t="s">
        <v>172</v>
      </c>
      <c r="E588" s="36" t="s">
        <v>207</v>
      </c>
      <c r="F588" s="36" t="s">
        <v>209</v>
      </c>
      <c r="G588" s="37" t="s">
        <v>26</v>
      </c>
      <c r="H588" s="38">
        <v>3003</v>
      </c>
      <c r="I588" s="38">
        <v>23</v>
      </c>
      <c r="J588" s="38">
        <v>140</v>
      </c>
      <c r="K588" s="38">
        <v>670</v>
      </c>
      <c r="L588" s="38">
        <v>395</v>
      </c>
      <c r="M588" s="38">
        <v>1336</v>
      </c>
      <c r="N588" s="38">
        <v>231</v>
      </c>
      <c r="O588" s="38">
        <v>208</v>
      </c>
      <c r="P588" s="38"/>
      <c r="Q588" s="38"/>
      <c r="R588" s="38">
        <v>3705</v>
      </c>
      <c r="S588" s="38">
        <v>113</v>
      </c>
      <c r="T588" s="38">
        <v>492</v>
      </c>
      <c r="U588" s="38">
        <v>127</v>
      </c>
      <c r="V588" s="38">
        <v>42</v>
      </c>
      <c r="W588" s="38">
        <v>2724</v>
      </c>
      <c r="X588" s="38">
        <v>169</v>
      </c>
      <c r="Y588" s="38">
        <v>38</v>
      </c>
      <c r="Z588" s="38"/>
      <c r="AA588" s="38"/>
      <c r="AB588" s="39">
        <v>0.76590080000000005</v>
      </c>
      <c r="AC588" s="39">
        <v>4.6620046999999998</v>
      </c>
      <c r="AD588" s="39">
        <v>22.311022300000001</v>
      </c>
      <c r="AE588" s="39">
        <v>13.153513200000001</v>
      </c>
      <c r="AF588" s="39">
        <v>44.488844499999999</v>
      </c>
      <c r="AG588" s="39">
        <v>7.6923076999999997</v>
      </c>
      <c r="AH588" s="39">
        <v>6.9264068999999999</v>
      </c>
      <c r="AI588" s="39"/>
      <c r="AJ588" s="39"/>
      <c r="AK588" s="39">
        <v>3.0499325000000002</v>
      </c>
      <c r="AL588" s="39">
        <v>13.2793522</v>
      </c>
      <c r="AM588" s="39">
        <v>3.4278002999999999</v>
      </c>
      <c r="AN588" s="39">
        <v>1.1336032</v>
      </c>
      <c r="AO588" s="39">
        <v>73.522267200000002</v>
      </c>
      <c r="AP588" s="39">
        <v>4.5614034999999999</v>
      </c>
      <c r="AQ588" s="39">
        <v>1.025641</v>
      </c>
      <c r="AR588" s="40"/>
      <c r="AS588" s="40"/>
    </row>
    <row r="589" spans="2:45" ht="15" customHeight="1" x14ac:dyDescent="0.25">
      <c r="B589" s="41">
        <v>583</v>
      </c>
      <c r="C589" s="42" t="s">
        <v>31</v>
      </c>
      <c r="D589" s="51" t="s">
        <v>172</v>
      </c>
      <c r="E589" s="51" t="s">
        <v>207</v>
      </c>
      <c r="F589" s="51" t="s">
        <v>210</v>
      </c>
      <c r="G589" s="52" t="s">
        <v>210</v>
      </c>
      <c r="H589" s="43">
        <v>3544</v>
      </c>
      <c r="I589" s="43">
        <v>24</v>
      </c>
      <c r="J589" s="43">
        <v>161</v>
      </c>
      <c r="K589" s="43">
        <v>699</v>
      </c>
      <c r="L589" s="43">
        <v>423</v>
      </c>
      <c r="M589" s="43">
        <v>2078</v>
      </c>
      <c r="N589" s="43">
        <v>129</v>
      </c>
      <c r="O589" s="43">
        <v>30</v>
      </c>
      <c r="P589" s="44">
        <f>K589+L589+M589+N589+O589</f>
        <v>3359</v>
      </c>
      <c r="Q589" s="44">
        <f>I589+J589</f>
        <v>185</v>
      </c>
      <c r="R589" s="43">
        <v>4853</v>
      </c>
      <c r="S589" s="43">
        <v>33</v>
      </c>
      <c r="T589" s="43">
        <v>18</v>
      </c>
      <c r="U589" s="43">
        <v>125</v>
      </c>
      <c r="V589" s="43">
        <v>137</v>
      </c>
      <c r="W589" s="43">
        <v>4356</v>
      </c>
      <c r="X589" s="43">
        <v>138</v>
      </c>
      <c r="Y589" s="43">
        <v>46</v>
      </c>
      <c r="Z589" s="45">
        <f>U589+V589+W589+X589+Y589</f>
        <v>4802</v>
      </c>
      <c r="AA589" s="45">
        <f>S589+T589</f>
        <v>51</v>
      </c>
      <c r="AB589" s="46">
        <v>0.67720089999999999</v>
      </c>
      <c r="AC589" s="46">
        <v>4.5428894</v>
      </c>
      <c r="AD589" s="46">
        <v>19.723476300000002</v>
      </c>
      <c r="AE589" s="46">
        <v>11.9356659</v>
      </c>
      <c r="AF589" s="46">
        <v>58.634311500000003</v>
      </c>
      <c r="AG589" s="46">
        <v>3.6399549000000002</v>
      </c>
      <c r="AH589" s="46">
        <v>0.84650110000000001</v>
      </c>
      <c r="AI589" s="47">
        <f>AB589+AC589</f>
        <v>5.2200902999999998</v>
      </c>
      <c r="AJ589" s="47">
        <f>AD589+AE589+AF589+AG589+AH589</f>
        <v>94.779909700000005</v>
      </c>
      <c r="AK589" s="46">
        <v>0.67999180000000004</v>
      </c>
      <c r="AL589" s="46">
        <v>0.37090459999999997</v>
      </c>
      <c r="AM589" s="46">
        <v>2.5757264000000002</v>
      </c>
      <c r="AN589" s="46">
        <v>2.8229961000000001</v>
      </c>
      <c r="AO589" s="46">
        <v>89.758911999999995</v>
      </c>
      <c r="AP589" s="46">
        <v>2.8436018999999999</v>
      </c>
      <c r="AQ589" s="46">
        <v>0.94786729999999997</v>
      </c>
      <c r="AR589" s="48">
        <f>AK589+AL589</f>
        <v>1.0508964000000001</v>
      </c>
      <c r="AS589" s="48">
        <f>AM589+AN589+AO589+AP589+AQ589</f>
        <v>98.949103699999995</v>
      </c>
    </row>
    <row r="590" spans="2:45" ht="15" hidden="1" customHeight="1" x14ac:dyDescent="0.25">
      <c r="B590" s="35">
        <v>584</v>
      </c>
      <c r="C590" s="36" t="s">
        <v>31</v>
      </c>
      <c r="D590" s="36" t="s">
        <v>172</v>
      </c>
      <c r="E590" s="36" t="s">
        <v>207</v>
      </c>
      <c r="F590" s="36" t="s">
        <v>210</v>
      </c>
      <c r="G590" s="37" t="s">
        <v>25</v>
      </c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40"/>
      <c r="AS590" s="40"/>
    </row>
    <row r="591" spans="2:45" ht="15" hidden="1" customHeight="1" x14ac:dyDescent="0.25">
      <c r="B591" s="35">
        <v>585</v>
      </c>
      <c r="C591" s="36" t="s">
        <v>31</v>
      </c>
      <c r="D591" s="36" t="s">
        <v>172</v>
      </c>
      <c r="E591" s="36" t="s">
        <v>207</v>
      </c>
      <c r="F591" s="36" t="s">
        <v>210</v>
      </c>
      <c r="G591" s="37" t="s">
        <v>26</v>
      </c>
      <c r="H591" s="38">
        <v>3544</v>
      </c>
      <c r="I591" s="38">
        <v>24</v>
      </c>
      <c r="J591" s="38">
        <v>161</v>
      </c>
      <c r="K591" s="38">
        <v>699</v>
      </c>
      <c r="L591" s="38">
        <v>423</v>
      </c>
      <c r="M591" s="38">
        <v>2078</v>
      </c>
      <c r="N591" s="38">
        <v>129</v>
      </c>
      <c r="O591" s="38">
        <v>30</v>
      </c>
      <c r="P591" s="38"/>
      <c r="Q591" s="38"/>
      <c r="R591" s="38">
        <v>4853</v>
      </c>
      <c r="S591" s="38">
        <v>33</v>
      </c>
      <c r="T591" s="38">
        <v>18</v>
      </c>
      <c r="U591" s="38">
        <v>125</v>
      </c>
      <c r="V591" s="38">
        <v>137</v>
      </c>
      <c r="W591" s="38">
        <v>4356</v>
      </c>
      <c r="X591" s="38">
        <v>138</v>
      </c>
      <c r="Y591" s="38">
        <v>46</v>
      </c>
      <c r="Z591" s="38"/>
      <c r="AA591" s="38"/>
      <c r="AB591" s="39">
        <v>0.67720089999999999</v>
      </c>
      <c r="AC591" s="39">
        <v>4.5428894</v>
      </c>
      <c r="AD591" s="39">
        <v>19.723476300000002</v>
      </c>
      <c r="AE591" s="39">
        <v>11.9356659</v>
      </c>
      <c r="AF591" s="39">
        <v>58.634311500000003</v>
      </c>
      <c r="AG591" s="39">
        <v>3.6399549000000002</v>
      </c>
      <c r="AH591" s="39">
        <v>0.84650110000000001</v>
      </c>
      <c r="AI591" s="39"/>
      <c r="AJ591" s="39"/>
      <c r="AK591" s="39">
        <v>0.67999180000000004</v>
      </c>
      <c r="AL591" s="39">
        <v>0.37090459999999997</v>
      </c>
      <c r="AM591" s="39">
        <v>2.5757264000000002</v>
      </c>
      <c r="AN591" s="39">
        <v>2.8229961000000001</v>
      </c>
      <c r="AO591" s="39">
        <v>89.758911999999995</v>
      </c>
      <c r="AP591" s="39">
        <v>2.8436018999999999</v>
      </c>
      <c r="AQ591" s="39">
        <v>0.94786729999999997</v>
      </c>
      <c r="AR591" s="40"/>
      <c r="AS591" s="40"/>
    </row>
    <row r="592" spans="2:45" ht="15" customHeight="1" x14ac:dyDescent="0.25">
      <c r="B592" s="41">
        <v>586</v>
      </c>
      <c r="C592" s="42" t="s">
        <v>31</v>
      </c>
      <c r="D592" s="51" t="s">
        <v>172</v>
      </c>
      <c r="E592" s="51" t="s">
        <v>207</v>
      </c>
      <c r="F592" s="51" t="s">
        <v>211</v>
      </c>
      <c r="G592" s="52" t="s">
        <v>211</v>
      </c>
      <c r="H592" s="43">
        <v>7263</v>
      </c>
      <c r="I592" s="43">
        <v>308</v>
      </c>
      <c r="J592" s="43">
        <v>1733</v>
      </c>
      <c r="K592" s="43">
        <v>468</v>
      </c>
      <c r="L592" s="43">
        <v>164</v>
      </c>
      <c r="M592" s="43">
        <v>3759</v>
      </c>
      <c r="N592" s="43">
        <v>611</v>
      </c>
      <c r="O592" s="43">
        <v>220</v>
      </c>
      <c r="P592" s="44">
        <f>K592+L592+M592+N592+O592</f>
        <v>5222</v>
      </c>
      <c r="Q592" s="44">
        <f>I592+J592</f>
        <v>2041</v>
      </c>
      <c r="R592" s="43">
        <v>10557</v>
      </c>
      <c r="S592" s="43">
        <v>679</v>
      </c>
      <c r="T592" s="43">
        <v>2556</v>
      </c>
      <c r="U592" s="43">
        <v>150</v>
      </c>
      <c r="V592" s="43">
        <v>37</v>
      </c>
      <c r="W592" s="43">
        <v>6554</v>
      </c>
      <c r="X592" s="43">
        <v>450</v>
      </c>
      <c r="Y592" s="43">
        <v>131</v>
      </c>
      <c r="Z592" s="45">
        <f>U592+V592+W592+X592+Y592</f>
        <v>7322</v>
      </c>
      <c r="AA592" s="45">
        <f>S592+T592</f>
        <v>3235</v>
      </c>
      <c r="AB592" s="46">
        <v>4.2406718999999997</v>
      </c>
      <c r="AC592" s="46">
        <v>23.860663599999999</v>
      </c>
      <c r="AD592" s="46">
        <v>6.4436182999999998</v>
      </c>
      <c r="AE592" s="46">
        <v>2.2580201</v>
      </c>
      <c r="AF592" s="46">
        <v>51.755472900000001</v>
      </c>
      <c r="AG592" s="46">
        <v>8.4125017</v>
      </c>
      <c r="AH592" s="46">
        <v>3.0290514000000002</v>
      </c>
      <c r="AI592" s="47">
        <f>AB592+AC592</f>
        <v>28.101335499999998</v>
      </c>
      <c r="AJ592" s="47">
        <f>AD592+AE592+AF592+AG592+AH592</f>
        <v>71.898664400000001</v>
      </c>
      <c r="AK592" s="46">
        <v>6.4317513999999996</v>
      </c>
      <c r="AL592" s="46">
        <v>24.211423700000001</v>
      </c>
      <c r="AM592" s="46">
        <v>1.4208582000000001</v>
      </c>
      <c r="AN592" s="46">
        <v>0.35047840000000002</v>
      </c>
      <c r="AO592" s="46">
        <v>62.082030899999999</v>
      </c>
      <c r="AP592" s="46">
        <v>4.2625745999999998</v>
      </c>
      <c r="AQ592" s="46">
        <v>1.2408828000000001</v>
      </c>
      <c r="AR592" s="48">
        <f>AK592+AL592</f>
        <v>30.643175100000001</v>
      </c>
      <c r="AS592" s="48">
        <f>AM592+AN592+AO592+AP592+AQ592</f>
        <v>69.356824899999992</v>
      </c>
    </row>
    <row r="593" spans="2:45" ht="15" hidden="1" customHeight="1" x14ac:dyDescent="0.25">
      <c r="B593" s="35">
        <v>587</v>
      </c>
      <c r="C593" s="36" t="s">
        <v>31</v>
      </c>
      <c r="D593" s="36" t="s">
        <v>172</v>
      </c>
      <c r="E593" s="36" t="s">
        <v>207</v>
      </c>
      <c r="F593" s="36" t="s">
        <v>211</v>
      </c>
      <c r="G593" s="37" t="s">
        <v>25</v>
      </c>
      <c r="H593" s="38">
        <v>1817</v>
      </c>
      <c r="I593" s="38">
        <v>229</v>
      </c>
      <c r="J593" s="38">
        <v>1167</v>
      </c>
      <c r="K593" s="38">
        <v>14</v>
      </c>
      <c r="L593" s="38">
        <v>17</v>
      </c>
      <c r="M593" s="38">
        <v>326</v>
      </c>
      <c r="N593" s="38">
        <v>53</v>
      </c>
      <c r="O593" s="38">
        <v>11</v>
      </c>
      <c r="P593" s="38"/>
      <c r="Q593" s="38"/>
      <c r="R593" s="38">
        <v>3403</v>
      </c>
      <c r="S593" s="38">
        <v>498</v>
      </c>
      <c r="T593" s="38">
        <v>1941</v>
      </c>
      <c r="U593" s="38">
        <v>14</v>
      </c>
      <c r="V593" s="38">
        <v>4</v>
      </c>
      <c r="W593" s="38">
        <v>898</v>
      </c>
      <c r="X593" s="38">
        <v>24</v>
      </c>
      <c r="Y593" s="38">
        <v>24</v>
      </c>
      <c r="Z593" s="38"/>
      <c r="AA593" s="38"/>
      <c r="AB593" s="39">
        <v>12.603192099999999</v>
      </c>
      <c r="AC593" s="39">
        <v>64.226747399999994</v>
      </c>
      <c r="AD593" s="39">
        <v>0.77050079999999999</v>
      </c>
      <c r="AE593" s="39">
        <v>0.93560810000000005</v>
      </c>
      <c r="AF593" s="39">
        <v>17.941662099999999</v>
      </c>
      <c r="AG593" s="39">
        <v>2.9168959999999999</v>
      </c>
      <c r="AH593" s="39">
        <v>0.60539350000000003</v>
      </c>
      <c r="AI593" s="39"/>
      <c r="AJ593" s="39"/>
      <c r="AK593" s="39">
        <v>14.634146299999999</v>
      </c>
      <c r="AL593" s="39">
        <v>57.037907699999998</v>
      </c>
      <c r="AM593" s="39">
        <v>0.41140169999999998</v>
      </c>
      <c r="AN593" s="39">
        <v>0.1175433</v>
      </c>
      <c r="AO593" s="39">
        <v>26.3884808</v>
      </c>
      <c r="AP593" s="39">
        <v>0.70526009999999995</v>
      </c>
      <c r="AQ593" s="39">
        <v>0.70526009999999995</v>
      </c>
      <c r="AR593" s="40"/>
      <c r="AS593" s="40"/>
    </row>
    <row r="594" spans="2:45" ht="15" hidden="1" customHeight="1" x14ac:dyDescent="0.25">
      <c r="B594" s="35">
        <v>588</v>
      </c>
      <c r="C594" s="36" t="s">
        <v>31</v>
      </c>
      <c r="D594" s="36" t="s">
        <v>172</v>
      </c>
      <c r="E594" s="36" t="s">
        <v>207</v>
      </c>
      <c r="F594" s="36" t="s">
        <v>211</v>
      </c>
      <c r="G594" s="37" t="s">
        <v>26</v>
      </c>
      <c r="H594" s="38">
        <v>5446</v>
      </c>
      <c r="I594" s="38">
        <v>79</v>
      </c>
      <c r="J594" s="38">
        <v>566</v>
      </c>
      <c r="K594" s="38">
        <v>454</v>
      </c>
      <c r="L594" s="38">
        <v>147</v>
      </c>
      <c r="M594" s="38">
        <v>3433</v>
      </c>
      <c r="N594" s="38">
        <v>558</v>
      </c>
      <c r="O594" s="38">
        <v>209</v>
      </c>
      <c r="P594" s="38"/>
      <c r="Q594" s="38"/>
      <c r="R594" s="38">
        <v>7154</v>
      </c>
      <c r="S594" s="38">
        <v>181</v>
      </c>
      <c r="T594" s="38">
        <v>615</v>
      </c>
      <c r="U594" s="38">
        <v>136</v>
      </c>
      <c r="V594" s="38">
        <v>33</v>
      </c>
      <c r="W594" s="38">
        <v>5656</v>
      </c>
      <c r="X594" s="38">
        <v>426</v>
      </c>
      <c r="Y594" s="38">
        <v>107</v>
      </c>
      <c r="Z594" s="38"/>
      <c r="AA594" s="38"/>
      <c r="AB594" s="39">
        <v>1.4506059</v>
      </c>
      <c r="AC594" s="39">
        <v>10.392949</v>
      </c>
      <c r="AD594" s="39">
        <v>8.3363937000000004</v>
      </c>
      <c r="AE594" s="39">
        <v>2.6992288000000002</v>
      </c>
      <c r="AF594" s="39">
        <v>63.037091400000001</v>
      </c>
      <c r="AG594" s="39">
        <v>10.2460521</v>
      </c>
      <c r="AH594" s="39">
        <v>3.8376790000000001</v>
      </c>
      <c r="AI594" s="39"/>
      <c r="AJ594" s="39"/>
      <c r="AK594" s="39">
        <v>2.5300530999999999</v>
      </c>
      <c r="AL594" s="39">
        <v>8.5965892999999998</v>
      </c>
      <c r="AM594" s="39">
        <v>1.9010343999999999</v>
      </c>
      <c r="AN594" s="39">
        <v>0.46128039999999998</v>
      </c>
      <c r="AO594" s="39">
        <v>79.060665400000005</v>
      </c>
      <c r="AP594" s="39">
        <v>5.9547106999999997</v>
      </c>
      <c r="AQ594" s="39">
        <v>1.4956668</v>
      </c>
      <c r="AR594" s="40"/>
      <c r="AS594" s="40"/>
    </row>
    <row r="595" spans="2:45" ht="15" customHeight="1" x14ac:dyDescent="0.25">
      <c r="B595" s="41">
        <v>589</v>
      </c>
      <c r="C595" s="42" t="s">
        <v>31</v>
      </c>
      <c r="D595" s="51" t="s">
        <v>172</v>
      </c>
      <c r="E595" s="51" t="s">
        <v>207</v>
      </c>
      <c r="F595" s="51" t="s">
        <v>212</v>
      </c>
      <c r="G595" s="52" t="s">
        <v>212</v>
      </c>
      <c r="H595" s="43">
        <v>16951</v>
      </c>
      <c r="I595" s="43">
        <v>431</v>
      </c>
      <c r="J595" s="43">
        <v>2144</v>
      </c>
      <c r="K595" s="43">
        <v>1683</v>
      </c>
      <c r="L595" s="43">
        <v>593</v>
      </c>
      <c r="M595" s="43">
        <v>9631</v>
      </c>
      <c r="N595" s="43">
        <v>1568</v>
      </c>
      <c r="O595" s="43">
        <v>901</v>
      </c>
      <c r="P595" s="44">
        <f>K595+L595+M595+N595+O595</f>
        <v>14376</v>
      </c>
      <c r="Q595" s="44">
        <f>I595+J595</f>
        <v>2575</v>
      </c>
      <c r="R595" s="43">
        <v>25497</v>
      </c>
      <c r="S595" s="43">
        <v>1787</v>
      </c>
      <c r="T595" s="43">
        <v>7305</v>
      </c>
      <c r="U595" s="43">
        <v>239</v>
      </c>
      <c r="V595" s="43">
        <v>50</v>
      </c>
      <c r="W595" s="43">
        <v>14944</v>
      </c>
      <c r="X595" s="43">
        <v>856</v>
      </c>
      <c r="Y595" s="43">
        <v>316</v>
      </c>
      <c r="Z595" s="45">
        <f>U595+V595+W595+X595+Y595</f>
        <v>16405</v>
      </c>
      <c r="AA595" s="45">
        <f>S595+T595</f>
        <v>9092</v>
      </c>
      <c r="AB595" s="46">
        <v>2.5426229</v>
      </c>
      <c r="AC595" s="46">
        <v>12.648221299999999</v>
      </c>
      <c r="AD595" s="46">
        <v>9.9286177999999996</v>
      </c>
      <c r="AE595" s="46">
        <v>3.4983187</v>
      </c>
      <c r="AF595" s="46">
        <v>56.816707000000001</v>
      </c>
      <c r="AG595" s="46">
        <v>9.2501917000000002</v>
      </c>
      <c r="AH595" s="46">
        <v>5.3153205999999997</v>
      </c>
      <c r="AI595" s="47">
        <f>AB595+AC595</f>
        <v>15.190844199999999</v>
      </c>
      <c r="AJ595" s="47">
        <f>AD595+AE595+AF595+AG595+AH595</f>
        <v>84.809155800000013</v>
      </c>
      <c r="AK595" s="46">
        <v>7.0086677000000002</v>
      </c>
      <c r="AL595" s="46">
        <v>28.650429500000001</v>
      </c>
      <c r="AM595" s="46">
        <v>0.93736520000000001</v>
      </c>
      <c r="AN595" s="46">
        <v>0.19610150000000001</v>
      </c>
      <c r="AO595" s="46">
        <v>58.610816999999997</v>
      </c>
      <c r="AP595" s="46">
        <v>3.3572576999999999</v>
      </c>
      <c r="AQ595" s="46">
        <v>1.2393615</v>
      </c>
      <c r="AR595" s="48">
        <f>AK595+AL595</f>
        <v>35.659097200000005</v>
      </c>
      <c r="AS595" s="48">
        <f>AM595+AN595+AO595+AP595+AQ595</f>
        <v>64.340902899999989</v>
      </c>
    </row>
    <row r="596" spans="2:45" ht="15" hidden="1" customHeight="1" x14ac:dyDescent="0.25">
      <c r="B596" s="35">
        <v>590</v>
      </c>
      <c r="C596" s="36" t="s">
        <v>31</v>
      </c>
      <c r="D596" s="36" t="s">
        <v>172</v>
      </c>
      <c r="E596" s="36" t="s">
        <v>207</v>
      </c>
      <c r="F596" s="36" t="s">
        <v>212</v>
      </c>
      <c r="G596" s="37" t="s">
        <v>25</v>
      </c>
      <c r="H596" s="38">
        <v>3793</v>
      </c>
      <c r="I596" s="38">
        <v>368</v>
      </c>
      <c r="J596" s="38">
        <v>2041</v>
      </c>
      <c r="K596" s="38">
        <v>148</v>
      </c>
      <c r="L596" s="38">
        <v>38</v>
      </c>
      <c r="M596" s="38">
        <v>1042</v>
      </c>
      <c r="N596" s="38">
        <v>75</v>
      </c>
      <c r="O596" s="38">
        <v>81</v>
      </c>
      <c r="P596" s="38"/>
      <c r="Q596" s="38"/>
      <c r="R596" s="38">
        <v>7607</v>
      </c>
      <c r="S596" s="38">
        <v>1156</v>
      </c>
      <c r="T596" s="38">
        <v>4920</v>
      </c>
      <c r="U596" s="38">
        <v>26</v>
      </c>
      <c r="V596" s="38">
        <v>5</v>
      </c>
      <c r="W596" s="38">
        <v>1404</v>
      </c>
      <c r="X596" s="38">
        <v>58</v>
      </c>
      <c r="Y596" s="38">
        <v>38</v>
      </c>
      <c r="Z596" s="38"/>
      <c r="AA596" s="38"/>
      <c r="AB596" s="39">
        <v>9.7020827999999995</v>
      </c>
      <c r="AC596" s="39">
        <v>53.809649399999998</v>
      </c>
      <c r="AD596" s="39">
        <v>3.9019246000000001</v>
      </c>
      <c r="AE596" s="39">
        <v>1.0018454999999999</v>
      </c>
      <c r="AF596" s="39">
        <v>27.471658300000001</v>
      </c>
      <c r="AG596" s="39">
        <v>1.9773267000000001</v>
      </c>
      <c r="AH596" s="39">
        <v>2.1355127999999999</v>
      </c>
      <c r="AI596" s="39"/>
      <c r="AJ596" s="39"/>
      <c r="AK596" s="39">
        <v>15.1965295</v>
      </c>
      <c r="AL596" s="39">
        <v>64.677270899999996</v>
      </c>
      <c r="AM596" s="39">
        <v>0.3417905</v>
      </c>
      <c r="AN596" s="39">
        <v>6.5728900000000007E-2</v>
      </c>
      <c r="AO596" s="39">
        <v>18.456684599999999</v>
      </c>
      <c r="AP596" s="39">
        <v>0.76245560000000001</v>
      </c>
      <c r="AQ596" s="39">
        <v>0.49953989999999998</v>
      </c>
      <c r="AR596" s="40"/>
      <c r="AS596" s="40"/>
    </row>
    <row r="597" spans="2:45" ht="15" hidden="1" customHeight="1" x14ac:dyDescent="0.25">
      <c r="B597" s="35">
        <v>591</v>
      </c>
      <c r="C597" s="36" t="s">
        <v>31</v>
      </c>
      <c r="D597" s="36" t="s">
        <v>172</v>
      </c>
      <c r="E597" s="36" t="s">
        <v>207</v>
      </c>
      <c r="F597" s="36" t="s">
        <v>212</v>
      </c>
      <c r="G597" s="37" t="s">
        <v>26</v>
      </c>
      <c r="H597" s="38">
        <v>13158</v>
      </c>
      <c r="I597" s="38">
        <v>63</v>
      </c>
      <c r="J597" s="38">
        <v>103</v>
      </c>
      <c r="K597" s="38">
        <v>1535</v>
      </c>
      <c r="L597" s="38">
        <v>555</v>
      </c>
      <c r="M597" s="38">
        <v>8589</v>
      </c>
      <c r="N597" s="38">
        <v>1493</v>
      </c>
      <c r="O597" s="38">
        <v>820</v>
      </c>
      <c r="P597" s="38"/>
      <c r="Q597" s="38"/>
      <c r="R597" s="38">
        <v>17890</v>
      </c>
      <c r="S597" s="38">
        <v>631</v>
      </c>
      <c r="T597" s="38">
        <v>2385</v>
      </c>
      <c r="U597" s="38">
        <v>213</v>
      </c>
      <c r="V597" s="38">
        <v>45</v>
      </c>
      <c r="W597" s="38">
        <v>13540</v>
      </c>
      <c r="X597" s="38">
        <v>798</v>
      </c>
      <c r="Y597" s="38">
        <v>278</v>
      </c>
      <c r="Z597" s="38"/>
      <c r="AA597" s="38"/>
      <c r="AB597" s="39">
        <v>0.47879620000000001</v>
      </c>
      <c r="AC597" s="39">
        <v>0.78279370000000004</v>
      </c>
      <c r="AD597" s="39">
        <v>11.665906700000001</v>
      </c>
      <c r="AE597" s="39">
        <v>4.2179662999999996</v>
      </c>
      <c r="AF597" s="39">
        <v>65.275877800000004</v>
      </c>
      <c r="AG597" s="39">
        <v>11.346709199999999</v>
      </c>
      <c r="AH597" s="39">
        <v>6.2319500999999997</v>
      </c>
      <c r="AI597" s="39"/>
      <c r="AJ597" s="39"/>
      <c r="AK597" s="39">
        <v>3.5271100999999998</v>
      </c>
      <c r="AL597" s="39">
        <v>13.331470100000001</v>
      </c>
      <c r="AM597" s="39">
        <v>1.1906093</v>
      </c>
      <c r="AN597" s="39">
        <v>0.25153720000000002</v>
      </c>
      <c r="AO597" s="39">
        <v>75.684740099999999</v>
      </c>
      <c r="AP597" s="39">
        <v>4.4605924999999997</v>
      </c>
      <c r="AQ597" s="39">
        <v>1.5539407000000001</v>
      </c>
      <c r="AR597" s="40"/>
      <c r="AS597" s="40"/>
    </row>
    <row r="598" spans="2:45" ht="15" customHeight="1" x14ac:dyDescent="0.25">
      <c r="B598" s="41">
        <v>592</v>
      </c>
      <c r="C598" s="42" t="s">
        <v>31</v>
      </c>
      <c r="D598" s="51" t="s">
        <v>172</v>
      </c>
      <c r="E598" s="51" t="s">
        <v>207</v>
      </c>
      <c r="F598" s="51" t="s">
        <v>213</v>
      </c>
      <c r="G598" s="52" t="s">
        <v>213</v>
      </c>
      <c r="H598" s="43">
        <v>12475</v>
      </c>
      <c r="I598" s="43">
        <v>563</v>
      </c>
      <c r="J598" s="43">
        <v>3247</v>
      </c>
      <c r="K598" s="43">
        <v>896</v>
      </c>
      <c r="L598" s="43">
        <v>318</v>
      </c>
      <c r="M598" s="43">
        <v>5760</v>
      </c>
      <c r="N598" s="43">
        <v>1107</v>
      </c>
      <c r="O598" s="43">
        <v>584</v>
      </c>
      <c r="P598" s="44">
        <f>K598+L598+M598+N598+O598</f>
        <v>8665</v>
      </c>
      <c r="Q598" s="44">
        <f>I598+J598</f>
        <v>3810</v>
      </c>
      <c r="R598" s="43">
        <v>18178</v>
      </c>
      <c r="S598" s="43">
        <v>1282</v>
      </c>
      <c r="T598" s="43">
        <v>6333</v>
      </c>
      <c r="U598" s="43">
        <v>218</v>
      </c>
      <c r="V598" s="43">
        <v>43</v>
      </c>
      <c r="W598" s="43">
        <v>9555</v>
      </c>
      <c r="X598" s="43">
        <v>507</v>
      </c>
      <c r="Y598" s="43">
        <v>240</v>
      </c>
      <c r="Z598" s="45">
        <f>U598+V598+W598+X598+Y598</f>
        <v>10563</v>
      </c>
      <c r="AA598" s="45">
        <f>S598+T598</f>
        <v>7615</v>
      </c>
      <c r="AB598" s="46">
        <v>4.5130261000000003</v>
      </c>
      <c r="AC598" s="46">
        <v>26.028056100000001</v>
      </c>
      <c r="AD598" s="46">
        <v>7.1823646999999999</v>
      </c>
      <c r="AE598" s="46">
        <v>2.5490982</v>
      </c>
      <c r="AF598" s="46">
        <v>46.172344699999996</v>
      </c>
      <c r="AG598" s="46">
        <v>8.8737475000000003</v>
      </c>
      <c r="AH598" s="46">
        <v>4.6813627000000002</v>
      </c>
      <c r="AI598" s="47">
        <f>AB598+AC598</f>
        <v>30.541082200000002</v>
      </c>
      <c r="AJ598" s="47">
        <f>AD598+AE598+AF598+AG598+AH598</f>
        <v>69.458917799999995</v>
      </c>
      <c r="AK598" s="46">
        <v>7.0524810000000002</v>
      </c>
      <c r="AL598" s="46">
        <v>34.838816199999997</v>
      </c>
      <c r="AM598" s="46">
        <v>1.1992518000000001</v>
      </c>
      <c r="AN598" s="46">
        <v>0.2365497</v>
      </c>
      <c r="AO598" s="46">
        <v>52.563538299999998</v>
      </c>
      <c r="AP598" s="46">
        <v>2.7890856999999998</v>
      </c>
      <c r="AQ598" s="46">
        <v>1.3202773000000001</v>
      </c>
      <c r="AR598" s="48">
        <f>AK598+AL598</f>
        <v>41.891297199999997</v>
      </c>
      <c r="AS598" s="48">
        <f>AM598+AN598+AO598+AP598+AQ598</f>
        <v>58.108702800000003</v>
      </c>
    </row>
    <row r="599" spans="2:45" ht="15" hidden="1" customHeight="1" x14ac:dyDescent="0.25">
      <c r="B599" s="35">
        <v>593</v>
      </c>
      <c r="C599" s="36" t="s">
        <v>31</v>
      </c>
      <c r="D599" s="36" t="s">
        <v>172</v>
      </c>
      <c r="E599" s="36" t="s">
        <v>207</v>
      </c>
      <c r="F599" s="36" t="s">
        <v>213</v>
      </c>
      <c r="G599" s="37" t="s">
        <v>25</v>
      </c>
      <c r="H599" s="38">
        <v>4396</v>
      </c>
      <c r="I599" s="38">
        <v>448</v>
      </c>
      <c r="J599" s="38">
        <v>2568</v>
      </c>
      <c r="K599" s="38">
        <v>88</v>
      </c>
      <c r="L599" s="38">
        <v>26</v>
      </c>
      <c r="M599" s="38">
        <v>1154</v>
      </c>
      <c r="N599" s="38">
        <v>89</v>
      </c>
      <c r="O599" s="38">
        <v>23</v>
      </c>
      <c r="P599" s="38"/>
      <c r="Q599" s="38"/>
      <c r="R599" s="38">
        <v>9296</v>
      </c>
      <c r="S599" s="38">
        <v>1129</v>
      </c>
      <c r="T599" s="38">
        <v>5749</v>
      </c>
      <c r="U599" s="38">
        <v>47</v>
      </c>
      <c r="V599" s="38">
        <v>15</v>
      </c>
      <c r="W599" s="38">
        <v>2237</v>
      </c>
      <c r="X599" s="38">
        <v>49</v>
      </c>
      <c r="Y599" s="38">
        <v>70</v>
      </c>
      <c r="Z599" s="38"/>
      <c r="AA599" s="38"/>
      <c r="AB599" s="39">
        <v>10.1910828</v>
      </c>
      <c r="AC599" s="39">
        <v>58.416742499999998</v>
      </c>
      <c r="AD599" s="39">
        <v>2.0018197999999998</v>
      </c>
      <c r="AE599" s="39">
        <v>0.59144680000000005</v>
      </c>
      <c r="AF599" s="39">
        <v>26.251137400000001</v>
      </c>
      <c r="AG599" s="39">
        <v>2.0245677999999998</v>
      </c>
      <c r="AH599" s="39">
        <v>0.52320290000000003</v>
      </c>
      <c r="AI599" s="39"/>
      <c r="AJ599" s="39"/>
      <c r="AK599" s="39">
        <v>12.145008600000001</v>
      </c>
      <c r="AL599" s="39">
        <v>61.843803800000003</v>
      </c>
      <c r="AM599" s="39">
        <v>0.50559379999999998</v>
      </c>
      <c r="AN599" s="39">
        <v>0.16135969999999999</v>
      </c>
      <c r="AO599" s="39">
        <v>24.064113599999999</v>
      </c>
      <c r="AP599" s="39">
        <v>0.52710840000000003</v>
      </c>
      <c r="AQ599" s="39">
        <v>0.75301200000000001</v>
      </c>
      <c r="AR599" s="40"/>
      <c r="AS599" s="40"/>
    </row>
    <row r="600" spans="2:45" ht="15" hidden="1" customHeight="1" x14ac:dyDescent="0.25">
      <c r="B600" s="35">
        <v>594</v>
      </c>
      <c r="C600" s="36" t="s">
        <v>31</v>
      </c>
      <c r="D600" s="36" t="s">
        <v>172</v>
      </c>
      <c r="E600" s="36" t="s">
        <v>207</v>
      </c>
      <c r="F600" s="36" t="s">
        <v>213</v>
      </c>
      <c r="G600" s="37" t="s">
        <v>26</v>
      </c>
      <c r="H600" s="38">
        <v>8079</v>
      </c>
      <c r="I600" s="38">
        <v>115</v>
      </c>
      <c r="J600" s="38">
        <v>679</v>
      </c>
      <c r="K600" s="38">
        <v>808</v>
      </c>
      <c r="L600" s="38">
        <v>292</v>
      </c>
      <c r="M600" s="38">
        <v>4606</v>
      </c>
      <c r="N600" s="38">
        <v>1018</v>
      </c>
      <c r="O600" s="38">
        <v>561</v>
      </c>
      <c r="P600" s="38"/>
      <c r="Q600" s="38"/>
      <c r="R600" s="38">
        <v>8882</v>
      </c>
      <c r="S600" s="38">
        <v>153</v>
      </c>
      <c r="T600" s="38">
        <v>584</v>
      </c>
      <c r="U600" s="38">
        <v>171</v>
      </c>
      <c r="V600" s="38">
        <v>28</v>
      </c>
      <c r="W600" s="38">
        <v>7318</v>
      </c>
      <c r="X600" s="38">
        <v>458</v>
      </c>
      <c r="Y600" s="38">
        <v>170</v>
      </c>
      <c r="Z600" s="38"/>
      <c r="AA600" s="38"/>
      <c r="AB600" s="39">
        <v>1.4234435000000001</v>
      </c>
      <c r="AC600" s="39">
        <v>8.4045055000000009</v>
      </c>
      <c r="AD600" s="39">
        <v>10.0012378</v>
      </c>
      <c r="AE600" s="39">
        <v>3.6143087</v>
      </c>
      <c r="AF600" s="39">
        <v>57.012006399999997</v>
      </c>
      <c r="AG600" s="39">
        <v>12.600569399999999</v>
      </c>
      <c r="AH600" s="39">
        <v>6.9439286999999998</v>
      </c>
      <c r="AI600" s="39"/>
      <c r="AJ600" s="39"/>
      <c r="AK600" s="39">
        <v>1.722585</v>
      </c>
      <c r="AL600" s="39">
        <v>6.5750957000000003</v>
      </c>
      <c r="AM600" s="39">
        <v>1.9252421</v>
      </c>
      <c r="AN600" s="39">
        <v>0.31524429999999998</v>
      </c>
      <c r="AO600" s="39">
        <v>82.391353300000006</v>
      </c>
      <c r="AP600" s="39">
        <v>5.1564962999999997</v>
      </c>
      <c r="AQ600" s="39">
        <v>1.9139832999999999</v>
      </c>
      <c r="AR600" s="40"/>
      <c r="AS600" s="40"/>
    </row>
    <row r="601" spans="2:45" ht="15" hidden="1" customHeight="1" x14ac:dyDescent="0.25">
      <c r="B601" s="30">
        <v>595</v>
      </c>
      <c r="C601" s="31" t="s">
        <v>29</v>
      </c>
      <c r="D601" s="50" t="s">
        <v>172</v>
      </c>
      <c r="E601" s="50" t="s">
        <v>214</v>
      </c>
      <c r="F601" s="50"/>
      <c r="G601" s="31" t="s">
        <v>214</v>
      </c>
      <c r="H601" s="32">
        <v>10573</v>
      </c>
      <c r="I601" s="32">
        <v>188</v>
      </c>
      <c r="J601" s="32">
        <v>1242</v>
      </c>
      <c r="K601" s="32">
        <v>3186</v>
      </c>
      <c r="L601" s="32">
        <v>1800</v>
      </c>
      <c r="M601" s="32">
        <v>3051</v>
      </c>
      <c r="N601" s="32">
        <v>732</v>
      </c>
      <c r="O601" s="32">
        <v>374</v>
      </c>
      <c r="P601" s="32"/>
      <c r="Q601" s="32"/>
      <c r="R601" s="32">
        <v>12668</v>
      </c>
      <c r="S601" s="32">
        <v>456</v>
      </c>
      <c r="T601" s="32">
        <v>2013</v>
      </c>
      <c r="U601" s="32">
        <v>648</v>
      </c>
      <c r="V601" s="32">
        <v>500</v>
      </c>
      <c r="W601" s="32">
        <v>8139</v>
      </c>
      <c r="X601" s="32">
        <v>685</v>
      </c>
      <c r="Y601" s="32">
        <v>227</v>
      </c>
      <c r="Z601" s="32"/>
      <c r="AA601" s="32"/>
      <c r="AB601" s="33">
        <v>1.7781141</v>
      </c>
      <c r="AC601" s="33">
        <v>11.746902499999999</v>
      </c>
      <c r="AD601" s="33">
        <v>30.133358600000001</v>
      </c>
      <c r="AE601" s="33">
        <v>17.0244964</v>
      </c>
      <c r="AF601" s="33">
        <v>28.856521300000001</v>
      </c>
      <c r="AG601" s="33">
        <v>6.9232952000000001</v>
      </c>
      <c r="AH601" s="33">
        <v>3.537312</v>
      </c>
      <c r="AI601" s="33"/>
      <c r="AJ601" s="33"/>
      <c r="AK601" s="33">
        <v>3.5996210999999998</v>
      </c>
      <c r="AL601" s="33">
        <v>15.8904326</v>
      </c>
      <c r="AM601" s="33">
        <v>5.1152509999999998</v>
      </c>
      <c r="AN601" s="33">
        <v>3.9469530000000002</v>
      </c>
      <c r="AO601" s="33">
        <v>64.248500199999995</v>
      </c>
      <c r="AP601" s="33">
        <v>5.4073254999999998</v>
      </c>
      <c r="AQ601" s="33">
        <v>1.7919166</v>
      </c>
      <c r="AR601" s="34"/>
      <c r="AS601" s="34"/>
    </row>
    <row r="602" spans="2:45" ht="15" hidden="1" customHeight="1" x14ac:dyDescent="0.25">
      <c r="B602" s="35">
        <v>596</v>
      </c>
      <c r="C602" s="36" t="s">
        <v>29</v>
      </c>
      <c r="D602" s="36" t="s">
        <v>172</v>
      </c>
      <c r="E602" s="36" t="s">
        <v>214</v>
      </c>
      <c r="F602" s="36"/>
      <c r="G602" s="37" t="s">
        <v>25</v>
      </c>
      <c r="H602" s="38">
        <v>1008</v>
      </c>
      <c r="I602" s="38">
        <v>123</v>
      </c>
      <c r="J602" s="38">
        <v>760</v>
      </c>
      <c r="K602" s="38">
        <v>23</v>
      </c>
      <c r="L602" s="38">
        <v>23</v>
      </c>
      <c r="M602" s="38">
        <v>69</v>
      </c>
      <c r="N602" s="38">
        <v>3</v>
      </c>
      <c r="O602" s="38">
        <v>7</v>
      </c>
      <c r="P602" s="38"/>
      <c r="Q602" s="38"/>
      <c r="R602" s="38">
        <v>1965</v>
      </c>
      <c r="S602" s="38">
        <v>281</v>
      </c>
      <c r="T602" s="38">
        <v>1516</v>
      </c>
      <c r="U602" s="38">
        <v>1</v>
      </c>
      <c r="V602" s="38">
        <v>5</v>
      </c>
      <c r="W602" s="38">
        <v>153</v>
      </c>
      <c r="X602" s="38">
        <v>4</v>
      </c>
      <c r="Y602" s="38">
        <v>5</v>
      </c>
      <c r="Z602" s="38"/>
      <c r="AA602" s="38"/>
      <c r="AB602" s="39">
        <v>12.202381000000001</v>
      </c>
      <c r="AC602" s="39">
        <v>75.396825399999997</v>
      </c>
      <c r="AD602" s="39">
        <v>2.2817460000000001</v>
      </c>
      <c r="AE602" s="39">
        <v>2.2817460000000001</v>
      </c>
      <c r="AF602" s="39">
        <v>6.8452381000000004</v>
      </c>
      <c r="AG602" s="39">
        <v>0.29761900000000002</v>
      </c>
      <c r="AH602" s="39">
        <v>0.69444439999999996</v>
      </c>
      <c r="AI602" s="39"/>
      <c r="AJ602" s="39"/>
      <c r="AK602" s="39">
        <v>14.300254499999999</v>
      </c>
      <c r="AL602" s="39">
        <v>77.1501272</v>
      </c>
      <c r="AM602" s="39">
        <v>5.0890600000000001E-2</v>
      </c>
      <c r="AN602" s="39">
        <v>0.25445289999999998</v>
      </c>
      <c r="AO602" s="39">
        <v>7.7862594999999999</v>
      </c>
      <c r="AP602" s="39">
        <v>0.2035623</v>
      </c>
      <c r="AQ602" s="39">
        <v>0.25445289999999998</v>
      </c>
      <c r="AR602" s="40"/>
      <c r="AS602" s="40"/>
    </row>
    <row r="603" spans="2:45" ht="15" hidden="1" customHeight="1" x14ac:dyDescent="0.25">
      <c r="B603" s="35">
        <v>597</v>
      </c>
      <c r="C603" s="36" t="s">
        <v>29</v>
      </c>
      <c r="D603" s="36" t="s">
        <v>172</v>
      </c>
      <c r="E603" s="36" t="s">
        <v>214</v>
      </c>
      <c r="F603" s="36"/>
      <c r="G603" s="37" t="s">
        <v>26</v>
      </c>
      <c r="H603" s="38">
        <v>9565</v>
      </c>
      <c r="I603" s="38">
        <v>65</v>
      </c>
      <c r="J603" s="38">
        <v>482</v>
      </c>
      <c r="K603" s="38">
        <v>3163</v>
      </c>
      <c r="L603" s="38">
        <v>1777</v>
      </c>
      <c r="M603" s="38">
        <v>2982</v>
      </c>
      <c r="N603" s="38">
        <v>729</v>
      </c>
      <c r="O603" s="38">
        <v>367</v>
      </c>
      <c r="P603" s="38"/>
      <c r="Q603" s="38"/>
      <c r="R603" s="38">
        <v>10703</v>
      </c>
      <c r="S603" s="38">
        <v>175</v>
      </c>
      <c r="T603" s="38">
        <v>497</v>
      </c>
      <c r="U603" s="38">
        <v>647</v>
      </c>
      <c r="V603" s="38">
        <v>495</v>
      </c>
      <c r="W603" s="38">
        <v>7986</v>
      </c>
      <c r="X603" s="38">
        <v>681</v>
      </c>
      <c r="Y603" s="38">
        <v>222</v>
      </c>
      <c r="Z603" s="38"/>
      <c r="AA603" s="38"/>
      <c r="AB603" s="39">
        <v>0.67956090000000002</v>
      </c>
      <c r="AC603" s="39">
        <v>5.0392054000000002</v>
      </c>
      <c r="AD603" s="39">
        <v>33.068478800000001</v>
      </c>
      <c r="AE603" s="39">
        <v>18.578149499999999</v>
      </c>
      <c r="AF603" s="39">
        <v>31.1761631</v>
      </c>
      <c r="AG603" s="39">
        <v>7.6215368999999997</v>
      </c>
      <c r="AH603" s="39">
        <v>3.8369054</v>
      </c>
      <c r="AI603" s="39"/>
      <c r="AJ603" s="39"/>
      <c r="AK603" s="39">
        <v>1.6350556000000001</v>
      </c>
      <c r="AL603" s="39">
        <v>4.6435579000000002</v>
      </c>
      <c r="AM603" s="39">
        <v>6.0450340999999996</v>
      </c>
      <c r="AN603" s="39">
        <v>4.6248715000000002</v>
      </c>
      <c r="AO603" s="39">
        <v>74.614593999999997</v>
      </c>
      <c r="AP603" s="39">
        <v>6.3627019999999996</v>
      </c>
      <c r="AQ603" s="39">
        <v>2.0741847999999998</v>
      </c>
      <c r="AR603" s="40"/>
      <c r="AS603" s="40"/>
    </row>
    <row r="604" spans="2:45" ht="15" customHeight="1" x14ac:dyDescent="0.25">
      <c r="B604" s="41">
        <v>598</v>
      </c>
      <c r="C604" s="42" t="s">
        <v>31</v>
      </c>
      <c r="D604" s="51" t="s">
        <v>172</v>
      </c>
      <c r="E604" s="51" t="s">
        <v>214</v>
      </c>
      <c r="F604" s="51" t="s">
        <v>214</v>
      </c>
      <c r="G604" s="52" t="s">
        <v>214</v>
      </c>
      <c r="H604" s="43">
        <v>5920</v>
      </c>
      <c r="I604" s="43">
        <v>185</v>
      </c>
      <c r="J604" s="43">
        <v>1213</v>
      </c>
      <c r="K604" s="43">
        <v>1697</v>
      </c>
      <c r="L604" s="43">
        <v>719</v>
      </c>
      <c r="M604" s="43">
        <v>1592</v>
      </c>
      <c r="N604" s="43">
        <v>385</v>
      </c>
      <c r="O604" s="43">
        <v>129</v>
      </c>
      <c r="P604" s="44">
        <f>K604+L604+M604+N604+O604</f>
        <v>4522</v>
      </c>
      <c r="Q604" s="44">
        <f>I604+J604</f>
        <v>1398</v>
      </c>
      <c r="R604" s="43">
        <v>6879</v>
      </c>
      <c r="S604" s="43">
        <v>408</v>
      </c>
      <c r="T604" s="43">
        <v>2004</v>
      </c>
      <c r="U604" s="43">
        <v>278</v>
      </c>
      <c r="V604" s="43">
        <v>158</v>
      </c>
      <c r="W604" s="43">
        <v>3720</v>
      </c>
      <c r="X604" s="43">
        <v>250</v>
      </c>
      <c r="Y604" s="43">
        <v>61</v>
      </c>
      <c r="Z604" s="45">
        <f>U604+V604+W604+X604+Y604</f>
        <v>4467</v>
      </c>
      <c r="AA604" s="45">
        <f>S604+T604</f>
        <v>2412</v>
      </c>
      <c r="AB604" s="46">
        <v>3.125</v>
      </c>
      <c r="AC604" s="46">
        <v>20.489864900000001</v>
      </c>
      <c r="AD604" s="46">
        <v>28.665540499999999</v>
      </c>
      <c r="AE604" s="46">
        <v>12.1452703</v>
      </c>
      <c r="AF604" s="46">
        <v>26.891891900000001</v>
      </c>
      <c r="AG604" s="46">
        <v>6.5033783999999999</v>
      </c>
      <c r="AH604" s="46">
        <v>2.1790541000000001</v>
      </c>
      <c r="AI604" s="47">
        <f>AB604+AC604</f>
        <v>23.614864900000001</v>
      </c>
      <c r="AJ604" s="47">
        <f>AD604+AE604+AF604+AG604+AH604</f>
        <v>76.385135200000008</v>
      </c>
      <c r="AK604" s="46">
        <v>5.9310945999999998</v>
      </c>
      <c r="AL604" s="46">
        <v>29.132141300000001</v>
      </c>
      <c r="AM604" s="46">
        <v>4.0412850999999996</v>
      </c>
      <c r="AN604" s="46">
        <v>2.2968454999999999</v>
      </c>
      <c r="AO604" s="46">
        <v>54.0776276</v>
      </c>
      <c r="AP604" s="46">
        <v>3.6342492000000002</v>
      </c>
      <c r="AQ604" s="46">
        <v>0.88675680000000001</v>
      </c>
      <c r="AR604" s="48">
        <f>AK604+AL604</f>
        <v>35.063235900000002</v>
      </c>
      <c r="AS604" s="48">
        <f>AM604+AN604+AO604+AP604+AQ604</f>
        <v>64.936764199999999</v>
      </c>
    </row>
    <row r="605" spans="2:45" ht="15" hidden="1" customHeight="1" x14ac:dyDescent="0.25">
      <c r="B605" s="35">
        <v>599</v>
      </c>
      <c r="C605" s="36" t="s">
        <v>31</v>
      </c>
      <c r="D605" s="36" t="s">
        <v>172</v>
      </c>
      <c r="E605" s="36" t="s">
        <v>214</v>
      </c>
      <c r="F605" s="36" t="s">
        <v>214</v>
      </c>
      <c r="G605" s="37" t="s">
        <v>25</v>
      </c>
      <c r="H605" s="38">
        <v>1008</v>
      </c>
      <c r="I605" s="38">
        <v>123</v>
      </c>
      <c r="J605" s="38">
        <v>760</v>
      </c>
      <c r="K605" s="38">
        <v>23</v>
      </c>
      <c r="L605" s="38">
        <v>23</v>
      </c>
      <c r="M605" s="38">
        <v>69</v>
      </c>
      <c r="N605" s="38">
        <v>3</v>
      </c>
      <c r="O605" s="38">
        <v>7</v>
      </c>
      <c r="P605" s="38"/>
      <c r="Q605" s="38"/>
      <c r="R605" s="38">
        <v>1965</v>
      </c>
      <c r="S605" s="38">
        <v>281</v>
      </c>
      <c r="T605" s="38">
        <v>1516</v>
      </c>
      <c r="U605" s="38">
        <v>1</v>
      </c>
      <c r="V605" s="38">
        <v>5</v>
      </c>
      <c r="W605" s="38">
        <v>153</v>
      </c>
      <c r="X605" s="38">
        <v>4</v>
      </c>
      <c r="Y605" s="38">
        <v>5</v>
      </c>
      <c r="Z605" s="38"/>
      <c r="AA605" s="38"/>
      <c r="AB605" s="39">
        <v>12.202381000000001</v>
      </c>
      <c r="AC605" s="39">
        <v>75.396825399999997</v>
      </c>
      <c r="AD605" s="39">
        <v>2.2817460000000001</v>
      </c>
      <c r="AE605" s="39">
        <v>2.2817460000000001</v>
      </c>
      <c r="AF605" s="39">
        <v>6.8452381000000004</v>
      </c>
      <c r="AG605" s="39">
        <v>0.29761900000000002</v>
      </c>
      <c r="AH605" s="39">
        <v>0.69444439999999996</v>
      </c>
      <c r="AI605" s="39"/>
      <c r="AJ605" s="39"/>
      <c r="AK605" s="39">
        <v>14.300254499999999</v>
      </c>
      <c r="AL605" s="39">
        <v>77.1501272</v>
      </c>
      <c r="AM605" s="39">
        <v>5.0890600000000001E-2</v>
      </c>
      <c r="AN605" s="39">
        <v>0.25445289999999998</v>
      </c>
      <c r="AO605" s="39">
        <v>7.7862594999999999</v>
      </c>
      <c r="AP605" s="39">
        <v>0.2035623</v>
      </c>
      <c r="AQ605" s="39">
        <v>0.25445289999999998</v>
      </c>
      <c r="AR605" s="40"/>
      <c r="AS605" s="40"/>
    </row>
    <row r="606" spans="2:45" ht="15" hidden="1" customHeight="1" x14ac:dyDescent="0.25">
      <c r="B606" s="35">
        <v>600</v>
      </c>
      <c r="C606" s="36" t="s">
        <v>31</v>
      </c>
      <c r="D606" s="36" t="s">
        <v>172</v>
      </c>
      <c r="E606" s="36" t="s">
        <v>214</v>
      </c>
      <c r="F606" s="36" t="s">
        <v>214</v>
      </c>
      <c r="G606" s="37" t="s">
        <v>26</v>
      </c>
      <c r="H606" s="38">
        <v>4912</v>
      </c>
      <c r="I606" s="38">
        <v>62</v>
      </c>
      <c r="J606" s="38">
        <v>453</v>
      </c>
      <c r="K606" s="38">
        <v>1674</v>
      </c>
      <c r="L606" s="38">
        <v>696</v>
      </c>
      <c r="M606" s="38">
        <v>1523</v>
      </c>
      <c r="N606" s="38">
        <v>382</v>
      </c>
      <c r="O606" s="38">
        <v>122</v>
      </c>
      <c r="P606" s="38"/>
      <c r="Q606" s="38"/>
      <c r="R606" s="38">
        <v>4914</v>
      </c>
      <c r="S606" s="38">
        <v>127</v>
      </c>
      <c r="T606" s="38">
        <v>488</v>
      </c>
      <c r="U606" s="38">
        <v>277</v>
      </c>
      <c r="V606" s="38">
        <v>153</v>
      </c>
      <c r="W606" s="38">
        <v>3567</v>
      </c>
      <c r="X606" s="38">
        <v>246</v>
      </c>
      <c r="Y606" s="38">
        <v>56</v>
      </c>
      <c r="Z606" s="38"/>
      <c r="AA606" s="38"/>
      <c r="AB606" s="39">
        <v>1.2622150000000001</v>
      </c>
      <c r="AC606" s="39">
        <v>9.2223126999999998</v>
      </c>
      <c r="AD606" s="39">
        <v>34.079804600000003</v>
      </c>
      <c r="AE606" s="39">
        <v>14.169381100000001</v>
      </c>
      <c r="AF606" s="39">
        <v>31.005700300000001</v>
      </c>
      <c r="AG606" s="39">
        <v>7.7768730000000001</v>
      </c>
      <c r="AH606" s="39">
        <v>2.4837134000000001</v>
      </c>
      <c r="AI606" s="39"/>
      <c r="AJ606" s="39"/>
      <c r="AK606" s="39">
        <v>2.5844526000000001</v>
      </c>
      <c r="AL606" s="39">
        <v>9.9308098999999999</v>
      </c>
      <c r="AM606" s="39">
        <v>5.6369556000000003</v>
      </c>
      <c r="AN606" s="39">
        <v>3.1135530999999999</v>
      </c>
      <c r="AO606" s="39">
        <v>72.588522600000005</v>
      </c>
      <c r="AP606" s="39">
        <v>5.0061049999999998</v>
      </c>
      <c r="AQ606" s="39">
        <v>1.1396010999999999</v>
      </c>
      <c r="AR606" s="40"/>
      <c r="AS606" s="40"/>
    </row>
    <row r="607" spans="2:45" ht="15" customHeight="1" x14ac:dyDescent="0.25">
      <c r="B607" s="41">
        <v>601</v>
      </c>
      <c r="C607" s="42" t="s">
        <v>31</v>
      </c>
      <c r="D607" s="51" t="s">
        <v>172</v>
      </c>
      <c r="E607" s="51" t="s">
        <v>214</v>
      </c>
      <c r="F607" s="51" t="s">
        <v>215</v>
      </c>
      <c r="G607" s="52" t="s">
        <v>215</v>
      </c>
      <c r="H607" s="43">
        <v>1540</v>
      </c>
      <c r="I607" s="43">
        <v>0</v>
      </c>
      <c r="J607" s="43">
        <v>11</v>
      </c>
      <c r="K607" s="43">
        <v>432</v>
      </c>
      <c r="L607" s="43">
        <v>396</v>
      </c>
      <c r="M607" s="43">
        <v>572</v>
      </c>
      <c r="N607" s="43">
        <v>89</v>
      </c>
      <c r="O607" s="43">
        <v>40</v>
      </c>
      <c r="P607" s="44">
        <f>K607+L607+M607+N607+O607</f>
        <v>1529</v>
      </c>
      <c r="Q607" s="44">
        <f>I607+J607</f>
        <v>11</v>
      </c>
      <c r="R607" s="43">
        <v>1867</v>
      </c>
      <c r="S607" s="43">
        <v>23</v>
      </c>
      <c r="T607" s="43">
        <v>2</v>
      </c>
      <c r="U607" s="43">
        <v>93</v>
      </c>
      <c r="V607" s="43">
        <v>82</v>
      </c>
      <c r="W607" s="43">
        <v>1519</v>
      </c>
      <c r="X607" s="43">
        <v>126</v>
      </c>
      <c r="Y607" s="43">
        <v>22</v>
      </c>
      <c r="Z607" s="45">
        <f>U607+V607+W607+X607+Y607</f>
        <v>1842</v>
      </c>
      <c r="AA607" s="45">
        <f>S607+T607</f>
        <v>25</v>
      </c>
      <c r="AB607" s="46">
        <v>0</v>
      </c>
      <c r="AC607" s="46">
        <v>0.71428570000000002</v>
      </c>
      <c r="AD607" s="46">
        <v>28.051948100000001</v>
      </c>
      <c r="AE607" s="46">
        <v>25.714285700000001</v>
      </c>
      <c r="AF607" s="46">
        <v>37.142857100000001</v>
      </c>
      <c r="AG607" s="46">
        <v>5.7792208</v>
      </c>
      <c r="AH607" s="46">
        <v>2.5974026000000001</v>
      </c>
      <c r="AI607" s="47">
        <f>AB607+AC607</f>
        <v>0.71428570000000002</v>
      </c>
      <c r="AJ607" s="47">
        <f>AD607+AE607+AF607+AG607+AH607</f>
        <v>99.285714299999995</v>
      </c>
      <c r="AK607" s="46">
        <v>1.2319229</v>
      </c>
      <c r="AL607" s="46">
        <v>0.1071237</v>
      </c>
      <c r="AM607" s="46">
        <v>4.9812532999999997</v>
      </c>
      <c r="AN607" s="46">
        <v>4.3920728000000002</v>
      </c>
      <c r="AO607" s="46">
        <v>81.3604713</v>
      </c>
      <c r="AP607" s="46">
        <v>6.7487949</v>
      </c>
      <c r="AQ607" s="46">
        <v>1.178361</v>
      </c>
      <c r="AR607" s="48">
        <f>AK607+AL607</f>
        <v>1.3390466000000001</v>
      </c>
      <c r="AS607" s="48">
        <f>AM607+AN607+AO607+AP607+AQ607</f>
        <v>98.660953299999989</v>
      </c>
    </row>
    <row r="608" spans="2:45" ht="15" hidden="1" customHeight="1" x14ac:dyDescent="0.25">
      <c r="B608" s="35">
        <v>602</v>
      </c>
      <c r="C608" s="36" t="s">
        <v>31</v>
      </c>
      <c r="D608" s="36" t="s">
        <v>172</v>
      </c>
      <c r="E608" s="36" t="s">
        <v>214</v>
      </c>
      <c r="F608" s="36" t="s">
        <v>215</v>
      </c>
      <c r="G608" s="37" t="s">
        <v>25</v>
      </c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40"/>
      <c r="AS608" s="40"/>
    </row>
    <row r="609" spans="2:45" ht="15" hidden="1" customHeight="1" x14ac:dyDescent="0.25">
      <c r="B609" s="35">
        <v>603</v>
      </c>
      <c r="C609" s="36" t="s">
        <v>31</v>
      </c>
      <c r="D609" s="36" t="s">
        <v>172</v>
      </c>
      <c r="E609" s="36" t="s">
        <v>214</v>
      </c>
      <c r="F609" s="36" t="s">
        <v>215</v>
      </c>
      <c r="G609" s="37" t="s">
        <v>26</v>
      </c>
      <c r="H609" s="38">
        <v>1540</v>
      </c>
      <c r="I609" s="38">
        <v>0</v>
      </c>
      <c r="J609" s="38">
        <v>11</v>
      </c>
      <c r="K609" s="38">
        <v>432</v>
      </c>
      <c r="L609" s="38">
        <v>396</v>
      </c>
      <c r="M609" s="38">
        <v>572</v>
      </c>
      <c r="N609" s="38">
        <v>89</v>
      </c>
      <c r="O609" s="38">
        <v>40</v>
      </c>
      <c r="P609" s="38"/>
      <c r="Q609" s="38"/>
      <c r="R609" s="38">
        <v>1867</v>
      </c>
      <c r="S609" s="38">
        <v>23</v>
      </c>
      <c r="T609" s="38">
        <v>2</v>
      </c>
      <c r="U609" s="38">
        <v>93</v>
      </c>
      <c r="V609" s="38">
        <v>82</v>
      </c>
      <c r="W609" s="38">
        <v>1519</v>
      </c>
      <c r="X609" s="38">
        <v>126</v>
      </c>
      <c r="Y609" s="38">
        <v>22</v>
      </c>
      <c r="Z609" s="38"/>
      <c r="AA609" s="38"/>
      <c r="AB609" s="39">
        <v>0</v>
      </c>
      <c r="AC609" s="39">
        <v>0.71428570000000002</v>
      </c>
      <c r="AD609" s="39">
        <v>28.051948100000001</v>
      </c>
      <c r="AE609" s="39">
        <v>25.714285700000001</v>
      </c>
      <c r="AF609" s="39">
        <v>37.142857100000001</v>
      </c>
      <c r="AG609" s="39">
        <v>5.7792208</v>
      </c>
      <c r="AH609" s="39">
        <v>2.5974026000000001</v>
      </c>
      <c r="AI609" s="39"/>
      <c r="AJ609" s="39"/>
      <c r="AK609" s="39">
        <v>1.2319229</v>
      </c>
      <c r="AL609" s="39">
        <v>0.1071237</v>
      </c>
      <c r="AM609" s="39">
        <v>4.9812532999999997</v>
      </c>
      <c r="AN609" s="39">
        <v>4.3920728000000002</v>
      </c>
      <c r="AO609" s="39">
        <v>81.3604713</v>
      </c>
      <c r="AP609" s="39">
        <v>6.7487949</v>
      </c>
      <c r="AQ609" s="39">
        <v>1.178361</v>
      </c>
      <c r="AR609" s="40"/>
      <c r="AS609" s="40"/>
    </row>
    <row r="610" spans="2:45" ht="15" customHeight="1" x14ac:dyDescent="0.25">
      <c r="B610" s="41">
        <v>604</v>
      </c>
      <c r="C610" s="42" t="s">
        <v>31</v>
      </c>
      <c r="D610" s="51" t="s">
        <v>172</v>
      </c>
      <c r="E610" s="51" t="s">
        <v>214</v>
      </c>
      <c r="F610" s="51" t="s">
        <v>216</v>
      </c>
      <c r="G610" s="52" t="s">
        <v>216</v>
      </c>
      <c r="H610" s="43">
        <v>1122</v>
      </c>
      <c r="I610" s="43">
        <v>0</v>
      </c>
      <c r="J610" s="43">
        <v>6</v>
      </c>
      <c r="K610" s="43">
        <v>367</v>
      </c>
      <c r="L610" s="43">
        <v>155</v>
      </c>
      <c r="M610" s="43">
        <v>427</v>
      </c>
      <c r="N610" s="43">
        <v>115</v>
      </c>
      <c r="O610" s="43">
        <v>52</v>
      </c>
      <c r="P610" s="44">
        <f>K610+L610+M610+N610+O610</f>
        <v>1116</v>
      </c>
      <c r="Q610" s="44">
        <f>I610+J610</f>
        <v>6</v>
      </c>
      <c r="R610" s="43">
        <v>1278</v>
      </c>
      <c r="S610" s="43">
        <v>7</v>
      </c>
      <c r="T610" s="43">
        <v>1</v>
      </c>
      <c r="U610" s="43">
        <v>84</v>
      </c>
      <c r="V610" s="43">
        <v>55</v>
      </c>
      <c r="W610" s="43">
        <v>1000</v>
      </c>
      <c r="X610" s="43">
        <v>115</v>
      </c>
      <c r="Y610" s="43">
        <v>16</v>
      </c>
      <c r="Z610" s="45">
        <f>U610+V610+W610+X610+Y610</f>
        <v>1270</v>
      </c>
      <c r="AA610" s="45">
        <f>S610+T610</f>
        <v>8</v>
      </c>
      <c r="AB610" s="46">
        <v>0</v>
      </c>
      <c r="AC610" s="46">
        <v>0.5347594</v>
      </c>
      <c r="AD610" s="46">
        <v>32.709447400000002</v>
      </c>
      <c r="AE610" s="46">
        <v>13.8146168</v>
      </c>
      <c r="AF610" s="46">
        <v>38.057040999999998</v>
      </c>
      <c r="AG610" s="46">
        <v>10.249554399999999</v>
      </c>
      <c r="AH610" s="46">
        <v>4.6345811000000001</v>
      </c>
      <c r="AI610" s="47">
        <f>AB610+AC610</f>
        <v>0.5347594</v>
      </c>
      <c r="AJ610" s="47">
        <f>AD610+AE610+AF610+AG610+AH610</f>
        <v>99.465240699999995</v>
      </c>
      <c r="AK610" s="46">
        <v>0.54773079999999996</v>
      </c>
      <c r="AL610" s="46">
        <v>7.8247300000000006E-2</v>
      </c>
      <c r="AM610" s="46">
        <v>6.5727700000000002</v>
      </c>
      <c r="AN610" s="46">
        <v>4.3035994000000004</v>
      </c>
      <c r="AO610" s="46">
        <v>78.247261300000005</v>
      </c>
      <c r="AP610" s="46">
        <v>8.9984351</v>
      </c>
      <c r="AQ610" s="46">
        <v>1.2519562</v>
      </c>
      <c r="AR610" s="48">
        <f>AK610+AL610</f>
        <v>0.62597809999999998</v>
      </c>
      <c r="AS610" s="48">
        <f>AM610+AN610+AO610+AP610+AQ610</f>
        <v>99.374021999999997</v>
      </c>
    </row>
    <row r="611" spans="2:45" ht="15" hidden="1" customHeight="1" x14ac:dyDescent="0.25">
      <c r="B611" s="35">
        <v>605</v>
      </c>
      <c r="C611" s="36" t="s">
        <v>31</v>
      </c>
      <c r="D611" s="36" t="s">
        <v>172</v>
      </c>
      <c r="E611" s="36" t="s">
        <v>214</v>
      </c>
      <c r="F611" s="36" t="s">
        <v>216</v>
      </c>
      <c r="G611" s="37" t="s">
        <v>25</v>
      </c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40"/>
      <c r="AS611" s="40"/>
    </row>
    <row r="612" spans="2:45" ht="15" hidden="1" customHeight="1" x14ac:dyDescent="0.25">
      <c r="B612" s="35">
        <v>606</v>
      </c>
      <c r="C612" s="36" t="s">
        <v>31</v>
      </c>
      <c r="D612" s="36" t="s">
        <v>172</v>
      </c>
      <c r="E612" s="36" t="s">
        <v>214</v>
      </c>
      <c r="F612" s="36" t="s">
        <v>216</v>
      </c>
      <c r="G612" s="37" t="s">
        <v>26</v>
      </c>
      <c r="H612" s="38">
        <v>1122</v>
      </c>
      <c r="I612" s="38">
        <v>0</v>
      </c>
      <c r="J612" s="38">
        <v>6</v>
      </c>
      <c r="K612" s="38">
        <v>367</v>
      </c>
      <c r="L612" s="38">
        <v>155</v>
      </c>
      <c r="M612" s="38">
        <v>427</v>
      </c>
      <c r="N612" s="38">
        <v>115</v>
      </c>
      <c r="O612" s="38">
        <v>52</v>
      </c>
      <c r="P612" s="38"/>
      <c r="Q612" s="38"/>
      <c r="R612" s="38">
        <v>1278</v>
      </c>
      <c r="S612" s="38">
        <v>7</v>
      </c>
      <c r="T612" s="38">
        <v>1</v>
      </c>
      <c r="U612" s="38">
        <v>84</v>
      </c>
      <c r="V612" s="38">
        <v>55</v>
      </c>
      <c r="W612" s="38">
        <v>1000</v>
      </c>
      <c r="X612" s="38">
        <v>115</v>
      </c>
      <c r="Y612" s="38">
        <v>16</v>
      </c>
      <c r="Z612" s="38"/>
      <c r="AA612" s="38"/>
      <c r="AB612" s="39">
        <v>0</v>
      </c>
      <c r="AC612" s="39">
        <v>0.5347594</v>
      </c>
      <c r="AD612" s="39">
        <v>32.709447400000002</v>
      </c>
      <c r="AE612" s="39">
        <v>13.8146168</v>
      </c>
      <c r="AF612" s="39">
        <v>38.057040999999998</v>
      </c>
      <c r="AG612" s="39">
        <v>10.249554399999999</v>
      </c>
      <c r="AH612" s="39">
        <v>4.6345811000000001</v>
      </c>
      <c r="AI612" s="39"/>
      <c r="AJ612" s="39"/>
      <c r="AK612" s="39">
        <v>0.54773079999999996</v>
      </c>
      <c r="AL612" s="39">
        <v>7.8247300000000006E-2</v>
      </c>
      <c r="AM612" s="39">
        <v>6.5727700000000002</v>
      </c>
      <c r="AN612" s="39">
        <v>4.3035994000000004</v>
      </c>
      <c r="AO612" s="39">
        <v>78.247261300000005</v>
      </c>
      <c r="AP612" s="39">
        <v>8.9984351</v>
      </c>
      <c r="AQ612" s="39">
        <v>1.2519562</v>
      </c>
      <c r="AR612" s="40"/>
      <c r="AS612" s="40"/>
    </row>
    <row r="613" spans="2:45" ht="15" customHeight="1" x14ac:dyDescent="0.25">
      <c r="B613" s="41">
        <v>607</v>
      </c>
      <c r="C613" s="42" t="s">
        <v>31</v>
      </c>
      <c r="D613" s="51" t="s">
        <v>172</v>
      </c>
      <c r="E613" s="51" t="s">
        <v>214</v>
      </c>
      <c r="F613" s="51" t="s">
        <v>217</v>
      </c>
      <c r="G613" s="52" t="s">
        <v>217</v>
      </c>
      <c r="H613" s="43">
        <v>1991</v>
      </c>
      <c r="I613" s="43">
        <v>3</v>
      </c>
      <c r="J613" s="43">
        <v>12</v>
      </c>
      <c r="K613" s="43">
        <v>690</v>
      </c>
      <c r="L613" s="43">
        <v>530</v>
      </c>
      <c r="M613" s="43">
        <v>460</v>
      </c>
      <c r="N613" s="43">
        <v>143</v>
      </c>
      <c r="O613" s="43">
        <v>153</v>
      </c>
      <c r="P613" s="44">
        <f>K613+L613+M613+N613+O613</f>
        <v>1976</v>
      </c>
      <c r="Q613" s="44">
        <f>I613+J613</f>
        <v>15</v>
      </c>
      <c r="R613" s="43">
        <v>2644</v>
      </c>
      <c r="S613" s="43">
        <v>18</v>
      </c>
      <c r="T613" s="43">
        <v>6</v>
      </c>
      <c r="U613" s="43">
        <v>193</v>
      </c>
      <c r="V613" s="43">
        <v>205</v>
      </c>
      <c r="W613" s="43">
        <v>1900</v>
      </c>
      <c r="X613" s="43">
        <v>194</v>
      </c>
      <c r="Y613" s="43">
        <v>128</v>
      </c>
      <c r="Z613" s="45">
        <f>U613+V613+W613+X613+Y613</f>
        <v>2620</v>
      </c>
      <c r="AA613" s="45">
        <f>S613+T613</f>
        <v>24</v>
      </c>
      <c r="AB613" s="46">
        <v>0.15067810000000001</v>
      </c>
      <c r="AC613" s="46">
        <v>0.60271220000000003</v>
      </c>
      <c r="AD613" s="46">
        <v>34.655951799999997</v>
      </c>
      <c r="AE613" s="46">
        <v>26.619789099999998</v>
      </c>
      <c r="AF613" s="46">
        <v>23.103967900000001</v>
      </c>
      <c r="AG613" s="46">
        <v>7.1823204</v>
      </c>
      <c r="AH613" s="46">
        <v>7.6845806000000003</v>
      </c>
      <c r="AI613" s="47">
        <f>AB613+AC613</f>
        <v>0.75339030000000007</v>
      </c>
      <c r="AJ613" s="47">
        <f>AD613+AE613+AF613+AG613+AH613</f>
        <v>99.246609800000002</v>
      </c>
      <c r="AK613" s="46">
        <v>0.68078669999999997</v>
      </c>
      <c r="AL613" s="46">
        <v>0.22692889999999999</v>
      </c>
      <c r="AM613" s="46">
        <v>7.2995460999999997</v>
      </c>
      <c r="AN613" s="46">
        <v>7.7534039000000003</v>
      </c>
      <c r="AO613" s="46">
        <v>71.860816900000003</v>
      </c>
      <c r="AP613" s="46">
        <v>7.3373676000000003</v>
      </c>
      <c r="AQ613" s="46">
        <v>4.8411498000000002</v>
      </c>
      <c r="AR613" s="48">
        <f>AK613+AL613</f>
        <v>0.90771559999999996</v>
      </c>
      <c r="AS613" s="48">
        <f>AM613+AN613+AO613+AP613+AQ613</f>
        <v>99.092284300000003</v>
      </c>
    </row>
    <row r="614" spans="2:45" ht="15" hidden="1" customHeight="1" x14ac:dyDescent="0.25">
      <c r="B614" s="35">
        <v>608</v>
      </c>
      <c r="C614" s="36" t="s">
        <v>31</v>
      </c>
      <c r="D614" s="36" t="s">
        <v>172</v>
      </c>
      <c r="E614" s="36" t="s">
        <v>214</v>
      </c>
      <c r="F614" s="36" t="s">
        <v>217</v>
      </c>
      <c r="G614" s="37" t="s">
        <v>25</v>
      </c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40"/>
      <c r="AS614" s="40"/>
    </row>
    <row r="615" spans="2:45" ht="15" hidden="1" customHeight="1" x14ac:dyDescent="0.25">
      <c r="B615" s="35">
        <v>609</v>
      </c>
      <c r="C615" s="36" t="s">
        <v>31</v>
      </c>
      <c r="D615" s="36" t="s">
        <v>172</v>
      </c>
      <c r="E615" s="36" t="s">
        <v>214</v>
      </c>
      <c r="F615" s="36" t="s">
        <v>217</v>
      </c>
      <c r="G615" s="37" t="s">
        <v>26</v>
      </c>
      <c r="H615" s="38">
        <v>1991</v>
      </c>
      <c r="I615" s="38">
        <v>3</v>
      </c>
      <c r="J615" s="38">
        <v>12</v>
      </c>
      <c r="K615" s="38">
        <v>690</v>
      </c>
      <c r="L615" s="38">
        <v>530</v>
      </c>
      <c r="M615" s="38">
        <v>460</v>
      </c>
      <c r="N615" s="38">
        <v>143</v>
      </c>
      <c r="O615" s="38">
        <v>153</v>
      </c>
      <c r="P615" s="38"/>
      <c r="Q615" s="38"/>
      <c r="R615" s="38">
        <v>2644</v>
      </c>
      <c r="S615" s="38">
        <v>18</v>
      </c>
      <c r="T615" s="38">
        <v>6</v>
      </c>
      <c r="U615" s="38">
        <v>193</v>
      </c>
      <c r="V615" s="38">
        <v>205</v>
      </c>
      <c r="W615" s="38">
        <v>1900</v>
      </c>
      <c r="X615" s="38">
        <v>194</v>
      </c>
      <c r="Y615" s="38">
        <v>128</v>
      </c>
      <c r="Z615" s="38"/>
      <c r="AA615" s="38"/>
      <c r="AB615" s="39">
        <v>0.15067810000000001</v>
      </c>
      <c r="AC615" s="39">
        <v>0.60271220000000003</v>
      </c>
      <c r="AD615" s="39">
        <v>34.655951799999997</v>
      </c>
      <c r="AE615" s="39">
        <v>26.619789099999998</v>
      </c>
      <c r="AF615" s="39">
        <v>23.103967900000001</v>
      </c>
      <c r="AG615" s="39">
        <v>7.1823204</v>
      </c>
      <c r="AH615" s="39">
        <v>7.6845806000000003</v>
      </c>
      <c r="AI615" s="39"/>
      <c r="AJ615" s="39"/>
      <c r="AK615" s="39">
        <v>0.68078669999999997</v>
      </c>
      <c r="AL615" s="39">
        <v>0.22692889999999999</v>
      </c>
      <c r="AM615" s="39">
        <v>7.2995460999999997</v>
      </c>
      <c r="AN615" s="39">
        <v>7.7534039000000003</v>
      </c>
      <c r="AO615" s="39">
        <v>71.860816900000003</v>
      </c>
      <c r="AP615" s="39">
        <v>7.3373676000000003</v>
      </c>
      <c r="AQ615" s="39">
        <v>4.8411498000000002</v>
      </c>
      <c r="AR615" s="40"/>
      <c r="AS615" s="40"/>
    </row>
    <row r="616" spans="2:45" ht="15" hidden="1" customHeight="1" x14ac:dyDescent="0.25">
      <c r="B616" s="30">
        <v>610</v>
      </c>
      <c r="C616" s="31" t="s">
        <v>29</v>
      </c>
      <c r="D616" s="50" t="s">
        <v>172</v>
      </c>
      <c r="E616" s="50" t="s">
        <v>218</v>
      </c>
      <c r="F616" s="50"/>
      <c r="G616" s="31" t="s">
        <v>218</v>
      </c>
      <c r="H616" s="32">
        <v>16810</v>
      </c>
      <c r="I616" s="32">
        <v>853</v>
      </c>
      <c r="J616" s="32">
        <v>4378</v>
      </c>
      <c r="K616" s="32">
        <v>2042</v>
      </c>
      <c r="L616" s="32">
        <v>2172</v>
      </c>
      <c r="M616" s="32">
        <v>6726</v>
      </c>
      <c r="N616" s="32">
        <v>474</v>
      </c>
      <c r="O616" s="32">
        <v>165</v>
      </c>
      <c r="P616" s="32"/>
      <c r="Q616" s="32"/>
      <c r="R616" s="32">
        <v>20449</v>
      </c>
      <c r="S616" s="32">
        <v>2376</v>
      </c>
      <c r="T616" s="32">
        <v>8838</v>
      </c>
      <c r="U616" s="32">
        <v>557</v>
      </c>
      <c r="V616" s="32">
        <v>419</v>
      </c>
      <c r="W616" s="32">
        <v>7675</v>
      </c>
      <c r="X616" s="32">
        <v>443</v>
      </c>
      <c r="Y616" s="32">
        <v>141</v>
      </c>
      <c r="Z616" s="32"/>
      <c r="AA616" s="32"/>
      <c r="AB616" s="33">
        <v>5.0743605000000001</v>
      </c>
      <c r="AC616" s="33">
        <v>26.044021399999998</v>
      </c>
      <c r="AD616" s="33">
        <v>12.1475312</v>
      </c>
      <c r="AE616" s="33">
        <v>12.9208804</v>
      </c>
      <c r="AF616" s="33">
        <v>40.011897699999999</v>
      </c>
      <c r="AG616" s="33">
        <v>2.8197500999999998</v>
      </c>
      <c r="AH616" s="33">
        <v>0.98155859999999995</v>
      </c>
      <c r="AI616" s="33"/>
      <c r="AJ616" s="33"/>
      <c r="AK616" s="33">
        <v>11.619150100000001</v>
      </c>
      <c r="AL616" s="33">
        <v>43.219717299999999</v>
      </c>
      <c r="AM616" s="33">
        <v>2.7238495999999999</v>
      </c>
      <c r="AN616" s="33">
        <v>2.0489999999999999</v>
      </c>
      <c r="AO616" s="33">
        <v>37.532397699999997</v>
      </c>
      <c r="AP616" s="33">
        <v>2.1663651000000002</v>
      </c>
      <c r="AQ616" s="33">
        <v>0.68952029999999997</v>
      </c>
      <c r="AR616" s="34"/>
      <c r="AS616" s="34"/>
    </row>
    <row r="617" spans="2:45" ht="15" hidden="1" customHeight="1" x14ac:dyDescent="0.25">
      <c r="B617" s="35">
        <v>611</v>
      </c>
      <c r="C617" s="36" t="s">
        <v>29</v>
      </c>
      <c r="D617" s="36" t="s">
        <v>172</v>
      </c>
      <c r="E617" s="36" t="s">
        <v>218</v>
      </c>
      <c r="F617" s="36"/>
      <c r="G617" s="37" t="s">
        <v>25</v>
      </c>
      <c r="H617" s="38">
        <v>8094</v>
      </c>
      <c r="I617" s="38">
        <v>746</v>
      </c>
      <c r="J617" s="38">
        <v>3788</v>
      </c>
      <c r="K617" s="38">
        <v>417</v>
      </c>
      <c r="L617" s="38">
        <v>632</v>
      </c>
      <c r="M617" s="38">
        <v>2315</v>
      </c>
      <c r="N617" s="38">
        <v>143</v>
      </c>
      <c r="O617" s="38">
        <v>53</v>
      </c>
      <c r="P617" s="38"/>
      <c r="Q617" s="38"/>
      <c r="R617" s="38">
        <v>12028</v>
      </c>
      <c r="S617" s="38">
        <v>1907</v>
      </c>
      <c r="T617" s="38">
        <v>7059</v>
      </c>
      <c r="U617" s="38">
        <v>182</v>
      </c>
      <c r="V617" s="38">
        <v>122</v>
      </c>
      <c r="W617" s="38">
        <v>2599</v>
      </c>
      <c r="X617" s="38">
        <v>116</v>
      </c>
      <c r="Y617" s="38">
        <v>43</v>
      </c>
      <c r="Z617" s="38"/>
      <c r="AA617" s="38"/>
      <c r="AB617" s="39">
        <v>9.2167037000000001</v>
      </c>
      <c r="AC617" s="39">
        <v>46.800098800000001</v>
      </c>
      <c r="AD617" s="39">
        <v>5.1519643999999998</v>
      </c>
      <c r="AE617" s="39">
        <v>7.8082529999999997</v>
      </c>
      <c r="AF617" s="39">
        <v>28.601433199999999</v>
      </c>
      <c r="AG617" s="39">
        <v>1.7667408</v>
      </c>
      <c r="AH617" s="39">
        <v>0.654806</v>
      </c>
      <c r="AI617" s="39"/>
      <c r="AJ617" s="39"/>
      <c r="AK617" s="39">
        <v>15.8546724</v>
      </c>
      <c r="AL617" s="39">
        <v>58.6880612</v>
      </c>
      <c r="AM617" s="39">
        <v>1.513136</v>
      </c>
      <c r="AN617" s="39">
        <v>1.0143</v>
      </c>
      <c r="AO617" s="39">
        <v>21.607914900000001</v>
      </c>
      <c r="AP617" s="39">
        <v>0.96441639999999995</v>
      </c>
      <c r="AQ617" s="39">
        <v>0.35749920000000002</v>
      </c>
      <c r="AR617" s="40"/>
      <c r="AS617" s="40"/>
    </row>
    <row r="618" spans="2:45" ht="15" hidden="1" customHeight="1" x14ac:dyDescent="0.25">
      <c r="B618" s="35">
        <v>612</v>
      </c>
      <c r="C618" s="36" t="s">
        <v>29</v>
      </c>
      <c r="D618" s="36" t="s">
        <v>172</v>
      </c>
      <c r="E618" s="36" t="s">
        <v>218</v>
      </c>
      <c r="F618" s="36"/>
      <c r="G618" s="37" t="s">
        <v>26</v>
      </c>
      <c r="H618" s="38">
        <v>8716</v>
      </c>
      <c r="I618" s="38">
        <v>107</v>
      </c>
      <c r="J618" s="38">
        <v>590</v>
      </c>
      <c r="K618" s="38">
        <v>1625</v>
      </c>
      <c r="L618" s="38">
        <v>1540</v>
      </c>
      <c r="M618" s="38">
        <v>4411</v>
      </c>
      <c r="N618" s="38">
        <v>331</v>
      </c>
      <c r="O618" s="38">
        <v>112</v>
      </c>
      <c r="P618" s="38"/>
      <c r="Q618" s="38"/>
      <c r="R618" s="38">
        <v>8421</v>
      </c>
      <c r="S618" s="38">
        <v>469</v>
      </c>
      <c r="T618" s="38">
        <v>1779</v>
      </c>
      <c r="U618" s="38">
        <v>375</v>
      </c>
      <c r="V618" s="38">
        <v>297</v>
      </c>
      <c r="W618" s="38">
        <v>5076</v>
      </c>
      <c r="X618" s="38">
        <v>327</v>
      </c>
      <c r="Y618" s="38">
        <v>98</v>
      </c>
      <c r="Z618" s="38"/>
      <c r="AA618" s="38"/>
      <c r="AB618" s="39">
        <v>1.2276274</v>
      </c>
      <c r="AC618" s="39">
        <v>6.7691602</v>
      </c>
      <c r="AD618" s="39">
        <v>18.643873299999999</v>
      </c>
      <c r="AE618" s="39">
        <v>17.668655300000001</v>
      </c>
      <c r="AF618" s="39">
        <v>50.608077100000003</v>
      </c>
      <c r="AG618" s="39">
        <v>3.7976136</v>
      </c>
      <c r="AH618" s="39">
        <v>1.2849931000000001</v>
      </c>
      <c r="AI618" s="39"/>
      <c r="AJ618" s="39"/>
      <c r="AK618" s="39">
        <v>5.5694097999999999</v>
      </c>
      <c r="AL618" s="39">
        <v>21.125757</v>
      </c>
      <c r="AM618" s="39">
        <v>4.4531527999999998</v>
      </c>
      <c r="AN618" s="39">
        <v>3.5268969999999999</v>
      </c>
      <c r="AO618" s="39">
        <v>60.2778767</v>
      </c>
      <c r="AP618" s="39">
        <v>3.8831492999999999</v>
      </c>
      <c r="AQ618" s="39">
        <v>1.1637573000000001</v>
      </c>
      <c r="AR618" s="40"/>
      <c r="AS618" s="40"/>
    </row>
    <row r="619" spans="2:45" ht="15" customHeight="1" x14ac:dyDescent="0.25">
      <c r="B619" s="41">
        <v>613</v>
      </c>
      <c r="C619" s="42" t="s">
        <v>31</v>
      </c>
      <c r="D619" s="51" t="s">
        <v>172</v>
      </c>
      <c r="E619" s="51" t="s">
        <v>218</v>
      </c>
      <c r="F619" s="51" t="s">
        <v>218</v>
      </c>
      <c r="G619" s="52" t="s">
        <v>218</v>
      </c>
      <c r="H619" s="43">
        <v>8784</v>
      </c>
      <c r="I619" s="43">
        <v>753</v>
      </c>
      <c r="J619" s="43">
        <v>3753</v>
      </c>
      <c r="K619" s="43">
        <v>776</v>
      </c>
      <c r="L619" s="43">
        <v>988</v>
      </c>
      <c r="M619" s="43">
        <v>2307</v>
      </c>
      <c r="N619" s="43">
        <v>152</v>
      </c>
      <c r="O619" s="43">
        <v>55</v>
      </c>
      <c r="P619" s="44">
        <f>K619+L619+M619+N619+O619</f>
        <v>4278</v>
      </c>
      <c r="Q619" s="44">
        <f>I619+J619</f>
        <v>4506</v>
      </c>
      <c r="R619" s="43">
        <v>11318</v>
      </c>
      <c r="S619" s="43">
        <v>1826</v>
      </c>
      <c r="T619" s="43">
        <v>5724</v>
      </c>
      <c r="U619" s="43">
        <v>278</v>
      </c>
      <c r="V619" s="43">
        <v>223</v>
      </c>
      <c r="W619" s="43">
        <v>3057</v>
      </c>
      <c r="X619" s="43">
        <v>153</v>
      </c>
      <c r="Y619" s="43">
        <v>57</v>
      </c>
      <c r="Z619" s="45">
        <f>U619+V619+W619+X619+Y619</f>
        <v>3768</v>
      </c>
      <c r="AA619" s="45">
        <f>S619+T619</f>
        <v>7550</v>
      </c>
      <c r="AB619" s="46">
        <v>8.5724043999999999</v>
      </c>
      <c r="AC619" s="46">
        <v>42.725409800000001</v>
      </c>
      <c r="AD619" s="46">
        <v>8.8342440999999994</v>
      </c>
      <c r="AE619" s="46">
        <v>11.2477231</v>
      </c>
      <c r="AF619" s="46">
        <v>26.263661200000001</v>
      </c>
      <c r="AG619" s="46">
        <v>1.7304189000000001</v>
      </c>
      <c r="AH619" s="46">
        <v>0.62613839999999998</v>
      </c>
      <c r="AI619" s="47">
        <f>AB619+AC619</f>
        <v>51.297814200000005</v>
      </c>
      <c r="AJ619" s="47">
        <f>AD619+AE619+AF619+AG619+AH619</f>
        <v>48.702185700000001</v>
      </c>
      <c r="AK619" s="46">
        <v>16.133592499999999</v>
      </c>
      <c r="AL619" s="46">
        <v>50.574306399999998</v>
      </c>
      <c r="AM619" s="46">
        <v>2.4562643999999998</v>
      </c>
      <c r="AN619" s="46">
        <v>1.9703128000000001</v>
      </c>
      <c r="AO619" s="46">
        <v>27.0100725</v>
      </c>
      <c r="AP619" s="46">
        <v>1.3518289000000001</v>
      </c>
      <c r="AQ619" s="46">
        <v>0.50362249999999997</v>
      </c>
      <c r="AR619" s="48">
        <f>AK619+AL619</f>
        <v>66.707898900000004</v>
      </c>
      <c r="AS619" s="48">
        <f>AM619+AN619+AO619+AP619+AQ619</f>
        <v>33.292101099999996</v>
      </c>
    </row>
    <row r="620" spans="2:45" ht="15" hidden="1" customHeight="1" x14ac:dyDescent="0.25">
      <c r="B620" s="35">
        <v>614</v>
      </c>
      <c r="C620" s="36" t="s">
        <v>31</v>
      </c>
      <c r="D620" s="36" t="s">
        <v>172</v>
      </c>
      <c r="E620" s="36" t="s">
        <v>218</v>
      </c>
      <c r="F620" s="36" t="s">
        <v>218</v>
      </c>
      <c r="G620" s="37" t="s">
        <v>25</v>
      </c>
      <c r="H620" s="38">
        <v>5692</v>
      </c>
      <c r="I620" s="38">
        <v>690</v>
      </c>
      <c r="J620" s="38">
        <v>3331</v>
      </c>
      <c r="K620" s="38">
        <v>206</v>
      </c>
      <c r="L620" s="38">
        <v>426</v>
      </c>
      <c r="M620" s="38">
        <v>950</v>
      </c>
      <c r="N620" s="38">
        <v>63</v>
      </c>
      <c r="O620" s="38">
        <v>26</v>
      </c>
      <c r="P620" s="38"/>
      <c r="Q620" s="38"/>
      <c r="R620" s="38">
        <v>8316</v>
      </c>
      <c r="S620" s="38">
        <v>1594</v>
      </c>
      <c r="T620" s="38">
        <v>5080</v>
      </c>
      <c r="U620" s="38">
        <v>124</v>
      </c>
      <c r="V620" s="38">
        <v>106</v>
      </c>
      <c r="W620" s="38">
        <v>1330</v>
      </c>
      <c r="X620" s="38">
        <v>62</v>
      </c>
      <c r="Y620" s="38">
        <v>20</v>
      </c>
      <c r="Z620" s="38"/>
      <c r="AA620" s="38"/>
      <c r="AB620" s="39">
        <v>12.122276899999999</v>
      </c>
      <c r="AC620" s="39">
        <v>58.520730899999997</v>
      </c>
      <c r="AD620" s="39">
        <v>3.6191144999999998</v>
      </c>
      <c r="AE620" s="39">
        <v>7.4841882999999996</v>
      </c>
      <c r="AF620" s="39">
        <v>16.6900914</v>
      </c>
      <c r="AG620" s="39">
        <v>1.1068165999999999</v>
      </c>
      <c r="AH620" s="39">
        <v>0.4567814</v>
      </c>
      <c r="AI620" s="39"/>
      <c r="AJ620" s="39"/>
      <c r="AK620" s="39">
        <v>19.167869199999998</v>
      </c>
      <c r="AL620" s="39">
        <v>61.0870611</v>
      </c>
      <c r="AM620" s="39">
        <v>1.4911015000000001</v>
      </c>
      <c r="AN620" s="39">
        <v>1.2746512999999999</v>
      </c>
      <c r="AO620" s="39">
        <v>15.993266</v>
      </c>
      <c r="AP620" s="39">
        <v>0.74555070000000001</v>
      </c>
      <c r="AQ620" s="39">
        <v>0.2405002</v>
      </c>
      <c r="AR620" s="40"/>
      <c r="AS620" s="40"/>
    </row>
    <row r="621" spans="2:45" ht="15" hidden="1" customHeight="1" x14ac:dyDescent="0.25">
      <c r="B621" s="35">
        <v>615</v>
      </c>
      <c r="C621" s="36" t="s">
        <v>31</v>
      </c>
      <c r="D621" s="36" t="s">
        <v>172</v>
      </c>
      <c r="E621" s="36" t="s">
        <v>218</v>
      </c>
      <c r="F621" s="36" t="s">
        <v>218</v>
      </c>
      <c r="G621" s="37" t="s">
        <v>26</v>
      </c>
      <c r="H621" s="38">
        <v>3092</v>
      </c>
      <c r="I621" s="38">
        <v>63</v>
      </c>
      <c r="J621" s="38">
        <v>422</v>
      </c>
      <c r="K621" s="38">
        <v>570</v>
      </c>
      <c r="L621" s="38">
        <v>562</v>
      </c>
      <c r="M621" s="38">
        <v>1357</v>
      </c>
      <c r="N621" s="38">
        <v>89</v>
      </c>
      <c r="O621" s="38">
        <v>29</v>
      </c>
      <c r="P621" s="38"/>
      <c r="Q621" s="38"/>
      <c r="R621" s="38">
        <v>3002</v>
      </c>
      <c r="S621" s="38">
        <v>232</v>
      </c>
      <c r="T621" s="38">
        <v>644</v>
      </c>
      <c r="U621" s="38">
        <v>154</v>
      </c>
      <c r="V621" s="38">
        <v>117</v>
      </c>
      <c r="W621" s="38">
        <v>1727</v>
      </c>
      <c r="X621" s="38">
        <v>91</v>
      </c>
      <c r="Y621" s="38">
        <v>37</v>
      </c>
      <c r="Z621" s="38"/>
      <c r="AA621" s="38"/>
      <c r="AB621" s="39">
        <v>2.0375162000000002</v>
      </c>
      <c r="AC621" s="39">
        <v>13.6481242</v>
      </c>
      <c r="AD621" s="39">
        <v>18.434670100000002</v>
      </c>
      <c r="AE621" s="39">
        <v>18.175937900000001</v>
      </c>
      <c r="AF621" s="39">
        <v>43.887451499999997</v>
      </c>
      <c r="AG621" s="39">
        <v>2.8783959000000001</v>
      </c>
      <c r="AH621" s="39">
        <v>0.93790430000000002</v>
      </c>
      <c r="AI621" s="39"/>
      <c r="AJ621" s="39"/>
      <c r="AK621" s="39">
        <v>7.7281811999999999</v>
      </c>
      <c r="AL621" s="39">
        <v>21.452365100000002</v>
      </c>
      <c r="AM621" s="39">
        <v>5.1299134000000004</v>
      </c>
      <c r="AN621" s="39">
        <v>3.8974017000000001</v>
      </c>
      <c r="AO621" s="39">
        <v>57.5283145</v>
      </c>
      <c r="AP621" s="39">
        <v>3.0313124999999999</v>
      </c>
      <c r="AQ621" s="39">
        <v>1.2325117000000001</v>
      </c>
      <c r="AR621" s="40"/>
      <c r="AS621" s="40"/>
    </row>
    <row r="622" spans="2:45" ht="15" customHeight="1" x14ac:dyDescent="0.25">
      <c r="B622" s="41">
        <v>616</v>
      </c>
      <c r="C622" s="42" t="s">
        <v>31</v>
      </c>
      <c r="D622" s="51" t="s">
        <v>172</v>
      </c>
      <c r="E622" s="51" t="s">
        <v>218</v>
      </c>
      <c r="F622" s="51" t="s">
        <v>219</v>
      </c>
      <c r="G622" s="52" t="s">
        <v>219</v>
      </c>
      <c r="H622" s="43">
        <v>3042</v>
      </c>
      <c r="I622" s="43">
        <v>34</v>
      </c>
      <c r="J622" s="43">
        <v>163</v>
      </c>
      <c r="K622" s="43">
        <v>457</v>
      </c>
      <c r="L622" s="43">
        <v>472</v>
      </c>
      <c r="M622" s="43">
        <v>1723</v>
      </c>
      <c r="N622" s="43">
        <v>142</v>
      </c>
      <c r="O622" s="43">
        <v>51</v>
      </c>
      <c r="P622" s="44">
        <f>K622+L622+M622+N622+O622</f>
        <v>2845</v>
      </c>
      <c r="Q622" s="44">
        <f>I622+J622</f>
        <v>197</v>
      </c>
      <c r="R622" s="43">
        <v>3262</v>
      </c>
      <c r="S622" s="43">
        <v>109</v>
      </c>
      <c r="T622" s="43">
        <v>273</v>
      </c>
      <c r="U622" s="43">
        <v>117</v>
      </c>
      <c r="V622" s="43">
        <v>74</v>
      </c>
      <c r="W622" s="43">
        <v>2542</v>
      </c>
      <c r="X622" s="43">
        <v>114</v>
      </c>
      <c r="Y622" s="43">
        <v>33</v>
      </c>
      <c r="Z622" s="45">
        <f>U622+V622+W622+X622+Y622</f>
        <v>2880</v>
      </c>
      <c r="AA622" s="45">
        <f>S622+T622</f>
        <v>382</v>
      </c>
      <c r="AB622" s="46">
        <v>1.1176857</v>
      </c>
      <c r="AC622" s="46">
        <v>5.3583169000000002</v>
      </c>
      <c r="AD622" s="46">
        <v>15.023011199999999</v>
      </c>
      <c r="AE622" s="46">
        <v>15.5161078</v>
      </c>
      <c r="AF622" s="46">
        <v>56.640368199999998</v>
      </c>
      <c r="AG622" s="46">
        <v>4.6679816000000001</v>
      </c>
      <c r="AH622" s="46">
        <v>1.6765285999999999</v>
      </c>
      <c r="AI622" s="47">
        <f>AB622+AC622</f>
        <v>6.4760026000000002</v>
      </c>
      <c r="AJ622" s="47">
        <f>AD622+AE622+AF622+AG622+AH622</f>
        <v>93.523997399999999</v>
      </c>
      <c r="AK622" s="46">
        <v>3.3415083000000001</v>
      </c>
      <c r="AL622" s="46">
        <v>8.3690987000000003</v>
      </c>
      <c r="AM622" s="46">
        <v>3.5867566000000002</v>
      </c>
      <c r="AN622" s="46">
        <v>2.2685469</v>
      </c>
      <c r="AO622" s="46">
        <v>77.927651699999998</v>
      </c>
      <c r="AP622" s="46">
        <v>3.4947884999999999</v>
      </c>
      <c r="AQ622" s="46">
        <v>1.0116493</v>
      </c>
      <c r="AR622" s="48">
        <f>AK622+AL622</f>
        <v>11.710607</v>
      </c>
      <c r="AS622" s="48">
        <f>AM622+AN622+AO622+AP622+AQ622</f>
        <v>88.289393000000004</v>
      </c>
    </row>
    <row r="623" spans="2:45" ht="15" hidden="1" customHeight="1" x14ac:dyDescent="0.25">
      <c r="B623" s="35">
        <v>617</v>
      </c>
      <c r="C623" s="36" t="s">
        <v>31</v>
      </c>
      <c r="D623" s="36" t="s">
        <v>172</v>
      </c>
      <c r="E623" s="36" t="s">
        <v>218</v>
      </c>
      <c r="F623" s="36" t="s">
        <v>219</v>
      </c>
      <c r="G623" s="37" t="s">
        <v>25</v>
      </c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>
        <v>1138</v>
      </c>
      <c r="S623" s="38">
        <v>43</v>
      </c>
      <c r="T623" s="38">
        <v>85</v>
      </c>
      <c r="U623" s="38">
        <v>23</v>
      </c>
      <c r="V623" s="38">
        <v>10</v>
      </c>
      <c r="W623" s="38">
        <v>932</v>
      </c>
      <c r="X623" s="38">
        <v>33</v>
      </c>
      <c r="Y623" s="38">
        <v>12</v>
      </c>
      <c r="Z623" s="38"/>
      <c r="AA623" s="38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>
        <v>3.7785589000000002</v>
      </c>
      <c r="AL623" s="39">
        <v>7.4692442999999997</v>
      </c>
      <c r="AM623" s="39">
        <v>2.0210895999999998</v>
      </c>
      <c r="AN623" s="39">
        <v>0.87873460000000003</v>
      </c>
      <c r="AO623" s="39">
        <v>81.898066799999995</v>
      </c>
      <c r="AP623" s="39">
        <v>2.8998243000000001</v>
      </c>
      <c r="AQ623" s="39">
        <v>1.0544815000000001</v>
      </c>
      <c r="AR623" s="40"/>
      <c r="AS623" s="40"/>
    </row>
    <row r="624" spans="2:45" ht="15" hidden="1" customHeight="1" x14ac:dyDescent="0.25">
      <c r="B624" s="35">
        <v>618</v>
      </c>
      <c r="C624" s="36" t="s">
        <v>31</v>
      </c>
      <c r="D624" s="36" t="s">
        <v>172</v>
      </c>
      <c r="E624" s="36" t="s">
        <v>218</v>
      </c>
      <c r="F624" s="36" t="s">
        <v>219</v>
      </c>
      <c r="G624" s="37" t="s">
        <v>26</v>
      </c>
      <c r="H624" s="38">
        <v>3042</v>
      </c>
      <c r="I624" s="38">
        <v>34</v>
      </c>
      <c r="J624" s="38">
        <v>163</v>
      </c>
      <c r="K624" s="38">
        <v>457</v>
      </c>
      <c r="L624" s="38">
        <v>472</v>
      </c>
      <c r="M624" s="38">
        <v>1723</v>
      </c>
      <c r="N624" s="38">
        <v>142</v>
      </c>
      <c r="O624" s="38">
        <v>51</v>
      </c>
      <c r="P624" s="38"/>
      <c r="Q624" s="38"/>
      <c r="R624" s="38">
        <v>2124</v>
      </c>
      <c r="S624" s="38">
        <v>66</v>
      </c>
      <c r="T624" s="38">
        <v>188</v>
      </c>
      <c r="U624" s="38">
        <v>94</v>
      </c>
      <c r="V624" s="38">
        <v>64</v>
      </c>
      <c r="W624" s="38">
        <v>1610</v>
      </c>
      <c r="X624" s="38">
        <v>81</v>
      </c>
      <c r="Y624" s="38">
        <v>21</v>
      </c>
      <c r="Z624" s="38"/>
      <c r="AA624" s="38"/>
      <c r="AB624" s="39">
        <v>1.1176857</v>
      </c>
      <c r="AC624" s="39">
        <v>5.3583169000000002</v>
      </c>
      <c r="AD624" s="39">
        <v>15.023011199999999</v>
      </c>
      <c r="AE624" s="39">
        <v>15.5161078</v>
      </c>
      <c r="AF624" s="39">
        <v>56.640368199999998</v>
      </c>
      <c r="AG624" s="39">
        <v>4.6679816000000001</v>
      </c>
      <c r="AH624" s="39">
        <v>1.6765285999999999</v>
      </c>
      <c r="AI624" s="39"/>
      <c r="AJ624" s="39"/>
      <c r="AK624" s="39">
        <v>3.1073445999999998</v>
      </c>
      <c r="AL624" s="39">
        <v>8.8512240999999996</v>
      </c>
      <c r="AM624" s="39">
        <v>4.4256121000000004</v>
      </c>
      <c r="AN624" s="39">
        <v>3.0131827000000002</v>
      </c>
      <c r="AO624" s="39">
        <v>75.800376600000007</v>
      </c>
      <c r="AP624" s="39">
        <v>3.8135593000000001</v>
      </c>
      <c r="AQ624" s="39">
        <v>0.98870060000000004</v>
      </c>
      <c r="AR624" s="40"/>
      <c r="AS624" s="40"/>
    </row>
    <row r="625" spans="2:45" ht="15" customHeight="1" x14ac:dyDescent="0.25">
      <c r="B625" s="41">
        <v>619</v>
      </c>
      <c r="C625" s="42" t="s">
        <v>31</v>
      </c>
      <c r="D625" s="51" t="s">
        <v>172</v>
      </c>
      <c r="E625" s="51" t="s">
        <v>218</v>
      </c>
      <c r="F625" s="51" t="s">
        <v>220</v>
      </c>
      <c r="G625" s="52" t="s">
        <v>220</v>
      </c>
      <c r="H625" s="43">
        <v>3924</v>
      </c>
      <c r="I625" s="43">
        <v>66</v>
      </c>
      <c r="J625" s="43">
        <v>462</v>
      </c>
      <c r="K625" s="43">
        <v>411</v>
      </c>
      <c r="L625" s="43">
        <v>480</v>
      </c>
      <c r="M625" s="43">
        <v>2304</v>
      </c>
      <c r="N625" s="43">
        <v>150</v>
      </c>
      <c r="O625" s="43">
        <v>51</v>
      </c>
      <c r="P625" s="44">
        <f>K625+L625+M625+N625+O625</f>
        <v>3396</v>
      </c>
      <c r="Q625" s="44">
        <f>I625+J625</f>
        <v>528</v>
      </c>
      <c r="R625" s="43">
        <v>4327</v>
      </c>
      <c r="S625" s="43">
        <v>421</v>
      </c>
      <c r="T625" s="43">
        <v>2835</v>
      </c>
      <c r="U625" s="43">
        <v>80</v>
      </c>
      <c r="V625" s="43">
        <v>21</v>
      </c>
      <c r="W625" s="43">
        <v>870</v>
      </c>
      <c r="X625" s="43">
        <v>77</v>
      </c>
      <c r="Y625" s="43">
        <v>23</v>
      </c>
      <c r="Z625" s="45">
        <f>U625+V625+W625+X625+Y625</f>
        <v>1071</v>
      </c>
      <c r="AA625" s="45">
        <f>S625+T625</f>
        <v>3256</v>
      </c>
      <c r="AB625" s="46">
        <v>1.6819572</v>
      </c>
      <c r="AC625" s="46">
        <v>11.7737003</v>
      </c>
      <c r="AD625" s="46">
        <v>10.4740061</v>
      </c>
      <c r="AE625" s="46">
        <v>12.232415899999999</v>
      </c>
      <c r="AF625" s="46">
        <v>58.715596300000001</v>
      </c>
      <c r="AG625" s="46">
        <v>3.8226300000000002</v>
      </c>
      <c r="AH625" s="46">
        <v>1.2996942</v>
      </c>
      <c r="AI625" s="47">
        <f>AB625+AC625</f>
        <v>13.455657499999999</v>
      </c>
      <c r="AJ625" s="47">
        <f>AD625+AE625+AF625+AG625+AH625</f>
        <v>86.544342500000013</v>
      </c>
      <c r="AK625" s="46">
        <v>9.7296048000000006</v>
      </c>
      <c r="AL625" s="46">
        <v>65.518835199999998</v>
      </c>
      <c r="AM625" s="46">
        <v>1.8488560000000001</v>
      </c>
      <c r="AN625" s="46">
        <v>0.4853247</v>
      </c>
      <c r="AO625" s="46">
        <v>20.106309199999998</v>
      </c>
      <c r="AP625" s="46">
        <v>1.7795239</v>
      </c>
      <c r="AQ625" s="46">
        <v>0.53154610000000002</v>
      </c>
      <c r="AR625" s="48">
        <f>AK625+AL625</f>
        <v>75.248440000000002</v>
      </c>
      <c r="AS625" s="48">
        <f>AM625+AN625+AO625+AP625+AQ625</f>
        <v>24.7515599</v>
      </c>
    </row>
    <row r="626" spans="2:45" ht="15" hidden="1" customHeight="1" x14ac:dyDescent="0.25">
      <c r="B626" s="35">
        <v>620</v>
      </c>
      <c r="C626" s="36" t="s">
        <v>31</v>
      </c>
      <c r="D626" s="36" t="s">
        <v>172</v>
      </c>
      <c r="E626" s="36" t="s">
        <v>218</v>
      </c>
      <c r="F626" s="36" t="s">
        <v>220</v>
      </c>
      <c r="G626" s="37" t="s">
        <v>25</v>
      </c>
      <c r="H626" s="38">
        <v>2402</v>
      </c>
      <c r="I626" s="38">
        <v>56</v>
      </c>
      <c r="J626" s="38">
        <v>457</v>
      </c>
      <c r="K626" s="38">
        <v>211</v>
      </c>
      <c r="L626" s="38">
        <v>206</v>
      </c>
      <c r="M626" s="38">
        <v>1365</v>
      </c>
      <c r="N626" s="38">
        <v>80</v>
      </c>
      <c r="O626" s="38">
        <v>27</v>
      </c>
      <c r="P626" s="38"/>
      <c r="Q626" s="38"/>
      <c r="R626" s="38">
        <v>2574</v>
      </c>
      <c r="S626" s="38">
        <v>270</v>
      </c>
      <c r="T626" s="38">
        <v>1894</v>
      </c>
      <c r="U626" s="38">
        <v>35</v>
      </c>
      <c r="V626" s="38">
        <v>6</v>
      </c>
      <c r="W626" s="38">
        <v>337</v>
      </c>
      <c r="X626" s="38">
        <v>21</v>
      </c>
      <c r="Y626" s="38">
        <v>11</v>
      </c>
      <c r="Z626" s="38"/>
      <c r="AA626" s="38"/>
      <c r="AB626" s="39">
        <v>2.3313904999999999</v>
      </c>
      <c r="AC626" s="39">
        <v>19.0258118</v>
      </c>
      <c r="AD626" s="39">
        <v>8.7843464000000004</v>
      </c>
      <c r="AE626" s="39">
        <v>8.5761865000000004</v>
      </c>
      <c r="AF626" s="39">
        <v>56.827643600000002</v>
      </c>
      <c r="AG626" s="39">
        <v>3.3305579000000001</v>
      </c>
      <c r="AH626" s="39">
        <v>1.1240633</v>
      </c>
      <c r="AI626" s="39"/>
      <c r="AJ626" s="39"/>
      <c r="AK626" s="39">
        <v>10.4895105</v>
      </c>
      <c r="AL626" s="39">
        <v>73.581973599999998</v>
      </c>
      <c r="AM626" s="39">
        <v>1.3597513999999999</v>
      </c>
      <c r="AN626" s="39">
        <v>0.23310020000000001</v>
      </c>
      <c r="AO626" s="39">
        <v>13.0924631</v>
      </c>
      <c r="AP626" s="39">
        <v>0.81585079999999999</v>
      </c>
      <c r="AQ626" s="39">
        <v>0.42735040000000002</v>
      </c>
      <c r="AR626" s="40"/>
      <c r="AS626" s="40"/>
    </row>
    <row r="627" spans="2:45" ht="15" hidden="1" customHeight="1" x14ac:dyDescent="0.25">
      <c r="B627" s="35">
        <v>621</v>
      </c>
      <c r="C627" s="36" t="s">
        <v>31</v>
      </c>
      <c r="D627" s="36" t="s">
        <v>172</v>
      </c>
      <c r="E627" s="36" t="s">
        <v>218</v>
      </c>
      <c r="F627" s="36" t="s">
        <v>220</v>
      </c>
      <c r="G627" s="37" t="s">
        <v>26</v>
      </c>
      <c r="H627" s="38">
        <v>1522</v>
      </c>
      <c r="I627" s="38">
        <v>10</v>
      </c>
      <c r="J627" s="38">
        <v>5</v>
      </c>
      <c r="K627" s="38">
        <v>200</v>
      </c>
      <c r="L627" s="38">
        <v>274</v>
      </c>
      <c r="M627" s="38">
        <v>939</v>
      </c>
      <c r="N627" s="38">
        <v>70</v>
      </c>
      <c r="O627" s="38">
        <v>24</v>
      </c>
      <c r="P627" s="38"/>
      <c r="Q627" s="38"/>
      <c r="R627" s="38">
        <v>1753</v>
      </c>
      <c r="S627" s="38">
        <v>151</v>
      </c>
      <c r="T627" s="38">
        <v>941</v>
      </c>
      <c r="U627" s="38">
        <v>45</v>
      </c>
      <c r="V627" s="38">
        <v>15</v>
      </c>
      <c r="W627" s="38">
        <v>533</v>
      </c>
      <c r="X627" s="38">
        <v>56</v>
      </c>
      <c r="Y627" s="38">
        <v>12</v>
      </c>
      <c r="Z627" s="38"/>
      <c r="AA627" s="38"/>
      <c r="AB627" s="39">
        <v>0.65703020000000001</v>
      </c>
      <c r="AC627" s="39">
        <v>0.3285151</v>
      </c>
      <c r="AD627" s="39">
        <v>13.1406045</v>
      </c>
      <c r="AE627" s="39">
        <v>18.002628099999999</v>
      </c>
      <c r="AF627" s="39">
        <v>61.695138</v>
      </c>
      <c r="AG627" s="39">
        <v>4.5992116000000003</v>
      </c>
      <c r="AH627" s="39">
        <v>1.5768724999999999</v>
      </c>
      <c r="AI627" s="39"/>
      <c r="AJ627" s="39"/>
      <c r="AK627" s="39">
        <v>8.6138048999999999</v>
      </c>
      <c r="AL627" s="39">
        <v>53.679406700000001</v>
      </c>
      <c r="AM627" s="39">
        <v>2.5670280000000001</v>
      </c>
      <c r="AN627" s="39">
        <v>0.85567599999999999</v>
      </c>
      <c r="AO627" s="39">
        <v>30.40502</v>
      </c>
      <c r="AP627" s="39">
        <v>3.1945237</v>
      </c>
      <c r="AQ627" s="39">
        <v>0.68454079999999995</v>
      </c>
      <c r="AR627" s="40"/>
      <c r="AS627" s="40"/>
    </row>
    <row r="628" spans="2:45" ht="15" customHeight="1" x14ac:dyDescent="0.25">
      <c r="B628" s="41">
        <v>622</v>
      </c>
      <c r="C628" s="42" t="s">
        <v>31</v>
      </c>
      <c r="D628" s="51" t="s">
        <v>172</v>
      </c>
      <c r="E628" s="51" t="s">
        <v>218</v>
      </c>
      <c r="F628" s="51" t="s">
        <v>221</v>
      </c>
      <c r="G628" s="52" t="s">
        <v>221</v>
      </c>
      <c r="H628" s="43">
        <v>359</v>
      </c>
      <c r="I628" s="43">
        <v>0</v>
      </c>
      <c r="J628" s="43">
        <v>0</v>
      </c>
      <c r="K628" s="43">
        <v>107</v>
      </c>
      <c r="L628" s="43">
        <v>118</v>
      </c>
      <c r="M628" s="43">
        <v>117</v>
      </c>
      <c r="N628" s="43">
        <v>11</v>
      </c>
      <c r="O628" s="43">
        <v>6</v>
      </c>
      <c r="P628" s="44">
        <f>K628+L628+M628+N628+O628</f>
        <v>359</v>
      </c>
      <c r="Q628" s="44">
        <f>I628+J628</f>
        <v>0</v>
      </c>
      <c r="R628" s="43">
        <v>485</v>
      </c>
      <c r="S628" s="43">
        <v>13</v>
      </c>
      <c r="T628" s="43">
        <v>3</v>
      </c>
      <c r="U628" s="43">
        <v>37</v>
      </c>
      <c r="V628" s="43">
        <v>46</v>
      </c>
      <c r="W628" s="43">
        <v>347</v>
      </c>
      <c r="X628" s="43">
        <v>29</v>
      </c>
      <c r="Y628" s="43">
        <v>10</v>
      </c>
      <c r="Z628" s="45">
        <f>U628+V628+W628+X628+Y628</f>
        <v>469</v>
      </c>
      <c r="AA628" s="45">
        <f>S628+T628</f>
        <v>16</v>
      </c>
      <c r="AB628" s="46">
        <v>0</v>
      </c>
      <c r="AC628" s="46">
        <v>0</v>
      </c>
      <c r="AD628" s="46">
        <v>29.805013899999999</v>
      </c>
      <c r="AE628" s="46">
        <v>32.869080799999999</v>
      </c>
      <c r="AF628" s="46">
        <v>32.590529199999999</v>
      </c>
      <c r="AG628" s="46">
        <v>3.0640668999999998</v>
      </c>
      <c r="AH628" s="46">
        <v>1.6713092000000001</v>
      </c>
      <c r="AI628" s="47">
        <f>AB628+AC628</f>
        <v>0</v>
      </c>
      <c r="AJ628" s="47">
        <f>AD628+AE628+AF628+AG628+AH628</f>
        <v>100</v>
      </c>
      <c r="AK628" s="46">
        <v>2.6804123999999998</v>
      </c>
      <c r="AL628" s="46">
        <v>0.61855669999999996</v>
      </c>
      <c r="AM628" s="46">
        <v>7.6288660000000004</v>
      </c>
      <c r="AN628" s="46">
        <v>9.4845360999999997</v>
      </c>
      <c r="AO628" s="46">
        <v>71.546391799999995</v>
      </c>
      <c r="AP628" s="46">
        <v>5.9793814000000003</v>
      </c>
      <c r="AQ628" s="46">
        <v>2.0618557000000002</v>
      </c>
      <c r="AR628" s="48">
        <f>AK628+AL628</f>
        <v>3.2989690999999999</v>
      </c>
      <c r="AS628" s="48">
        <f>AM628+AN628+AO628+AP628+AQ628</f>
        <v>96.701030999999986</v>
      </c>
    </row>
    <row r="629" spans="2:45" ht="15" hidden="1" customHeight="1" x14ac:dyDescent="0.25">
      <c r="B629" s="35">
        <v>623</v>
      </c>
      <c r="C629" s="36" t="s">
        <v>31</v>
      </c>
      <c r="D629" s="36" t="s">
        <v>172</v>
      </c>
      <c r="E629" s="36" t="s">
        <v>218</v>
      </c>
      <c r="F629" s="36" t="s">
        <v>221</v>
      </c>
      <c r="G629" s="37" t="s">
        <v>25</v>
      </c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40"/>
      <c r="AS629" s="40"/>
    </row>
    <row r="630" spans="2:45" ht="15" hidden="1" customHeight="1" x14ac:dyDescent="0.25">
      <c r="B630" s="35">
        <v>624</v>
      </c>
      <c r="C630" s="36" t="s">
        <v>31</v>
      </c>
      <c r="D630" s="36" t="s">
        <v>172</v>
      </c>
      <c r="E630" s="36" t="s">
        <v>218</v>
      </c>
      <c r="F630" s="36" t="s">
        <v>221</v>
      </c>
      <c r="G630" s="37" t="s">
        <v>26</v>
      </c>
      <c r="H630" s="38">
        <v>359</v>
      </c>
      <c r="I630" s="38">
        <v>0</v>
      </c>
      <c r="J630" s="38">
        <v>0</v>
      </c>
      <c r="K630" s="38">
        <v>107</v>
      </c>
      <c r="L630" s="38">
        <v>118</v>
      </c>
      <c r="M630" s="38">
        <v>117</v>
      </c>
      <c r="N630" s="38">
        <v>11</v>
      </c>
      <c r="O630" s="38">
        <v>6</v>
      </c>
      <c r="P630" s="38"/>
      <c r="Q630" s="38"/>
      <c r="R630" s="38">
        <v>485</v>
      </c>
      <c r="S630" s="38">
        <v>13</v>
      </c>
      <c r="T630" s="38">
        <v>3</v>
      </c>
      <c r="U630" s="38">
        <v>37</v>
      </c>
      <c r="V630" s="38">
        <v>46</v>
      </c>
      <c r="W630" s="38">
        <v>347</v>
      </c>
      <c r="X630" s="38">
        <v>29</v>
      </c>
      <c r="Y630" s="38">
        <v>10</v>
      </c>
      <c r="Z630" s="38"/>
      <c r="AA630" s="38"/>
      <c r="AB630" s="39">
        <v>0</v>
      </c>
      <c r="AC630" s="39">
        <v>0</v>
      </c>
      <c r="AD630" s="39">
        <v>29.805013899999999</v>
      </c>
      <c r="AE630" s="39">
        <v>32.869080799999999</v>
      </c>
      <c r="AF630" s="39">
        <v>32.590529199999999</v>
      </c>
      <c r="AG630" s="39">
        <v>3.0640668999999998</v>
      </c>
      <c r="AH630" s="39">
        <v>1.6713092000000001</v>
      </c>
      <c r="AI630" s="39"/>
      <c r="AJ630" s="39"/>
      <c r="AK630" s="39">
        <v>2.6804123999999998</v>
      </c>
      <c r="AL630" s="39">
        <v>0.61855669999999996</v>
      </c>
      <c r="AM630" s="39">
        <v>7.6288660000000004</v>
      </c>
      <c r="AN630" s="39">
        <v>9.4845360999999997</v>
      </c>
      <c r="AO630" s="39">
        <v>71.546391799999995</v>
      </c>
      <c r="AP630" s="39">
        <v>5.9793814000000003</v>
      </c>
      <c r="AQ630" s="39">
        <v>2.0618557000000002</v>
      </c>
      <c r="AR630" s="40"/>
      <c r="AS630" s="40"/>
    </row>
    <row r="631" spans="2:45" ht="15" customHeight="1" x14ac:dyDescent="0.25">
      <c r="B631" s="41">
        <v>625</v>
      </c>
      <c r="C631" s="42" t="s">
        <v>31</v>
      </c>
      <c r="D631" s="51" t="s">
        <v>172</v>
      </c>
      <c r="E631" s="51" t="s">
        <v>218</v>
      </c>
      <c r="F631" s="51" t="s">
        <v>222</v>
      </c>
      <c r="G631" s="52" t="s">
        <v>222</v>
      </c>
      <c r="H631" s="43">
        <v>701</v>
      </c>
      <c r="I631" s="43">
        <v>0</v>
      </c>
      <c r="J631" s="43">
        <v>0</v>
      </c>
      <c r="K631" s="43">
        <v>291</v>
      </c>
      <c r="L631" s="43">
        <v>114</v>
      </c>
      <c r="M631" s="43">
        <v>275</v>
      </c>
      <c r="N631" s="43">
        <v>19</v>
      </c>
      <c r="O631" s="43">
        <v>2</v>
      </c>
      <c r="P631" s="44">
        <f>K631+L631+M631+N631+O631</f>
        <v>701</v>
      </c>
      <c r="Q631" s="44">
        <f>I631+J631</f>
        <v>0</v>
      </c>
      <c r="R631" s="43">
        <v>1057</v>
      </c>
      <c r="S631" s="43">
        <v>7</v>
      </c>
      <c r="T631" s="43">
        <v>3</v>
      </c>
      <c r="U631" s="43">
        <v>45</v>
      </c>
      <c r="V631" s="43">
        <v>55</v>
      </c>
      <c r="W631" s="43">
        <v>859</v>
      </c>
      <c r="X631" s="43">
        <v>70</v>
      </c>
      <c r="Y631" s="43">
        <v>18</v>
      </c>
      <c r="Z631" s="45">
        <f>U631+V631+W631+X631+Y631</f>
        <v>1047</v>
      </c>
      <c r="AA631" s="45">
        <f>S631+T631</f>
        <v>10</v>
      </c>
      <c r="AB631" s="46">
        <v>0</v>
      </c>
      <c r="AC631" s="46">
        <v>0</v>
      </c>
      <c r="AD631" s="46">
        <v>41.512125500000003</v>
      </c>
      <c r="AE631" s="46">
        <v>16.262482200000001</v>
      </c>
      <c r="AF631" s="46">
        <v>39.2296719</v>
      </c>
      <c r="AG631" s="46">
        <v>2.7104137000000001</v>
      </c>
      <c r="AH631" s="46">
        <v>0.28530670000000002</v>
      </c>
      <c r="AI631" s="47">
        <f>AB631+AC631</f>
        <v>0</v>
      </c>
      <c r="AJ631" s="47">
        <f>AD631+AE631+AF631+AG631+AH631</f>
        <v>100.00000000000001</v>
      </c>
      <c r="AK631" s="46">
        <v>0.6622517</v>
      </c>
      <c r="AL631" s="46">
        <v>0.28382210000000002</v>
      </c>
      <c r="AM631" s="46">
        <v>4.2573321000000002</v>
      </c>
      <c r="AN631" s="46">
        <v>5.2034058999999999</v>
      </c>
      <c r="AO631" s="46">
        <v>81.267738899999998</v>
      </c>
      <c r="AP631" s="46">
        <v>6.6225166</v>
      </c>
      <c r="AQ631" s="46">
        <v>1.7029327999999999</v>
      </c>
      <c r="AR631" s="48">
        <f>AK631+AL631</f>
        <v>0.94607379999999996</v>
      </c>
      <c r="AS631" s="48">
        <f>AM631+AN631+AO631+AP631+AQ631</f>
        <v>99.053926300000001</v>
      </c>
    </row>
    <row r="632" spans="2:45" ht="15" hidden="1" customHeight="1" x14ac:dyDescent="0.25">
      <c r="B632" s="35">
        <v>626</v>
      </c>
      <c r="C632" s="36" t="s">
        <v>31</v>
      </c>
      <c r="D632" s="36" t="s">
        <v>172</v>
      </c>
      <c r="E632" s="36" t="s">
        <v>218</v>
      </c>
      <c r="F632" s="36" t="s">
        <v>222</v>
      </c>
      <c r="G632" s="37" t="s">
        <v>25</v>
      </c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40"/>
      <c r="AS632" s="40"/>
    </row>
    <row r="633" spans="2:45" ht="15" hidden="1" customHeight="1" x14ac:dyDescent="0.25">
      <c r="B633" s="35">
        <v>627</v>
      </c>
      <c r="C633" s="36" t="s">
        <v>31</v>
      </c>
      <c r="D633" s="36" t="s">
        <v>172</v>
      </c>
      <c r="E633" s="36" t="s">
        <v>218</v>
      </c>
      <c r="F633" s="36" t="s">
        <v>222</v>
      </c>
      <c r="G633" s="37" t="s">
        <v>26</v>
      </c>
      <c r="H633" s="38">
        <v>701</v>
      </c>
      <c r="I633" s="38">
        <v>0</v>
      </c>
      <c r="J633" s="38">
        <v>0</v>
      </c>
      <c r="K633" s="38">
        <v>291</v>
      </c>
      <c r="L633" s="38">
        <v>114</v>
      </c>
      <c r="M633" s="38">
        <v>275</v>
      </c>
      <c r="N633" s="38">
        <v>19</v>
      </c>
      <c r="O633" s="38">
        <v>2</v>
      </c>
      <c r="P633" s="38"/>
      <c r="Q633" s="38"/>
      <c r="R633" s="38">
        <v>1057</v>
      </c>
      <c r="S633" s="38">
        <v>7</v>
      </c>
      <c r="T633" s="38">
        <v>3</v>
      </c>
      <c r="U633" s="38">
        <v>45</v>
      </c>
      <c r="V633" s="38">
        <v>55</v>
      </c>
      <c r="W633" s="38">
        <v>859</v>
      </c>
      <c r="X633" s="38">
        <v>70</v>
      </c>
      <c r="Y633" s="38">
        <v>18</v>
      </c>
      <c r="Z633" s="38"/>
      <c r="AA633" s="38"/>
      <c r="AB633" s="39">
        <v>0</v>
      </c>
      <c r="AC633" s="39">
        <v>0</v>
      </c>
      <c r="AD633" s="39">
        <v>41.512125500000003</v>
      </c>
      <c r="AE633" s="39">
        <v>16.262482200000001</v>
      </c>
      <c r="AF633" s="39">
        <v>39.2296719</v>
      </c>
      <c r="AG633" s="39">
        <v>2.7104137000000001</v>
      </c>
      <c r="AH633" s="39">
        <v>0.28530670000000002</v>
      </c>
      <c r="AI633" s="39"/>
      <c r="AJ633" s="39"/>
      <c r="AK633" s="39">
        <v>0.6622517</v>
      </c>
      <c r="AL633" s="39">
        <v>0.28382210000000002</v>
      </c>
      <c r="AM633" s="39">
        <v>4.2573321000000002</v>
      </c>
      <c r="AN633" s="39">
        <v>5.2034058999999999</v>
      </c>
      <c r="AO633" s="39">
        <v>81.267738899999998</v>
      </c>
      <c r="AP633" s="39">
        <v>6.6225166</v>
      </c>
      <c r="AQ633" s="39">
        <v>1.7029327999999999</v>
      </c>
      <c r="AR633" s="40"/>
      <c r="AS633" s="40"/>
    </row>
    <row r="634" spans="2:45" ht="15" hidden="1" customHeight="1" x14ac:dyDescent="0.25">
      <c r="B634" s="30">
        <v>628</v>
      </c>
      <c r="C634" s="31" t="s">
        <v>29</v>
      </c>
      <c r="D634" s="50" t="s">
        <v>172</v>
      </c>
      <c r="E634" s="50" t="s">
        <v>223</v>
      </c>
      <c r="F634" s="50"/>
      <c r="G634" s="31" t="s">
        <v>223</v>
      </c>
      <c r="H634" s="32">
        <v>2366</v>
      </c>
      <c r="I634" s="32">
        <v>95</v>
      </c>
      <c r="J634" s="32">
        <v>33</v>
      </c>
      <c r="K634" s="32">
        <v>252</v>
      </c>
      <c r="L634" s="32">
        <v>1149</v>
      </c>
      <c r="M634" s="32">
        <v>644</v>
      </c>
      <c r="N634" s="32">
        <v>144</v>
      </c>
      <c r="O634" s="32">
        <v>49</v>
      </c>
      <c r="P634" s="32"/>
      <c r="Q634" s="32"/>
      <c r="R634" s="32">
        <v>3211</v>
      </c>
      <c r="S634" s="32">
        <v>157</v>
      </c>
      <c r="T634" s="32">
        <v>29</v>
      </c>
      <c r="U634" s="32">
        <v>77</v>
      </c>
      <c r="V634" s="32">
        <v>337</v>
      </c>
      <c r="W634" s="32">
        <v>2301</v>
      </c>
      <c r="X634" s="32">
        <v>284</v>
      </c>
      <c r="Y634" s="32">
        <v>26</v>
      </c>
      <c r="Z634" s="32"/>
      <c r="AA634" s="32"/>
      <c r="AB634" s="33">
        <v>4.0152156000000003</v>
      </c>
      <c r="AC634" s="33">
        <v>1.3947590999999999</v>
      </c>
      <c r="AD634" s="33">
        <v>10.650887600000001</v>
      </c>
      <c r="AE634" s="33">
        <v>48.5629755</v>
      </c>
      <c r="AF634" s="33">
        <v>27.218934900000001</v>
      </c>
      <c r="AG634" s="33">
        <v>6.0862214999999997</v>
      </c>
      <c r="AH634" s="33">
        <v>2.0710058999999998</v>
      </c>
      <c r="AI634" s="33"/>
      <c r="AJ634" s="33"/>
      <c r="AK634" s="33">
        <v>4.8894425000000004</v>
      </c>
      <c r="AL634" s="33">
        <v>0.90314539999999999</v>
      </c>
      <c r="AM634" s="33">
        <v>2.3980068999999999</v>
      </c>
      <c r="AN634" s="33">
        <v>10.495172800000001</v>
      </c>
      <c r="AO634" s="33">
        <v>71.659919000000002</v>
      </c>
      <c r="AP634" s="33">
        <v>8.8445967000000003</v>
      </c>
      <c r="AQ634" s="33">
        <v>0.80971660000000001</v>
      </c>
      <c r="AR634" s="34"/>
      <c r="AS634" s="34"/>
    </row>
    <row r="635" spans="2:45" ht="15" hidden="1" customHeight="1" x14ac:dyDescent="0.25">
      <c r="B635" s="35">
        <v>629</v>
      </c>
      <c r="C635" s="36" t="s">
        <v>29</v>
      </c>
      <c r="D635" s="36" t="s">
        <v>172</v>
      </c>
      <c r="E635" s="36" t="s">
        <v>223</v>
      </c>
      <c r="F635" s="36"/>
      <c r="G635" s="37" t="s">
        <v>25</v>
      </c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40"/>
      <c r="AS635" s="40"/>
    </row>
    <row r="636" spans="2:45" ht="15" hidden="1" customHeight="1" x14ac:dyDescent="0.25">
      <c r="B636" s="35">
        <v>630</v>
      </c>
      <c r="C636" s="36" t="s">
        <v>29</v>
      </c>
      <c r="D636" s="36" t="s">
        <v>172</v>
      </c>
      <c r="E636" s="36" t="s">
        <v>223</v>
      </c>
      <c r="F636" s="36"/>
      <c r="G636" s="37" t="s">
        <v>26</v>
      </c>
      <c r="H636" s="38">
        <v>2366</v>
      </c>
      <c r="I636" s="38">
        <v>95</v>
      </c>
      <c r="J636" s="38">
        <v>33</v>
      </c>
      <c r="K636" s="38">
        <v>252</v>
      </c>
      <c r="L636" s="38">
        <v>1149</v>
      </c>
      <c r="M636" s="38">
        <v>644</v>
      </c>
      <c r="N636" s="38">
        <v>144</v>
      </c>
      <c r="O636" s="38">
        <v>49</v>
      </c>
      <c r="P636" s="38"/>
      <c r="Q636" s="38"/>
      <c r="R636" s="38">
        <v>3211</v>
      </c>
      <c r="S636" s="38">
        <v>157</v>
      </c>
      <c r="T636" s="38">
        <v>29</v>
      </c>
      <c r="U636" s="38">
        <v>77</v>
      </c>
      <c r="V636" s="38">
        <v>337</v>
      </c>
      <c r="W636" s="38">
        <v>2301</v>
      </c>
      <c r="X636" s="38">
        <v>284</v>
      </c>
      <c r="Y636" s="38">
        <v>26</v>
      </c>
      <c r="Z636" s="38"/>
      <c r="AA636" s="38"/>
      <c r="AB636" s="39">
        <v>4.0152156000000003</v>
      </c>
      <c r="AC636" s="39">
        <v>1.3947590999999999</v>
      </c>
      <c r="AD636" s="39">
        <v>10.650887600000001</v>
      </c>
      <c r="AE636" s="39">
        <v>48.5629755</v>
      </c>
      <c r="AF636" s="39">
        <v>27.218934900000001</v>
      </c>
      <c r="AG636" s="39">
        <v>6.0862214999999997</v>
      </c>
      <c r="AH636" s="39">
        <v>2.0710058999999998</v>
      </c>
      <c r="AI636" s="39"/>
      <c r="AJ636" s="39"/>
      <c r="AK636" s="39">
        <v>4.8894425000000004</v>
      </c>
      <c r="AL636" s="39">
        <v>0.90314539999999999</v>
      </c>
      <c r="AM636" s="39">
        <v>2.3980068999999999</v>
      </c>
      <c r="AN636" s="39">
        <v>10.495172800000001</v>
      </c>
      <c r="AO636" s="39">
        <v>71.659919000000002</v>
      </c>
      <c r="AP636" s="39">
        <v>8.8445967000000003</v>
      </c>
      <c r="AQ636" s="39">
        <v>0.80971660000000001</v>
      </c>
      <c r="AR636" s="40"/>
      <c r="AS636" s="40"/>
    </row>
    <row r="637" spans="2:45" ht="15" customHeight="1" x14ac:dyDescent="0.25">
      <c r="B637" s="41">
        <v>631</v>
      </c>
      <c r="C637" s="42" t="s">
        <v>31</v>
      </c>
      <c r="D637" s="51" t="s">
        <v>172</v>
      </c>
      <c r="E637" s="51" t="s">
        <v>223</v>
      </c>
      <c r="F637" s="51" t="s">
        <v>223</v>
      </c>
      <c r="G637" s="52" t="s">
        <v>223</v>
      </c>
      <c r="H637" s="43">
        <v>2366</v>
      </c>
      <c r="I637" s="43">
        <v>95</v>
      </c>
      <c r="J637" s="43">
        <v>33</v>
      </c>
      <c r="K637" s="43">
        <v>252</v>
      </c>
      <c r="L637" s="43">
        <v>1149</v>
      </c>
      <c r="M637" s="43">
        <v>644</v>
      </c>
      <c r="N637" s="43">
        <v>144</v>
      </c>
      <c r="O637" s="43">
        <v>49</v>
      </c>
      <c r="P637" s="44">
        <f>K637+L637+M637+N637+O637</f>
        <v>2238</v>
      </c>
      <c r="Q637" s="44">
        <f>I637+J637</f>
        <v>128</v>
      </c>
      <c r="R637" s="43">
        <v>3211</v>
      </c>
      <c r="S637" s="43">
        <v>157</v>
      </c>
      <c r="T637" s="43">
        <v>29</v>
      </c>
      <c r="U637" s="43">
        <v>77</v>
      </c>
      <c r="V637" s="43">
        <v>337</v>
      </c>
      <c r="W637" s="43">
        <v>2301</v>
      </c>
      <c r="X637" s="43">
        <v>284</v>
      </c>
      <c r="Y637" s="43">
        <v>26</v>
      </c>
      <c r="Z637" s="45">
        <f>U637+V637+W637+X637+Y637</f>
        <v>3025</v>
      </c>
      <c r="AA637" s="45">
        <f>S637+T637</f>
        <v>186</v>
      </c>
      <c r="AB637" s="46">
        <v>4.0152156000000003</v>
      </c>
      <c r="AC637" s="46">
        <v>1.3947590999999999</v>
      </c>
      <c r="AD637" s="46">
        <v>10.650887600000001</v>
      </c>
      <c r="AE637" s="46">
        <v>48.5629755</v>
      </c>
      <c r="AF637" s="46">
        <v>27.218934900000001</v>
      </c>
      <c r="AG637" s="46">
        <v>6.0862214999999997</v>
      </c>
      <c r="AH637" s="46">
        <v>2.0710058999999998</v>
      </c>
      <c r="AI637" s="47">
        <f>AB637+AC637</f>
        <v>5.4099747000000002</v>
      </c>
      <c r="AJ637" s="47">
        <f>AD637+AE637+AF637+AG637+AH637</f>
        <v>94.590025399999988</v>
      </c>
      <c r="AK637" s="46">
        <v>4.8894425000000004</v>
      </c>
      <c r="AL637" s="46">
        <v>0.90314539999999999</v>
      </c>
      <c r="AM637" s="46">
        <v>2.3980068999999999</v>
      </c>
      <c r="AN637" s="46">
        <v>10.495172800000001</v>
      </c>
      <c r="AO637" s="46">
        <v>71.659919000000002</v>
      </c>
      <c r="AP637" s="46">
        <v>8.8445967000000003</v>
      </c>
      <c r="AQ637" s="46">
        <v>0.80971660000000001</v>
      </c>
      <c r="AR637" s="48">
        <f>AK637+AL637</f>
        <v>5.7925879</v>
      </c>
      <c r="AS637" s="48">
        <f>AM637+AN637+AO637+AP637+AQ637</f>
        <v>94.207412000000005</v>
      </c>
    </row>
    <row r="638" spans="2:45" ht="15" hidden="1" customHeight="1" x14ac:dyDescent="0.25">
      <c r="B638" s="35">
        <v>632</v>
      </c>
      <c r="C638" s="36" t="s">
        <v>31</v>
      </c>
      <c r="D638" s="36" t="s">
        <v>172</v>
      </c>
      <c r="E638" s="36" t="s">
        <v>223</v>
      </c>
      <c r="F638" s="36" t="s">
        <v>223</v>
      </c>
      <c r="G638" s="37" t="s">
        <v>25</v>
      </c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40"/>
      <c r="AS638" s="40"/>
    </row>
    <row r="639" spans="2:45" ht="15" hidden="1" customHeight="1" x14ac:dyDescent="0.25">
      <c r="B639" s="35">
        <v>633</v>
      </c>
      <c r="C639" s="36" t="s">
        <v>31</v>
      </c>
      <c r="D639" s="36" t="s">
        <v>172</v>
      </c>
      <c r="E639" s="36" t="s">
        <v>223</v>
      </c>
      <c r="F639" s="36" t="s">
        <v>223</v>
      </c>
      <c r="G639" s="37" t="s">
        <v>26</v>
      </c>
      <c r="H639" s="38">
        <v>2366</v>
      </c>
      <c r="I639" s="38">
        <v>95</v>
      </c>
      <c r="J639" s="38">
        <v>33</v>
      </c>
      <c r="K639" s="38">
        <v>252</v>
      </c>
      <c r="L639" s="38">
        <v>1149</v>
      </c>
      <c r="M639" s="38">
        <v>644</v>
      </c>
      <c r="N639" s="38">
        <v>144</v>
      </c>
      <c r="O639" s="38">
        <v>49</v>
      </c>
      <c r="P639" s="38"/>
      <c r="Q639" s="38"/>
      <c r="R639" s="38">
        <v>3211</v>
      </c>
      <c r="S639" s="38">
        <v>157</v>
      </c>
      <c r="T639" s="38">
        <v>29</v>
      </c>
      <c r="U639" s="38">
        <v>77</v>
      </c>
      <c r="V639" s="38">
        <v>337</v>
      </c>
      <c r="W639" s="38">
        <v>2301</v>
      </c>
      <c r="X639" s="38">
        <v>284</v>
      </c>
      <c r="Y639" s="38">
        <v>26</v>
      </c>
      <c r="Z639" s="38"/>
      <c r="AA639" s="38"/>
      <c r="AB639" s="39">
        <v>4.0152156000000003</v>
      </c>
      <c r="AC639" s="39">
        <v>1.3947590999999999</v>
      </c>
      <c r="AD639" s="39">
        <v>10.650887600000001</v>
      </c>
      <c r="AE639" s="39">
        <v>48.5629755</v>
      </c>
      <c r="AF639" s="39">
        <v>27.218934900000001</v>
      </c>
      <c r="AG639" s="39">
        <v>6.0862214999999997</v>
      </c>
      <c r="AH639" s="39">
        <v>2.0710058999999998</v>
      </c>
      <c r="AI639" s="39"/>
      <c r="AJ639" s="39"/>
      <c r="AK639" s="39">
        <v>4.8894425000000004</v>
      </c>
      <c r="AL639" s="39">
        <v>0.90314539999999999</v>
      </c>
      <c r="AM639" s="39">
        <v>2.3980068999999999</v>
      </c>
      <c r="AN639" s="39">
        <v>10.495172800000001</v>
      </c>
      <c r="AO639" s="39">
        <v>71.659919000000002</v>
      </c>
      <c r="AP639" s="39">
        <v>8.8445967000000003</v>
      </c>
      <c r="AQ639" s="39">
        <v>0.80971660000000001</v>
      </c>
      <c r="AR639" s="40"/>
      <c r="AS639" s="40"/>
    </row>
    <row r="640" spans="2:45" ht="15" hidden="1" customHeight="1" x14ac:dyDescent="0.25">
      <c r="B640" s="30">
        <v>634</v>
      </c>
      <c r="C640" s="31" t="s">
        <v>29</v>
      </c>
      <c r="D640" s="50" t="s">
        <v>172</v>
      </c>
      <c r="E640" s="50" t="s">
        <v>224</v>
      </c>
      <c r="F640" s="50"/>
      <c r="G640" s="31" t="s">
        <v>224</v>
      </c>
      <c r="H640" s="32">
        <v>14107</v>
      </c>
      <c r="I640" s="32">
        <v>376</v>
      </c>
      <c r="J640" s="32">
        <v>2303</v>
      </c>
      <c r="K640" s="32">
        <v>1578</v>
      </c>
      <c r="L640" s="32">
        <v>1089</v>
      </c>
      <c r="M640" s="32">
        <v>6916</v>
      </c>
      <c r="N640" s="32">
        <v>1262</v>
      </c>
      <c r="O640" s="32">
        <v>583</v>
      </c>
      <c r="P640" s="32"/>
      <c r="Q640" s="32"/>
      <c r="R640" s="32">
        <v>17109</v>
      </c>
      <c r="S640" s="32">
        <v>953</v>
      </c>
      <c r="T640" s="32">
        <v>3470</v>
      </c>
      <c r="U640" s="32">
        <v>350</v>
      </c>
      <c r="V640" s="32">
        <v>255</v>
      </c>
      <c r="W640" s="32">
        <v>11167</v>
      </c>
      <c r="X640" s="32">
        <v>713</v>
      </c>
      <c r="Y640" s="32">
        <v>201</v>
      </c>
      <c r="Z640" s="32"/>
      <c r="AA640" s="32"/>
      <c r="AB640" s="33">
        <v>2.6653433999999998</v>
      </c>
      <c r="AC640" s="33">
        <v>16.325228599999999</v>
      </c>
      <c r="AD640" s="33">
        <v>11.185936099999999</v>
      </c>
      <c r="AE640" s="33">
        <v>7.7195717999999998</v>
      </c>
      <c r="AF640" s="33">
        <v>49.0253066</v>
      </c>
      <c r="AG640" s="33">
        <v>8.9459134000000002</v>
      </c>
      <c r="AH640" s="33">
        <v>4.1327001000000001</v>
      </c>
      <c r="AI640" s="33"/>
      <c r="AJ640" s="33"/>
      <c r="AK640" s="33">
        <v>5.5701676999999998</v>
      </c>
      <c r="AL640" s="33">
        <v>20.281723100000001</v>
      </c>
      <c r="AM640" s="33">
        <v>2.0457068999999999</v>
      </c>
      <c r="AN640" s="33">
        <v>1.4904436000000001</v>
      </c>
      <c r="AO640" s="33">
        <v>65.269741100000005</v>
      </c>
      <c r="AP640" s="33">
        <v>4.1673973000000002</v>
      </c>
      <c r="AQ640" s="33">
        <v>1.1748202999999999</v>
      </c>
      <c r="AR640" s="34"/>
      <c r="AS640" s="34"/>
    </row>
    <row r="641" spans="2:45" ht="15" hidden="1" customHeight="1" x14ac:dyDescent="0.25">
      <c r="B641" s="35">
        <v>635</v>
      </c>
      <c r="C641" s="36" t="s">
        <v>29</v>
      </c>
      <c r="D641" s="36" t="s">
        <v>172</v>
      </c>
      <c r="E641" s="36" t="s">
        <v>224</v>
      </c>
      <c r="F641" s="36"/>
      <c r="G641" s="37" t="s">
        <v>25</v>
      </c>
      <c r="H641" s="38">
        <v>2341</v>
      </c>
      <c r="I641" s="38">
        <v>325</v>
      </c>
      <c r="J641" s="38">
        <v>1766</v>
      </c>
      <c r="K641" s="38">
        <v>21</v>
      </c>
      <c r="L641" s="38">
        <v>58</v>
      </c>
      <c r="M641" s="38">
        <v>140</v>
      </c>
      <c r="N641" s="38">
        <v>24</v>
      </c>
      <c r="O641" s="38">
        <v>7</v>
      </c>
      <c r="P641" s="38"/>
      <c r="Q641" s="38"/>
      <c r="R641" s="38">
        <v>3707</v>
      </c>
      <c r="S641" s="38">
        <v>550</v>
      </c>
      <c r="T641" s="38">
        <v>2492</v>
      </c>
      <c r="U641" s="38">
        <v>25</v>
      </c>
      <c r="V641" s="38">
        <v>13</v>
      </c>
      <c r="W641" s="38">
        <v>584</v>
      </c>
      <c r="X641" s="38">
        <v>20</v>
      </c>
      <c r="Y641" s="38">
        <v>23</v>
      </c>
      <c r="Z641" s="38"/>
      <c r="AA641" s="38"/>
      <c r="AB641" s="39">
        <v>13.882956</v>
      </c>
      <c r="AC641" s="39">
        <v>75.437847099999999</v>
      </c>
      <c r="AD641" s="39">
        <v>0.89705250000000003</v>
      </c>
      <c r="AE641" s="39">
        <v>2.4775737000000002</v>
      </c>
      <c r="AF641" s="39">
        <v>5.9803502999999996</v>
      </c>
      <c r="AG641" s="39">
        <v>1.0252029</v>
      </c>
      <c r="AH641" s="39">
        <v>0.29901749999999999</v>
      </c>
      <c r="AI641" s="39"/>
      <c r="AJ641" s="39"/>
      <c r="AK641" s="39">
        <v>14.8367953</v>
      </c>
      <c r="AL641" s="39">
        <v>67.2241705</v>
      </c>
      <c r="AM641" s="39">
        <v>0.67439979999999999</v>
      </c>
      <c r="AN641" s="39">
        <v>0.3506879</v>
      </c>
      <c r="AO641" s="39">
        <v>15.753978999999999</v>
      </c>
      <c r="AP641" s="39">
        <v>0.53951979999999999</v>
      </c>
      <c r="AQ641" s="39">
        <v>0.62044779999999999</v>
      </c>
      <c r="AR641" s="40"/>
      <c r="AS641" s="40"/>
    </row>
    <row r="642" spans="2:45" ht="15" hidden="1" customHeight="1" x14ac:dyDescent="0.25">
      <c r="B642" s="35">
        <v>636</v>
      </c>
      <c r="C642" s="36" t="s">
        <v>29</v>
      </c>
      <c r="D642" s="36" t="s">
        <v>172</v>
      </c>
      <c r="E642" s="36" t="s">
        <v>224</v>
      </c>
      <c r="F642" s="36"/>
      <c r="G642" s="37" t="s">
        <v>26</v>
      </c>
      <c r="H642" s="38">
        <v>11766</v>
      </c>
      <c r="I642" s="38">
        <v>51</v>
      </c>
      <c r="J642" s="38">
        <v>537</v>
      </c>
      <c r="K642" s="38">
        <v>1557</v>
      </c>
      <c r="L642" s="38">
        <v>1031</v>
      </c>
      <c r="M642" s="38">
        <v>6776</v>
      </c>
      <c r="N642" s="38">
        <v>1238</v>
      </c>
      <c r="O642" s="38">
        <v>576</v>
      </c>
      <c r="P642" s="38"/>
      <c r="Q642" s="38"/>
      <c r="R642" s="38">
        <v>13402</v>
      </c>
      <c r="S642" s="38">
        <v>403</v>
      </c>
      <c r="T642" s="38">
        <v>978</v>
      </c>
      <c r="U642" s="38">
        <v>325</v>
      </c>
      <c r="V642" s="38">
        <v>242</v>
      </c>
      <c r="W642" s="38">
        <v>10583</v>
      </c>
      <c r="X642" s="38">
        <v>693</v>
      </c>
      <c r="Y642" s="38">
        <v>178</v>
      </c>
      <c r="Z642" s="38"/>
      <c r="AA642" s="38"/>
      <c r="AB642" s="39">
        <v>0.43345230000000001</v>
      </c>
      <c r="AC642" s="39">
        <v>4.5639979999999998</v>
      </c>
      <c r="AD642" s="39">
        <v>13.233044400000001</v>
      </c>
      <c r="AE642" s="39">
        <v>8.7625361000000002</v>
      </c>
      <c r="AF642" s="39">
        <v>57.589665099999998</v>
      </c>
      <c r="AG642" s="39">
        <v>10.521842599999999</v>
      </c>
      <c r="AH642" s="39">
        <v>4.8954614999999997</v>
      </c>
      <c r="AI642" s="39"/>
      <c r="AJ642" s="39"/>
      <c r="AK642" s="39">
        <v>3.0070139</v>
      </c>
      <c r="AL642" s="39">
        <v>7.2974183000000004</v>
      </c>
      <c r="AM642" s="39">
        <v>2.4250112000000001</v>
      </c>
      <c r="AN642" s="39">
        <v>1.8057006</v>
      </c>
      <c r="AO642" s="39">
        <v>78.965826000000007</v>
      </c>
      <c r="AP642" s="39">
        <v>5.1708699999999999</v>
      </c>
      <c r="AQ642" s="39">
        <v>1.32816</v>
      </c>
      <c r="AR642" s="40"/>
      <c r="AS642" s="40"/>
    </row>
    <row r="643" spans="2:45" ht="15" customHeight="1" x14ac:dyDescent="0.25">
      <c r="B643" s="41">
        <v>637</v>
      </c>
      <c r="C643" s="42" t="s">
        <v>31</v>
      </c>
      <c r="D643" s="51" t="s">
        <v>172</v>
      </c>
      <c r="E643" s="51" t="s">
        <v>224</v>
      </c>
      <c r="F643" s="51" t="s">
        <v>224</v>
      </c>
      <c r="G643" s="52" t="s">
        <v>224</v>
      </c>
      <c r="H643" s="43">
        <v>6496</v>
      </c>
      <c r="I643" s="43">
        <v>48</v>
      </c>
      <c r="J643" s="43">
        <v>533</v>
      </c>
      <c r="K643" s="43">
        <v>873</v>
      </c>
      <c r="L643" s="43">
        <v>857</v>
      </c>
      <c r="M643" s="43">
        <v>3792</v>
      </c>
      <c r="N643" s="43">
        <v>342</v>
      </c>
      <c r="O643" s="43">
        <v>51</v>
      </c>
      <c r="P643" s="44">
        <f>K643+L643+M643+N643+O643</f>
        <v>5915</v>
      </c>
      <c r="Q643" s="44">
        <f>I643+J643</f>
        <v>581</v>
      </c>
      <c r="R643" s="43">
        <v>6678</v>
      </c>
      <c r="S643" s="43">
        <v>218</v>
      </c>
      <c r="T643" s="43">
        <v>791</v>
      </c>
      <c r="U643" s="43">
        <v>185</v>
      </c>
      <c r="V643" s="43">
        <v>207</v>
      </c>
      <c r="W643" s="43">
        <v>5001</v>
      </c>
      <c r="X643" s="43">
        <v>194</v>
      </c>
      <c r="Y643" s="43">
        <v>82</v>
      </c>
      <c r="Z643" s="45">
        <f>U643+V643+W643+X643+Y643</f>
        <v>5669</v>
      </c>
      <c r="AA643" s="45">
        <f>S643+T643</f>
        <v>1009</v>
      </c>
      <c r="AB643" s="46">
        <v>0.73891629999999997</v>
      </c>
      <c r="AC643" s="46">
        <v>8.2050493000000007</v>
      </c>
      <c r="AD643" s="46">
        <v>13.4390394</v>
      </c>
      <c r="AE643" s="46">
        <v>13.192734</v>
      </c>
      <c r="AF643" s="46">
        <v>58.374384200000001</v>
      </c>
      <c r="AG643" s="46">
        <v>5.2647782999999997</v>
      </c>
      <c r="AH643" s="46">
        <v>0.78509850000000003</v>
      </c>
      <c r="AI643" s="47">
        <f>AB643+AC643</f>
        <v>8.9439656000000003</v>
      </c>
      <c r="AJ643" s="47">
        <f>AD643+AE643+AF643+AG643+AH643</f>
        <v>91.056034400000001</v>
      </c>
      <c r="AK643" s="46">
        <v>3.2644503999999999</v>
      </c>
      <c r="AL643" s="46">
        <v>11.844863699999999</v>
      </c>
      <c r="AM643" s="46">
        <v>2.7702905000000002</v>
      </c>
      <c r="AN643" s="46">
        <v>3.0997305000000002</v>
      </c>
      <c r="AO643" s="46">
        <v>74.887690899999996</v>
      </c>
      <c r="AP643" s="46">
        <v>2.9050614000000001</v>
      </c>
      <c r="AQ643" s="46">
        <v>1.2279125</v>
      </c>
      <c r="AR643" s="48">
        <f>AK643+AL643</f>
        <v>15.109314099999999</v>
      </c>
      <c r="AS643" s="48">
        <f>AM643+AN643+AO643+AP643+AQ643</f>
        <v>84.890685799999986</v>
      </c>
    </row>
    <row r="644" spans="2:45" ht="15" hidden="1" customHeight="1" x14ac:dyDescent="0.25">
      <c r="B644" s="35">
        <v>638</v>
      </c>
      <c r="C644" s="36" t="s">
        <v>31</v>
      </c>
      <c r="D644" s="36" t="s">
        <v>172</v>
      </c>
      <c r="E644" s="36" t="s">
        <v>224</v>
      </c>
      <c r="F644" s="36" t="s">
        <v>224</v>
      </c>
      <c r="G644" s="37" t="s">
        <v>25</v>
      </c>
      <c r="H644" s="38">
        <v>690</v>
      </c>
      <c r="I644" s="38">
        <v>41</v>
      </c>
      <c r="J644" s="38">
        <v>525</v>
      </c>
      <c r="K644" s="38">
        <v>16</v>
      </c>
      <c r="L644" s="38">
        <v>46</v>
      </c>
      <c r="M644" s="38">
        <v>49</v>
      </c>
      <c r="N644" s="38">
        <v>10</v>
      </c>
      <c r="O644" s="38">
        <v>3</v>
      </c>
      <c r="P644" s="38"/>
      <c r="Q644" s="38"/>
      <c r="R644" s="38">
        <v>804</v>
      </c>
      <c r="S644" s="38">
        <v>143</v>
      </c>
      <c r="T644" s="38">
        <v>603</v>
      </c>
      <c r="U644" s="38">
        <v>7</v>
      </c>
      <c r="V644" s="38">
        <v>6</v>
      </c>
      <c r="W644" s="38">
        <v>39</v>
      </c>
      <c r="X644" s="38">
        <v>3</v>
      </c>
      <c r="Y644" s="38">
        <v>3</v>
      </c>
      <c r="Z644" s="38"/>
      <c r="AA644" s="38"/>
      <c r="AB644" s="39">
        <v>5.9420289999999998</v>
      </c>
      <c r="AC644" s="39">
        <v>76.086956499999999</v>
      </c>
      <c r="AD644" s="39">
        <v>2.3188406000000001</v>
      </c>
      <c r="AE644" s="39">
        <v>6.6666667000000004</v>
      </c>
      <c r="AF644" s="39">
        <v>7.1014492999999996</v>
      </c>
      <c r="AG644" s="39">
        <v>1.4492754000000001</v>
      </c>
      <c r="AH644" s="39">
        <v>0.43478260000000002</v>
      </c>
      <c r="AI644" s="39"/>
      <c r="AJ644" s="39"/>
      <c r="AK644" s="39">
        <v>17.786069699999999</v>
      </c>
      <c r="AL644" s="39">
        <v>75</v>
      </c>
      <c r="AM644" s="39">
        <v>0.87064680000000005</v>
      </c>
      <c r="AN644" s="39">
        <v>0.74626870000000001</v>
      </c>
      <c r="AO644" s="39">
        <v>4.8507463</v>
      </c>
      <c r="AP644" s="39">
        <v>0.37313429999999997</v>
      </c>
      <c r="AQ644" s="39">
        <v>0.37313429999999997</v>
      </c>
      <c r="AR644" s="40"/>
      <c r="AS644" s="40"/>
    </row>
    <row r="645" spans="2:45" ht="15" hidden="1" customHeight="1" x14ac:dyDescent="0.25">
      <c r="B645" s="35">
        <v>639</v>
      </c>
      <c r="C645" s="36" t="s">
        <v>31</v>
      </c>
      <c r="D645" s="36" t="s">
        <v>172</v>
      </c>
      <c r="E645" s="36" t="s">
        <v>224</v>
      </c>
      <c r="F645" s="36" t="s">
        <v>224</v>
      </c>
      <c r="G645" s="37" t="s">
        <v>26</v>
      </c>
      <c r="H645" s="38">
        <v>5806</v>
      </c>
      <c r="I645" s="38">
        <v>7</v>
      </c>
      <c r="J645" s="38">
        <v>8</v>
      </c>
      <c r="K645" s="38">
        <v>857</v>
      </c>
      <c r="L645" s="38">
        <v>811</v>
      </c>
      <c r="M645" s="38">
        <v>3743</v>
      </c>
      <c r="N645" s="38">
        <v>332</v>
      </c>
      <c r="O645" s="38">
        <v>48</v>
      </c>
      <c r="P645" s="38"/>
      <c r="Q645" s="38"/>
      <c r="R645" s="38">
        <v>5874</v>
      </c>
      <c r="S645" s="38">
        <v>75</v>
      </c>
      <c r="T645" s="38">
        <v>188</v>
      </c>
      <c r="U645" s="38">
        <v>178</v>
      </c>
      <c r="V645" s="38">
        <v>201</v>
      </c>
      <c r="W645" s="38">
        <v>4962</v>
      </c>
      <c r="X645" s="38">
        <v>191</v>
      </c>
      <c r="Y645" s="38">
        <v>79</v>
      </c>
      <c r="Z645" s="38"/>
      <c r="AA645" s="38"/>
      <c r="AB645" s="39">
        <v>0.1205649</v>
      </c>
      <c r="AC645" s="39">
        <v>0.13778850000000001</v>
      </c>
      <c r="AD645" s="39">
        <v>14.7605925</v>
      </c>
      <c r="AE645" s="39">
        <v>13.9683086</v>
      </c>
      <c r="AF645" s="39">
        <v>64.467791899999995</v>
      </c>
      <c r="AG645" s="39">
        <v>5.7182225000000004</v>
      </c>
      <c r="AH645" s="39">
        <v>0.82673099999999999</v>
      </c>
      <c r="AI645" s="39"/>
      <c r="AJ645" s="39"/>
      <c r="AK645" s="39">
        <v>1.2768131</v>
      </c>
      <c r="AL645" s="39">
        <v>3.2005447999999999</v>
      </c>
      <c r="AM645" s="39">
        <v>3.030303</v>
      </c>
      <c r="AN645" s="39">
        <v>3.421859</v>
      </c>
      <c r="AO645" s="39">
        <v>84.473952999999995</v>
      </c>
      <c r="AP645" s="39">
        <v>3.2516172999999999</v>
      </c>
      <c r="AQ645" s="39">
        <v>1.3449097999999999</v>
      </c>
      <c r="AR645" s="40"/>
      <c r="AS645" s="40"/>
    </row>
    <row r="646" spans="2:45" ht="15" customHeight="1" x14ac:dyDescent="0.25">
      <c r="B646" s="41">
        <v>640</v>
      </c>
      <c r="C646" s="42" t="s">
        <v>31</v>
      </c>
      <c r="D646" s="51" t="s">
        <v>172</v>
      </c>
      <c r="E646" s="51" t="s">
        <v>224</v>
      </c>
      <c r="F646" s="51" t="s">
        <v>225</v>
      </c>
      <c r="G646" s="52" t="s">
        <v>225</v>
      </c>
      <c r="H646" s="43">
        <v>7611</v>
      </c>
      <c r="I646" s="43">
        <v>328</v>
      </c>
      <c r="J646" s="43">
        <v>1770</v>
      </c>
      <c r="K646" s="43">
        <v>705</v>
      </c>
      <c r="L646" s="43">
        <v>232</v>
      </c>
      <c r="M646" s="43">
        <v>3124</v>
      </c>
      <c r="N646" s="43">
        <v>920</v>
      </c>
      <c r="O646" s="43">
        <v>532</v>
      </c>
      <c r="P646" s="44">
        <f>K646+L646+M646+N646+O646</f>
        <v>5513</v>
      </c>
      <c r="Q646" s="44">
        <f>I646+J646</f>
        <v>2098</v>
      </c>
      <c r="R646" s="43">
        <v>10431</v>
      </c>
      <c r="S646" s="43">
        <v>735</v>
      </c>
      <c r="T646" s="43">
        <v>2679</v>
      </c>
      <c r="U646" s="43">
        <v>165</v>
      </c>
      <c r="V646" s="43">
        <v>48</v>
      </c>
      <c r="W646" s="43">
        <v>6166</v>
      </c>
      <c r="X646" s="43">
        <v>519</v>
      </c>
      <c r="Y646" s="43">
        <v>119</v>
      </c>
      <c r="Z646" s="45">
        <f>U646+V646+W646+X646+Y646</f>
        <v>7017</v>
      </c>
      <c r="AA646" s="45">
        <f>S646+T646</f>
        <v>3414</v>
      </c>
      <c r="AB646" s="46">
        <v>4.309552</v>
      </c>
      <c r="AC646" s="46">
        <v>23.255814000000001</v>
      </c>
      <c r="AD646" s="46">
        <v>9.2629088999999993</v>
      </c>
      <c r="AE646" s="46">
        <v>3.0482197000000002</v>
      </c>
      <c r="AF646" s="46">
        <v>41.0458547</v>
      </c>
      <c r="AG646" s="46">
        <v>12.087767700000001</v>
      </c>
      <c r="AH646" s="46">
        <v>6.9898831000000001</v>
      </c>
      <c r="AI646" s="47">
        <f>AB646+AC646</f>
        <v>27.565366000000001</v>
      </c>
      <c r="AJ646" s="47">
        <f>AD646+AE646+AF646+AG646+AH646</f>
        <v>72.434634099999997</v>
      </c>
      <c r="AK646" s="46">
        <v>7.0463043000000001</v>
      </c>
      <c r="AL646" s="46">
        <v>25.683060099999999</v>
      </c>
      <c r="AM646" s="46">
        <v>1.5818234</v>
      </c>
      <c r="AN646" s="46">
        <v>0.46016679999999999</v>
      </c>
      <c r="AO646" s="46">
        <v>59.112261500000002</v>
      </c>
      <c r="AP646" s="46">
        <v>4.9755535999999996</v>
      </c>
      <c r="AQ646" s="46">
        <v>1.1408301999999999</v>
      </c>
      <c r="AR646" s="48">
        <f>AK646+AL646</f>
        <v>32.729364400000001</v>
      </c>
      <c r="AS646" s="48">
        <f>AM646+AN646+AO646+AP646+AQ646</f>
        <v>67.270635499999997</v>
      </c>
    </row>
    <row r="647" spans="2:45" ht="15" hidden="1" customHeight="1" x14ac:dyDescent="0.25">
      <c r="B647" s="35">
        <v>641</v>
      </c>
      <c r="C647" s="36" t="s">
        <v>31</v>
      </c>
      <c r="D647" s="36" t="s">
        <v>172</v>
      </c>
      <c r="E647" s="36" t="s">
        <v>224</v>
      </c>
      <c r="F647" s="36" t="s">
        <v>225</v>
      </c>
      <c r="G647" s="37" t="s">
        <v>25</v>
      </c>
      <c r="H647" s="38">
        <v>1651</v>
      </c>
      <c r="I647" s="38">
        <v>284</v>
      </c>
      <c r="J647" s="38">
        <v>1241</v>
      </c>
      <c r="K647" s="38">
        <v>5</v>
      </c>
      <c r="L647" s="38">
        <v>12</v>
      </c>
      <c r="M647" s="38">
        <v>91</v>
      </c>
      <c r="N647" s="38">
        <v>14</v>
      </c>
      <c r="O647" s="38">
        <v>4</v>
      </c>
      <c r="P647" s="38"/>
      <c r="Q647" s="38"/>
      <c r="R647" s="38">
        <v>2903</v>
      </c>
      <c r="S647" s="38">
        <v>407</v>
      </c>
      <c r="T647" s="38">
        <v>1889</v>
      </c>
      <c r="U647" s="38">
        <v>18</v>
      </c>
      <c r="V647" s="38">
        <v>7</v>
      </c>
      <c r="W647" s="38">
        <v>545</v>
      </c>
      <c r="X647" s="38">
        <v>17</v>
      </c>
      <c r="Y647" s="38">
        <v>20</v>
      </c>
      <c r="Z647" s="38"/>
      <c r="AA647" s="38"/>
      <c r="AB647" s="39">
        <v>17.201695900000001</v>
      </c>
      <c r="AC647" s="39">
        <v>75.166565700000007</v>
      </c>
      <c r="AD647" s="39">
        <v>0.30284680000000003</v>
      </c>
      <c r="AE647" s="39">
        <v>0.72683220000000004</v>
      </c>
      <c r="AF647" s="39">
        <v>5.5118109999999998</v>
      </c>
      <c r="AG647" s="39">
        <v>0.84797089999999997</v>
      </c>
      <c r="AH647" s="39">
        <v>0.2422774</v>
      </c>
      <c r="AI647" s="39"/>
      <c r="AJ647" s="39"/>
      <c r="AK647" s="39">
        <v>14.019979299999999</v>
      </c>
      <c r="AL647" s="39">
        <v>65.070616599999994</v>
      </c>
      <c r="AM647" s="39">
        <v>0.62004820000000005</v>
      </c>
      <c r="AN647" s="39">
        <v>0.24112990000000001</v>
      </c>
      <c r="AO647" s="39">
        <v>18.773682399999998</v>
      </c>
      <c r="AP647" s="39">
        <v>0.58560109999999999</v>
      </c>
      <c r="AQ647" s="39">
        <v>0.68894250000000001</v>
      </c>
      <c r="AR647" s="40"/>
      <c r="AS647" s="40"/>
    </row>
    <row r="648" spans="2:45" ht="15" hidden="1" customHeight="1" x14ac:dyDescent="0.25">
      <c r="B648" s="35">
        <v>642</v>
      </c>
      <c r="C648" s="36" t="s">
        <v>31</v>
      </c>
      <c r="D648" s="36" t="s">
        <v>172</v>
      </c>
      <c r="E648" s="36" t="s">
        <v>224</v>
      </c>
      <c r="F648" s="36" t="s">
        <v>225</v>
      </c>
      <c r="G648" s="37" t="s">
        <v>26</v>
      </c>
      <c r="H648" s="38">
        <v>5960</v>
      </c>
      <c r="I648" s="38">
        <v>44</v>
      </c>
      <c r="J648" s="38">
        <v>529</v>
      </c>
      <c r="K648" s="38">
        <v>700</v>
      </c>
      <c r="L648" s="38">
        <v>220</v>
      </c>
      <c r="M648" s="38">
        <v>3033</v>
      </c>
      <c r="N648" s="38">
        <v>906</v>
      </c>
      <c r="O648" s="38">
        <v>528</v>
      </c>
      <c r="P648" s="38"/>
      <c r="Q648" s="38"/>
      <c r="R648" s="38">
        <v>7528</v>
      </c>
      <c r="S648" s="38">
        <v>328</v>
      </c>
      <c r="T648" s="38">
        <v>790</v>
      </c>
      <c r="U648" s="38">
        <v>147</v>
      </c>
      <c r="V648" s="38">
        <v>41</v>
      </c>
      <c r="W648" s="38">
        <v>5621</v>
      </c>
      <c r="X648" s="38">
        <v>502</v>
      </c>
      <c r="Y648" s="38">
        <v>99</v>
      </c>
      <c r="Z648" s="38"/>
      <c r="AA648" s="38"/>
      <c r="AB648" s="39">
        <v>0.73825499999999999</v>
      </c>
      <c r="AC648" s="39">
        <v>8.8758388999999998</v>
      </c>
      <c r="AD648" s="39">
        <v>11.744966399999999</v>
      </c>
      <c r="AE648" s="39">
        <v>3.6912752000000002</v>
      </c>
      <c r="AF648" s="39">
        <v>50.889261699999999</v>
      </c>
      <c r="AG648" s="39">
        <v>15.2013423</v>
      </c>
      <c r="AH648" s="39">
        <v>8.8590604000000006</v>
      </c>
      <c r="AI648" s="39"/>
      <c r="AJ648" s="39"/>
      <c r="AK648" s="39">
        <v>4.3570669999999998</v>
      </c>
      <c r="AL648" s="39">
        <v>10.4941552</v>
      </c>
      <c r="AM648" s="39">
        <v>1.9527099000000001</v>
      </c>
      <c r="AN648" s="39">
        <v>0.54463340000000005</v>
      </c>
      <c r="AO648" s="39">
        <v>74.667906500000001</v>
      </c>
      <c r="AP648" s="39">
        <v>6.6684378000000004</v>
      </c>
      <c r="AQ648" s="39">
        <v>1.3150903</v>
      </c>
      <c r="AR648" s="40"/>
      <c r="AS648" s="40"/>
    </row>
    <row r="649" spans="2:45" ht="15" hidden="1" customHeight="1" x14ac:dyDescent="0.25">
      <c r="B649" s="20">
        <v>643</v>
      </c>
      <c r="C649" s="21" t="s">
        <v>27</v>
      </c>
      <c r="D649" s="21" t="s">
        <v>226</v>
      </c>
      <c r="E649" s="21"/>
      <c r="F649" s="21"/>
      <c r="G649" s="21" t="s">
        <v>226</v>
      </c>
      <c r="H649" s="22">
        <v>152061</v>
      </c>
      <c r="I649" s="22">
        <v>15208</v>
      </c>
      <c r="J649" s="22">
        <v>66001</v>
      </c>
      <c r="K649" s="22">
        <v>11029</v>
      </c>
      <c r="L649" s="22">
        <v>16133</v>
      </c>
      <c r="M649" s="22">
        <v>31116</v>
      </c>
      <c r="N649" s="22">
        <v>8920</v>
      </c>
      <c r="O649" s="22">
        <v>3654</v>
      </c>
      <c r="P649" s="22">
        <f>K649+L649+M649+N649+O649</f>
        <v>70852</v>
      </c>
      <c r="Q649" s="22">
        <f>I649+J649</f>
        <v>81209</v>
      </c>
      <c r="R649" s="22">
        <v>190973</v>
      </c>
      <c r="S649" s="22">
        <v>22135</v>
      </c>
      <c r="T649" s="22">
        <v>92096</v>
      </c>
      <c r="U649" s="22">
        <v>4729</v>
      </c>
      <c r="V649" s="22">
        <v>4104</v>
      </c>
      <c r="W649" s="22">
        <v>54364</v>
      </c>
      <c r="X649" s="22">
        <v>11772</v>
      </c>
      <c r="Y649" s="22">
        <v>1773</v>
      </c>
      <c r="Z649" s="22">
        <f>U649+V649+W649+X649+Y649</f>
        <v>76742</v>
      </c>
      <c r="AA649" s="22">
        <f>S649+T649</f>
        <v>114231</v>
      </c>
      <c r="AB649" s="23">
        <v>10.0012495</v>
      </c>
      <c r="AC649" s="23">
        <v>43.404291700000002</v>
      </c>
      <c r="AD649" s="23">
        <v>7.2530102999999997</v>
      </c>
      <c r="AE649" s="23">
        <v>10.609558</v>
      </c>
      <c r="AF649" s="23">
        <v>20.4628406</v>
      </c>
      <c r="AG649" s="23">
        <v>5.8660668999999999</v>
      </c>
      <c r="AH649" s="23">
        <v>2.4029829999999999</v>
      </c>
      <c r="AI649" s="23">
        <f>AB649+AC649</f>
        <v>53.405541200000002</v>
      </c>
      <c r="AJ649" s="23"/>
      <c r="AK649" s="23">
        <v>11.590643699999999</v>
      </c>
      <c r="AL649" s="23">
        <v>48.224618100000001</v>
      </c>
      <c r="AM649" s="23">
        <v>2.4762662999999998</v>
      </c>
      <c r="AN649" s="23">
        <v>2.1489948999999999</v>
      </c>
      <c r="AO649" s="23">
        <v>28.466851299999998</v>
      </c>
      <c r="AP649" s="23">
        <v>6.1642222000000002</v>
      </c>
      <c r="AQ649" s="23">
        <v>0.92840350000000005</v>
      </c>
      <c r="AR649" s="24">
        <f>AK649+AL649</f>
        <v>59.815261800000002</v>
      </c>
      <c r="AS649" s="24"/>
    </row>
    <row r="650" spans="2:45" ht="15" hidden="1" customHeight="1" x14ac:dyDescent="0.25">
      <c r="B650" s="25">
        <v>644</v>
      </c>
      <c r="C650" s="26" t="s">
        <v>27</v>
      </c>
      <c r="D650" s="49" t="s">
        <v>226</v>
      </c>
      <c r="E650" s="49"/>
      <c r="F650" s="49"/>
      <c r="G650" s="26" t="s">
        <v>25</v>
      </c>
      <c r="H650" s="27">
        <v>91617</v>
      </c>
      <c r="I650" s="27">
        <v>13660</v>
      </c>
      <c r="J650" s="27">
        <v>64306</v>
      </c>
      <c r="K650" s="27">
        <v>4772</v>
      </c>
      <c r="L650" s="27">
        <v>3445</v>
      </c>
      <c r="M650" s="27">
        <v>3888</v>
      </c>
      <c r="N650" s="27">
        <v>923</v>
      </c>
      <c r="O650" s="27">
        <v>623</v>
      </c>
      <c r="P650" s="27"/>
      <c r="Q650" s="27"/>
      <c r="R650" s="27">
        <v>114820</v>
      </c>
      <c r="S650" s="27">
        <v>18373</v>
      </c>
      <c r="T650" s="27">
        <v>86788</v>
      </c>
      <c r="U650" s="27">
        <v>1691</v>
      </c>
      <c r="V650" s="27">
        <v>474</v>
      </c>
      <c r="W650" s="27">
        <v>6386</v>
      </c>
      <c r="X650" s="27">
        <v>567</v>
      </c>
      <c r="Y650" s="27">
        <v>541</v>
      </c>
      <c r="Z650" s="27"/>
      <c r="AA650" s="27"/>
      <c r="AB650" s="28">
        <v>14.9098966</v>
      </c>
      <c r="AC650" s="28">
        <v>70.190030199999995</v>
      </c>
      <c r="AD650" s="28">
        <v>5.2086402999999999</v>
      </c>
      <c r="AE650" s="28">
        <v>3.7602191999999999</v>
      </c>
      <c r="AF650" s="28">
        <v>4.2437538999999997</v>
      </c>
      <c r="AG650" s="28">
        <v>1.0074548999999999</v>
      </c>
      <c r="AH650" s="28">
        <v>0.68000479999999996</v>
      </c>
      <c r="AI650" s="28"/>
      <c r="AJ650" s="28"/>
      <c r="AK650" s="28">
        <v>16.001567699999999</v>
      </c>
      <c r="AL650" s="28">
        <v>75.586134799999996</v>
      </c>
      <c r="AM650" s="28">
        <v>1.4727399000000001</v>
      </c>
      <c r="AN650" s="28">
        <v>0.41282010000000002</v>
      </c>
      <c r="AO650" s="28">
        <v>5.5617488000000002</v>
      </c>
      <c r="AP650" s="28">
        <v>0.49381639999999999</v>
      </c>
      <c r="AQ650" s="28">
        <v>0.47117229999999999</v>
      </c>
      <c r="AR650" s="29"/>
      <c r="AS650" s="29"/>
    </row>
    <row r="651" spans="2:45" ht="15" hidden="1" customHeight="1" x14ac:dyDescent="0.25">
      <c r="B651" s="25">
        <v>645</v>
      </c>
      <c r="C651" s="26" t="s">
        <v>27</v>
      </c>
      <c r="D651" s="49" t="s">
        <v>226</v>
      </c>
      <c r="E651" s="49"/>
      <c r="F651" s="49"/>
      <c r="G651" s="26" t="s">
        <v>26</v>
      </c>
      <c r="H651" s="27">
        <v>60444</v>
      </c>
      <c r="I651" s="27">
        <v>1548</v>
      </c>
      <c r="J651" s="27">
        <v>1695</v>
      </c>
      <c r="K651" s="27">
        <v>6257</v>
      </c>
      <c r="L651" s="27">
        <v>12688</v>
      </c>
      <c r="M651" s="27">
        <v>27228</v>
      </c>
      <c r="N651" s="27">
        <v>7997</v>
      </c>
      <c r="O651" s="27">
        <v>3031</v>
      </c>
      <c r="P651" s="27"/>
      <c r="Q651" s="27"/>
      <c r="R651" s="27">
        <v>76153</v>
      </c>
      <c r="S651" s="27">
        <v>3762</v>
      </c>
      <c r="T651" s="27">
        <v>5308</v>
      </c>
      <c r="U651" s="27">
        <v>3038</v>
      </c>
      <c r="V651" s="27">
        <v>3630</v>
      </c>
      <c r="W651" s="27">
        <v>47978</v>
      </c>
      <c r="X651" s="27">
        <v>11205</v>
      </c>
      <c r="Y651" s="27">
        <v>1232</v>
      </c>
      <c r="Z651" s="27"/>
      <c r="AA651" s="27"/>
      <c r="AB651" s="28">
        <v>2.5610482000000001</v>
      </c>
      <c r="AC651" s="28">
        <v>2.8042486000000002</v>
      </c>
      <c r="AD651" s="28">
        <v>10.3517305</v>
      </c>
      <c r="AE651" s="28">
        <v>20.9913308</v>
      </c>
      <c r="AF651" s="28">
        <v>45.046654799999999</v>
      </c>
      <c r="AG651" s="28">
        <v>13.2304282</v>
      </c>
      <c r="AH651" s="28">
        <v>5.0145588999999999</v>
      </c>
      <c r="AI651" s="28"/>
      <c r="AJ651" s="28"/>
      <c r="AK651" s="28">
        <v>4.9400548999999998</v>
      </c>
      <c r="AL651" s="28">
        <v>6.9701785000000003</v>
      </c>
      <c r="AM651" s="28">
        <v>3.9893372999999999</v>
      </c>
      <c r="AN651" s="28">
        <v>4.7667196000000001</v>
      </c>
      <c r="AO651" s="28">
        <v>63.002114200000001</v>
      </c>
      <c r="AP651" s="28">
        <v>14.7137999</v>
      </c>
      <c r="AQ651" s="28">
        <v>1.6177957999999999</v>
      </c>
      <c r="AR651" s="29"/>
      <c r="AS651" s="29"/>
    </row>
    <row r="652" spans="2:45" ht="15" hidden="1" customHeight="1" x14ac:dyDescent="0.25">
      <c r="B652" s="30">
        <v>646</v>
      </c>
      <c r="C652" s="31" t="s">
        <v>29</v>
      </c>
      <c r="D652" s="50" t="s">
        <v>226</v>
      </c>
      <c r="E652" s="50" t="s">
        <v>173</v>
      </c>
      <c r="F652" s="50"/>
      <c r="G652" s="31" t="s">
        <v>173</v>
      </c>
      <c r="H652" s="32">
        <v>90135</v>
      </c>
      <c r="I652" s="32">
        <v>11938</v>
      </c>
      <c r="J652" s="32">
        <v>58501</v>
      </c>
      <c r="K652" s="32">
        <v>3950</v>
      </c>
      <c r="L652" s="32">
        <v>3910</v>
      </c>
      <c r="M652" s="32">
        <v>7785</v>
      </c>
      <c r="N652" s="32">
        <v>2860</v>
      </c>
      <c r="O652" s="32">
        <v>1191</v>
      </c>
      <c r="P652" s="32"/>
      <c r="Q652" s="32"/>
      <c r="R652" s="32">
        <v>113403</v>
      </c>
      <c r="S652" s="32">
        <v>14847</v>
      </c>
      <c r="T652" s="32">
        <v>77702</v>
      </c>
      <c r="U652" s="32">
        <v>1513</v>
      </c>
      <c r="V652" s="32">
        <v>1099</v>
      </c>
      <c r="W652" s="32">
        <v>14817</v>
      </c>
      <c r="X652" s="32">
        <v>2830</v>
      </c>
      <c r="Y652" s="32">
        <v>595</v>
      </c>
      <c r="Z652" s="32"/>
      <c r="AA652" s="32"/>
      <c r="AB652" s="33">
        <v>13.2445776</v>
      </c>
      <c r="AC652" s="33">
        <v>64.903755500000003</v>
      </c>
      <c r="AD652" s="33">
        <v>4.3823154000000004</v>
      </c>
      <c r="AE652" s="33">
        <v>4.3379374999999998</v>
      </c>
      <c r="AF652" s="33">
        <v>8.6370444000000006</v>
      </c>
      <c r="AG652" s="33">
        <v>3.1730182999999998</v>
      </c>
      <c r="AH652" s="33">
        <v>1.3213512999999999</v>
      </c>
      <c r="AI652" s="33"/>
      <c r="AJ652" s="33"/>
      <c r="AK652" s="33">
        <v>13.0922462</v>
      </c>
      <c r="AL652" s="33">
        <v>68.518469499999995</v>
      </c>
      <c r="AM652" s="33">
        <v>1.3341799000000001</v>
      </c>
      <c r="AN652" s="33">
        <v>0.96911020000000003</v>
      </c>
      <c r="AO652" s="33">
        <v>13.065791900000001</v>
      </c>
      <c r="AP652" s="33">
        <v>2.4955248000000001</v>
      </c>
      <c r="AQ652" s="33">
        <v>0.52467750000000002</v>
      </c>
      <c r="AR652" s="34"/>
      <c r="AS652" s="34"/>
    </row>
    <row r="653" spans="2:45" ht="15" hidden="1" customHeight="1" x14ac:dyDescent="0.25">
      <c r="B653" s="35">
        <v>647</v>
      </c>
      <c r="C653" s="36" t="s">
        <v>29</v>
      </c>
      <c r="D653" s="36" t="s">
        <v>226</v>
      </c>
      <c r="E653" s="36" t="s">
        <v>173</v>
      </c>
      <c r="F653" s="36"/>
      <c r="G653" s="37" t="s">
        <v>25</v>
      </c>
      <c r="H653" s="38">
        <v>78297</v>
      </c>
      <c r="I653" s="38">
        <v>11819</v>
      </c>
      <c r="J653" s="38">
        <v>57979</v>
      </c>
      <c r="K653" s="38">
        <v>3407</v>
      </c>
      <c r="L653" s="38">
        <v>1336</v>
      </c>
      <c r="M653" s="38">
        <v>2643</v>
      </c>
      <c r="N653" s="38">
        <v>693</v>
      </c>
      <c r="O653" s="38">
        <v>420</v>
      </c>
      <c r="P653" s="38"/>
      <c r="Q653" s="38"/>
      <c r="R653" s="38">
        <v>98424</v>
      </c>
      <c r="S653" s="38">
        <v>14466</v>
      </c>
      <c r="T653" s="38">
        <v>77127</v>
      </c>
      <c r="U653" s="38">
        <v>1062</v>
      </c>
      <c r="V653" s="38">
        <v>310</v>
      </c>
      <c r="W653" s="38">
        <v>4737</v>
      </c>
      <c r="X653" s="38">
        <v>366</v>
      </c>
      <c r="Y653" s="38">
        <v>356</v>
      </c>
      <c r="Z653" s="38"/>
      <c r="AA653" s="38"/>
      <c r="AB653" s="39">
        <v>15.0950867</v>
      </c>
      <c r="AC653" s="39">
        <v>74.050091300000005</v>
      </c>
      <c r="AD653" s="39">
        <v>4.3513799999999998</v>
      </c>
      <c r="AE653" s="39">
        <v>1.7063234</v>
      </c>
      <c r="AF653" s="39">
        <v>3.3756083000000001</v>
      </c>
      <c r="AG653" s="39">
        <v>0.88509139999999997</v>
      </c>
      <c r="AH653" s="39">
        <v>0.53641899999999998</v>
      </c>
      <c r="AI653" s="39"/>
      <c r="AJ653" s="39"/>
      <c r="AK653" s="39">
        <v>14.6976347</v>
      </c>
      <c r="AL653" s="39">
        <v>78.361984899999996</v>
      </c>
      <c r="AM653" s="39">
        <v>1.0790051000000001</v>
      </c>
      <c r="AN653" s="39">
        <v>0.31496380000000002</v>
      </c>
      <c r="AO653" s="39">
        <v>4.8128504999999997</v>
      </c>
      <c r="AP653" s="39">
        <v>0.37186049999999998</v>
      </c>
      <c r="AQ653" s="39">
        <v>0.36170039999999998</v>
      </c>
      <c r="AR653" s="40"/>
      <c r="AS653" s="40"/>
    </row>
    <row r="654" spans="2:45" ht="15" hidden="1" customHeight="1" x14ac:dyDescent="0.25">
      <c r="B654" s="35">
        <v>648</v>
      </c>
      <c r="C654" s="36" t="s">
        <v>29</v>
      </c>
      <c r="D654" s="36" t="s">
        <v>226</v>
      </c>
      <c r="E654" s="36" t="s">
        <v>173</v>
      </c>
      <c r="F654" s="36"/>
      <c r="G654" s="37" t="s">
        <v>26</v>
      </c>
      <c r="H654" s="38">
        <v>11838</v>
      </c>
      <c r="I654" s="38">
        <v>119</v>
      </c>
      <c r="J654" s="38">
        <v>522</v>
      </c>
      <c r="K654" s="38">
        <v>543</v>
      </c>
      <c r="L654" s="38">
        <v>2574</v>
      </c>
      <c r="M654" s="38">
        <v>5142</v>
      </c>
      <c r="N654" s="38">
        <v>2167</v>
      </c>
      <c r="O654" s="38">
        <v>771</v>
      </c>
      <c r="P654" s="38"/>
      <c r="Q654" s="38"/>
      <c r="R654" s="38">
        <v>14979</v>
      </c>
      <c r="S654" s="38">
        <v>381</v>
      </c>
      <c r="T654" s="38">
        <v>575</v>
      </c>
      <c r="U654" s="38">
        <v>451</v>
      </c>
      <c r="V654" s="38">
        <v>789</v>
      </c>
      <c r="W654" s="38">
        <v>10080</v>
      </c>
      <c r="X654" s="38">
        <v>2464</v>
      </c>
      <c r="Y654" s="38">
        <v>239</v>
      </c>
      <c r="Z654" s="38"/>
      <c r="AA654" s="38"/>
      <c r="AB654" s="39">
        <v>1.0052373999999999</v>
      </c>
      <c r="AC654" s="39">
        <v>4.4095285999999998</v>
      </c>
      <c r="AD654" s="39">
        <v>4.5869235000000002</v>
      </c>
      <c r="AE654" s="39">
        <v>21.743537799999999</v>
      </c>
      <c r="AF654" s="39">
        <v>43.436391299999997</v>
      </c>
      <c r="AG654" s="39">
        <v>18.305457000000001</v>
      </c>
      <c r="AH654" s="39">
        <v>6.5129244999999996</v>
      </c>
      <c r="AI654" s="39"/>
      <c r="AJ654" s="39"/>
      <c r="AK654" s="39">
        <v>2.543561</v>
      </c>
      <c r="AL654" s="39">
        <v>3.8387074999999999</v>
      </c>
      <c r="AM654" s="39">
        <v>3.0108819000000002</v>
      </c>
      <c r="AN654" s="39">
        <v>5.2673743000000002</v>
      </c>
      <c r="AO654" s="39">
        <v>67.294211899999993</v>
      </c>
      <c r="AP654" s="39">
        <v>16.449696200000002</v>
      </c>
      <c r="AQ654" s="39">
        <v>1.5955671</v>
      </c>
      <c r="AR654" s="40"/>
      <c r="AS654" s="40"/>
    </row>
    <row r="655" spans="2:45" ht="15" customHeight="1" x14ac:dyDescent="0.25">
      <c r="B655" s="41">
        <v>649</v>
      </c>
      <c r="C655" s="42" t="s">
        <v>31</v>
      </c>
      <c r="D655" s="51" t="s">
        <v>226</v>
      </c>
      <c r="E655" s="51" t="s">
        <v>173</v>
      </c>
      <c r="F655" s="51" t="s">
        <v>226</v>
      </c>
      <c r="G655" s="52" t="s">
        <v>226</v>
      </c>
      <c r="H655" s="43">
        <v>76724</v>
      </c>
      <c r="I655" s="43">
        <v>11722</v>
      </c>
      <c r="J655" s="43">
        <v>56738</v>
      </c>
      <c r="K655" s="43">
        <v>3305</v>
      </c>
      <c r="L655" s="43">
        <v>1282</v>
      </c>
      <c r="M655" s="43">
        <v>2572</v>
      </c>
      <c r="N655" s="43">
        <v>687</v>
      </c>
      <c r="O655" s="43">
        <v>418</v>
      </c>
      <c r="P655" s="44">
        <f>K655+L655+M655+N655+O655</f>
        <v>8264</v>
      </c>
      <c r="Q655" s="44">
        <f>I655+J655</f>
        <v>68460</v>
      </c>
      <c r="R655" s="43">
        <v>96123</v>
      </c>
      <c r="S655" s="43">
        <v>14181</v>
      </c>
      <c r="T655" s="43">
        <v>75336</v>
      </c>
      <c r="U655" s="43">
        <v>1039</v>
      </c>
      <c r="V655" s="43">
        <v>293</v>
      </c>
      <c r="W655" s="43">
        <v>4569</v>
      </c>
      <c r="X655" s="43">
        <v>353</v>
      </c>
      <c r="Y655" s="43">
        <v>352</v>
      </c>
      <c r="Z655" s="45">
        <f>U655+V655+W655+X655+Y655</f>
        <v>6606</v>
      </c>
      <c r="AA655" s="45">
        <f>S655+T655</f>
        <v>89517</v>
      </c>
      <c r="AB655" s="46">
        <v>15.2781398</v>
      </c>
      <c r="AC655" s="46">
        <v>73.950784600000006</v>
      </c>
      <c r="AD655" s="46">
        <v>4.3076482</v>
      </c>
      <c r="AE655" s="46">
        <v>1.6709244000000001</v>
      </c>
      <c r="AF655" s="46">
        <v>3.3522756999999999</v>
      </c>
      <c r="AG655" s="46">
        <v>0.89541729999999997</v>
      </c>
      <c r="AH655" s="46">
        <v>0.54481000000000002</v>
      </c>
      <c r="AI655" s="47">
        <f>AB655+AC655</f>
        <v>89.228924400000011</v>
      </c>
      <c r="AJ655" s="47">
        <f>AD655+AE655+AF655+AG655+AH655</f>
        <v>10.7710756</v>
      </c>
      <c r="AK655" s="46">
        <v>14.7529728</v>
      </c>
      <c r="AL655" s="46">
        <v>78.374582599999997</v>
      </c>
      <c r="AM655" s="46">
        <v>1.0809067999999999</v>
      </c>
      <c r="AN655" s="46">
        <v>0.30481780000000003</v>
      </c>
      <c r="AO655" s="46">
        <v>4.7532848999999997</v>
      </c>
      <c r="AP655" s="46">
        <v>0.3672378</v>
      </c>
      <c r="AQ655" s="46">
        <v>0.36619750000000001</v>
      </c>
      <c r="AR655" s="48">
        <f>AK655+AL655</f>
        <v>93.127555399999991</v>
      </c>
      <c r="AS655" s="48">
        <f>AM655+AN655+AO655+AP655+AQ655</f>
        <v>6.8724448000000002</v>
      </c>
    </row>
    <row r="656" spans="2:45" ht="15" hidden="1" customHeight="1" x14ac:dyDescent="0.25">
      <c r="B656" s="35">
        <v>650</v>
      </c>
      <c r="C656" s="36" t="s">
        <v>31</v>
      </c>
      <c r="D656" s="36" t="s">
        <v>226</v>
      </c>
      <c r="E656" s="36" t="s">
        <v>173</v>
      </c>
      <c r="F656" s="36" t="s">
        <v>226</v>
      </c>
      <c r="G656" s="37" t="s">
        <v>25</v>
      </c>
      <c r="H656" s="38">
        <v>76724</v>
      </c>
      <c r="I656" s="38">
        <v>11722</v>
      </c>
      <c r="J656" s="38">
        <v>56738</v>
      </c>
      <c r="K656" s="38">
        <v>3305</v>
      </c>
      <c r="L656" s="38">
        <v>1282</v>
      </c>
      <c r="M656" s="38">
        <v>2572</v>
      </c>
      <c r="N656" s="38">
        <v>687</v>
      </c>
      <c r="O656" s="38">
        <v>418</v>
      </c>
      <c r="P656" s="38"/>
      <c r="Q656" s="38"/>
      <c r="R656" s="38">
        <v>96084</v>
      </c>
      <c r="S656" s="38">
        <v>14181</v>
      </c>
      <c r="T656" s="38">
        <v>75336</v>
      </c>
      <c r="U656" s="38">
        <v>1035</v>
      </c>
      <c r="V656" s="38">
        <v>292</v>
      </c>
      <c r="W656" s="38">
        <v>4543</v>
      </c>
      <c r="X656" s="38">
        <v>346</v>
      </c>
      <c r="Y656" s="38">
        <v>351</v>
      </c>
      <c r="Z656" s="38"/>
      <c r="AA656" s="38"/>
      <c r="AB656" s="39">
        <v>15.2781398</v>
      </c>
      <c r="AC656" s="39">
        <v>73.950784600000006</v>
      </c>
      <c r="AD656" s="39">
        <v>4.3076482</v>
      </c>
      <c r="AE656" s="39">
        <v>1.6709244000000001</v>
      </c>
      <c r="AF656" s="39">
        <v>3.3522756999999999</v>
      </c>
      <c r="AG656" s="39">
        <v>0.89541729999999997</v>
      </c>
      <c r="AH656" s="39">
        <v>0.54481000000000002</v>
      </c>
      <c r="AI656" s="39"/>
      <c r="AJ656" s="39"/>
      <c r="AK656" s="39">
        <v>14.7589609</v>
      </c>
      <c r="AL656" s="39">
        <v>78.406394399999996</v>
      </c>
      <c r="AM656" s="39">
        <v>1.0771824999999999</v>
      </c>
      <c r="AN656" s="39">
        <v>0.30390080000000003</v>
      </c>
      <c r="AO656" s="39">
        <v>4.7281544999999996</v>
      </c>
      <c r="AP656" s="39">
        <v>0.36010160000000002</v>
      </c>
      <c r="AQ656" s="39">
        <v>0.3653054</v>
      </c>
      <c r="AR656" s="40"/>
      <c r="AS656" s="40"/>
    </row>
    <row r="657" spans="2:45" ht="15" hidden="1" customHeight="1" x14ac:dyDescent="0.25">
      <c r="B657" s="35">
        <v>651</v>
      </c>
      <c r="C657" s="36" t="s">
        <v>31</v>
      </c>
      <c r="D657" s="36" t="s">
        <v>226</v>
      </c>
      <c r="E657" s="36" t="s">
        <v>173</v>
      </c>
      <c r="F657" s="36" t="s">
        <v>226</v>
      </c>
      <c r="G657" s="37" t="s">
        <v>26</v>
      </c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>
        <v>39</v>
      </c>
      <c r="S657" s="38">
        <v>0</v>
      </c>
      <c r="T657" s="38">
        <v>0</v>
      </c>
      <c r="U657" s="38">
        <v>4</v>
      </c>
      <c r="V657" s="38">
        <v>1</v>
      </c>
      <c r="W657" s="38">
        <v>26</v>
      </c>
      <c r="X657" s="38">
        <v>7</v>
      </c>
      <c r="Y657" s="38">
        <v>1</v>
      </c>
      <c r="Z657" s="38"/>
      <c r="AA657" s="38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>
        <v>0</v>
      </c>
      <c r="AL657" s="39">
        <v>0</v>
      </c>
      <c r="AM657" s="39">
        <v>10.256410300000001</v>
      </c>
      <c r="AN657" s="39">
        <v>2.5641026</v>
      </c>
      <c r="AO657" s="39">
        <v>66.666666699999993</v>
      </c>
      <c r="AP657" s="39">
        <v>17.948717899999998</v>
      </c>
      <c r="AQ657" s="39">
        <v>2.5641026</v>
      </c>
      <c r="AR657" s="40"/>
      <c r="AS657" s="40"/>
    </row>
    <row r="658" spans="2:45" ht="15" customHeight="1" x14ac:dyDescent="0.25">
      <c r="B658" s="41">
        <v>652</v>
      </c>
      <c r="C658" s="42" t="s">
        <v>31</v>
      </c>
      <c r="D658" s="51" t="s">
        <v>226</v>
      </c>
      <c r="E658" s="51" t="s">
        <v>173</v>
      </c>
      <c r="F658" s="51" t="s">
        <v>227</v>
      </c>
      <c r="G658" s="52" t="s">
        <v>227</v>
      </c>
      <c r="H658" s="43">
        <v>6690</v>
      </c>
      <c r="I658" s="43">
        <v>167</v>
      </c>
      <c r="J658" s="43">
        <v>1756</v>
      </c>
      <c r="K658" s="43">
        <v>428</v>
      </c>
      <c r="L658" s="43">
        <v>1091</v>
      </c>
      <c r="M658" s="43">
        <v>2358</v>
      </c>
      <c r="N658" s="43">
        <v>762</v>
      </c>
      <c r="O658" s="43">
        <v>128</v>
      </c>
      <c r="P658" s="44">
        <f>K658+L658+M658+N658+O658</f>
        <v>4767</v>
      </c>
      <c r="Q658" s="44">
        <f>I658+J658</f>
        <v>1923</v>
      </c>
      <c r="R658" s="43">
        <v>7972</v>
      </c>
      <c r="S658" s="43">
        <v>421</v>
      </c>
      <c r="T658" s="43">
        <v>2193</v>
      </c>
      <c r="U658" s="43">
        <v>266</v>
      </c>
      <c r="V658" s="43">
        <v>347</v>
      </c>
      <c r="W658" s="43">
        <v>3849</v>
      </c>
      <c r="X658" s="43">
        <v>800</v>
      </c>
      <c r="Y658" s="43">
        <v>96</v>
      </c>
      <c r="Z658" s="45">
        <f>U658+V658+W658+X658+Y658</f>
        <v>5358</v>
      </c>
      <c r="AA658" s="45">
        <f>S658+T658</f>
        <v>2614</v>
      </c>
      <c r="AB658" s="46">
        <v>2.4962631000000002</v>
      </c>
      <c r="AC658" s="46">
        <v>26.2481315</v>
      </c>
      <c r="AD658" s="46">
        <v>6.3976084000000002</v>
      </c>
      <c r="AE658" s="46">
        <v>16.307922300000001</v>
      </c>
      <c r="AF658" s="46">
        <v>35.246636799999997</v>
      </c>
      <c r="AG658" s="46">
        <v>11.3901345</v>
      </c>
      <c r="AH658" s="46">
        <v>1.9133034</v>
      </c>
      <c r="AI658" s="47">
        <f>AB658+AC658</f>
        <v>28.7443946</v>
      </c>
      <c r="AJ658" s="47">
        <f>AD658+AE658+AF658+AG658+AH658</f>
        <v>71.255605400000007</v>
      </c>
      <c r="AK658" s="46">
        <v>5.2809834000000002</v>
      </c>
      <c r="AL658" s="46">
        <v>27.508780699999999</v>
      </c>
      <c r="AM658" s="46">
        <v>3.3366783999999998</v>
      </c>
      <c r="AN658" s="46">
        <v>4.3527345999999998</v>
      </c>
      <c r="AO658" s="46">
        <v>48.281485199999999</v>
      </c>
      <c r="AP658" s="46">
        <v>10.035122899999999</v>
      </c>
      <c r="AQ658" s="46">
        <v>1.2042147999999999</v>
      </c>
      <c r="AR658" s="48">
        <f>AK658+AL658</f>
        <v>32.789764099999999</v>
      </c>
      <c r="AS658" s="48">
        <f>AM658+AN658+AO658+AP658+AQ658</f>
        <v>67.210235900000001</v>
      </c>
    </row>
    <row r="659" spans="2:45" ht="15" hidden="1" customHeight="1" x14ac:dyDescent="0.25">
      <c r="B659" s="35">
        <v>653</v>
      </c>
      <c r="C659" s="36" t="s">
        <v>31</v>
      </c>
      <c r="D659" s="36" t="s">
        <v>226</v>
      </c>
      <c r="E659" s="36" t="s">
        <v>173</v>
      </c>
      <c r="F659" s="36" t="s">
        <v>227</v>
      </c>
      <c r="G659" s="37" t="s">
        <v>25</v>
      </c>
      <c r="H659" s="38">
        <v>1573</v>
      </c>
      <c r="I659" s="38">
        <v>97</v>
      </c>
      <c r="J659" s="38">
        <v>1241</v>
      </c>
      <c r="K659" s="38">
        <v>102</v>
      </c>
      <c r="L659" s="38">
        <v>54</v>
      </c>
      <c r="M659" s="38">
        <v>71</v>
      </c>
      <c r="N659" s="38">
        <v>6</v>
      </c>
      <c r="O659" s="38">
        <v>2</v>
      </c>
      <c r="P659" s="38"/>
      <c r="Q659" s="38"/>
      <c r="R659" s="38">
        <v>2340</v>
      </c>
      <c r="S659" s="38">
        <v>285</v>
      </c>
      <c r="T659" s="38">
        <v>1791</v>
      </c>
      <c r="U659" s="38">
        <v>27</v>
      </c>
      <c r="V659" s="38">
        <v>18</v>
      </c>
      <c r="W659" s="38">
        <v>194</v>
      </c>
      <c r="X659" s="38">
        <v>20</v>
      </c>
      <c r="Y659" s="38">
        <v>5</v>
      </c>
      <c r="Z659" s="38"/>
      <c r="AA659" s="38"/>
      <c r="AB659" s="39">
        <v>6.1665606999999998</v>
      </c>
      <c r="AC659" s="39">
        <v>78.893833400000005</v>
      </c>
      <c r="AD659" s="39">
        <v>6.4844246999999999</v>
      </c>
      <c r="AE659" s="39">
        <v>3.4329307</v>
      </c>
      <c r="AF659" s="39">
        <v>4.5136681999999997</v>
      </c>
      <c r="AG659" s="39">
        <v>0.38143670000000002</v>
      </c>
      <c r="AH659" s="39">
        <v>0.1271456</v>
      </c>
      <c r="AI659" s="39"/>
      <c r="AJ659" s="39"/>
      <c r="AK659" s="39">
        <v>12.179487200000001</v>
      </c>
      <c r="AL659" s="39">
        <v>76.538461499999997</v>
      </c>
      <c r="AM659" s="39">
        <v>1.1538462</v>
      </c>
      <c r="AN659" s="39">
        <v>0.76923079999999999</v>
      </c>
      <c r="AO659" s="39">
        <v>8.2905982999999992</v>
      </c>
      <c r="AP659" s="39">
        <v>0.85470089999999999</v>
      </c>
      <c r="AQ659" s="39">
        <v>0.21367520000000001</v>
      </c>
      <c r="AR659" s="40"/>
      <c r="AS659" s="40"/>
    </row>
    <row r="660" spans="2:45" ht="15" hidden="1" customHeight="1" x14ac:dyDescent="0.25">
      <c r="B660" s="35">
        <v>654</v>
      </c>
      <c r="C660" s="36" t="s">
        <v>31</v>
      </c>
      <c r="D660" s="36" t="s">
        <v>226</v>
      </c>
      <c r="E660" s="36" t="s">
        <v>173</v>
      </c>
      <c r="F660" s="36" t="s">
        <v>227</v>
      </c>
      <c r="G660" s="37" t="s">
        <v>26</v>
      </c>
      <c r="H660" s="38">
        <v>5117</v>
      </c>
      <c r="I660" s="38">
        <v>70</v>
      </c>
      <c r="J660" s="38">
        <v>515</v>
      </c>
      <c r="K660" s="38">
        <v>326</v>
      </c>
      <c r="L660" s="38">
        <v>1037</v>
      </c>
      <c r="M660" s="38">
        <v>2287</v>
      </c>
      <c r="N660" s="38">
        <v>756</v>
      </c>
      <c r="O660" s="38">
        <v>126</v>
      </c>
      <c r="P660" s="38"/>
      <c r="Q660" s="38"/>
      <c r="R660" s="38">
        <v>5632</v>
      </c>
      <c r="S660" s="38">
        <v>136</v>
      </c>
      <c r="T660" s="38">
        <v>402</v>
      </c>
      <c r="U660" s="38">
        <v>239</v>
      </c>
      <c r="V660" s="38">
        <v>329</v>
      </c>
      <c r="W660" s="38">
        <v>3655</v>
      </c>
      <c r="X660" s="38">
        <v>780</v>
      </c>
      <c r="Y660" s="38">
        <v>91</v>
      </c>
      <c r="Z660" s="38"/>
      <c r="AA660" s="38"/>
      <c r="AB660" s="39">
        <v>1.3679891</v>
      </c>
      <c r="AC660" s="39">
        <v>10.064490899999999</v>
      </c>
      <c r="AD660" s="39">
        <v>6.3709205000000004</v>
      </c>
      <c r="AE660" s="39">
        <v>20.265780700000001</v>
      </c>
      <c r="AF660" s="39">
        <v>44.694156700000001</v>
      </c>
      <c r="AG660" s="39">
        <v>14.774281800000001</v>
      </c>
      <c r="AH660" s="39">
        <v>2.4623803</v>
      </c>
      <c r="AI660" s="39"/>
      <c r="AJ660" s="39"/>
      <c r="AK660" s="39">
        <v>2.4147726999999999</v>
      </c>
      <c r="AL660" s="39">
        <v>7.1377841000000002</v>
      </c>
      <c r="AM660" s="39">
        <v>4.243608</v>
      </c>
      <c r="AN660" s="39">
        <v>5.8416192999999996</v>
      </c>
      <c r="AO660" s="39">
        <v>64.897017000000005</v>
      </c>
      <c r="AP660" s="39">
        <v>13.8494318</v>
      </c>
      <c r="AQ660" s="39">
        <v>1.615767</v>
      </c>
      <c r="AR660" s="40"/>
      <c r="AS660" s="40"/>
    </row>
    <row r="661" spans="2:45" ht="15" customHeight="1" x14ac:dyDescent="0.25">
      <c r="B661" s="41">
        <v>655</v>
      </c>
      <c r="C661" s="42" t="s">
        <v>31</v>
      </c>
      <c r="D661" s="51" t="s">
        <v>226</v>
      </c>
      <c r="E661" s="51" t="s">
        <v>173</v>
      </c>
      <c r="F661" s="51" t="s">
        <v>228</v>
      </c>
      <c r="G661" s="52" t="s">
        <v>228</v>
      </c>
      <c r="H661" s="43">
        <v>3261</v>
      </c>
      <c r="I661" s="43">
        <v>35</v>
      </c>
      <c r="J661" s="43">
        <v>1</v>
      </c>
      <c r="K661" s="43">
        <v>142</v>
      </c>
      <c r="L661" s="43">
        <v>38</v>
      </c>
      <c r="M661" s="43">
        <v>1423</v>
      </c>
      <c r="N661" s="43">
        <v>1058</v>
      </c>
      <c r="O661" s="43">
        <v>564</v>
      </c>
      <c r="P661" s="44">
        <f>K661+L661+M661+N661+O661</f>
        <v>3225</v>
      </c>
      <c r="Q661" s="44">
        <f>I661+J661</f>
        <v>36</v>
      </c>
      <c r="R661" s="43">
        <v>3844</v>
      </c>
      <c r="S661" s="43">
        <v>35</v>
      </c>
      <c r="T661" s="43">
        <v>16</v>
      </c>
      <c r="U661" s="43">
        <v>94</v>
      </c>
      <c r="V661" s="43">
        <v>18</v>
      </c>
      <c r="W661" s="43">
        <v>2478</v>
      </c>
      <c r="X661" s="43">
        <v>1115</v>
      </c>
      <c r="Y661" s="43">
        <v>88</v>
      </c>
      <c r="Z661" s="45">
        <f>U661+V661+W661+X661+Y661</f>
        <v>3793</v>
      </c>
      <c r="AA661" s="45">
        <f>S661+T661</f>
        <v>51</v>
      </c>
      <c r="AB661" s="46">
        <v>1.0732904000000001</v>
      </c>
      <c r="AC661" s="46">
        <v>3.0665399999999999E-2</v>
      </c>
      <c r="AD661" s="46">
        <v>4.3544925000000001</v>
      </c>
      <c r="AE661" s="46">
        <v>1.1652867</v>
      </c>
      <c r="AF661" s="46">
        <v>43.636921200000003</v>
      </c>
      <c r="AG661" s="46">
        <v>32.444035599999999</v>
      </c>
      <c r="AH661" s="46">
        <v>17.295308200000001</v>
      </c>
      <c r="AI661" s="47">
        <f>AB661+AC661</f>
        <v>1.1039558</v>
      </c>
      <c r="AJ661" s="47">
        <f>AD661+AE661+AF661+AG661+AH661</f>
        <v>98.896044200000006</v>
      </c>
      <c r="AK661" s="46">
        <v>0.91050989999999998</v>
      </c>
      <c r="AL661" s="46">
        <v>0.41623310000000002</v>
      </c>
      <c r="AM661" s="46">
        <v>2.4453694000000001</v>
      </c>
      <c r="AN661" s="46">
        <v>0.46826220000000002</v>
      </c>
      <c r="AO661" s="46">
        <v>64.464099899999994</v>
      </c>
      <c r="AP661" s="46">
        <v>29.0062435</v>
      </c>
      <c r="AQ661" s="46">
        <v>2.289282</v>
      </c>
      <c r="AR661" s="48">
        <f>AK661+AL661</f>
        <v>1.326743</v>
      </c>
      <c r="AS661" s="48">
        <f>AM661+AN661+AO661+AP661+AQ661</f>
        <v>98.673256999999992</v>
      </c>
    </row>
    <row r="662" spans="2:45" ht="15" hidden="1" customHeight="1" x14ac:dyDescent="0.25">
      <c r="B662" s="35">
        <v>656</v>
      </c>
      <c r="C662" s="36" t="s">
        <v>31</v>
      </c>
      <c r="D662" s="36" t="s">
        <v>226</v>
      </c>
      <c r="E662" s="36" t="s">
        <v>173</v>
      </c>
      <c r="F662" s="36" t="s">
        <v>228</v>
      </c>
      <c r="G662" s="37" t="s">
        <v>25</v>
      </c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40"/>
      <c r="AS662" s="40"/>
    </row>
    <row r="663" spans="2:45" ht="15" hidden="1" customHeight="1" x14ac:dyDescent="0.25">
      <c r="B663" s="35">
        <v>657</v>
      </c>
      <c r="C663" s="36" t="s">
        <v>31</v>
      </c>
      <c r="D663" s="36" t="s">
        <v>226</v>
      </c>
      <c r="E663" s="36" t="s">
        <v>173</v>
      </c>
      <c r="F663" s="36" t="s">
        <v>228</v>
      </c>
      <c r="G663" s="37" t="s">
        <v>26</v>
      </c>
      <c r="H663" s="38">
        <v>3261</v>
      </c>
      <c r="I663" s="38">
        <v>35</v>
      </c>
      <c r="J663" s="38">
        <v>1</v>
      </c>
      <c r="K663" s="38">
        <v>142</v>
      </c>
      <c r="L663" s="38">
        <v>38</v>
      </c>
      <c r="M663" s="38">
        <v>1423</v>
      </c>
      <c r="N663" s="38">
        <v>1058</v>
      </c>
      <c r="O663" s="38">
        <v>564</v>
      </c>
      <c r="P663" s="38"/>
      <c r="Q663" s="38"/>
      <c r="R663" s="38">
        <v>3844</v>
      </c>
      <c r="S663" s="38">
        <v>35</v>
      </c>
      <c r="T663" s="38">
        <v>16</v>
      </c>
      <c r="U663" s="38">
        <v>94</v>
      </c>
      <c r="V663" s="38">
        <v>18</v>
      </c>
      <c r="W663" s="38">
        <v>2478</v>
      </c>
      <c r="X663" s="38">
        <v>1115</v>
      </c>
      <c r="Y663" s="38">
        <v>88</v>
      </c>
      <c r="Z663" s="38"/>
      <c r="AA663" s="38"/>
      <c r="AB663" s="39">
        <v>1.0732904000000001</v>
      </c>
      <c r="AC663" s="39">
        <v>3.0665399999999999E-2</v>
      </c>
      <c r="AD663" s="39">
        <v>4.3544925000000001</v>
      </c>
      <c r="AE663" s="39">
        <v>1.1652867</v>
      </c>
      <c r="AF663" s="39">
        <v>43.636921200000003</v>
      </c>
      <c r="AG663" s="39">
        <v>32.444035599999999</v>
      </c>
      <c r="AH663" s="39">
        <v>17.295308200000001</v>
      </c>
      <c r="AI663" s="39"/>
      <c r="AJ663" s="39"/>
      <c r="AK663" s="39">
        <v>0.91050989999999998</v>
      </c>
      <c r="AL663" s="39">
        <v>0.41623310000000002</v>
      </c>
      <c r="AM663" s="39">
        <v>2.4453694000000001</v>
      </c>
      <c r="AN663" s="39">
        <v>0.46826220000000002</v>
      </c>
      <c r="AO663" s="39">
        <v>64.464099899999994</v>
      </c>
      <c r="AP663" s="39">
        <v>29.0062435</v>
      </c>
      <c r="AQ663" s="39">
        <v>2.289282</v>
      </c>
      <c r="AR663" s="40"/>
      <c r="AS663" s="40"/>
    </row>
    <row r="664" spans="2:45" ht="15" customHeight="1" x14ac:dyDescent="0.25">
      <c r="B664" s="41">
        <v>658</v>
      </c>
      <c r="C664" s="42" t="s">
        <v>31</v>
      </c>
      <c r="D664" s="51" t="s">
        <v>226</v>
      </c>
      <c r="E664" s="51" t="s">
        <v>173</v>
      </c>
      <c r="F664" s="51" t="s">
        <v>229</v>
      </c>
      <c r="G664" s="52" t="s">
        <v>229</v>
      </c>
      <c r="H664" s="43">
        <v>3460</v>
      </c>
      <c r="I664" s="43">
        <v>14</v>
      </c>
      <c r="J664" s="43">
        <v>6</v>
      </c>
      <c r="K664" s="43">
        <v>75</v>
      </c>
      <c r="L664" s="43">
        <v>1499</v>
      </c>
      <c r="M664" s="43">
        <v>1432</v>
      </c>
      <c r="N664" s="43">
        <v>353</v>
      </c>
      <c r="O664" s="43">
        <v>81</v>
      </c>
      <c r="P664" s="44">
        <f>K664+L664+M664+N664+O664</f>
        <v>3440</v>
      </c>
      <c r="Q664" s="44">
        <f>I664+J664</f>
        <v>20</v>
      </c>
      <c r="R664" s="43">
        <v>5464</v>
      </c>
      <c r="S664" s="43">
        <v>210</v>
      </c>
      <c r="T664" s="43">
        <v>157</v>
      </c>
      <c r="U664" s="43">
        <v>114</v>
      </c>
      <c r="V664" s="43">
        <v>441</v>
      </c>
      <c r="W664" s="43">
        <v>3921</v>
      </c>
      <c r="X664" s="43">
        <v>562</v>
      </c>
      <c r="Y664" s="43">
        <v>59</v>
      </c>
      <c r="Z664" s="45">
        <f>U664+V664+W664+X664+Y664</f>
        <v>5097</v>
      </c>
      <c r="AA664" s="45">
        <f>S664+T664</f>
        <v>367</v>
      </c>
      <c r="AB664" s="46">
        <v>0.40462429999999999</v>
      </c>
      <c r="AC664" s="46">
        <v>0.17341039999999999</v>
      </c>
      <c r="AD664" s="46">
        <v>2.1676300999999998</v>
      </c>
      <c r="AE664" s="46">
        <v>43.323699400000002</v>
      </c>
      <c r="AF664" s="46">
        <v>41.387283199999999</v>
      </c>
      <c r="AG664" s="46">
        <v>10.2023121</v>
      </c>
      <c r="AH664" s="46">
        <v>2.3410405000000001</v>
      </c>
      <c r="AI664" s="47">
        <f>AB664+AC664</f>
        <v>0.57803470000000001</v>
      </c>
      <c r="AJ664" s="47">
        <f>AD664+AE664+AF664+AG664+AH664</f>
        <v>99.421965299999997</v>
      </c>
      <c r="AK664" s="46">
        <v>3.8433381999999998</v>
      </c>
      <c r="AL664" s="46">
        <v>2.8733529</v>
      </c>
      <c r="AM664" s="46">
        <v>2.0863836</v>
      </c>
      <c r="AN664" s="46">
        <v>8.0710101999999999</v>
      </c>
      <c r="AO664" s="46">
        <v>71.760614899999993</v>
      </c>
      <c r="AP664" s="46">
        <v>10.2855051</v>
      </c>
      <c r="AQ664" s="46">
        <v>1.0797950000000001</v>
      </c>
      <c r="AR664" s="48">
        <f>AK664+AL664</f>
        <v>6.7166911000000002</v>
      </c>
      <c r="AS664" s="48">
        <f>AM664+AN664+AO664+AP664+AQ664</f>
        <v>93.283308799999986</v>
      </c>
    </row>
    <row r="665" spans="2:45" ht="15" hidden="1" customHeight="1" x14ac:dyDescent="0.25">
      <c r="B665" s="35">
        <v>659</v>
      </c>
      <c r="C665" s="36" t="s">
        <v>31</v>
      </c>
      <c r="D665" s="36" t="s">
        <v>226</v>
      </c>
      <c r="E665" s="36" t="s">
        <v>173</v>
      </c>
      <c r="F665" s="36" t="s">
        <v>229</v>
      </c>
      <c r="G665" s="37" t="s">
        <v>25</v>
      </c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40"/>
      <c r="AS665" s="40"/>
    </row>
    <row r="666" spans="2:45" ht="15" hidden="1" customHeight="1" x14ac:dyDescent="0.25">
      <c r="B666" s="35">
        <v>660</v>
      </c>
      <c r="C666" s="36" t="s">
        <v>31</v>
      </c>
      <c r="D666" s="36" t="s">
        <v>226</v>
      </c>
      <c r="E666" s="36" t="s">
        <v>173</v>
      </c>
      <c r="F666" s="36" t="s">
        <v>229</v>
      </c>
      <c r="G666" s="37" t="s">
        <v>26</v>
      </c>
      <c r="H666" s="38">
        <v>3460</v>
      </c>
      <c r="I666" s="38">
        <v>14</v>
      </c>
      <c r="J666" s="38">
        <v>6</v>
      </c>
      <c r="K666" s="38">
        <v>75</v>
      </c>
      <c r="L666" s="38">
        <v>1499</v>
      </c>
      <c r="M666" s="38">
        <v>1432</v>
      </c>
      <c r="N666" s="38">
        <v>353</v>
      </c>
      <c r="O666" s="38">
        <v>81</v>
      </c>
      <c r="P666" s="38"/>
      <c r="Q666" s="38"/>
      <c r="R666" s="38">
        <v>5464</v>
      </c>
      <c r="S666" s="38">
        <v>210</v>
      </c>
      <c r="T666" s="38">
        <v>157</v>
      </c>
      <c r="U666" s="38">
        <v>114</v>
      </c>
      <c r="V666" s="38">
        <v>441</v>
      </c>
      <c r="W666" s="38">
        <v>3921</v>
      </c>
      <c r="X666" s="38">
        <v>562</v>
      </c>
      <c r="Y666" s="38">
        <v>59</v>
      </c>
      <c r="Z666" s="38"/>
      <c r="AA666" s="38"/>
      <c r="AB666" s="39">
        <v>0.40462429999999999</v>
      </c>
      <c r="AC666" s="39">
        <v>0.17341039999999999</v>
      </c>
      <c r="AD666" s="39">
        <v>2.1676300999999998</v>
      </c>
      <c r="AE666" s="39">
        <v>43.323699400000002</v>
      </c>
      <c r="AF666" s="39">
        <v>41.387283199999999</v>
      </c>
      <c r="AG666" s="39">
        <v>10.2023121</v>
      </c>
      <c r="AH666" s="39">
        <v>2.3410405000000001</v>
      </c>
      <c r="AI666" s="39"/>
      <c r="AJ666" s="39"/>
      <c r="AK666" s="39">
        <v>3.8433381999999998</v>
      </c>
      <c r="AL666" s="39">
        <v>2.8733529</v>
      </c>
      <c r="AM666" s="39">
        <v>2.0863836</v>
      </c>
      <c r="AN666" s="39">
        <v>8.0710101999999999</v>
      </c>
      <c r="AO666" s="39">
        <v>71.760614899999993</v>
      </c>
      <c r="AP666" s="39">
        <v>10.2855051</v>
      </c>
      <c r="AQ666" s="39">
        <v>1.0797950000000001</v>
      </c>
      <c r="AR666" s="40"/>
      <c r="AS666" s="40"/>
    </row>
    <row r="667" spans="2:45" ht="15" hidden="1" customHeight="1" x14ac:dyDescent="0.25">
      <c r="B667" s="30">
        <v>661</v>
      </c>
      <c r="C667" s="31" t="s">
        <v>29</v>
      </c>
      <c r="D667" s="50" t="s">
        <v>226</v>
      </c>
      <c r="E667" s="50" t="s">
        <v>230</v>
      </c>
      <c r="F667" s="50"/>
      <c r="G667" s="31" t="s">
        <v>230</v>
      </c>
      <c r="H667" s="32">
        <v>11428</v>
      </c>
      <c r="I667" s="32">
        <v>489</v>
      </c>
      <c r="J667" s="32">
        <v>2533</v>
      </c>
      <c r="K667" s="32">
        <v>576</v>
      </c>
      <c r="L667" s="32">
        <v>3047</v>
      </c>
      <c r="M667" s="32">
        <v>3658</v>
      </c>
      <c r="N667" s="32">
        <v>886</v>
      </c>
      <c r="O667" s="32">
        <v>239</v>
      </c>
      <c r="P667" s="32"/>
      <c r="Q667" s="32"/>
      <c r="R667" s="32">
        <v>15869</v>
      </c>
      <c r="S667" s="32">
        <v>734</v>
      </c>
      <c r="T667" s="32">
        <v>4308</v>
      </c>
      <c r="U667" s="32">
        <v>338</v>
      </c>
      <c r="V667" s="32">
        <v>695</v>
      </c>
      <c r="W667" s="32">
        <v>8224</v>
      </c>
      <c r="X667" s="32">
        <v>1410</v>
      </c>
      <c r="Y667" s="32">
        <v>160</v>
      </c>
      <c r="Z667" s="32"/>
      <c r="AA667" s="32"/>
      <c r="AB667" s="33">
        <v>4.2789638999999999</v>
      </c>
      <c r="AC667" s="33">
        <v>22.164858200000001</v>
      </c>
      <c r="AD667" s="33">
        <v>5.0402519999999997</v>
      </c>
      <c r="AE667" s="33">
        <v>26.662583099999999</v>
      </c>
      <c r="AF667" s="33">
        <v>32.009100500000002</v>
      </c>
      <c r="AG667" s="33">
        <v>7.7528876000000002</v>
      </c>
      <c r="AH667" s="33">
        <v>2.0913545999999998</v>
      </c>
      <c r="AI667" s="33"/>
      <c r="AJ667" s="33"/>
      <c r="AK667" s="33">
        <v>4.6253701999999999</v>
      </c>
      <c r="AL667" s="33">
        <v>27.1472683</v>
      </c>
      <c r="AM667" s="33">
        <v>2.1299389</v>
      </c>
      <c r="AN667" s="33">
        <v>4.3796080000000002</v>
      </c>
      <c r="AO667" s="33">
        <v>51.824311600000001</v>
      </c>
      <c r="AP667" s="33">
        <v>8.8852480000000007</v>
      </c>
      <c r="AQ667" s="33">
        <v>1.0082551</v>
      </c>
      <c r="AR667" s="34"/>
      <c r="AS667" s="34"/>
    </row>
    <row r="668" spans="2:45" ht="15" hidden="1" customHeight="1" x14ac:dyDescent="0.25">
      <c r="B668" s="35">
        <v>662</v>
      </c>
      <c r="C668" s="36" t="s">
        <v>29</v>
      </c>
      <c r="D668" s="36" t="s">
        <v>226</v>
      </c>
      <c r="E668" s="36" t="s">
        <v>230</v>
      </c>
      <c r="F668" s="36"/>
      <c r="G668" s="37" t="s">
        <v>25</v>
      </c>
      <c r="H668" s="38">
        <v>3554</v>
      </c>
      <c r="I668" s="38">
        <v>435</v>
      </c>
      <c r="J668" s="38">
        <v>2508</v>
      </c>
      <c r="K668" s="38">
        <v>36</v>
      </c>
      <c r="L668" s="38">
        <v>338</v>
      </c>
      <c r="M668" s="38">
        <v>200</v>
      </c>
      <c r="N668" s="38">
        <v>22</v>
      </c>
      <c r="O668" s="38">
        <v>15</v>
      </c>
      <c r="P668" s="38"/>
      <c r="Q668" s="38"/>
      <c r="R668" s="38">
        <v>4792</v>
      </c>
      <c r="S668" s="38">
        <v>557</v>
      </c>
      <c r="T668" s="38">
        <v>3757</v>
      </c>
      <c r="U668" s="38">
        <v>25</v>
      </c>
      <c r="V668" s="38">
        <v>50</v>
      </c>
      <c r="W668" s="38">
        <v>346</v>
      </c>
      <c r="X668" s="38">
        <v>41</v>
      </c>
      <c r="Y668" s="38">
        <v>16</v>
      </c>
      <c r="Z668" s="38"/>
      <c r="AA668" s="38"/>
      <c r="AB668" s="39">
        <v>12.2397299</v>
      </c>
      <c r="AC668" s="39">
        <v>70.568373699999995</v>
      </c>
      <c r="AD668" s="39">
        <v>1.0129432</v>
      </c>
      <c r="AE668" s="39">
        <v>9.5104108000000007</v>
      </c>
      <c r="AF668" s="39">
        <v>5.6274620000000004</v>
      </c>
      <c r="AG668" s="39">
        <v>0.61902080000000004</v>
      </c>
      <c r="AH668" s="39">
        <v>0.42205969999999998</v>
      </c>
      <c r="AI668" s="39"/>
      <c r="AJ668" s="39"/>
      <c r="AK668" s="39">
        <v>11.6235392</v>
      </c>
      <c r="AL668" s="39">
        <v>78.401502500000007</v>
      </c>
      <c r="AM668" s="39">
        <v>0.52170280000000002</v>
      </c>
      <c r="AN668" s="39">
        <v>1.0434057000000001</v>
      </c>
      <c r="AO668" s="39">
        <v>7.2203673000000004</v>
      </c>
      <c r="AP668" s="39">
        <v>0.85559269999999998</v>
      </c>
      <c r="AQ668" s="39">
        <v>0.33388980000000001</v>
      </c>
      <c r="AR668" s="40"/>
      <c r="AS668" s="40"/>
    </row>
    <row r="669" spans="2:45" ht="15" hidden="1" customHeight="1" x14ac:dyDescent="0.25">
      <c r="B669" s="35">
        <v>663</v>
      </c>
      <c r="C669" s="36" t="s">
        <v>29</v>
      </c>
      <c r="D669" s="36" t="s">
        <v>226</v>
      </c>
      <c r="E669" s="36" t="s">
        <v>230</v>
      </c>
      <c r="F669" s="36"/>
      <c r="G669" s="37" t="s">
        <v>26</v>
      </c>
      <c r="H669" s="38">
        <v>7874</v>
      </c>
      <c r="I669" s="38">
        <v>54</v>
      </c>
      <c r="J669" s="38">
        <v>25</v>
      </c>
      <c r="K669" s="38">
        <v>540</v>
      </c>
      <c r="L669" s="38">
        <v>2709</v>
      </c>
      <c r="M669" s="38">
        <v>3458</v>
      </c>
      <c r="N669" s="38">
        <v>864</v>
      </c>
      <c r="O669" s="38">
        <v>224</v>
      </c>
      <c r="P669" s="38"/>
      <c r="Q669" s="38"/>
      <c r="R669" s="38">
        <v>11077</v>
      </c>
      <c r="S669" s="38">
        <v>177</v>
      </c>
      <c r="T669" s="38">
        <v>551</v>
      </c>
      <c r="U669" s="38">
        <v>313</v>
      </c>
      <c r="V669" s="38">
        <v>645</v>
      </c>
      <c r="W669" s="38">
        <v>7878</v>
      </c>
      <c r="X669" s="38">
        <v>1369</v>
      </c>
      <c r="Y669" s="38">
        <v>144</v>
      </c>
      <c r="Z669" s="38"/>
      <c r="AA669" s="38"/>
      <c r="AB669" s="39">
        <v>0.68580140000000001</v>
      </c>
      <c r="AC669" s="39">
        <v>0.31750060000000002</v>
      </c>
      <c r="AD669" s="39">
        <v>6.8580136999999999</v>
      </c>
      <c r="AE669" s="39">
        <v>34.4043688</v>
      </c>
      <c r="AF669" s="39">
        <v>43.916687799999998</v>
      </c>
      <c r="AG669" s="39">
        <v>10.9728219</v>
      </c>
      <c r="AH669" s="39">
        <v>2.8448057000000002</v>
      </c>
      <c r="AI669" s="39"/>
      <c r="AJ669" s="39"/>
      <c r="AK669" s="39">
        <v>1.5979056</v>
      </c>
      <c r="AL669" s="39">
        <v>4.9742709999999999</v>
      </c>
      <c r="AM669" s="39">
        <v>2.8256747999999998</v>
      </c>
      <c r="AN669" s="39">
        <v>5.8228761999999996</v>
      </c>
      <c r="AO669" s="39">
        <v>71.120339400000006</v>
      </c>
      <c r="AP669" s="39">
        <v>12.358942000000001</v>
      </c>
      <c r="AQ669" s="39">
        <v>1.2999909999999999</v>
      </c>
      <c r="AR669" s="40"/>
      <c r="AS669" s="40"/>
    </row>
    <row r="670" spans="2:45" ht="15" customHeight="1" x14ac:dyDescent="0.25">
      <c r="B670" s="41">
        <v>664</v>
      </c>
      <c r="C670" s="42" t="s">
        <v>31</v>
      </c>
      <c r="D670" s="51" t="s">
        <v>226</v>
      </c>
      <c r="E670" s="51" t="s">
        <v>230</v>
      </c>
      <c r="F670" s="51" t="s">
        <v>231</v>
      </c>
      <c r="G670" s="52" t="s">
        <v>231</v>
      </c>
      <c r="H670" s="43">
        <v>9873</v>
      </c>
      <c r="I670" s="43">
        <v>477</v>
      </c>
      <c r="J670" s="43">
        <v>2531</v>
      </c>
      <c r="K670" s="43">
        <v>346</v>
      </c>
      <c r="L670" s="43">
        <v>2836</v>
      </c>
      <c r="M670" s="43">
        <v>2935</v>
      </c>
      <c r="N670" s="43">
        <v>576</v>
      </c>
      <c r="O670" s="43">
        <v>172</v>
      </c>
      <c r="P670" s="44">
        <f>K670+L670+M670+N670+O670</f>
        <v>6865</v>
      </c>
      <c r="Q670" s="44">
        <f>I670+J670</f>
        <v>3008</v>
      </c>
      <c r="R670" s="43">
        <v>13543</v>
      </c>
      <c r="S670" s="43">
        <v>657</v>
      </c>
      <c r="T670" s="43">
        <v>3947</v>
      </c>
      <c r="U670" s="43">
        <v>249</v>
      </c>
      <c r="V670" s="43">
        <v>649</v>
      </c>
      <c r="W670" s="43">
        <v>6924</v>
      </c>
      <c r="X670" s="43">
        <v>999</v>
      </c>
      <c r="Y670" s="43">
        <v>118</v>
      </c>
      <c r="Z670" s="45">
        <f>U670+V670+W670+X670+Y670</f>
        <v>8939</v>
      </c>
      <c r="AA670" s="45">
        <f>S670+T670</f>
        <v>4604</v>
      </c>
      <c r="AB670" s="46">
        <v>4.8313582000000004</v>
      </c>
      <c r="AC670" s="46">
        <v>25.635571800000001</v>
      </c>
      <c r="AD670" s="46">
        <v>3.5045071999999999</v>
      </c>
      <c r="AE670" s="46">
        <v>28.724805</v>
      </c>
      <c r="AF670" s="46">
        <v>29.727539799999999</v>
      </c>
      <c r="AG670" s="46">
        <v>5.8340930000000002</v>
      </c>
      <c r="AH670" s="46">
        <v>1.7421249999999999</v>
      </c>
      <c r="AI670" s="47">
        <f>AB670+AC670</f>
        <v>30.466930000000001</v>
      </c>
      <c r="AJ670" s="47">
        <f>AD670+AE670+AF670+AG670+AH670</f>
        <v>69.533069999999995</v>
      </c>
      <c r="AK670" s="46">
        <v>4.8512145999999996</v>
      </c>
      <c r="AL670" s="46">
        <v>29.144207300000001</v>
      </c>
      <c r="AM670" s="46">
        <v>1.8385882</v>
      </c>
      <c r="AN670" s="46">
        <v>4.7921434999999999</v>
      </c>
      <c r="AO670" s="46">
        <v>51.126043000000003</v>
      </c>
      <c r="AP670" s="46">
        <v>7.3765045000000002</v>
      </c>
      <c r="AQ670" s="46">
        <v>0.87129880000000004</v>
      </c>
      <c r="AR670" s="48">
        <f>AK670+AL670</f>
        <v>33.995421900000004</v>
      </c>
      <c r="AS670" s="48">
        <f>AM670+AN670+AO670+AP670+AQ670</f>
        <v>66.004578000000009</v>
      </c>
    </row>
    <row r="671" spans="2:45" ht="15" hidden="1" customHeight="1" x14ac:dyDescent="0.25">
      <c r="B671" s="35">
        <v>665</v>
      </c>
      <c r="C671" s="36" t="s">
        <v>31</v>
      </c>
      <c r="D671" s="36" t="s">
        <v>226</v>
      </c>
      <c r="E671" s="36" t="s">
        <v>230</v>
      </c>
      <c r="F671" s="36" t="s">
        <v>231</v>
      </c>
      <c r="G671" s="37" t="s">
        <v>25</v>
      </c>
      <c r="H671" s="38">
        <v>3554</v>
      </c>
      <c r="I671" s="38">
        <v>435</v>
      </c>
      <c r="J671" s="38">
        <v>2508</v>
      </c>
      <c r="K671" s="38">
        <v>36</v>
      </c>
      <c r="L671" s="38">
        <v>338</v>
      </c>
      <c r="M671" s="38">
        <v>200</v>
      </c>
      <c r="N671" s="38">
        <v>22</v>
      </c>
      <c r="O671" s="38">
        <v>15</v>
      </c>
      <c r="P671" s="38"/>
      <c r="Q671" s="38"/>
      <c r="R671" s="38">
        <v>4792</v>
      </c>
      <c r="S671" s="38">
        <v>557</v>
      </c>
      <c r="T671" s="38">
        <v>3757</v>
      </c>
      <c r="U671" s="38">
        <v>25</v>
      </c>
      <c r="V671" s="38">
        <v>50</v>
      </c>
      <c r="W671" s="38">
        <v>346</v>
      </c>
      <c r="X671" s="38">
        <v>41</v>
      </c>
      <c r="Y671" s="38">
        <v>16</v>
      </c>
      <c r="Z671" s="38"/>
      <c r="AA671" s="38"/>
      <c r="AB671" s="39">
        <v>12.2397299</v>
      </c>
      <c r="AC671" s="39">
        <v>70.568373699999995</v>
      </c>
      <c r="AD671" s="39">
        <v>1.0129432</v>
      </c>
      <c r="AE671" s="39">
        <v>9.5104108000000007</v>
      </c>
      <c r="AF671" s="39">
        <v>5.6274620000000004</v>
      </c>
      <c r="AG671" s="39">
        <v>0.61902080000000004</v>
      </c>
      <c r="AH671" s="39">
        <v>0.42205969999999998</v>
      </c>
      <c r="AI671" s="39"/>
      <c r="AJ671" s="39"/>
      <c r="AK671" s="39">
        <v>11.6235392</v>
      </c>
      <c r="AL671" s="39">
        <v>78.401502500000007</v>
      </c>
      <c r="AM671" s="39">
        <v>0.52170280000000002</v>
      </c>
      <c r="AN671" s="39">
        <v>1.0434057000000001</v>
      </c>
      <c r="AO671" s="39">
        <v>7.2203673000000004</v>
      </c>
      <c r="AP671" s="39">
        <v>0.85559269999999998</v>
      </c>
      <c r="AQ671" s="39">
        <v>0.33388980000000001</v>
      </c>
      <c r="AR671" s="40"/>
      <c r="AS671" s="40"/>
    </row>
    <row r="672" spans="2:45" ht="15" hidden="1" customHeight="1" x14ac:dyDescent="0.25">
      <c r="B672" s="35">
        <v>666</v>
      </c>
      <c r="C672" s="36" t="s">
        <v>31</v>
      </c>
      <c r="D672" s="36" t="s">
        <v>226</v>
      </c>
      <c r="E672" s="36" t="s">
        <v>230</v>
      </c>
      <c r="F672" s="36" t="s">
        <v>231</v>
      </c>
      <c r="G672" s="37" t="s">
        <v>26</v>
      </c>
      <c r="H672" s="38">
        <v>6319</v>
      </c>
      <c r="I672" s="38">
        <v>42</v>
      </c>
      <c r="J672" s="38">
        <v>23</v>
      </c>
      <c r="K672" s="38">
        <v>310</v>
      </c>
      <c r="L672" s="38">
        <v>2498</v>
      </c>
      <c r="M672" s="38">
        <v>2735</v>
      </c>
      <c r="N672" s="38">
        <v>554</v>
      </c>
      <c r="O672" s="38">
        <v>157</v>
      </c>
      <c r="P672" s="38"/>
      <c r="Q672" s="38"/>
      <c r="R672" s="38">
        <v>8751</v>
      </c>
      <c r="S672" s="38">
        <v>100</v>
      </c>
      <c r="T672" s="38">
        <v>190</v>
      </c>
      <c r="U672" s="38">
        <v>224</v>
      </c>
      <c r="V672" s="38">
        <v>599</v>
      </c>
      <c r="W672" s="38">
        <v>6578</v>
      </c>
      <c r="X672" s="38">
        <v>958</v>
      </c>
      <c r="Y672" s="38">
        <v>102</v>
      </c>
      <c r="Z672" s="38"/>
      <c r="AA672" s="38"/>
      <c r="AB672" s="39">
        <v>0.66466210000000003</v>
      </c>
      <c r="AC672" s="39">
        <v>0.36398160000000002</v>
      </c>
      <c r="AD672" s="39">
        <v>4.9058394999999999</v>
      </c>
      <c r="AE672" s="39">
        <v>39.531571499999998</v>
      </c>
      <c r="AF672" s="39">
        <v>43.282164899999998</v>
      </c>
      <c r="AG672" s="39">
        <v>8.7672100000000004</v>
      </c>
      <c r="AH672" s="39">
        <v>2.4845703000000001</v>
      </c>
      <c r="AI672" s="39"/>
      <c r="AJ672" s="39"/>
      <c r="AK672" s="39">
        <v>1.1427265</v>
      </c>
      <c r="AL672" s="39">
        <v>2.1711803999999999</v>
      </c>
      <c r="AM672" s="39">
        <v>2.5597075</v>
      </c>
      <c r="AN672" s="39">
        <v>6.844932</v>
      </c>
      <c r="AO672" s="39">
        <v>75.168552199999993</v>
      </c>
      <c r="AP672" s="39">
        <v>10.947320299999999</v>
      </c>
      <c r="AQ672" s="39">
        <v>1.1655811</v>
      </c>
      <c r="AR672" s="40"/>
      <c r="AS672" s="40"/>
    </row>
    <row r="673" spans="2:45" ht="15" customHeight="1" x14ac:dyDescent="0.25">
      <c r="B673" s="41">
        <v>667</v>
      </c>
      <c r="C673" s="42" t="s">
        <v>31</v>
      </c>
      <c r="D673" s="51" t="s">
        <v>226</v>
      </c>
      <c r="E673" s="51" t="s">
        <v>230</v>
      </c>
      <c r="F673" s="51" t="s">
        <v>232</v>
      </c>
      <c r="G673" s="52" t="s">
        <v>232</v>
      </c>
      <c r="H673" s="43">
        <v>1555</v>
      </c>
      <c r="I673" s="43">
        <v>12</v>
      </c>
      <c r="J673" s="43">
        <v>2</v>
      </c>
      <c r="K673" s="43">
        <v>230</v>
      </c>
      <c r="L673" s="43">
        <v>211</v>
      </c>
      <c r="M673" s="43">
        <v>723</v>
      </c>
      <c r="N673" s="43">
        <v>310</v>
      </c>
      <c r="O673" s="43">
        <v>67</v>
      </c>
      <c r="P673" s="44">
        <f>K673+L673+M673+N673+O673</f>
        <v>1541</v>
      </c>
      <c r="Q673" s="44">
        <f>I673+J673</f>
        <v>14</v>
      </c>
      <c r="R673" s="43">
        <v>2326</v>
      </c>
      <c r="S673" s="43">
        <v>77</v>
      </c>
      <c r="T673" s="43">
        <v>361</v>
      </c>
      <c r="U673" s="43">
        <v>89</v>
      </c>
      <c r="V673" s="43">
        <v>46</v>
      </c>
      <c r="W673" s="43">
        <v>1300</v>
      </c>
      <c r="X673" s="43">
        <v>411</v>
      </c>
      <c r="Y673" s="43">
        <v>42</v>
      </c>
      <c r="Z673" s="45">
        <f>U673+V673+W673+X673+Y673</f>
        <v>1888</v>
      </c>
      <c r="AA673" s="45">
        <f>S673+T673</f>
        <v>438</v>
      </c>
      <c r="AB673" s="46">
        <v>0.77170419999999995</v>
      </c>
      <c r="AC673" s="46">
        <v>0.12861739999999999</v>
      </c>
      <c r="AD673" s="46">
        <v>14.7909968</v>
      </c>
      <c r="AE673" s="46">
        <v>13.569131799999999</v>
      </c>
      <c r="AF673" s="46">
        <v>46.495176800000003</v>
      </c>
      <c r="AG673" s="46">
        <v>19.935691299999998</v>
      </c>
      <c r="AH673" s="46">
        <v>4.3086817000000002</v>
      </c>
      <c r="AI673" s="47">
        <f>AB673+AC673</f>
        <v>0.90032159999999994</v>
      </c>
      <c r="AJ673" s="47">
        <f>AD673+AE673+AF673+AG673+AH673</f>
        <v>99.099678400000002</v>
      </c>
      <c r="AK673" s="46">
        <v>3.3104041</v>
      </c>
      <c r="AL673" s="46">
        <v>15.520206399999999</v>
      </c>
      <c r="AM673" s="46">
        <v>3.8263113</v>
      </c>
      <c r="AN673" s="46">
        <v>1.977644</v>
      </c>
      <c r="AO673" s="46">
        <v>55.889939800000001</v>
      </c>
      <c r="AP673" s="46">
        <v>17.669819400000002</v>
      </c>
      <c r="AQ673" s="46">
        <v>1.8056749999999999</v>
      </c>
      <c r="AR673" s="48">
        <f>AK673+AL673</f>
        <v>18.830610499999999</v>
      </c>
      <c r="AS673" s="48">
        <f>AM673+AN673+AO673+AP673+AQ673</f>
        <v>81.169389499999994</v>
      </c>
    </row>
    <row r="674" spans="2:45" ht="15" hidden="1" customHeight="1" x14ac:dyDescent="0.25">
      <c r="B674" s="35">
        <v>668</v>
      </c>
      <c r="C674" s="36" t="s">
        <v>31</v>
      </c>
      <c r="D674" s="36" t="s">
        <v>226</v>
      </c>
      <c r="E674" s="36" t="s">
        <v>230</v>
      </c>
      <c r="F674" s="36" t="s">
        <v>232</v>
      </c>
      <c r="G674" s="37" t="s">
        <v>25</v>
      </c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40"/>
      <c r="AS674" s="40"/>
    </row>
    <row r="675" spans="2:45" ht="15" hidden="1" customHeight="1" x14ac:dyDescent="0.25">
      <c r="B675" s="35">
        <v>669</v>
      </c>
      <c r="C675" s="36" t="s">
        <v>31</v>
      </c>
      <c r="D675" s="36" t="s">
        <v>226</v>
      </c>
      <c r="E675" s="36" t="s">
        <v>230</v>
      </c>
      <c r="F675" s="36" t="s">
        <v>232</v>
      </c>
      <c r="G675" s="37" t="s">
        <v>26</v>
      </c>
      <c r="H675" s="38">
        <v>1555</v>
      </c>
      <c r="I675" s="38">
        <v>12</v>
      </c>
      <c r="J675" s="38">
        <v>2</v>
      </c>
      <c r="K675" s="38">
        <v>230</v>
      </c>
      <c r="L675" s="38">
        <v>211</v>
      </c>
      <c r="M675" s="38">
        <v>723</v>
      </c>
      <c r="N675" s="38">
        <v>310</v>
      </c>
      <c r="O675" s="38">
        <v>67</v>
      </c>
      <c r="P675" s="38"/>
      <c r="Q675" s="38"/>
      <c r="R675" s="38">
        <v>2326</v>
      </c>
      <c r="S675" s="38">
        <v>77</v>
      </c>
      <c r="T675" s="38">
        <v>361</v>
      </c>
      <c r="U675" s="38">
        <v>89</v>
      </c>
      <c r="V675" s="38">
        <v>46</v>
      </c>
      <c r="W675" s="38">
        <v>1300</v>
      </c>
      <c r="X675" s="38">
        <v>411</v>
      </c>
      <c r="Y675" s="38">
        <v>42</v>
      </c>
      <c r="Z675" s="38"/>
      <c r="AA675" s="38"/>
      <c r="AB675" s="39">
        <v>0.77170419999999995</v>
      </c>
      <c r="AC675" s="39">
        <v>0.12861739999999999</v>
      </c>
      <c r="AD675" s="39">
        <v>14.7909968</v>
      </c>
      <c r="AE675" s="39">
        <v>13.569131799999999</v>
      </c>
      <c r="AF675" s="39">
        <v>46.495176800000003</v>
      </c>
      <c r="AG675" s="39">
        <v>19.935691299999998</v>
      </c>
      <c r="AH675" s="39">
        <v>4.3086817000000002</v>
      </c>
      <c r="AI675" s="39"/>
      <c r="AJ675" s="39"/>
      <c r="AK675" s="39">
        <v>3.3104041</v>
      </c>
      <c r="AL675" s="39">
        <v>15.520206399999999</v>
      </c>
      <c r="AM675" s="39">
        <v>3.8263113</v>
      </c>
      <c r="AN675" s="39">
        <v>1.977644</v>
      </c>
      <c r="AO675" s="39">
        <v>55.889939800000001</v>
      </c>
      <c r="AP675" s="39">
        <v>17.669819400000002</v>
      </c>
      <c r="AQ675" s="39">
        <v>1.8056749999999999</v>
      </c>
      <c r="AR675" s="40"/>
      <c r="AS675" s="40"/>
    </row>
    <row r="676" spans="2:45" ht="15" hidden="1" customHeight="1" x14ac:dyDescent="0.25">
      <c r="B676" s="30">
        <v>670</v>
      </c>
      <c r="C676" s="31" t="s">
        <v>29</v>
      </c>
      <c r="D676" s="50" t="s">
        <v>226</v>
      </c>
      <c r="E676" s="50" t="s">
        <v>233</v>
      </c>
      <c r="F676" s="50"/>
      <c r="G676" s="31" t="s">
        <v>233</v>
      </c>
      <c r="H676" s="32">
        <v>3688</v>
      </c>
      <c r="I676" s="32">
        <v>51</v>
      </c>
      <c r="J676" s="32">
        <v>21</v>
      </c>
      <c r="K676" s="32">
        <v>486</v>
      </c>
      <c r="L676" s="32">
        <v>677</v>
      </c>
      <c r="M676" s="32">
        <v>1835</v>
      </c>
      <c r="N676" s="32">
        <v>333</v>
      </c>
      <c r="O676" s="32">
        <v>285</v>
      </c>
      <c r="P676" s="32"/>
      <c r="Q676" s="32"/>
      <c r="R676" s="32">
        <v>5338</v>
      </c>
      <c r="S676" s="32">
        <v>348</v>
      </c>
      <c r="T676" s="32">
        <v>54</v>
      </c>
      <c r="U676" s="32">
        <v>325</v>
      </c>
      <c r="V676" s="32">
        <v>181</v>
      </c>
      <c r="W676" s="32">
        <v>3461</v>
      </c>
      <c r="X676" s="32">
        <v>888</v>
      </c>
      <c r="Y676" s="32">
        <v>81</v>
      </c>
      <c r="Z676" s="32"/>
      <c r="AA676" s="32"/>
      <c r="AB676" s="33">
        <v>1.3828632999999999</v>
      </c>
      <c r="AC676" s="33">
        <v>0.56941430000000004</v>
      </c>
      <c r="AD676" s="33">
        <v>13.1778742</v>
      </c>
      <c r="AE676" s="33">
        <v>18.356833000000002</v>
      </c>
      <c r="AF676" s="33">
        <v>49.7559653</v>
      </c>
      <c r="AG676" s="33">
        <v>9.0292841999999993</v>
      </c>
      <c r="AH676" s="33">
        <v>7.7277657</v>
      </c>
      <c r="AI676" s="33"/>
      <c r="AJ676" s="33"/>
      <c r="AK676" s="33">
        <v>6.5192956000000004</v>
      </c>
      <c r="AL676" s="33">
        <v>1.0116148</v>
      </c>
      <c r="AM676" s="33">
        <v>6.0884226000000004</v>
      </c>
      <c r="AN676" s="33">
        <v>3.3907831000000002</v>
      </c>
      <c r="AO676" s="33">
        <v>64.837017599999996</v>
      </c>
      <c r="AP676" s="33">
        <v>16.635444</v>
      </c>
      <c r="AQ676" s="33">
        <v>1.5174223</v>
      </c>
      <c r="AR676" s="34"/>
      <c r="AS676" s="34"/>
    </row>
    <row r="677" spans="2:45" ht="15" hidden="1" customHeight="1" x14ac:dyDescent="0.25">
      <c r="B677" s="35">
        <v>671</v>
      </c>
      <c r="C677" s="36" t="s">
        <v>29</v>
      </c>
      <c r="D677" s="36" t="s">
        <v>226</v>
      </c>
      <c r="E677" s="36" t="s">
        <v>233</v>
      </c>
      <c r="F677" s="36"/>
      <c r="G677" s="37" t="s">
        <v>25</v>
      </c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40"/>
      <c r="AS677" s="40"/>
    </row>
    <row r="678" spans="2:45" ht="15" hidden="1" customHeight="1" x14ac:dyDescent="0.25">
      <c r="B678" s="35">
        <v>672</v>
      </c>
      <c r="C678" s="36" t="s">
        <v>29</v>
      </c>
      <c r="D678" s="36" t="s">
        <v>226</v>
      </c>
      <c r="E678" s="36" t="s">
        <v>233</v>
      </c>
      <c r="F678" s="36"/>
      <c r="G678" s="37" t="s">
        <v>26</v>
      </c>
      <c r="H678" s="38">
        <v>3688</v>
      </c>
      <c r="I678" s="38">
        <v>51</v>
      </c>
      <c r="J678" s="38">
        <v>21</v>
      </c>
      <c r="K678" s="38">
        <v>486</v>
      </c>
      <c r="L678" s="38">
        <v>677</v>
      </c>
      <c r="M678" s="38">
        <v>1835</v>
      </c>
      <c r="N678" s="38">
        <v>333</v>
      </c>
      <c r="O678" s="38">
        <v>285</v>
      </c>
      <c r="P678" s="38"/>
      <c r="Q678" s="38"/>
      <c r="R678" s="38">
        <v>5338</v>
      </c>
      <c r="S678" s="38">
        <v>348</v>
      </c>
      <c r="T678" s="38">
        <v>54</v>
      </c>
      <c r="U678" s="38">
        <v>325</v>
      </c>
      <c r="V678" s="38">
        <v>181</v>
      </c>
      <c r="W678" s="38">
        <v>3461</v>
      </c>
      <c r="X678" s="38">
        <v>888</v>
      </c>
      <c r="Y678" s="38">
        <v>81</v>
      </c>
      <c r="Z678" s="38"/>
      <c r="AA678" s="38"/>
      <c r="AB678" s="39">
        <v>1.3828632999999999</v>
      </c>
      <c r="AC678" s="39">
        <v>0.56941430000000004</v>
      </c>
      <c r="AD678" s="39">
        <v>13.1778742</v>
      </c>
      <c r="AE678" s="39">
        <v>18.356833000000002</v>
      </c>
      <c r="AF678" s="39">
        <v>49.7559653</v>
      </c>
      <c r="AG678" s="39">
        <v>9.0292841999999993</v>
      </c>
      <c r="AH678" s="39">
        <v>7.7277657</v>
      </c>
      <c r="AI678" s="39"/>
      <c r="AJ678" s="39"/>
      <c r="AK678" s="39">
        <v>6.5192956000000004</v>
      </c>
      <c r="AL678" s="39">
        <v>1.0116148</v>
      </c>
      <c r="AM678" s="39">
        <v>6.0884226000000004</v>
      </c>
      <c r="AN678" s="39">
        <v>3.3907831000000002</v>
      </c>
      <c r="AO678" s="39">
        <v>64.837017599999996</v>
      </c>
      <c r="AP678" s="39">
        <v>16.635444</v>
      </c>
      <c r="AQ678" s="39">
        <v>1.5174223</v>
      </c>
      <c r="AR678" s="40"/>
      <c r="AS678" s="40"/>
    </row>
    <row r="679" spans="2:45" ht="15" customHeight="1" x14ac:dyDescent="0.25">
      <c r="B679" s="41">
        <v>673</v>
      </c>
      <c r="C679" s="42" t="s">
        <v>31</v>
      </c>
      <c r="D679" s="51" t="s">
        <v>226</v>
      </c>
      <c r="E679" s="51" t="s">
        <v>233</v>
      </c>
      <c r="F679" s="51" t="s">
        <v>234</v>
      </c>
      <c r="G679" s="52" t="s">
        <v>234</v>
      </c>
      <c r="H679" s="43">
        <v>3172</v>
      </c>
      <c r="I679" s="43">
        <v>29</v>
      </c>
      <c r="J679" s="43">
        <v>6</v>
      </c>
      <c r="K679" s="43">
        <v>463</v>
      </c>
      <c r="L679" s="43">
        <v>602</v>
      </c>
      <c r="M679" s="43">
        <v>1520</v>
      </c>
      <c r="N679" s="43">
        <v>288</v>
      </c>
      <c r="O679" s="43">
        <v>264</v>
      </c>
      <c r="P679" s="44">
        <f>K679+L679+M679+N679+O679</f>
        <v>3137</v>
      </c>
      <c r="Q679" s="44">
        <f>I679+J679</f>
        <v>35</v>
      </c>
      <c r="R679" s="43">
        <v>4667</v>
      </c>
      <c r="S679" s="43">
        <v>292</v>
      </c>
      <c r="T679" s="43">
        <v>21</v>
      </c>
      <c r="U679" s="43">
        <v>300</v>
      </c>
      <c r="V679" s="43">
        <v>164</v>
      </c>
      <c r="W679" s="43">
        <v>3030</v>
      </c>
      <c r="X679" s="43">
        <v>789</v>
      </c>
      <c r="Y679" s="43">
        <v>71</v>
      </c>
      <c r="Z679" s="45">
        <f>U679+V679+W679+X679+Y679</f>
        <v>4354</v>
      </c>
      <c r="AA679" s="45">
        <f>S679+T679</f>
        <v>313</v>
      </c>
      <c r="AB679" s="46">
        <v>0.91424970000000005</v>
      </c>
      <c r="AC679" s="46">
        <v>0.18915509999999999</v>
      </c>
      <c r="AD679" s="46">
        <v>14.5964691</v>
      </c>
      <c r="AE679" s="46">
        <v>18.978562400000001</v>
      </c>
      <c r="AF679" s="46">
        <v>47.919293799999998</v>
      </c>
      <c r="AG679" s="46">
        <v>9.0794450999999992</v>
      </c>
      <c r="AH679" s="46">
        <v>8.3228247</v>
      </c>
      <c r="AI679" s="47">
        <f>AB679+AC679</f>
        <v>1.1034048000000001</v>
      </c>
      <c r="AJ679" s="47">
        <f>AD679+AE679+AF679+AG679+AH679</f>
        <v>98.896595099999999</v>
      </c>
      <c r="AK679" s="46">
        <v>6.2566959999999998</v>
      </c>
      <c r="AL679" s="46">
        <v>0.44996789999999998</v>
      </c>
      <c r="AM679" s="46">
        <v>6.4281122999999996</v>
      </c>
      <c r="AN679" s="46">
        <v>3.5140346999999998</v>
      </c>
      <c r="AO679" s="46">
        <v>64.923934000000003</v>
      </c>
      <c r="AP679" s="46">
        <v>16.905935299999999</v>
      </c>
      <c r="AQ679" s="46">
        <v>1.5213198999999999</v>
      </c>
      <c r="AR679" s="48">
        <f>AK679+AL679</f>
        <v>6.7066638999999997</v>
      </c>
      <c r="AS679" s="48">
        <f>AM679+AN679+AO679+AP679+AQ679</f>
        <v>93.293336199999999</v>
      </c>
    </row>
    <row r="680" spans="2:45" ht="15" hidden="1" customHeight="1" x14ac:dyDescent="0.25">
      <c r="B680" s="35">
        <v>674</v>
      </c>
      <c r="C680" s="36" t="s">
        <v>31</v>
      </c>
      <c r="D680" s="36" t="s">
        <v>226</v>
      </c>
      <c r="E680" s="36" t="s">
        <v>233</v>
      </c>
      <c r="F680" s="36" t="s">
        <v>234</v>
      </c>
      <c r="G680" s="37" t="s">
        <v>25</v>
      </c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40"/>
      <c r="AS680" s="40"/>
    </row>
    <row r="681" spans="2:45" ht="15" hidden="1" customHeight="1" x14ac:dyDescent="0.25">
      <c r="B681" s="35">
        <v>675</v>
      </c>
      <c r="C681" s="36" t="s">
        <v>31</v>
      </c>
      <c r="D681" s="36" t="s">
        <v>226</v>
      </c>
      <c r="E681" s="36" t="s">
        <v>233</v>
      </c>
      <c r="F681" s="36" t="s">
        <v>234</v>
      </c>
      <c r="G681" s="37" t="s">
        <v>26</v>
      </c>
      <c r="H681" s="38">
        <v>3172</v>
      </c>
      <c r="I681" s="38">
        <v>29</v>
      </c>
      <c r="J681" s="38">
        <v>6</v>
      </c>
      <c r="K681" s="38">
        <v>463</v>
      </c>
      <c r="L681" s="38">
        <v>602</v>
      </c>
      <c r="M681" s="38">
        <v>1520</v>
      </c>
      <c r="N681" s="38">
        <v>288</v>
      </c>
      <c r="O681" s="38">
        <v>264</v>
      </c>
      <c r="P681" s="38"/>
      <c r="Q681" s="38"/>
      <c r="R681" s="38">
        <v>4667</v>
      </c>
      <c r="S681" s="38">
        <v>292</v>
      </c>
      <c r="T681" s="38">
        <v>21</v>
      </c>
      <c r="U681" s="38">
        <v>300</v>
      </c>
      <c r="V681" s="38">
        <v>164</v>
      </c>
      <c r="W681" s="38">
        <v>3030</v>
      </c>
      <c r="X681" s="38">
        <v>789</v>
      </c>
      <c r="Y681" s="38">
        <v>71</v>
      </c>
      <c r="Z681" s="38"/>
      <c r="AA681" s="38"/>
      <c r="AB681" s="39">
        <v>0.91424970000000005</v>
      </c>
      <c r="AC681" s="39">
        <v>0.18915509999999999</v>
      </c>
      <c r="AD681" s="39">
        <v>14.5964691</v>
      </c>
      <c r="AE681" s="39">
        <v>18.978562400000001</v>
      </c>
      <c r="AF681" s="39">
        <v>47.919293799999998</v>
      </c>
      <c r="AG681" s="39">
        <v>9.0794450999999992</v>
      </c>
      <c r="AH681" s="39">
        <v>8.3228247</v>
      </c>
      <c r="AI681" s="39"/>
      <c r="AJ681" s="39"/>
      <c r="AK681" s="39">
        <v>6.2566959999999998</v>
      </c>
      <c r="AL681" s="39">
        <v>0.44996789999999998</v>
      </c>
      <c r="AM681" s="39">
        <v>6.4281122999999996</v>
      </c>
      <c r="AN681" s="39">
        <v>3.5140346999999998</v>
      </c>
      <c r="AO681" s="39">
        <v>64.923934000000003</v>
      </c>
      <c r="AP681" s="39">
        <v>16.905935299999999</v>
      </c>
      <c r="AQ681" s="39">
        <v>1.5213198999999999</v>
      </c>
      <c r="AR681" s="40"/>
      <c r="AS681" s="40"/>
    </row>
    <row r="682" spans="2:45" ht="15" customHeight="1" x14ac:dyDescent="0.25">
      <c r="B682" s="41">
        <v>676</v>
      </c>
      <c r="C682" s="42" t="s">
        <v>31</v>
      </c>
      <c r="D682" s="51" t="s">
        <v>226</v>
      </c>
      <c r="E682" s="51" t="s">
        <v>233</v>
      </c>
      <c r="F682" s="51" t="s">
        <v>235</v>
      </c>
      <c r="G682" s="52" t="s">
        <v>235</v>
      </c>
      <c r="H682" s="43">
        <v>516</v>
      </c>
      <c r="I682" s="43">
        <v>22</v>
      </c>
      <c r="J682" s="43">
        <v>15</v>
      </c>
      <c r="K682" s="43">
        <v>23</v>
      </c>
      <c r="L682" s="43">
        <v>75</v>
      </c>
      <c r="M682" s="43">
        <v>315</v>
      </c>
      <c r="N682" s="43">
        <v>45</v>
      </c>
      <c r="O682" s="43">
        <v>21</v>
      </c>
      <c r="P682" s="44">
        <f>K682+L682+M682+N682+O682</f>
        <v>479</v>
      </c>
      <c r="Q682" s="44">
        <f>I682+J682</f>
        <v>37</v>
      </c>
      <c r="R682" s="43">
        <v>671</v>
      </c>
      <c r="S682" s="43">
        <v>56</v>
      </c>
      <c r="T682" s="43">
        <v>33</v>
      </c>
      <c r="U682" s="43">
        <v>25</v>
      </c>
      <c r="V682" s="43">
        <v>17</v>
      </c>
      <c r="W682" s="43">
        <v>431</v>
      </c>
      <c r="X682" s="43">
        <v>99</v>
      </c>
      <c r="Y682" s="43">
        <v>10</v>
      </c>
      <c r="Z682" s="45">
        <f>U682+V682+W682+X682+Y682</f>
        <v>582</v>
      </c>
      <c r="AA682" s="45">
        <f>S682+T682</f>
        <v>89</v>
      </c>
      <c r="AB682" s="46">
        <v>4.2635658999999997</v>
      </c>
      <c r="AC682" s="46">
        <v>2.9069767</v>
      </c>
      <c r="AD682" s="46">
        <v>4.4573643000000001</v>
      </c>
      <c r="AE682" s="46">
        <v>14.5348837</v>
      </c>
      <c r="AF682" s="46">
        <v>61.046511600000002</v>
      </c>
      <c r="AG682" s="46">
        <v>8.7209301999999997</v>
      </c>
      <c r="AH682" s="46">
        <v>4.0697673999999999</v>
      </c>
      <c r="AI682" s="47">
        <f>AB682+AC682</f>
        <v>7.1705425999999992</v>
      </c>
      <c r="AJ682" s="47">
        <f>AD682+AE682+AF682+AG682+AH682</f>
        <v>92.829457200000007</v>
      </c>
      <c r="AK682" s="46">
        <v>8.3457526000000009</v>
      </c>
      <c r="AL682" s="46">
        <v>4.9180327999999998</v>
      </c>
      <c r="AM682" s="46">
        <v>3.7257823999999999</v>
      </c>
      <c r="AN682" s="46">
        <v>2.5335320000000001</v>
      </c>
      <c r="AO682" s="46">
        <v>64.232488799999999</v>
      </c>
      <c r="AP682" s="46">
        <v>14.7540984</v>
      </c>
      <c r="AQ682" s="46">
        <v>1.490313</v>
      </c>
      <c r="AR682" s="48">
        <f>AK682+AL682</f>
        <v>13.2637854</v>
      </c>
      <c r="AS682" s="48">
        <f>AM682+AN682+AO682+AP682+AQ682</f>
        <v>86.736214599999997</v>
      </c>
    </row>
    <row r="683" spans="2:45" ht="15" hidden="1" customHeight="1" x14ac:dyDescent="0.25">
      <c r="B683" s="35">
        <v>677</v>
      </c>
      <c r="C683" s="36" t="s">
        <v>31</v>
      </c>
      <c r="D683" s="36" t="s">
        <v>226</v>
      </c>
      <c r="E683" s="36" t="s">
        <v>233</v>
      </c>
      <c r="F683" s="36" t="s">
        <v>235</v>
      </c>
      <c r="G683" s="37" t="s">
        <v>25</v>
      </c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40"/>
      <c r="AS683" s="40"/>
    </row>
    <row r="684" spans="2:45" ht="15" hidden="1" customHeight="1" x14ac:dyDescent="0.25">
      <c r="B684" s="35">
        <v>678</v>
      </c>
      <c r="C684" s="36" t="s">
        <v>31</v>
      </c>
      <c r="D684" s="36" t="s">
        <v>226</v>
      </c>
      <c r="E684" s="36" t="s">
        <v>233</v>
      </c>
      <c r="F684" s="36" t="s">
        <v>235</v>
      </c>
      <c r="G684" s="37" t="s">
        <v>26</v>
      </c>
      <c r="H684" s="38">
        <v>516</v>
      </c>
      <c r="I684" s="38">
        <v>22</v>
      </c>
      <c r="J684" s="38">
        <v>15</v>
      </c>
      <c r="K684" s="38">
        <v>23</v>
      </c>
      <c r="L684" s="38">
        <v>75</v>
      </c>
      <c r="M684" s="38">
        <v>315</v>
      </c>
      <c r="N684" s="38">
        <v>45</v>
      </c>
      <c r="O684" s="38">
        <v>21</v>
      </c>
      <c r="P684" s="38"/>
      <c r="Q684" s="38"/>
      <c r="R684" s="38">
        <v>671</v>
      </c>
      <c r="S684" s="38">
        <v>56</v>
      </c>
      <c r="T684" s="38">
        <v>33</v>
      </c>
      <c r="U684" s="38">
        <v>25</v>
      </c>
      <c r="V684" s="38">
        <v>17</v>
      </c>
      <c r="W684" s="38">
        <v>431</v>
      </c>
      <c r="X684" s="38">
        <v>99</v>
      </c>
      <c r="Y684" s="38">
        <v>10</v>
      </c>
      <c r="Z684" s="38"/>
      <c r="AA684" s="38"/>
      <c r="AB684" s="39">
        <v>4.2635658999999997</v>
      </c>
      <c r="AC684" s="39">
        <v>2.9069767</v>
      </c>
      <c r="AD684" s="39">
        <v>4.4573643000000001</v>
      </c>
      <c r="AE684" s="39">
        <v>14.5348837</v>
      </c>
      <c r="AF684" s="39">
        <v>61.046511600000002</v>
      </c>
      <c r="AG684" s="39">
        <v>8.7209301999999997</v>
      </c>
      <c r="AH684" s="39">
        <v>4.0697673999999999</v>
      </c>
      <c r="AI684" s="39"/>
      <c r="AJ684" s="39"/>
      <c r="AK684" s="39">
        <v>8.3457526000000009</v>
      </c>
      <c r="AL684" s="39">
        <v>4.9180327999999998</v>
      </c>
      <c r="AM684" s="39">
        <v>3.7257823999999999</v>
      </c>
      <c r="AN684" s="39">
        <v>2.5335320000000001</v>
      </c>
      <c r="AO684" s="39">
        <v>64.232488799999999</v>
      </c>
      <c r="AP684" s="39">
        <v>14.7540984</v>
      </c>
      <c r="AQ684" s="39">
        <v>1.490313</v>
      </c>
      <c r="AR684" s="40"/>
      <c r="AS684" s="40"/>
    </row>
    <row r="685" spans="2:45" ht="15" hidden="1" customHeight="1" x14ac:dyDescent="0.25">
      <c r="B685" s="30">
        <v>679</v>
      </c>
      <c r="C685" s="31" t="s">
        <v>29</v>
      </c>
      <c r="D685" s="50" t="s">
        <v>226</v>
      </c>
      <c r="E685" s="50" t="s">
        <v>236</v>
      </c>
      <c r="F685" s="50"/>
      <c r="G685" s="31" t="s">
        <v>236</v>
      </c>
      <c r="H685" s="32">
        <v>2911</v>
      </c>
      <c r="I685" s="32">
        <v>354</v>
      </c>
      <c r="J685" s="32">
        <v>254</v>
      </c>
      <c r="K685" s="32">
        <v>98</v>
      </c>
      <c r="L685" s="32">
        <v>114</v>
      </c>
      <c r="M685" s="32">
        <v>1740</v>
      </c>
      <c r="N685" s="32">
        <v>262</v>
      </c>
      <c r="O685" s="32">
        <v>89</v>
      </c>
      <c r="P685" s="32"/>
      <c r="Q685" s="32"/>
      <c r="R685" s="32">
        <v>3747</v>
      </c>
      <c r="S685" s="32">
        <v>468</v>
      </c>
      <c r="T685" s="32">
        <v>447</v>
      </c>
      <c r="U685" s="32">
        <v>47</v>
      </c>
      <c r="V685" s="32">
        <v>32</v>
      </c>
      <c r="W685" s="32">
        <v>2363</v>
      </c>
      <c r="X685" s="32">
        <v>365</v>
      </c>
      <c r="Y685" s="32">
        <v>25</v>
      </c>
      <c r="Z685" s="32"/>
      <c r="AA685" s="32"/>
      <c r="AB685" s="33">
        <v>12.160769500000001</v>
      </c>
      <c r="AC685" s="33">
        <v>8.7255239000000007</v>
      </c>
      <c r="AD685" s="33">
        <v>3.3665406999999998</v>
      </c>
      <c r="AE685" s="33">
        <v>3.9161800000000002</v>
      </c>
      <c r="AF685" s="33">
        <v>59.773273799999998</v>
      </c>
      <c r="AG685" s="33">
        <v>9.0003434999999996</v>
      </c>
      <c r="AH685" s="33">
        <v>3.0573686000000002</v>
      </c>
      <c r="AI685" s="33"/>
      <c r="AJ685" s="33"/>
      <c r="AK685" s="33">
        <v>12.489992000000001</v>
      </c>
      <c r="AL685" s="33">
        <v>11.929543600000001</v>
      </c>
      <c r="AM685" s="33">
        <v>1.2543367999999999</v>
      </c>
      <c r="AN685" s="33">
        <v>0.85401649999999996</v>
      </c>
      <c r="AO685" s="33">
        <v>63.063784400000003</v>
      </c>
      <c r="AP685" s="33">
        <v>9.7411262000000001</v>
      </c>
      <c r="AQ685" s="33">
        <v>0.66720040000000003</v>
      </c>
      <c r="AR685" s="34"/>
      <c r="AS685" s="34"/>
    </row>
    <row r="686" spans="2:45" ht="15" hidden="1" customHeight="1" x14ac:dyDescent="0.25">
      <c r="B686" s="35">
        <v>680</v>
      </c>
      <c r="C686" s="36" t="s">
        <v>29</v>
      </c>
      <c r="D686" s="36" t="s">
        <v>226</v>
      </c>
      <c r="E686" s="36" t="s">
        <v>236</v>
      </c>
      <c r="F686" s="36"/>
      <c r="G686" s="37" t="s">
        <v>25</v>
      </c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40"/>
      <c r="AS686" s="40"/>
    </row>
    <row r="687" spans="2:45" ht="15" hidden="1" customHeight="1" x14ac:dyDescent="0.25">
      <c r="B687" s="35">
        <v>681</v>
      </c>
      <c r="C687" s="36" t="s">
        <v>29</v>
      </c>
      <c r="D687" s="36" t="s">
        <v>226</v>
      </c>
      <c r="E687" s="36" t="s">
        <v>236</v>
      </c>
      <c r="F687" s="36"/>
      <c r="G687" s="37" t="s">
        <v>26</v>
      </c>
      <c r="H687" s="38">
        <v>2911</v>
      </c>
      <c r="I687" s="38">
        <v>354</v>
      </c>
      <c r="J687" s="38">
        <v>254</v>
      </c>
      <c r="K687" s="38">
        <v>98</v>
      </c>
      <c r="L687" s="38">
        <v>114</v>
      </c>
      <c r="M687" s="38">
        <v>1740</v>
      </c>
      <c r="N687" s="38">
        <v>262</v>
      </c>
      <c r="O687" s="38">
        <v>89</v>
      </c>
      <c r="P687" s="38"/>
      <c r="Q687" s="38"/>
      <c r="R687" s="38">
        <v>3747</v>
      </c>
      <c r="S687" s="38">
        <v>468</v>
      </c>
      <c r="T687" s="38">
        <v>447</v>
      </c>
      <c r="U687" s="38">
        <v>47</v>
      </c>
      <c r="V687" s="38">
        <v>32</v>
      </c>
      <c r="W687" s="38">
        <v>2363</v>
      </c>
      <c r="X687" s="38">
        <v>365</v>
      </c>
      <c r="Y687" s="38">
        <v>25</v>
      </c>
      <c r="Z687" s="38"/>
      <c r="AA687" s="38"/>
      <c r="AB687" s="39">
        <v>12.160769500000001</v>
      </c>
      <c r="AC687" s="39">
        <v>8.7255239000000007</v>
      </c>
      <c r="AD687" s="39">
        <v>3.3665406999999998</v>
      </c>
      <c r="AE687" s="39">
        <v>3.9161800000000002</v>
      </c>
      <c r="AF687" s="39">
        <v>59.773273799999998</v>
      </c>
      <c r="AG687" s="39">
        <v>9.0003434999999996</v>
      </c>
      <c r="AH687" s="39">
        <v>3.0573686000000002</v>
      </c>
      <c r="AI687" s="39"/>
      <c r="AJ687" s="39"/>
      <c r="AK687" s="39">
        <v>12.489992000000001</v>
      </c>
      <c r="AL687" s="39">
        <v>11.929543600000001</v>
      </c>
      <c r="AM687" s="39">
        <v>1.2543367999999999</v>
      </c>
      <c r="AN687" s="39">
        <v>0.85401649999999996</v>
      </c>
      <c r="AO687" s="39">
        <v>63.063784400000003</v>
      </c>
      <c r="AP687" s="39">
        <v>9.7411262000000001</v>
      </c>
      <c r="AQ687" s="39">
        <v>0.66720040000000003</v>
      </c>
      <c r="AR687" s="40"/>
      <c r="AS687" s="40"/>
    </row>
    <row r="688" spans="2:45" ht="15" customHeight="1" x14ac:dyDescent="0.25">
      <c r="B688" s="41">
        <v>682</v>
      </c>
      <c r="C688" s="42" t="s">
        <v>31</v>
      </c>
      <c r="D688" s="51" t="s">
        <v>226</v>
      </c>
      <c r="E688" s="51" t="s">
        <v>236</v>
      </c>
      <c r="F688" s="51" t="s">
        <v>237</v>
      </c>
      <c r="G688" s="52" t="s">
        <v>237</v>
      </c>
      <c r="H688" s="43">
        <v>1355</v>
      </c>
      <c r="I688" s="43">
        <v>224</v>
      </c>
      <c r="J688" s="43">
        <v>250</v>
      </c>
      <c r="K688" s="43">
        <v>47</v>
      </c>
      <c r="L688" s="43">
        <v>67</v>
      </c>
      <c r="M688" s="43">
        <v>607</v>
      </c>
      <c r="N688" s="43">
        <v>122</v>
      </c>
      <c r="O688" s="43">
        <v>38</v>
      </c>
      <c r="P688" s="44">
        <f>K688+L688+M688+N688+O688</f>
        <v>881</v>
      </c>
      <c r="Q688" s="44">
        <f>I688+J688</f>
        <v>474</v>
      </c>
      <c r="R688" s="43">
        <v>1987</v>
      </c>
      <c r="S688" s="43">
        <v>232</v>
      </c>
      <c r="T688" s="43">
        <v>382</v>
      </c>
      <c r="U688" s="43">
        <v>25</v>
      </c>
      <c r="V688" s="43">
        <v>23</v>
      </c>
      <c r="W688" s="43">
        <v>1079</v>
      </c>
      <c r="X688" s="43">
        <v>238</v>
      </c>
      <c r="Y688" s="43">
        <v>8</v>
      </c>
      <c r="Z688" s="45">
        <f>U688+V688+W688+X688+Y688</f>
        <v>1373</v>
      </c>
      <c r="AA688" s="45">
        <f>S688+T688</f>
        <v>614</v>
      </c>
      <c r="AB688" s="46">
        <v>16.531365300000001</v>
      </c>
      <c r="AC688" s="46">
        <v>18.450184499999999</v>
      </c>
      <c r="AD688" s="46">
        <v>3.4686347</v>
      </c>
      <c r="AE688" s="46">
        <v>4.9446494000000003</v>
      </c>
      <c r="AF688" s="46">
        <v>44.797047999999997</v>
      </c>
      <c r="AG688" s="46">
        <v>9.0036900000000006</v>
      </c>
      <c r="AH688" s="46">
        <v>2.8044280000000001</v>
      </c>
      <c r="AI688" s="47">
        <f>AB688+AC688</f>
        <v>34.981549799999996</v>
      </c>
      <c r="AJ688" s="47">
        <f>AD688+AE688+AF688+AG688+AH688</f>
        <v>65.018450099999995</v>
      </c>
      <c r="AK688" s="46">
        <v>11.6758933</v>
      </c>
      <c r="AL688" s="46">
        <v>19.224962300000001</v>
      </c>
      <c r="AM688" s="46">
        <v>1.2581781999999999</v>
      </c>
      <c r="AN688" s="46">
        <v>1.1575238999999999</v>
      </c>
      <c r="AO688" s="46">
        <v>54.302969300000001</v>
      </c>
      <c r="AP688" s="46">
        <v>11.9778561</v>
      </c>
      <c r="AQ688" s="46">
        <v>0.402617</v>
      </c>
      <c r="AR688" s="48">
        <f>AK688+AL688</f>
        <v>30.9008556</v>
      </c>
      <c r="AS688" s="48">
        <f>AM688+AN688+AO688+AP688+AQ688</f>
        <v>69.099144500000008</v>
      </c>
    </row>
    <row r="689" spans="2:45" ht="15" hidden="1" customHeight="1" x14ac:dyDescent="0.25">
      <c r="B689" s="35">
        <v>683</v>
      </c>
      <c r="C689" s="36" t="s">
        <v>31</v>
      </c>
      <c r="D689" s="36" t="s">
        <v>226</v>
      </c>
      <c r="E689" s="36" t="s">
        <v>236</v>
      </c>
      <c r="F689" s="36" t="s">
        <v>237</v>
      </c>
      <c r="G689" s="37" t="s">
        <v>25</v>
      </c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40"/>
      <c r="AS689" s="40"/>
    </row>
    <row r="690" spans="2:45" ht="15" hidden="1" customHeight="1" x14ac:dyDescent="0.25">
      <c r="B690" s="35">
        <v>684</v>
      </c>
      <c r="C690" s="36" t="s">
        <v>31</v>
      </c>
      <c r="D690" s="36" t="s">
        <v>226</v>
      </c>
      <c r="E690" s="36" t="s">
        <v>236</v>
      </c>
      <c r="F690" s="36" t="s">
        <v>237</v>
      </c>
      <c r="G690" s="37" t="s">
        <v>26</v>
      </c>
      <c r="H690" s="38">
        <v>1355</v>
      </c>
      <c r="I690" s="38">
        <v>224</v>
      </c>
      <c r="J690" s="38">
        <v>250</v>
      </c>
      <c r="K690" s="38">
        <v>47</v>
      </c>
      <c r="L690" s="38">
        <v>67</v>
      </c>
      <c r="M690" s="38">
        <v>607</v>
      </c>
      <c r="N690" s="38">
        <v>122</v>
      </c>
      <c r="O690" s="38">
        <v>38</v>
      </c>
      <c r="P690" s="38"/>
      <c r="Q690" s="38"/>
      <c r="R690" s="38">
        <v>1987</v>
      </c>
      <c r="S690" s="38">
        <v>232</v>
      </c>
      <c r="T690" s="38">
        <v>382</v>
      </c>
      <c r="U690" s="38">
        <v>25</v>
      </c>
      <c r="V690" s="38">
        <v>23</v>
      </c>
      <c r="W690" s="38">
        <v>1079</v>
      </c>
      <c r="X690" s="38">
        <v>238</v>
      </c>
      <c r="Y690" s="38">
        <v>8</v>
      </c>
      <c r="Z690" s="38"/>
      <c r="AA690" s="38"/>
      <c r="AB690" s="39">
        <v>16.531365300000001</v>
      </c>
      <c r="AC690" s="39">
        <v>18.450184499999999</v>
      </c>
      <c r="AD690" s="39">
        <v>3.4686347</v>
      </c>
      <c r="AE690" s="39">
        <v>4.9446494000000003</v>
      </c>
      <c r="AF690" s="39">
        <v>44.797047999999997</v>
      </c>
      <c r="AG690" s="39">
        <v>9.0036900000000006</v>
      </c>
      <c r="AH690" s="39">
        <v>2.8044280000000001</v>
      </c>
      <c r="AI690" s="39"/>
      <c r="AJ690" s="39"/>
      <c r="AK690" s="39">
        <v>11.6758933</v>
      </c>
      <c r="AL690" s="39">
        <v>19.224962300000001</v>
      </c>
      <c r="AM690" s="39">
        <v>1.2581781999999999</v>
      </c>
      <c r="AN690" s="39">
        <v>1.1575238999999999</v>
      </c>
      <c r="AO690" s="39">
        <v>54.302969300000001</v>
      </c>
      <c r="AP690" s="39">
        <v>11.9778561</v>
      </c>
      <c r="AQ690" s="39">
        <v>0.402617</v>
      </c>
      <c r="AR690" s="40"/>
      <c r="AS690" s="40"/>
    </row>
    <row r="691" spans="2:45" ht="15" customHeight="1" x14ac:dyDescent="0.25">
      <c r="B691" s="41">
        <v>685</v>
      </c>
      <c r="C691" s="42" t="s">
        <v>31</v>
      </c>
      <c r="D691" s="51" t="s">
        <v>226</v>
      </c>
      <c r="E691" s="51" t="s">
        <v>236</v>
      </c>
      <c r="F691" s="51" t="s">
        <v>238</v>
      </c>
      <c r="G691" s="52" t="s">
        <v>238</v>
      </c>
      <c r="H691" s="43">
        <v>1556</v>
      </c>
      <c r="I691" s="43">
        <v>130</v>
      </c>
      <c r="J691" s="43">
        <v>4</v>
      </c>
      <c r="K691" s="43">
        <v>51</v>
      </c>
      <c r="L691" s="43">
        <v>47</v>
      </c>
      <c r="M691" s="43">
        <v>1133</v>
      </c>
      <c r="N691" s="43">
        <v>140</v>
      </c>
      <c r="O691" s="43">
        <v>51</v>
      </c>
      <c r="P691" s="44">
        <f>K691+L691+M691+N691+O691</f>
        <v>1422</v>
      </c>
      <c r="Q691" s="44">
        <f>I691+J691</f>
        <v>134</v>
      </c>
      <c r="R691" s="43">
        <v>1760</v>
      </c>
      <c r="S691" s="43">
        <v>236</v>
      </c>
      <c r="T691" s="43">
        <v>65</v>
      </c>
      <c r="U691" s="43">
        <v>22</v>
      </c>
      <c r="V691" s="43">
        <v>9</v>
      </c>
      <c r="W691" s="43">
        <v>1284</v>
      </c>
      <c r="X691" s="43">
        <v>127</v>
      </c>
      <c r="Y691" s="43">
        <v>17</v>
      </c>
      <c r="Z691" s="45">
        <f>U691+V691+W691+X691+Y691</f>
        <v>1459</v>
      </c>
      <c r="AA691" s="45">
        <f>S691+T691</f>
        <v>301</v>
      </c>
      <c r="AB691" s="46">
        <v>8.3547557999999995</v>
      </c>
      <c r="AC691" s="46">
        <v>0.2570694</v>
      </c>
      <c r="AD691" s="46">
        <v>3.2776350000000001</v>
      </c>
      <c r="AE691" s="46">
        <v>3.0205655999999999</v>
      </c>
      <c r="AF691" s="46">
        <v>72.814909999999998</v>
      </c>
      <c r="AG691" s="46">
        <v>8.9974293000000003</v>
      </c>
      <c r="AH691" s="46">
        <v>3.2776350000000001</v>
      </c>
      <c r="AI691" s="47">
        <f>AB691+AC691</f>
        <v>8.6118252000000002</v>
      </c>
      <c r="AJ691" s="47">
        <f>AD691+AE691+AF691+AG691+AH691</f>
        <v>91.388174899999996</v>
      </c>
      <c r="AK691" s="46">
        <v>13.409090900000001</v>
      </c>
      <c r="AL691" s="46">
        <v>3.6931818000000001</v>
      </c>
      <c r="AM691" s="46">
        <v>1.25</v>
      </c>
      <c r="AN691" s="46">
        <v>0.51136360000000003</v>
      </c>
      <c r="AO691" s="46">
        <v>72.954545499999995</v>
      </c>
      <c r="AP691" s="46">
        <v>7.2159091000000002</v>
      </c>
      <c r="AQ691" s="46">
        <v>0.96590909999999996</v>
      </c>
      <c r="AR691" s="48">
        <f>AK691+AL691</f>
        <v>17.1022727</v>
      </c>
      <c r="AS691" s="48">
        <f>AM691+AN691+AO691+AP691+AQ691</f>
        <v>82.8977273</v>
      </c>
    </row>
    <row r="692" spans="2:45" ht="15" hidden="1" customHeight="1" x14ac:dyDescent="0.25">
      <c r="B692" s="35">
        <v>686</v>
      </c>
      <c r="C692" s="36" t="s">
        <v>31</v>
      </c>
      <c r="D692" s="36" t="s">
        <v>226</v>
      </c>
      <c r="E692" s="36" t="s">
        <v>236</v>
      </c>
      <c r="F692" s="36" t="s">
        <v>238</v>
      </c>
      <c r="G692" s="37" t="s">
        <v>25</v>
      </c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40"/>
      <c r="AS692" s="40"/>
    </row>
    <row r="693" spans="2:45" ht="15" hidden="1" customHeight="1" x14ac:dyDescent="0.25">
      <c r="B693" s="35">
        <v>687</v>
      </c>
      <c r="C693" s="36" t="s">
        <v>31</v>
      </c>
      <c r="D693" s="36" t="s">
        <v>226</v>
      </c>
      <c r="E693" s="36" t="s">
        <v>236</v>
      </c>
      <c r="F693" s="36" t="s">
        <v>238</v>
      </c>
      <c r="G693" s="37" t="s">
        <v>26</v>
      </c>
      <c r="H693" s="38">
        <v>1556</v>
      </c>
      <c r="I693" s="38">
        <v>130</v>
      </c>
      <c r="J693" s="38">
        <v>4</v>
      </c>
      <c r="K693" s="38">
        <v>51</v>
      </c>
      <c r="L693" s="38">
        <v>47</v>
      </c>
      <c r="M693" s="38">
        <v>1133</v>
      </c>
      <c r="N693" s="38">
        <v>140</v>
      </c>
      <c r="O693" s="38">
        <v>51</v>
      </c>
      <c r="P693" s="38"/>
      <c r="Q693" s="38"/>
      <c r="R693" s="38">
        <v>1760</v>
      </c>
      <c r="S693" s="38">
        <v>236</v>
      </c>
      <c r="T693" s="38">
        <v>65</v>
      </c>
      <c r="U693" s="38">
        <v>22</v>
      </c>
      <c r="V693" s="38">
        <v>9</v>
      </c>
      <c r="W693" s="38">
        <v>1284</v>
      </c>
      <c r="X693" s="38">
        <v>127</v>
      </c>
      <c r="Y693" s="38">
        <v>17</v>
      </c>
      <c r="Z693" s="38"/>
      <c r="AA693" s="38"/>
      <c r="AB693" s="39">
        <v>8.3547557999999995</v>
      </c>
      <c r="AC693" s="39">
        <v>0.2570694</v>
      </c>
      <c r="AD693" s="39">
        <v>3.2776350000000001</v>
      </c>
      <c r="AE693" s="39">
        <v>3.0205655999999999</v>
      </c>
      <c r="AF693" s="39">
        <v>72.814909999999998</v>
      </c>
      <c r="AG693" s="39">
        <v>8.9974293000000003</v>
      </c>
      <c r="AH693" s="39">
        <v>3.2776350000000001</v>
      </c>
      <c r="AI693" s="39"/>
      <c r="AJ693" s="39"/>
      <c r="AK693" s="39">
        <v>13.409090900000001</v>
      </c>
      <c r="AL693" s="39">
        <v>3.6931818000000001</v>
      </c>
      <c r="AM693" s="39">
        <v>1.25</v>
      </c>
      <c r="AN693" s="39">
        <v>0.51136360000000003</v>
      </c>
      <c r="AO693" s="39">
        <v>72.954545499999995</v>
      </c>
      <c r="AP693" s="39">
        <v>7.2159091000000002</v>
      </c>
      <c r="AQ693" s="39">
        <v>0.96590909999999996</v>
      </c>
      <c r="AR693" s="40"/>
      <c r="AS693" s="40"/>
    </row>
    <row r="694" spans="2:45" ht="15" hidden="1" customHeight="1" x14ac:dyDescent="0.25">
      <c r="B694" s="30">
        <v>688</v>
      </c>
      <c r="C694" s="31" t="s">
        <v>29</v>
      </c>
      <c r="D694" s="50" t="s">
        <v>226</v>
      </c>
      <c r="E694" s="50" t="s">
        <v>239</v>
      </c>
      <c r="F694" s="50"/>
      <c r="G694" s="31" t="s">
        <v>239</v>
      </c>
      <c r="H694" s="32">
        <v>2903</v>
      </c>
      <c r="I694" s="32">
        <v>12</v>
      </c>
      <c r="J694" s="32">
        <v>13</v>
      </c>
      <c r="K694" s="32">
        <v>729</v>
      </c>
      <c r="L694" s="32">
        <v>197</v>
      </c>
      <c r="M694" s="32">
        <v>1540</v>
      </c>
      <c r="N694" s="32">
        <v>196</v>
      </c>
      <c r="O694" s="32">
        <v>216</v>
      </c>
      <c r="P694" s="32"/>
      <c r="Q694" s="32"/>
      <c r="R694" s="32">
        <v>3645</v>
      </c>
      <c r="S694" s="32">
        <v>310</v>
      </c>
      <c r="T694" s="32">
        <v>308</v>
      </c>
      <c r="U694" s="32">
        <v>430</v>
      </c>
      <c r="V694" s="32">
        <v>110</v>
      </c>
      <c r="W694" s="32">
        <v>2150</v>
      </c>
      <c r="X694" s="32">
        <v>253</v>
      </c>
      <c r="Y694" s="32">
        <v>84</v>
      </c>
      <c r="Z694" s="32"/>
      <c r="AA694" s="32"/>
      <c r="AB694" s="33">
        <v>0.4133655</v>
      </c>
      <c r="AC694" s="33">
        <v>0.44781260000000001</v>
      </c>
      <c r="AD694" s="33">
        <v>25.111953199999999</v>
      </c>
      <c r="AE694" s="33">
        <v>6.7860833999999999</v>
      </c>
      <c r="AF694" s="33">
        <v>53.048570400000003</v>
      </c>
      <c r="AG694" s="33">
        <v>6.7516362000000001</v>
      </c>
      <c r="AH694" s="33">
        <v>7.4405786999999997</v>
      </c>
      <c r="AI694" s="33"/>
      <c r="AJ694" s="33"/>
      <c r="AK694" s="33">
        <v>8.5048010999999999</v>
      </c>
      <c r="AL694" s="33">
        <v>8.4499314000000005</v>
      </c>
      <c r="AM694" s="33">
        <v>11.7969822</v>
      </c>
      <c r="AN694" s="33">
        <v>3.0178326000000002</v>
      </c>
      <c r="AO694" s="33">
        <v>58.984910800000002</v>
      </c>
      <c r="AP694" s="33">
        <v>6.9410151000000004</v>
      </c>
      <c r="AQ694" s="33">
        <v>2.3045266999999998</v>
      </c>
      <c r="AR694" s="34"/>
      <c r="AS694" s="34"/>
    </row>
    <row r="695" spans="2:45" ht="15" hidden="1" customHeight="1" x14ac:dyDescent="0.25">
      <c r="B695" s="35">
        <v>689</v>
      </c>
      <c r="C695" s="36" t="s">
        <v>29</v>
      </c>
      <c r="D695" s="36" t="s">
        <v>226</v>
      </c>
      <c r="E695" s="36" t="s">
        <v>239</v>
      </c>
      <c r="F695" s="36"/>
      <c r="G695" s="37" t="s">
        <v>25</v>
      </c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>
        <v>1752</v>
      </c>
      <c r="S695" s="38">
        <v>285</v>
      </c>
      <c r="T695" s="38">
        <v>304</v>
      </c>
      <c r="U695" s="38">
        <v>267</v>
      </c>
      <c r="V695" s="38">
        <v>18</v>
      </c>
      <c r="W695" s="38">
        <v>761</v>
      </c>
      <c r="X695" s="38">
        <v>62</v>
      </c>
      <c r="Y695" s="38">
        <v>55</v>
      </c>
      <c r="Z695" s="38"/>
      <c r="AA695" s="38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>
        <v>16.267123300000002</v>
      </c>
      <c r="AL695" s="39">
        <v>17.351598200000002</v>
      </c>
      <c r="AM695" s="39">
        <v>15.239725999999999</v>
      </c>
      <c r="AN695" s="39">
        <v>1.0273973000000001</v>
      </c>
      <c r="AO695" s="39">
        <v>43.436073100000002</v>
      </c>
      <c r="AP695" s="39">
        <v>3.5388128000000001</v>
      </c>
      <c r="AQ695" s="39">
        <v>3.1392693999999999</v>
      </c>
      <c r="AR695" s="40"/>
      <c r="AS695" s="40"/>
    </row>
    <row r="696" spans="2:45" ht="15" hidden="1" customHeight="1" x14ac:dyDescent="0.25">
      <c r="B696" s="35">
        <v>690</v>
      </c>
      <c r="C696" s="36" t="s">
        <v>29</v>
      </c>
      <c r="D696" s="36" t="s">
        <v>226</v>
      </c>
      <c r="E696" s="36" t="s">
        <v>239</v>
      </c>
      <c r="F696" s="36"/>
      <c r="G696" s="37" t="s">
        <v>26</v>
      </c>
      <c r="H696" s="38">
        <v>2903</v>
      </c>
      <c r="I696" s="38">
        <v>12</v>
      </c>
      <c r="J696" s="38">
        <v>13</v>
      </c>
      <c r="K696" s="38">
        <v>729</v>
      </c>
      <c r="L696" s="38">
        <v>197</v>
      </c>
      <c r="M696" s="38">
        <v>1540</v>
      </c>
      <c r="N696" s="38">
        <v>196</v>
      </c>
      <c r="O696" s="38">
        <v>216</v>
      </c>
      <c r="P696" s="38"/>
      <c r="Q696" s="38"/>
      <c r="R696" s="38">
        <v>1893</v>
      </c>
      <c r="S696" s="38">
        <v>25</v>
      </c>
      <c r="T696" s="38">
        <v>4</v>
      </c>
      <c r="U696" s="38">
        <v>163</v>
      </c>
      <c r="V696" s="38">
        <v>92</v>
      </c>
      <c r="W696" s="38">
        <v>1389</v>
      </c>
      <c r="X696" s="38">
        <v>191</v>
      </c>
      <c r="Y696" s="38">
        <v>29</v>
      </c>
      <c r="Z696" s="38"/>
      <c r="AA696" s="38"/>
      <c r="AB696" s="39">
        <v>0.4133655</v>
      </c>
      <c r="AC696" s="39">
        <v>0.44781260000000001</v>
      </c>
      <c r="AD696" s="39">
        <v>25.111953199999999</v>
      </c>
      <c r="AE696" s="39">
        <v>6.7860833999999999</v>
      </c>
      <c r="AF696" s="39">
        <v>53.048570400000003</v>
      </c>
      <c r="AG696" s="39">
        <v>6.7516362000000001</v>
      </c>
      <c r="AH696" s="39">
        <v>7.4405786999999997</v>
      </c>
      <c r="AI696" s="39"/>
      <c r="AJ696" s="39"/>
      <c r="AK696" s="39">
        <v>1.3206549999999999</v>
      </c>
      <c r="AL696" s="39">
        <v>0.21130479999999999</v>
      </c>
      <c r="AM696" s="39">
        <v>8.6106709000000006</v>
      </c>
      <c r="AN696" s="39">
        <v>4.8600105999999998</v>
      </c>
      <c r="AO696" s="39">
        <v>73.375594300000003</v>
      </c>
      <c r="AP696" s="39">
        <v>10.0898045</v>
      </c>
      <c r="AQ696" s="39">
        <v>1.5319598999999999</v>
      </c>
      <c r="AR696" s="40"/>
      <c r="AS696" s="40"/>
    </row>
    <row r="697" spans="2:45" ht="15" customHeight="1" x14ac:dyDescent="0.25">
      <c r="B697" s="41">
        <v>691</v>
      </c>
      <c r="C697" s="42" t="s">
        <v>31</v>
      </c>
      <c r="D697" s="51" t="s">
        <v>226</v>
      </c>
      <c r="E697" s="51" t="s">
        <v>239</v>
      </c>
      <c r="F697" s="51" t="s">
        <v>240</v>
      </c>
      <c r="G697" s="52" t="s">
        <v>240</v>
      </c>
      <c r="H697" s="43">
        <v>349</v>
      </c>
      <c r="I697" s="43">
        <v>9</v>
      </c>
      <c r="J697" s="43">
        <v>2</v>
      </c>
      <c r="K697" s="43">
        <v>114</v>
      </c>
      <c r="L697" s="43">
        <v>19</v>
      </c>
      <c r="M697" s="43">
        <v>189</v>
      </c>
      <c r="N697" s="43">
        <v>8</v>
      </c>
      <c r="O697" s="43">
        <v>8</v>
      </c>
      <c r="P697" s="44">
        <f>K697+L697+M697+N697+O697</f>
        <v>338</v>
      </c>
      <c r="Q697" s="44">
        <f>I697+J697</f>
        <v>11</v>
      </c>
      <c r="R697" s="43">
        <v>1192</v>
      </c>
      <c r="S697" s="43">
        <v>234</v>
      </c>
      <c r="T697" s="43">
        <v>110</v>
      </c>
      <c r="U697" s="43">
        <v>192</v>
      </c>
      <c r="V697" s="43">
        <v>18</v>
      </c>
      <c r="W697" s="43">
        <v>564</v>
      </c>
      <c r="X697" s="43">
        <v>26</v>
      </c>
      <c r="Y697" s="43">
        <v>48</v>
      </c>
      <c r="Z697" s="45">
        <f>U697+V697+W697+X697+Y697</f>
        <v>848</v>
      </c>
      <c r="AA697" s="45">
        <f>S697+T697</f>
        <v>344</v>
      </c>
      <c r="AB697" s="46">
        <v>2.5787966</v>
      </c>
      <c r="AC697" s="46">
        <v>0.57306590000000002</v>
      </c>
      <c r="AD697" s="46">
        <v>32.664756400000002</v>
      </c>
      <c r="AE697" s="46">
        <v>5.4441261000000001</v>
      </c>
      <c r="AF697" s="46">
        <v>54.154727800000003</v>
      </c>
      <c r="AG697" s="46">
        <v>2.2922636000000001</v>
      </c>
      <c r="AH697" s="46">
        <v>2.2922636000000001</v>
      </c>
      <c r="AI697" s="47">
        <f>AB697+AC697</f>
        <v>3.1518625</v>
      </c>
      <c r="AJ697" s="47">
        <f>AD697+AE697+AF697+AG697+AH697</f>
        <v>96.848137500000007</v>
      </c>
      <c r="AK697" s="46">
        <v>19.630872499999999</v>
      </c>
      <c r="AL697" s="46">
        <v>9.2281879</v>
      </c>
      <c r="AM697" s="46">
        <v>16.107382600000001</v>
      </c>
      <c r="AN697" s="46">
        <v>1.5100671000000001</v>
      </c>
      <c r="AO697" s="46">
        <v>47.315436200000001</v>
      </c>
      <c r="AP697" s="46">
        <v>2.1812081000000001</v>
      </c>
      <c r="AQ697" s="46">
        <v>4.0268455999999997</v>
      </c>
      <c r="AR697" s="48">
        <f>AK697+AL697</f>
        <v>28.859060399999997</v>
      </c>
      <c r="AS697" s="48">
        <f>AM697+AN697+AO697+AP697+AQ697</f>
        <v>71.14093960000001</v>
      </c>
    </row>
    <row r="698" spans="2:45" ht="15" hidden="1" customHeight="1" x14ac:dyDescent="0.25">
      <c r="B698" s="35">
        <v>692</v>
      </c>
      <c r="C698" s="36" t="s">
        <v>31</v>
      </c>
      <c r="D698" s="36" t="s">
        <v>226</v>
      </c>
      <c r="E698" s="36" t="s">
        <v>239</v>
      </c>
      <c r="F698" s="36" t="s">
        <v>240</v>
      </c>
      <c r="G698" s="37" t="s">
        <v>25</v>
      </c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>
        <v>1140</v>
      </c>
      <c r="S698" s="38">
        <v>231</v>
      </c>
      <c r="T698" s="38">
        <v>110</v>
      </c>
      <c r="U698" s="38">
        <v>191</v>
      </c>
      <c r="V698" s="38">
        <v>16</v>
      </c>
      <c r="W698" s="38">
        <v>533</v>
      </c>
      <c r="X698" s="38">
        <v>18</v>
      </c>
      <c r="Y698" s="38">
        <v>41</v>
      </c>
      <c r="Z698" s="38"/>
      <c r="AA698" s="38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>
        <v>20.2631579</v>
      </c>
      <c r="AL698" s="39">
        <v>9.6491228000000007</v>
      </c>
      <c r="AM698" s="39">
        <v>16.754386</v>
      </c>
      <c r="AN698" s="39">
        <v>1.4035088</v>
      </c>
      <c r="AO698" s="39">
        <v>46.754385999999997</v>
      </c>
      <c r="AP698" s="39">
        <v>1.5789473999999999</v>
      </c>
      <c r="AQ698" s="39">
        <v>3.5964912</v>
      </c>
      <c r="AR698" s="40"/>
      <c r="AS698" s="40"/>
    </row>
    <row r="699" spans="2:45" ht="15" hidden="1" customHeight="1" x14ac:dyDescent="0.25">
      <c r="B699" s="35">
        <v>693</v>
      </c>
      <c r="C699" s="36" t="s">
        <v>31</v>
      </c>
      <c r="D699" s="36" t="s">
        <v>226</v>
      </c>
      <c r="E699" s="36" t="s">
        <v>239</v>
      </c>
      <c r="F699" s="36" t="s">
        <v>240</v>
      </c>
      <c r="G699" s="37" t="s">
        <v>26</v>
      </c>
      <c r="H699" s="38">
        <v>349</v>
      </c>
      <c r="I699" s="38">
        <v>9</v>
      </c>
      <c r="J699" s="38">
        <v>2</v>
      </c>
      <c r="K699" s="38">
        <v>114</v>
      </c>
      <c r="L699" s="38">
        <v>19</v>
      </c>
      <c r="M699" s="38">
        <v>189</v>
      </c>
      <c r="N699" s="38">
        <v>8</v>
      </c>
      <c r="O699" s="38">
        <v>8</v>
      </c>
      <c r="P699" s="38"/>
      <c r="Q699" s="38"/>
      <c r="R699" s="38">
        <v>52</v>
      </c>
      <c r="S699" s="38">
        <v>3</v>
      </c>
      <c r="T699" s="38">
        <v>0</v>
      </c>
      <c r="U699" s="38">
        <v>1</v>
      </c>
      <c r="V699" s="38">
        <v>2</v>
      </c>
      <c r="W699" s="38">
        <v>31</v>
      </c>
      <c r="X699" s="38">
        <v>8</v>
      </c>
      <c r="Y699" s="38">
        <v>7</v>
      </c>
      <c r="Z699" s="38"/>
      <c r="AA699" s="38"/>
      <c r="AB699" s="39">
        <v>2.5787966</v>
      </c>
      <c r="AC699" s="39">
        <v>0.57306590000000002</v>
      </c>
      <c r="AD699" s="39">
        <v>32.664756400000002</v>
      </c>
      <c r="AE699" s="39">
        <v>5.4441261000000001</v>
      </c>
      <c r="AF699" s="39">
        <v>54.154727800000003</v>
      </c>
      <c r="AG699" s="39">
        <v>2.2922636000000001</v>
      </c>
      <c r="AH699" s="39">
        <v>2.2922636000000001</v>
      </c>
      <c r="AI699" s="39"/>
      <c r="AJ699" s="39"/>
      <c r="AK699" s="39">
        <v>5.7692307999999999</v>
      </c>
      <c r="AL699" s="39">
        <v>0</v>
      </c>
      <c r="AM699" s="39">
        <v>1.9230769000000001</v>
      </c>
      <c r="AN699" s="39">
        <v>3.8461538000000002</v>
      </c>
      <c r="AO699" s="39">
        <v>59.615384599999999</v>
      </c>
      <c r="AP699" s="39">
        <v>15.384615399999999</v>
      </c>
      <c r="AQ699" s="39">
        <v>13.4615385</v>
      </c>
      <c r="AR699" s="40"/>
      <c r="AS699" s="40"/>
    </row>
    <row r="700" spans="2:45" ht="15" customHeight="1" x14ac:dyDescent="0.25">
      <c r="B700" s="41">
        <v>694</v>
      </c>
      <c r="C700" s="42" t="s">
        <v>31</v>
      </c>
      <c r="D700" s="51" t="s">
        <v>226</v>
      </c>
      <c r="E700" s="51" t="s">
        <v>239</v>
      </c>
      <c r="F700" s="51" t="s">
        <v>241</v>
      </c>
      <c r="G700" s="52" t="s">
        <v>241</v>
      </c>
      <c r="H700" s="43">
        <v>1082</v>
      </c>
      <c r="I700" s="43">
        <v>2</v>
      </c>
      <c r="J700" s="43">
        <v>4</v>
      </c>
      <c r="K700" s="43">
        <v>301</v>
      </c>
      <c r="L700" s="43">
        <v>44</v>
      </c>
      <c r="M700" s="43">
        <v>453</v>
      </c>
      <c r="N700" s="43">
        <v>101</v>
      </c>
      <c r="O700" s="43">
        <v>177</v>
      </c>
      <c r="P700" s="44">
        <f>K700+L700+M700+N700+O700</f>
        <v>1076</v>
      </c>
      <c r="Q700" s="44">
        <f>I700+J700</f>
        <v>6</v>
      </c>
      <c r="R700" s="43">
        <v>1055</v>
      </c>
      <c r="S700" s="43">
        <v>60</v>
      </c>
      <c r="T700" s="43">
        <v>197</v>
      </c>
      <c r="U700" s="43">
        <v>117</v>
      </c>
      <c r="V700" s="43">
        <v>3</v>
      </c>
      <c r="W700" s="43">
        <v>572</v>
      </c>
      <c r="X700" s="43">
        <v>85</v>
      </c>
      <c r="Y700" s="43">
        <v>21</v>
      </c>
      <c r="Z700" s="45">
        <f>U700+V700+W700+X700+Y700</f>
        <v>798</v>
      </c>
      <c r="AA700" s="45">
        <f>S700+T700</f>
        <v>257</v>
      </c>
      <c r="AB700" s="46">
        <v>0.1848429</v>
      </c>
      <c r="AC700" s="46">
        <v>0.36968580000000001</v>
      </c>
      <c r="AD700" s="46">
        <v>27.818854000000002</v>
      </c>
      <c r="AE700" s="46">
        <v>4.0665433999999996</v>
      </c>
      <c r="AF700" s="46">
        <v>41.866913099999998</v>
      </c>
      <c r="AG700" s="46">
        <v>9.3345655999999995</v>
      </c>
      <c r="AH700" s="46">
        <v>16.3585952</v>
      </c>
      <c r="AI700" s="47">
        <f>AB700+AC700</f>
        <v>0.55452869999999999</v>
      </c>
      <c r="AJ700" s="47">
        <f>AD700+AE700+AF700+AG700+AH700</f>
        <v>99.445471299999994</v>
      </c>
      <c r="AK700" s="46">
        <v>5.6872037999999998</v>
      </c>
      <c r="AL700" s="46">
        <v>18.672985799999999</v>
      </c>
      <c r="AM700" s="46">
        <v>11.0900474</v>
      </c>
      <c r="AN700" s="46">
        <v>0.28436020000000001</v>
      </c>
      <c r="AO700" s="46">
        <v>54.218009500000001</v>
      </c>
      <c r="AP700" s="46">
        <v>8.0568720000000003</v>
      </c>
      <c r="AQ700" s="46">
        <v>1.9905212999999999</v>
      </c>
      <c r="AR700" s="48">
        <f>AK700+AL700</f>
        <v>24.360189599999998</v>
      </c>
      <c r="AS700" s="48">
        <f>AM700+AN700+AO700+AP700+AQ700</f>
        <v>75.639810400000002</v>
      </c>
    </row>
    <row r="701" spans="2:45" ht="15" hidden="1" customHeight="1" x14ac:dyDescent="0.25">
      <c r="B701" s="35">
        <v>695</v>
      </c>
      <c r="C701" s="36" t="s">
        <v>31</v>
      </c>
      <c r="D701" s="36" t="s">
        <v>226</v>
      </c>
      <c r="E701" s="36" t="s">
        <v>239</v>
      </c>
      <c r="F701" s="36" t="s">
        <v>241</v>
      </c>
      <c r="G701" s="37" t="s">
        <v>25</v>
      </c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>
        <v>612</v>
      </c>
      <c r="S701" s="38">
        <v>54</v>
      </c>
      <c r="T701" s="38">
        <v>194</v>
      </c>
      <c r="U701" s="38">
        <v>76</v>
      </c>
      <c r="V701" s="38">
        <v>2</v>
      </c>
      <c r="W701" s="38">
        <v>228</v>
      </c>
      <c r="X701" s="38">
        <v>44</v>
      </c>
      <c r="Y701" s="38">
        <v>14</v>
      </c>
      <c r="Z701" s="38"/>
      <c r="AA701" s="38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>
        <v>8.8235294</v>
      </c>
      <c r="AL701" s="39">
        <v>31.6993464</v>
      </c>
      <c r="AM701" s="39">
        <v>12.4183007</v>
      </c>
      <c r="AN701" s="39">
        <v>0.32679740000000002</v>
      </c>
      <c r="AO701" s="39">
        <v>37.254902000000001</v>
      </c>
      <c r="AP701" s="39">
        <v>7.1895424999999999</v>
      </c>
      <c r="AQ701" s="39">
        <v>2.2875817000000001</v>
      </c>
      <c r="AR701" s="40"/>
      <c r="AS701" s="40"/>
    </row>
    <row r="702" spans="2:45" ht="15" hidden="1" customHeight="1" x14ac:dyDescent="0.25">
      <c r="B702" s="35">
        <v>696</v>
      </c>
      <c r="C702" s="36" t="s">
        <v>31</v>
      </c>
      <c r="D702" s="36" t="s">
        <v>226</v>
      </c>
      <c r="E702" s="36" t="s">
        <v>239</v>
      </c>
      <c r="F702" s="36" t="s">
        <v>241</v>
      </c>
      <c r="G702" s="37" t="s">
        <v>26</v>
      </c>
      <c r="H702" s="38">
        <v>1082</v>
      </c>
      <c r="I702" s="38">
        <v>2</v>
      </c>
      <c r="J702" s="38">
        <v>4</v>
      </c>
      <c r="K702" s="38">
        <v>301</v>
      </c>
      <c r="L702" s="38">
        <v>44</v>
      </c>
      <c r="M702" s="38">
        <v>453</v>
      </c>
      <c r="N702" s="38">
        <v>101</v>
      </c>
      <c r="O702" s="38">
        <v>177</v>
      </c>
      <c r="P702" s="38"/>
      <c r="Q702" s="38"/>
      <c r="R702" s="38">
        <v>443</v>
      </c>
      <c r="S702" s="38">
        <v>6</v>
      </c>
      <c r="T702" s="38">
        <v>3</v>
      </c>
      <c r="U702" s="38">
        <v>41</v>
      </c>
      <c r="V702" s="38">
        <v>1</v>
      </c>
      <c r="W702" s="38">
        <v>344</v>
      </c>
      <c r="X702" s="38">
        <v>41</v>
      </c>
      <c r="Y702" s="38">
        <v>7</v>
      </c>
      <c r="Z702" s="38"/>
      <c r="AA702" s="38"/>
      <c r="AB702" s="39">
        <v>0.1848429</v>
      </c>
      <c r="AC702" s="39">
        <v>0.36968580000000001</v>
      </c>
      <c r="AD702" s="39">
        <v>27.818854000000002</v>
      </c>
      <c r="AE702" s="39">
        <v>4.0665433999999996</v>
      </c>
      <c r="AF702" s="39">
        <v>41.866913099999998</v>
      </c>
      <c r="AG702" s="39">
        <v>9.3345655999999995</v>
      </c>
      <c r="AH702" s="39">
        <v>16.3585952</v>
      </c>
      <c r="AI702" s="39"/>
      <c r="AJ702" s="39"/>
      <c r="AK702" s="39">
        <v>1.3544018</v>
      </c>
      <c r="AL702" s="39">
        <v>0.67720089999999999</v>
      </c>
      <c r="AM702" s="39">
        <v>9.2550790000000003</v>
      </c>
      <c r="AN702" s="39">
        <v>0.22573360000000001</v>
      </c>
      <c r="AO702" s="39">
        <v>77.652370199999993</v>
      </c>
      <c r="AP702" s="39">
        <v>9.2550790000000003</v>
      </c>
      <c r="AQ702" s="39">
        <v>1.5801354000000001</v>
      </c>
      <c r="AR702" s="40"/>
      <c r="AS702" s="40"/>
    </row>
    <row r="703" spans="2:45" ht="15" customHeight="1" x14ac:dyDescent="0.25">
      <c r="B703" s="41">
        <v>697</v>
      </c>
      <c r="C703" s="42" t="s">
        <v>31</v>
      </c>
      <c r="D703" s="51" t="s">
        <v>226</v>
      </c>
      <c r="E703" s="51" t="s">
        <v>239</v>
      </c>
      <c r="F703" s="51" t="s">
        <v>242</v>
      </c>
      <c r="G703" s="52" t="s">
        <v>242</v>
      </c>
      <c r="H703" s="43">
        <v>584</v>
      </c>
      <c r="I703" s="43">
        <v>0</v>
      </c>
      <c r="J703" s="43">
        <v>1</v>
      </c>
      <c r="K703" s="43">
        <v>153</v>
      </c>
      <c r="L703" s="43">
        <v>49</v>
      </c>
      <c r="M703" s="43">
        <v>322</v>
      </c>
      <c r="N703" s="43">
        <v>55</v>
      </c>
      <c r="O703" s="43">
        <v>4</v>
      </c>
      <c r="P703" s="44">
        <f>K703+L703+M703+N703+O703</f>
        <v>583</v>
      </c>
      <c r="Q703" s="44">
        <f>I703+J703</f>
        <v>1</v>
      </c>
      <c r="R703" s="43">
        <v>352</v>
      </c>
      <c r="S703" s="43">
        <v>3</v>
      </c>
      <c r="T703" s="43">
        <v>0</v>
      </c>
      <c r="U703" s="43">
        <v>33</v>
      </c>
      <c r="V703" s="43">
        <v>12</v>
      </c>
      <c r="W703" s="43">
        <v>274</v>
      </c>
      <c r="X703" s="43">
        <v>28</v>
      </c>
      <c r="Y703" s="43">
        <v>2</v>
      </c>
      <c r="Z703" s="45">
        <f>U703+V703+W703+X703+Y703</f>
        <v>349</v>
      </c>
      <c r="AA703" s="45">
        <f>S703+T703</f>
        <v>3</v>
      </c>
      <c r="AB703" s="46">
        <v>0</v>
      </c>
      <c r="AC703" s="46">
        <v>0.17123289999999999</v>
      </c>
      <c r="AD703" s="46">
        <v>26.198630099999999</v>
      </c>
      <c r="AE703" s="46">
        <v>8.3904110000000003</v>
      </c>
      <c r="AF703" s="46">
        <v>55.136986299999997</v>
      </c>
      <c r="AG703" s="46">
        <v>9.4178081999999996</v>
      </c>
      <c r="AH703" s="46">
        <v>0.68493150000000003</v>
      </c>
      <c r="AI703" s="47">
        <f>AB703+AC703</f>
        <v>0.17123289999999999</v>
      </c>
      <c r="AJ703" s="47">
        <f>AD703+AE703+AF703+AG703+AH703</f>
        <v>99.828767099999993</v>
      </c>
      <c r="AK703" s="46">
        <v>0.85227269999999999</v>
      </c>
      <c r="AL703" s="46">
        <v>0</v>
      </c>
      <c r="AM703" s="46">
        <v>9.375</v>
      </c>
      <c r="AN703" s="46">
        <v>3.4090908999999998</v>
      </c>
      <c r="AO703" s="46">
        <v>77.840909100000005</v>
      </c>
      <c r="AP703" s="46">
        <v>7.9545455</v>
      </c>
      <c r="AQ703" s="46">
        <v>0.56818179999999996</v>
      </c>
      <c r="AR703" s="48">
        <f>AK703+AL703</f>
        <v>0.85227269999999999</v>
      </c>
      <c r="AS703" s="48">
        <f>AM703+AN703+AO703+AP703+AQ703</f>
        <v>99.1477273</v>
      </c>
    </row>
    <row r="704" spans="2:45" ht="15" hidden="1" customHeight="1" x14ac:dyDescent="0.25">
      <c r="B704" s="35">
        <v>698</v>
      </c>
      <c r="C704" s="36" t="s">
        <v>31</v>
      </c>
      <c r="D704" s="36" t="s">
        <v>226</v>
      </c>
      <c r="E704" s="36" t="s">
        <v>239</v>
      </c>
      <c r="F704" s="36" t="s">
        <v>242</v>
      </c>
      <c r="G704" s="37" t="s">
        <v>25</v>
      </c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40"/>
      <c r="AS704" s="40"/>
    </row>
    <row r="705" spans="2:45" ht="15" hidden="1" customHeight="1" x14ac:dyDescent="0.25">
      <c r="B705" s="35">
        <v>699</v>
      </c>
      <c r="C705" s="36" t="s">
        <v>31</v>
      </c>
      <c r="D705" s="36" t="s">
        <v>226</v>
      </c>
      <c r="E705" s="36" t="s">
        <v>239</v>
      </c>
      <c r="F705" s="36" t="s">
        <v>242</v>
      </c>
      <c r="G705" s="37" t="s">
        <v>26</v>
      </c>
      <c r="H705" s="38">
        <v>584</v>
      </c>
      <c r="I705" s="38">
        <v>0</v>
      </c>
      <c r="J705" s="38">
        <v>1</v>
      </c>
      <c r="K705" s="38">
        <v>153</v>
      </c>
      <c r="L705" s="38">
        <v>49</v>
      </c>
      <c r="M705" s="38">
        <v>322</v>
      </c>
      <c r="N705" s="38">
        <v>55</v>
      </c>
      <c r="O705" s="38">
        <v>4</v>
      </c>
      <c r="P705" s="38"/>
      <c r="Q705" s="38"/>
      <c r="R705" s="38">
        <v>352</v>
      </c>
      <c r="S705" s="38">
        <v>3</v>
      </c>
      <c r="T705" s="38">
        <v>0</v>
      </c>
      <c r="U705" s="38">
        <v>33</v>
      </c>
      <c r="V705" s="38">
        <v>12</v>
      </c>
      <c r="W705" s="38">
        <v>274</v>
      </c>
      <c r="X705" s="38">
        <v>28</v>
      </c>
      <c r="Y705" s="38">
        <v>2</v>
      </c>
      <c r="Z705" s="38"/>
      <c r="AA705" s="38"/>
      <c r="AB705" s="39">
        <v>0</v>
      </c>
      <c r="AC705" s="39">
        <v>0.17123289999999999</v>
      </c>
      <c r="AD705" s="39">
        <v>26.198630099999999</v>
      </c>
      <c r="AE705" s="39">
        <v>8.3904110000000003</v>
      </c>
      <c r="AF705" s="39">
        <v>55.136986299999997</v>
      </c>
      <c r="AG705" s="39">
        <v>9.4178081999999996</v>
      </c>
      <c r="AH705" s="39">
        <v>0.68493150000000003</v>
      </c>
      <c r="AI705" s="39"/>
      <c r="AJ705" s="39"/>
      <c r="AK705" s="39">
        <v>0.85227269999999999</v>
      </c>
      <c r="AL705" s="39">
        <v>0</v>
      </c>
      <c r="AM705" s="39">
        <v>9.375</v>
      </c>
      <c r="AN705" s="39">
        <v>3.4090908999999998</v>
      </c>
      <c r="AO705" s="39">
        <v>77.840909100000005</v>
      </c>
      <c r="AP705" s="39">
        <v>7.9545455</v>
      </c>
      <c r="AQ705" s="39">
        <v>0.56818179999999996</v>
      </c>
      <c r="AR705" s="40"/>
      <c r="AS705" s="40"/>
    </row>
    <row r="706" spans="2:45" ht="15" customHeight="1" x14ac:dyDescent="0.25">
      <c r="B706" s="41">
        <v>700</v>
      </c>
      <c r="C706" s="42" t="s">
        <v>31</v>
      </c>
      <c r="D706" s="51" t="s">
        <v>226</v>
      </c>
      <c r="E706" s="51" t="s">
        <v>239</v>
      </c>
      <c r="F706" s="51" t="s">
        <v>243</v>
      </c>
      <c r="G706" s="52" t="s">
        <v>243</v>
      </c>
      <c r="H706" s="43">
        <v>169</v>
      </c>
      <c r="I706" s="43">
        <v>0</v>
      </c>
      <c r="J706" s="43">
        <v>0</v>
      </c>
      <c r="K706" s="43">
        <v>19</v>
      </c>
      <c r="L706" s="43">
        <v>4</v>
      </c>
      <c r="M706" s="43">
        <v>144</v>
      </c>
      <c r="N706" s="43">
        <v>1</v>
      </c>
      <c r="O706" s="43">
        <v>1</v>
      </c>
      <c r="P706" s="44">
        <f>K706+L706+M706+N706+O706</f>
        <v>169</v>
      </c>
      <c r="Q706" s="44">
        <f>I706+J706</f>
        <v>0</v>
      </c>
      <c r="R706" s="43">
        <v>173</v>
      </c>
      <c r="S706" s="43">
        <v>3</v>
      </c>
      <c r="T706" s="43">
        <v>0</v>
      </c>
      <c r="U706" s="43">
        <v>10</v>
      </c>
      <c r="V706" s="43">
        <v>1</v>
      </c>
      <c r="W706" s="43">
        <v>152</v>
      </c>
      <c r="X706" s="43">
        <v>6</v>
      </c>
      <c r="Y706" s="43">
        <v>1</v>
      </c>
      <c r="Z706" s="45">
        <f>U706+V706+W706+X706+Y706</f>
        <v>170</v>
      </c>
      <c r="AA706" s="45">
        <f>S706+T706</f>
        <v>3</v>
      </c>
      <c r="AB706" s="46">
        <v>0</v>
      </c>
      <c r="AC706" s="46">
        <v>0</v>
      </c>
      <c r="AD706" s="46">
        <v>11.242603600000001</v>
      </c>
      <c r="AE706" s="46">
        <v>2.3668638999999998</v>
      </c>
      <c r="AF706" s="46">
        <v>85.207100600000004</v>
      </c>
      <c r="AG706" s="46">
        <v>0.59171600000000002</v>
      </c>
      <c r="AH706" s="46">
        <v>0.59171600000000002</v>
      </c>
      <c r="AI706" s="47">
        <f>AB706+AC706</f>
        <v>0</v>
      </c>
      <c r="AJ706" s="47">
        <f>AD706+AE706+AF706+AG706+AH706</f>
        <v>100.00000010000002</v>
      </c>
      <c r="AK706" s="46">
        <v>1.7341040000000001</v>
      </c>
      <c r="AL706" s="46">
        <v>0</v>
      </c>
      <c r="AM706" s="46">
        <v>5.7803468000000002</v>
      </c>
      <c r="AN706" s="46">
        <v>0.57803470000000001</v>
      </c>
      <c r="AO706" s="46">
        <v>87.861271700000003</v>
      </c>
      <c r="AP706" s="46">
        <v>3.4682081</v>
      </c>
      <c r="AQ706" s="46">
        <v>0.57803470000000001</v>
      </c>
      <c r="AR706" s="48">
        <f>AK706+AL706</f>
        <v>1.7341040000000001</v>
      </c>
      <c r="AS706" s="48">
        <f>AM706+AN706+AO706+AP706+AQ706</f>
        <v>98.265896000000012</v>
      </c>
    </row>
    <row r="707" spans="2:45" ht="15" hidden="1" customHeight="1" x14ac:dyDescent="0.25">
      <c r="B707" s="35">
        <v>701</v>
      </c>
      <c r="C707" s="36" t="s">
        <v>31</v>
      </c>
      <c r="D707" s="36" t="s">
        <v>226</v>
      </c>
      <c r="E707" s="36" t="s">
        <v>239</v>
      </c>
      <c r="F707" s="36" t="s">
        <v>243</v>
      </c>
      <c r="G707" s="37" t="s">
        <v>25</v>
      </c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40"/>
      <c r="AS707" s="40"/>
    </row>
    <row r="708" spans="2:45" ht="15" hidden="1" customHeight="1" x14ac:dyDescent="0.25">
      <c r="B708" s="35">
        <v>702</v>
      </c>
      <c r="C708" s="36" t="s">
        <v>31</v>
      </c>
      <c r="D708" s="36" t="s">
        <v>226</v>
      </c>
      <c r="E708" s="36" t="s">
        <v>239</v>
      </c>
      <c r="F708" s="36" t="s">
        <v>243</v>
      </c>
      <c r="G708" s="37" t="s">
        <v>26</v>
      </c>
      <c r="H708" s="38">
        <v>169</v>
      </c>
      <c r="I708" s="38">
        <v>0</v>
      </c>
      <c r="J708" s="38">
        <v>0</v>
      </c>
      <c r="K708" s="38">
        <v>19</v>
      </c>
      <c r="L708" s="38">
        <v>4</v>
      </c>
      <c r="M708" s="38">
        <v>144</v>
      </c>
      <c r="N708" s="38">
        <v>1</v>
      </c>
      <c r="O708" s="38">
        <v>1</v>
      </c>
      <c r="P708" s="38"/>
      <c r="Q708" s="38"/>
      <c r="R708" s="38">
        <v>173</v>
      </c>
      <c r="S708" s="38">
        <v>3</v>
      </c>
      <c r="T708" s="38">
        <v>0</v>
      </c>
      <c r="U708" s="38">
        <v>10</v>
      </c>
      <c r="V708" s="38">
        <v>1</v>
      </c>
      <c r="W708" s="38">
        <v>152</v>
      </c>
      <c r="X708" s="38">
        <v>6</v>
      </c>
      <c r="Y708" s="38">
        <v>1</v>
      </c>
      <c r="Z708" s="38"/>
      <c r="AA708" s="38"/>
      <c r="AB708" s="39">
        <v>0</v>
      </c>
      <c r="AC708" s="39">
        <v>0</v>
      </c>
      <c r="AD708" s="39">
        <v>11.242603600000001</v>
      </c>
      <c r="AE708" s="39">
        <v>2.3668638999999998</v>
      </c>
      <c r="AF708" s="39">
        <v>85.207100600000004</v>
      </c>
      <c r="AG708" s="39">
        <v>0.59171600000000002</v>
      </c>
      <c r="AH708" s="39">
        <v>0.59171600000000002</v>
      </c>
      <c r="AI708" s="39"/>
      <c r="AJ708" s="39"/>
      <c r="AK708" s="39">
        <v>1.7341040000000001</v>
      </c>
      <c r="AL708" s="39">
        <v>0</v>
      </c>
      <c r="AM708" s="39">
        <v>5.7803468000000002</v>
      </c>
      <c r="AN708" s="39">
        <v>0.57803470000000001</v>
      </c>
      <c r="AO708" s="39">
        <v>87.861271700000003</v>
      </c>
      <c r="AP708" s="39">
        <v>3.4682081</v>
      </c>
      <c r="AQ708" s="39">
        <v>0.57803470000000001</v>
      </c>
      <c r="AR708" s="40"/>
      <c r="AS708" s="40"/>
    </row>
    <row r="709" spans="2:45" ht="15" customHeight="1" x14ac:dyDescent="0.25">
      <c r="B709" s="41">
        <v>703</v>
      </c>
      <c r="C709" s="42" t="s">
        <v>31</v>
      </c>
      <c r="D709" s="51" t="s">
        <v>226</v>
      </c>
      <c r="E709" s="51" t="s">
        <v>239</v>
      </c>
      <c r="F709" s="51" t="s">
        <v>244</v>
      </c>
      <c r="G709" s="52" t="s">
        <v>244</v>
      </c>
      <c r="H709" s="43">
        <v>719</v>
      </c>
      <c r="I709" s="43">
        <v>1</v>
      </c>
      <c r="J709" s="43">
        <v>6</v>
      </c>
      <c r="K709" s="43">
        <v>142</v>
      </c>
      <c r="L709" s="43">
        <v>81</v>
      </c>
      <c r="M709" s="43">
        <v>432</v>
      </c>
      <c r="N709" s="43">
        <v>31</v>
      </c>
      <c r="O709" s="43">
        <v>26</v>
      </c>
      <c r="P709" s="44">
        <f>K709+L709+M709+N709+O709</f>
        <v>712</v>
      </c>
      <c r="Q709" s="44">
        <f>I709+J709</f>
        <v>7</v>
      </c>
      <c r="R709" s="43">
        <v>873</v>
      </c>
      <c r="S709" s="43">
        <v>10</v>
      </c>
      <c r="T709" s="43">
        <v>1</v>
      </c>
      <c r="U709" s="43">
        <v>78</v>
      </c>
      <c r="V709" s="43">
        <v>76</v>
      </c>
      <c r="W709" s="43">
        <v>588</v>
      </c>
      <c r="X709" s="43">
        <v>108</v>
      </c>
      <c r="Y709" s="43">
        <v>12</v>
      </c>
      <c r="Z709" s="45">
        <f>U709+V709+W709+X709+Y709</f>
        <v>862</v>
      </c>
      <c r="AA709" s="45">
        <f>S709+T709</f>
        <v>11</v>
      </c>
      <c r="AB709" s="46">
        <v>0.13908209999999999</v>
      </c>
      <c r="AC709" s="46">
        <v>0.83449240000000002</v>
      </c>
      <c r="AD709" s="46">
        <v>19.749652300000001</v>
      </c>
      <c r="AE709" s="46">
        <v>11.2656467</v>
      </c>
      <c r="AF709" s="46">
        <v>60.083449199999997</v>
      </c>
      <c r="AG709" s="46">
        <v>4.3115437999999999</v>
      </c>
      <c r="AH709" s="46">
        <v>3.6161335000000001</v>
      </c>
      <c r="AI709" s="47">
        <f>AB709+AC709</f>
        <v>0.97357450000000001</v>
      </c>
      <c r="AJ709" s="47">
        <f>AD709+AE709+AF709+AG709+AH709</f>
        <v>99.026425499999988</v>
      </c>
      <c r="AK709" s="46">
        <v>1.1454754</v>
      </c>
      <c r="AL709" s="46">
        <v>0.1145475</v>
      </c>
      <c r="AM709" s="46">
        <v>8.9347078999999994</v>
      </c>
      <c r="AN709" s="46">
        <v>8.7056128000000008</v>
      </c>
      <c r="AO709" s="46">
        <v>67.353951899999998</v>
      </c>
      <c r="AP709" s="46">
        <v>12.371134</v>
      </c>
      <c r="AQ709" s="46">
        <v>1.3745704000000001</v>
      </c>
      <c r="AR709" s="48">
        <f>AK709+AL709</f>
        <v>1.2600229000000001</v>
      </c>
      <c r="AS709" s="48">
        <f>AM709+AN709+AO709+AP709+AQ709</f>
        <v>98.739976999999996</v>
      </c>
    </row>
    <row r="710" spans="2:45" ht="15" hidden="1" customHeight="1" x14ac:dyDescent="0.25">
      <c r="B710" s="35">
        <v>704</v>
      </c>
      <c r="C710" s="36" t="s">
        <v>31</v>
      </c>
      <c r="D710" s="36" t="s">
        <v>226</v>
      </c>
      <c r="E710" s="36" t="s">
        <v>239</v>
      </c>
      <c r="F710" s="36" t="s">
        <v>244</v>
      </c>
      <c r="G710" s="37" t="s">
        <v>25</v>
      </c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40"/>
      <c r="AS710" s="40"/>
    </row>
    <row r="711" spans="2:45" ht="15" hidden="1" customHeight="1" x14ac:dyDescent="0.25">
      <c r="B711" s="35">
        <v>705</v>
      </c>
      <c r="C711" s="36" t="s">
        <v>31</v>
      </c>
      <c r="D711" s="36" t="s">
        <v>226</v>
      </c>
      <c r="E711" s="36" t="s">
        <v>239</v>
      </c>
      <c r="F711" s="36" t="s">
        <v>244</v>
      </c>
      <c r="G711" s="37" t="s">
        <v>26</v>
      </c>
      <c r="H711" s="38">
        <v>719</v>
      </c>
      <c r="I711" s="38">
        <v>1</v>
      </c>
      <c r="J711" s="38">
        <v>6</v>
      </c>
      <c r="K711" s="38">
        <v>142</v>
      </c>
      <c r="L711" s="38">
        <v>81</v>
      </c>
      <c r="M711" s="38">
        <v>432</v>
      </c>
      <c r="N711" s="38">
        <v>31</v>
      </c>
      <c r="O711" s="38">
        <v>26</v>
      </c>
      <c r="P711" s="38"/>
      <c r="Q711" s="38"/>
      <c r="R711" s="38">
        <v>873</v>
      </c>
      <c r="S711" s="38">
        <v>10</v>
      </c>
      <c r="T711" s="38">
        <v>1</v>
      </c>
      <c r="U711" s="38">
        <v>78</v>
      </c>
      <c r="V711" s="38">
        <v>76</v>
      </c>
      <c r="W711" s="38">
        <v>588</v>
      </c>
      <c r="X711" s="38">
        <v>108</v>
      </c>
      <c r="Y711" s="38">
        <v>12</v>
      </c>
      <c r="Z711" s="38"/>
      <c r="AA711" s="38"/>
      <c r="AB711" s="39">
        <v>0.13908209999999999</v>
      </c>
      <c r="AC711" s="39">
        <v>0.83449240000000002</v>
      </c>
      <c r="AD711" s="39">
        <v>19.749652300000001</v>
      </c>
      <c r="AE711" s="39">
        <v>11.2656467</v>
      </c>
      <c r="AF711" s="39">
        <v>60.083449199999997</v>
      </c>
      <c r="AG711" s="39">
        <v>4.3115437999999999</v>
      </c>
      <c r="AH711" s="39">
        <v>3.6161335000000001</v>
      </c>
      <c r="AI711" s="39"/>
      <c r="AJ711" s="39"/>
      <c r="AK711" s="39">
        <v>1.1454754</v>
      </c>
      <c r="AL711" s="39">
        <v>0.1145475</v>
      </c>
      <c r="AM711" s="39">
        <v>8.9347078999999994</v>
      </c>
      <c r="AN711" s="39">
        <v>8.7056128000000008</v>
      </c>
      <c r="AO711" s="39">
        <v>67.353951899999998</v>
      </c>
      <c r="AP711" s="39">
        <v>12.371134</v>
      </c>
      <c r="AQ711" s="39">
        <v>1.3745704000000001</v>
      </c>
      <c r="AR711" s="40"/>
      <c r="AS711" s="40"/>
    </row>
    <row r="712" spans="2:45" ht="15" hidden="1" customHeight="1" x14ac:dyDescent="0.25">
      <c r="B712" s="30">
        <v>706</v>
      </c>
      <c r="C712" s="31" t="s">
        <v>29</v>
      </c>
      <c r="D712" s="50" t="s">
        <v>226</v>
      </c>
      <c r="E712" s="50" t="s">
        <v>245</v>
      </c>
      <c r="F712" s="50"/>
      <c r="G712" s="31" t="s">
        <v>245</v>
      </c>
      <c r="H712" s="32">
        <v>6182</v>
      </c>
      <c r="I712" s="32">
        <v>543</v>
      </c>
      <c r="J712" s="32">
        <v>939</v>
      </c>
      <c r="K712" s="32">
        <v>570</v>
      </c>
      <c r="L712" s="32">
        <v>2051</v>
      </c>
      <c r="M712" s="32">
        <v>1583</v>
      </c>
      <c r="N712" s="32">
        <v>365</v>
      </c>
      <c r="O712" s="32">
        <v>131</v>
      </c>
      <c r="P712" s="32"/>
      <c r="Q712" s="32"/>
      <c r="R712" s="32">
        <v>6881</v>
      </c>
      <c r="S712" s="32">
        <v>340</v>
      </c>
      <c r="T712" s="32">
        <v>2255</v>
      </c>
      <c r="U712" s="32">
        <v>231</v>
      </c>
      <c r="V712" s="32">
        <v>616</v>
      </c>
      <c r="W712" s="32">
        <v>2787</v>
      </c>
      <c r="X712" s="32">
        <v>568</v>
      </c>
      <c r="Y712" s="32">
        <v>84</v>
      </c>
      <c r="Z712" s="32"/>
      <c r="AA712" s="32"/>
      <c r="AB712" s="33">
        <v>8.7835652</v>
      </c>
      <c r="AC712" s="33">
        <v>15.189259099999999</v>
      </c>
      <c r="AD712" s="33">
        <v>9.2203169999999997</v>
      </c>
      <c r="AE712" s="33">
        <v>33.1769654</v>
      </c>
      <c r="AF712" s="33">
        <v>25.606599800000001</v>
      </c>
      <c r="AG712" s="33">
        <v>5.9042380999999997</v>
      </c>
      <c r="AH712" s="33">
        <v>2.1190552999999999</v>
      </c>
      <c r="AI712" s="33"/>
      <c r="AJ712" s="33"/>
      <c r="AK712" s="33">
        <v>4.9411423000000001</v>
      </c>
      <c r="AL712" s="33">
        <v>32.771399500000001</v>
      </c>
      <c r="AM712" s="33">
        <v>3.3570701999999999</v>
      </c>
      <c r="AN712" s="33">
        <v>8.9521871999999991</v>
      </c>
      <c r="AO712" s="33">
        <v>40.502833899999999</v>
      </c>
      <c r="AP712" s="33">
        <v>8.2546142000000007</v>
      </c>
      <c r="AQ712" s="33">
        <v>1.2207528000000001</v>
      </c>
      <c r="AR712" s="34"/>
      <c r="AS712" s="34"/>
    </row>
    <row r="713" spans="2:45" ht="15" hidden="1" customHeight="1" x14ac:dyDescent="0.25">
      <c r="B713" s="35">
        <v>707</v>
      </c>
      <c r="C713" s="36" t="s">
        <v>29</v>
      </c>
      <c r="D713" s="36" t="s">
        <v>226</v>
      </c>
      <c r="E713" s="36" t="s">
        <v>245</v>
      </c>
      <c r="F713" s="36"/>
      <c r="G713" s="37" t="s">
        <v>25</v>
      </c>
      <c r="H713" s="38">
        <v>1030</v>
      </c>
      <c r="I713" s="38">
        <v>109</v>
      </c>
      <c r="J713" s="38">
        <v>819</v>
      </c>
      <c r="K713" s="38">
        <v>17</v>
      </c>
      <c r="L713" s="38">
        <v>40</v>
      </c>
      <c r="M713" s="38">
        <v>35</v>
      </c>
      <c r="N713" s="38">
        <v>3</v>
      </c>
      <c r="O713" s="38">
        <v>7</v>
      </c>
      <c r="P713" s="38"/>
      <c r="Q713" s="38"/>
      <c r="R713" s="38">
        <v>1487</v>
      </c>
      <c r="S713" s="38">
        <v>133</v>
      </c>
      <c r="T713" s="38">
        <v>1295</v>
      </c>
      <c r="U713" s="38">
        <v>6</v>
      </c>
      <c r="V713" s="38">
        <v>7</v>
      </c>
      <c r="W713" s="38">
        <v>43</v>
      </c>
      <c r="X713" s="38">
        <v>3</v>
      </c>
      <c r="Y713" s="38">
        <v>0</v>
      </c>
      <c r="Z713" s="38"/>
      <c r="AA713" s="38"/>
      <c r="AB713" s="39">
        <v>10.582524299999999</v>
      </c>
      <c r="AC713" s="39">
        <v>79.514563100000004</v>
      </c>
      <c r="AD713" s="39">
        <v>1.6504854</v>
      </c>
      <c r="AE713" s="39">
        <v>3.8834951000000002</v>
      </c>
      <c r="AF713" s="39">
        <v>3.3980583000000002</v>
      </c>
      <c r="AG713" s="39">
        <v>0.29126210000000002</v>
      </c>
      <c r="AH713" s="39">
        <v>0.67961170000000004</v>
      </c>
      <c r="AI713" s="39"/>
      <c r="AJ713" s="39"/>
      <c r="AK713" s="39">
        <v>8.9441828999999995</v>
      </c>
      <c r="AL713" s="39">
        <v>87.088096800000002</v>
      </c>
      <c r="AM713" s="39">
        <v>0.40349699999999999</v>
      </c>
      <c r="AN713" s="39">
        <v>0.47074650000000001</v>
      </c>
      <c r="AO713" s="39">
        <v>2.8917283</v>
      </c>
      <c r="AP713" s="39">
        <v>0.2017485</v>
      </c>
      <c r="AQ713" s="39">
        <v>0</v>
      </c>
      <c r="AR713" s="40"/>
      <c r="AS713" s="40"/>
    </row>
    <row r="714" spans="2:45" ht="15" hidden="1" customHeight="1" x14ac:dyDescent="0.25">
      <c r="B714" s="35">
        <v>708</v>
      </c>
      <c r="C714" s="36" t="s">
        <v>29</v>
      </c>
      <c r="D714" s="36" t="s">
        <v>226</v>
      </c>
      <c r="E714" s="36" t="s">
        <v>245</v>
      </c>
      <c r="F714" s="36"/>
      <c r="G714" s="37" t="s">
        <v>26</v>
      </c>
      <c r="H714" s="38">
        <v>5152</v>
      </c>
      <c r="I714" s="38">
        <v>434</v>
      </c>
      <c r="J714" s="38">
        <v>120</v>
      </c>
      <c r="K714" s="38">
        <v>553</v>
      </c>
      <c r="L714" s="38">
        <v>2011</v>
      </c>
      <c r="M714" s="38">
        <v>1548</v>
      </c>
      <c r="N714" s="38">
        <v>362</v>
      </c>
      <c r="O714" s="38">
        <v>124</v>
      </c>
      <c r="P714" s="38"/>
      <c r="Q714" s="38"/>
      <c r="R714" s="38">
        <v>5394</v>
      </c>
      <c r="S714" s="38">
        <v>207</v>
      </c>
      <c r="T714" s="38">
        <v>960</v>
      </c>
      <c r="U714" s="38">
        <v>225</v>
      </c>
      <c r="V714" s="38">
        <v>609</v>
      </c>
      <c r="W714" s="38">
        <v>2744</v>
      </c>
      <c r="X714" s="38">
        <v>565</v>
      </c>
      <c r="Y714" s="38">
        <v>84</v>
      </c>
      <c r="Z714" s="38"/>
      <c r="AA714" s="38"/>
      <c r="AB714" s="39">
        <v>8.4239130000000007</v>
      </c>
      <c r="AC714" s="39">
        <v>2.3291925</v>
      </c>
      <c r="AD714" s="39">
        <v>10.7336957</v>
      </c>
      <c r="AE714" s="39">
        <v>39.033385099999997</v>
      </c>
      <c r="AF714" s="39">
        <v>30.046583900000002</v>
      </c>
      <c r="AG714" s="39">
        <v>7.0263974999999999</v>
      </c>
      <c r="AH714" s="39">
        <v>2.4068323</v>
      </c>
      <c r="AI714" s="39"/>
      <c r="AJ714" s="39"/>
      <c r="AK714" s="39">
        <v>3.8375973000000001</v>
      </c>
      <c r="AL714" s="39">
        <v>17.797552799999998</v>
      </c>
      <c r="AM714" s="39">
        <v>4.1713013999999999</v>
      </c>
      <c r="AN714" s="39">
        <v>11.2903226</v>
      </c>
      <c r="AO714" s="39">
        <v>50.8713385</v>
      </c>
      <c r="AP714" s="39">
        <v>10.474601399999999</v>
      </c>
      <c r="AQ714" s="39">
        <v>1.5572858999999999</v>
      </c>
      <c r="AR714" s="40"/>
      <c r="AS714" s="40"/>
    </row>
    <row r="715" spans="2:45" ht="15" customHeight="1" x14ac:dyDescent="0.25">
      <c r="B715" s="41">
        <v>709</v>
      </c>
      <c r="C715" s="42" t="s">
        <v>31</v>
      </c>
      <c r="D715" s="51" t="s">
        <v>226</v>
      </c>
      <c r="E715" s="51" t="s">
        <v>245</v>
      </c>
      <c r="F715" s="51" t="s">
        <v>245</v>
      </c>
      <c r="G715" s="52" t="s">
        <v>245</v>
      </c>
      <c r="H715" s="43">
        <v>2839</v>
      </c>
      <c r="I715" s="43">
        <v>123</v>
      </c>
      <c r="J715" s="43">
        <v>830</v>
      </c>
      <c r="K715" s="43">
        <v>177</v>
      </c>
      <c r="L715" s="43">
        <v>759</v>
      </c>
      <c r="M715" s="43">
        <v>673</v>
      </c>
      <c r="N715" s="43">
        <v>207</v>
      </c>
      <c r="O715" s="43">
        <v>70</v>
      </c>
      <c r="P715" s="44">
        <f>K715+L715+M715+N715+O715</f>
        <v>1886</v>
      </c>
      <c r="Q715" s="44">
        <f>I715+J715</f>
        <v>953</v>
      </c>
      <c r="R715" s="43">
        <v>3662</v>
      </c>
      <c r="S715" s="43">
        <v>165</v>
      </c>
      <c r="T715" s="43">
        <v>1336</v>
      </c>
      <c r="U715" s="43">
        <v>119</v>
      </c>
      <c r="V715" s="43">
        <v>199</v>
      </c>
      <c r="W715" s="43">
        <v>1437</v>
      </c>
      <c r="X715" s="43">
        <v>359</v>
      </c>
      <c r="Y715" s="43">
        <v>47</v>
      </c>
      <c r="Z715" s="45">
        <f>U715+V715+W715+X715+Y715</f>
        <v>2161</v>
      </c>
      <c r="AA715" s="45">
        <f>S715+T715</f>
        <v>1501</v>
      </c>
      <c r="AB715" s="46">
        <v>4.3325113999999996</v>
      </c>
      <c r="AC715" s="46">
        <v>29.2356464</v>
      </c>
      <c r="AD715" s="46">
        <v>6.2345895999999996</v>
      </c>
      <c r="AE715" s="46">
        <v>26.734765800000002</v>
      </c>
      <c r="AF715" s="46">
        <v>23.705530100000001</v>
      </c>
      <c r="AG715" s="46">
        <v>7.2912998</v>
      </c>
      <c r="AH715" s="46">
        <v>2.4656568999999999</v>
      </c>
      <c r="AI715" s="47">
        <f>AB715+AC715</f>
        <v>33.568157800000002</v>
      </c>
      <c r="AJ715" s="47">
        <f>AD715+AE715+AF715+AG715+AH715</f>
        <v>66.431842200000006</v>
      </c>
      <c r="AK715" s="46">
        <v>4.5057346000000003</v>
      </c>
      <c r="AL715" s="46">
        <v>36.482796299999997</v>
      </c>
      <c r="AM715" s="46">
        <v>3.2495904000000002</v>
      </c>
      <c r="AN715" s="46">
        <v>5.4341889999999999</v>
      </c>
      <c r="AO715" s="46">
        <v>39.240851999999997</v>
      </c>
      <c r="AP715" s="46">
        <v>9.8033861000000009</v>
      </c>
      <c r="AQ715" s="46">
        <v>1.2834517000000001</v>
      </c>
      <c r="AR715" s="48">
        <f>AK715+AL715</f>
        <v>40.988530900000001</v>
      </c>
      <c r="AS715" s="48">
        <f>AM715+AN715+AO715+AP715+AQ715</f>
        <v>59.011469199999993</v>
      </c>
    </row>
    <row r="716" spans="2:45" ht="15" hidden="1" customHeight="1" x14ac:dyDescent="0.25">
      <c r="B716" s="35">
        <v>710</v>
      </c>
      <c r="C716" s="36" t="s">
        <v>31</v>
      </c>
      <c r="D716" s="36" t="s">
        <v>226</v>
      </c>
      <c r="E716" s="36" t="s">
        <v>245</v>
      </c>
      <c r="F716" s="36" t="s">
        <v>245</v>
      </c>
      <c r="G716" s="37" t="s">
        <v>25</v>
      </c>
      <c r="H716" s="38">
        <v>1030</v>
      </c>
      <c r="I716" s="38">
        <v>109</v>
      </c>
      <c r="J716" s="38">
        <v>819</v>
      </c>
      <c r="K716" s="38">
        <v>17</v>
      </c>
      <c r="L716" s="38">
        <v>40</v>
      </c>
      <c r="M716" s="38">
        <v>35</v>
      </c>
      <c r="N716" s="38">
        <v>3</v>
      </c>
      <c r="O716" s="38">
        <v>7</v>
      </c>
      <c r="P716" s="38"/>
      <c r="Q716" s="38"/>
      <c r="R716" s="38">
        <v>1487</v>
      </c>
      <c r="S716" s="38">
        <v>133</v>
      </c>
      <c r="T716" s="38">
        <v>1295</v>
      </c>
      <c r="U716" s="38">
        <v>6</v>
      </c>
      <c r="V716" s="38">
        <v>7</v>
      </c>
      <c r="W716" s="38">
        <v>43</v>
      </c>
      <c r="X716" s="38">
        <v>3</v>
      </c>
      <c r="Y716" s="38">
        <v>0</v>
      </c>
      <c r="Z716" s="38"/>
      <c r="AA716" s="38"/>
      <c r="AB716" s="39">
        <v>10.582524299999999</v>
      </c>
      <c r="AC716" s="39">
        <v>79.514563100000004</v>
      </c>
      <c r="AD716" s="39">
        <v>1.6504854</v>
      </c>
      <c r="AE716" s="39">
        <v>3.8834951000000002</v>
      </c>
      <c r="AF716" s="39">
        <v>3.3980583000000002</v>
      </c>
      <c r="AG716" s="39">
        <v>0.29126210000000002</v>
      </c>
      <c r="AH716" s="39">
        <v>0.67961170000000004</v>
      </c>
      <c r="AI716" s="39"/>
      <c r="AJ716" s="39"/>
      <c r="AK716" s="39">
        <v>8.9441828999999995</v>
      </c>
      <c r="AL716" s="39">
        <v>87.088096800000002</v>
      </c>
      <c r="AM716" s="39">
        <v>0.40349699999999999</v>
      </c>
      <c r="AN716" s="39">
        <v>0.47074650000000001</v>
      </c>
      <c r="AO716" s="39">
        <v>2.8917283</v>
      </c>
      <c r="AP716" s="39">
        <v>0.2017485</v>
      </c>
      <c r="AQ716" s="39">
        <v>0</v>
      </c>
      <c r="AR716" s="40"/>
      <c r="AS716" s="40"/>
    </row>
    <row r="717" spans="2:45" ht="15" hidden="1" customHeight="1" x14ac:dyDescent="0.25">
      <c r="B717" s="35">
        <v>711</v>
      </c>
      <c r="C717" s="36" t="s">
        <v>31</v>
      </c>
      <c r="D717" s="36" t="s">
        <v>226</v>
      </c>
      <c r="E717" s="36" t="s">
        <v>245</v>
      </c>
      <c r="F717" s="36" t="s">
        <v>245</v>
      </c>
      <c r="G717" s="37" t="s">
        <v>26</v>
      </c>
      <c r="H717" s="38">
        <v>1809</v>
      </c>
      <c r="I717" s="38">
        <v>14</v>
      </c>
      <c r="J717" s="38">
        <v>11</v>
      </c>
      <c r="K717" s="38">
        <v>160</v>
      </c>
      <c r="L717" s="38">
        <v>719</v>
      </c>
      <c r="M717" s="38">
        <v>638</v>
      </c>
      <c r="N717" s="38">
        <v>204</v>
      </c>
      <c r="O717" s="38">
        <v>63</v>
      </c>
      <c r="P717" s="38"/>
      <c r="Q717" s="38"/>
      <c r="R717" s="38">
        <v>2175</v>
      </c>
      <c r="S717" s="38">
        <v>32</v>
      </c>
      <c r="T717" s="38">
        <v>41</v>
      </c>
      <c r="U717" s="38">
        <v>113</v>
      </c>
      <c r="V717" s="38">
        <v>192</v>
      </c>
      <c r="W717" s="38">
        <v>1394</v>
      </c>
      <c r="X717" s="38">
        <v>356</v>
      </c>
      <c r="Y717" s="38">
        <v>47</v>
      </c>
      <c r="Z717" s="38"/>
      <c r="AA717" s="38"/>
      <c r="AB717" s="39">
        <v>0.77390820000000005</v>
      </c>
      <c r="AC717" s="39">
        <v>0.60807080000000002</v>
      </c>
      <c r="AD717" s="39">
        <v>8.8446656000000008</v>
      </c>
      <c r="AE717" s="39">
        <v>39.7457159</v>
      </c>
      <c r="AF717" s="39">
        <v>35.2681039</v>
      </c>
      <c r="AG717" s="39">
        <v>11.276948600000001</v>
      </c>
      <c r="AH717" s="39">
        <v>3.4825870999999999</v>
      </c>
      <c r="AI717" s="39"/>
      <c r="AJ717" s="39"/>
      <c r="AK717" s="39">
        <v>1.4712643999999999</v>
      </c>
      <c r="AL717" s="39">
        <v>1.8850575000000001</v>
      </c>
      <c r="AM717" s="39">
        <v>5.1954022999999996</v>
      </c>
      <c r="AN717" s="39">
        <v>8.8275862000000007</v>
      </c>
      <c r="AO717" s="39">
        <v>64.091954000000001</v>
      </c>
      <c r="AP717" s="39">
        <v>16.367816099999999</v>
      </c>
      <c r="AQ717" s="39">
        <v>2.1609194999999999</v>
      </c>
      <c r="AR717" s="40"/>
      <c r="AS717" s="40"/>
    </row>
    <row r="718" spans="2:45" ht="15" customHeight="1" x14ac:dyDescent="0.25">
      <c r="B718" s="41">
        <v>712</v>
      </c>
      <c r="C718" s="42" t="s">
        <v>31</v>
      </c>
      <c r="D718" s="51" t="s">
        <v>226</v>
      </c>
      <c r="E718" s="51" t="s">
        <v>245</v>
      </c>
      <c r="F718" s="51" t="s">
        <v>246</v>
      </c>
      <c r="G718" s="52" t="s">
        <v>246</v>
      </c>
      <c r="H718" s="43">
        <v>2185</v>
      </c>
      <c r="I718" s="43">
        <v>8</v>
      </c>
      <c r="J718" s="43">
        <v>24</v>
      </c>
      <c r="K718" s="43">
        <v>362</v>
      </c>
      <c r="L718" s="43">
        <v>907</v>
      </c>
      <c r="M718" s="43">
        <v>715</v>
      </c>
      <c r="N718" s="43">
        <v>129</v>
      </c>
      <c r="O718" s="43">
        <v>40</v>
      </c>
      <c r="P718" s="44">
        <f>K718+L718+M718+N718+O718</f>
        <v>2153</v>
      </c>
      <c r="Q718" s="44">
        <f>I718+J718</f>
        <v>32</v>
      </c>
      <c r="R718" s="43">
        <v>1769</v>
      </c>
      <c r="S718" s="43">
        <v>63</v>
      </c>
      <c r="T718" s="43">
        <v>439</v>
      </c>
      <c r="U718" s="43">
        <v>56</v>
      </c>
      <c r="V718" s="43">
        <v>227</v>
      </c>
      <c r="W718" s="43">
        <v>844</v>
      </c>
      <c r="X718" s="43">
        <v>121</v>
      </c>
      <c r="Y718" s="43">
        <v>19</v>
      </c>
      <c r="Z718" s="45">
        <f>U718+V718+W718+X718+Y718</f>
        <v>1267</v>
      </c>
      <c r="AA718" s="45">
        <f>S718+T718</f>
        <v>502</v>
      </c>
      <c r="AB718" s="46">
        <v>0.36613269999999998</v>
      </c>
      <c r="AC718" s="46">
        <v>1.0983982000000001</v>
      </c>
      <c r="AD718" s="46">
        <v>16.567505700000002</v>
      </c>
      <c r="AE718" s="46">
        <v>41.5102975</v>
      </c>
      <c r="AF718" s="46">
        <v>32.723112100000002</v>
      </c>
      <c r="AG718" s="46">
        <v>5.9038902000000002</v>
      </c>
      <c r="AH718" s="46">
        <v>1.8306636000000001</v>
      </c>
      <c r="AI718" s="47">
        <f>AB718+AC718</f>
        <v>1.4645309000000002</v>
      </c>
      <c r="AJ718" s="47">
        <f>AD718+AE718+AF718+AG718+AH718</f>
        <v>98.535469100000014</v>
      </c>
      <c r="AK718" s="46">
        <v>3.5613340999999998</v>
      </c>
      <c r="AL718" s="46">
        <v>24.8162804</v>
      </c>
      <c r="AM718" s="46">
        <v>3.1656303000000001</v>
      </c>
      <c r="AN718" s="46">
        <v>12.8321085</v>
      </c>
      <c r="AO718" s="46">
        <v>47.7105709</v>
      </c>
      <c r="AP718" s="46">
        <v>6.8400226000000002</v>
      </c>
      <c r="AQ718" s="46">
        <v>1.0740531</v>
      </c>
      <c r="AR718" s="48">
        <f>AK718+AL718</f>
        <v>28.3776145</v>
      </c>
      <c r="AS718" s="48">
        <f>AM718+AN718+AO718+AP718+AQ718</f>
        <v>71.622385399999999</v>
      </c>
    </row>
    <row r="719" spans="2:45" ht="15" hidden="1" customHeight="1" x14ac:dyDescent="0.25">
      <c r="B719" s="35">
        <v>713</v>
      </c>
      <c r="C719" s="36" t="s">
        <v>31</v>
      </c>
      <c r="D719" s="36" t="s">
        <v>226</v>
      </c>
      <c r="E719" s="36" t="s">
        <v>245</v>
      </c>
      <c r="F719" s="36" t="s">
        <v>246</v>
      </c>
      <c r="G719" s="37" t="s">
        <v>25</v>
      </c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40"/>
      <c r="AS719" s="40"/>
    </row>
    <row r="720" spans="2:45" ht="15" hidden="1" customHeight="1" x14ac:dyDescent="0.25">
      <c r="B720" s="35">
        <v>714</v>
      </c>
      <c r="C720" s="36" t="s">
        <v>31</v>
      </c>
      <c r="D720" s="36" t="s">
        <v>226</v>
      </c>
      <c r="E720" s="36" t="s">
        <v>245</v>
      </c>
      <c r="F720" s="36" t="s">
        <v>246</v>
      </c>
      <c r="G720" s="37" t="s">
        <v>26</v>
      </c>
      <c r="H720" s="38">
        <v>2185</v>
      </c>
      <c r="I720" s="38">
        <v>8</v>
      </c>
      <c r="J720" s="38">
        <v>24</v>
      </c>
      <c r="K720" s="38">
        <v>362</v>
      </c>
      <c r="L720" s="38">
        <v>907</v>
      </c>
      <c r="M720" s="38">
        <v>715</v>
      </c>
      <c r="N720" s="38">
        <v>129</v>
      </c>
      <c r="O720" s="38">
        <v>40</v>
      </c>
      <c r="P720" s="38"/>
      <c r="Q720" s="38"/>
      <c r="R720" s="38">
        <v>1769</v>
      </c>
      <c r="S720" s="38">
        <v>63</v>
      </c>
      <c r="T720" s="38">
        <v>439</v>
      </c>
      <c r="U720" s="38">
        <v>56</v>
      </c>
      <c r="V720" s="38">
        <v>227</v>
      </c>
      <c r="W720" s="38">
        <v>844</v>
      </c>
      <c r="X720" s="38">
        <v>121</v>
      </c>
      <c r="Y720" s="38">
        <v>19</v>
      </c>
      <c r="Z720" s="38"/>
      <c r="AA720" s="38"/>
      <c r="AB720" s="39">
        <v>0.36613269999999998</v>
      </c>
      <c r="AC720" s="39">
        <v>1.0983982000000001</v>
      </c>
      <c r="AD720" s="39">
        <v>16.567505700000002</v>
      </c>
      <c r="AE720" s="39">
        <v>41.5102975</v>
      </c>
      <c r="AF720" s="39">
        <v>32.723112100000002</v>
      </c>
      <c r="AG720" s="39">
        <v>5.9038902000000002</v>
      </c>
      <c r="AH720" s="39">
        <v>1.8306636000000001</v>
      </c>
      <c r="AI720" s="39"/>
      <c r="AJ720" s="39"/>
      <c r="AK720" s="39">
        <v>3.5613340999999998</v>
      </c>
      <c r="AL720" s="39">
        <v>24.8162804</v>
      </c>
      <c r="AM720" s="39">
        <v>3.1656303000000001</v>
      </c>
      <c r="AN720" s="39">
        <v>12.8321085</v>
      </c>
      <c r="AO720" s="39">
        <v>47.7105709</v>
      </c>
      <c r="AP720" s="39">
        <v>6.8400226000000002</v>
      </c>
      <c r="AQ720" s="39">
        <v>1.0740531</v>
      </c>
      <c r="AR720" s="40"/>
      <c r="AS720" s="40"/>
    </row>
    <row r="721" spans="2:45" ht="15" customHeight="1" x14ac:dyDescent="0.25">
      <c r="B721" s="41">
        <v>715</v>
      </c>
      <c r="C721" s="42" t="s">
        <v>31</v>
      </c>
      <c r="D721" s="51" t="s">
        <v>226</v>
      </c>
      <c r="E721" s="51" t="s">
        <v>245</v>
      </c>
      <c r="F721" s="51" t="s">
        <v>247</v>
      </c>
      <c r="G721" s="52" t="s">
        <v>247</v>
      </c>
      <c r="H721" s="43">
        <v>1158</v>
      </c>
      <c r="I721" s="43">
        <v>412</v>
      </c>
      <c r="J721" s="43">
        <v>85</v>
      </c>
      <c r="K721" s="43">
        <v>31</v>
      </c>
      <c r="L721" s="43">
        <v>385</v>
      </c>
      <c r="M721" s="43">
        <v>195</v>
      </c>
      <c r="N721" s="43">
        <v>29</v>
      </c>
      <c r="O721" s="43">
        <v>21</v>
      </c>
      <c r="P721" s="44">
        <f>K721+L721+M721+N721+O721</f>
        <v>661</v>
      </c>
      <c r="Q721" s="44">
        <f>I721+J721</f>
        <v>497</v>
      </c>
      <c r="R721" s="43">
        <v>1450</v>
      </c>
      <c r="S721" s="43">
        <v>112</v>
      </c>
      <c r="T721" s="43">
        <v>480</v>
      </c>
      <c r="U721" s="43">
        <v>56</v>
      </c>
      <c r="V721" s="43">
        <v>190</v>
      </c>
      <c r="W721" s="43">
        <v>506</v>
      </c>
      <c r="X721" s="43">
        <v>88</v>
      </c>
      <c r="Y721" s="43">
        <v>18</v>
      </c>
      <c r="Z721" s="45">
        <f>U721+V721+W721+X721+Y721</f>
        <v>858</v>
      </c>
      <c r="AA721" s="45">
        <f>S721+T721</f>
        <v>592</v>
      </c>
      <c r="AB721" s="46">
        <v>35.578583799999997</v>
      </c>
      <c r="AC721" s="46">
        <v>7.3402418000000003</v>
      </c>
      <c r="AD721" s="46">
        <v>2.6770293999999999</v>
      </c>
      <c r="AE721" s="46">
        <v>33.2469775</v>
      </c>
      <c r="AF721" s="46">
        <v>16.839378199999999</v>
      </c>
      <c r="AG721" s="46">
        <v>2.5043177999999999</v>
      </c>
      <c r="AH721" s="46">
        <v>1.8134714999999999</v>
      </c>
      <c r="AI721" s="47">
        <f>AB721+AC721</f>
        <v>42.918825599999998</v>
      </c>
      <c r="AJ721" s="47">
        <f>AD721+AE721+AF721+AG721+AH721</f>
        <v>57.081174400000002</v>
      </c>
      <c r="AK721" s="46">
        <v>7.7241378999999997</v>
      </c>
      <c r="AL721" s="46">
        <v>33.103448299999997</v>
      </c>
      <c r="AM721" s="46">
        <v>3.862069</v>
      </c>
      <c r="AN721" s="46">
        <v>13.1034483</v>
      </c>
      <c r="AO721" s="46">
        <v>34.896551700000003</v>
      </c>
      <c r="AP721" s="46">
        <v>6.0689655</v>
      </c>
      <c r="AQ721" s="46">
        <v>1.2413793</v>
      </c>
      <c r="AR721" s="48">
        <f>AK721+AL721</f>
        <v>40.827586199999999</v>
      </c>
      <c r="AS721" s="48">
        <f>AM721+AN721+AO721+AP721+AQ721</f>
        <v>59.172413800000001</v>
      </c>
    </row>
    <row r="722" spans="2:45" ht="15" hidden="1" customHeight="1" x14ac:dyDescent="0.25">
      <c r="B722" s="35">
        <v>716</v>
      </c>
      <c r="C722" s="36" t="s">
        <v>31</v>
      </c>
      <c r="D722" s="36" t="s">
        <v>226</v>
      </c>
      <c r="E722" s="36" t="s">
        <v>245</v>
      </c>
      <c r="F722" s="36" t="s">
        <v>247</v>
      </c>
      <c r="G722" s="37" t="s">
        <v>25</v>
      </c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40"/>
      <c r="AS722" s="40"/>
    </row>
    <row r="723" spans="2:45" ht="15" hidden="1" customHeight="1" x14ac:dyDescent="0.25">
      <c r="B723" s="35">
        <v>717</v>
      </c>
      <c r="C723" s="36" t="s">
        <v>31</v>
      </c>
      <c r="D723" s="36" t="s">
        <v>226</v>
      </c>
      <c r="E723" s="36" t="s">
        <v>245</v>
      </c>
      <c r="F723" s="36" t="s">
        <v>247</v>
      </c>
      <c r="G723" s="37" t="s">
        <v>26</v>
      </c>
      <c r="H723" s="38">
        <v>1158</v>
      </c>
      <c r="I723" s="38">
        <v>412</v>
      </c>
      <c r="J723" s="38">
        <v>85</v>
      </c>
      <c r="K723" s="38">
        <v>31</v>
      </c>
      <c r="L723" s="38">
        <v>385</v>
      </c>
      <c r="M723" s="38">
        <v>195</v>
      </c>
      <c r="N723" s="38">
        <v>29</v>
      </c>
      <c r="O723" s="38">
        <v>21</v>
      </c>
      <c r="P723" s="38"/>
      <c r="Q723" s="38"/>
      <c r="R723" s="38">
        <v>1450</v>
      </c>
      <c r="S723" s="38">
        <v>112</v>
      </c>
      <c r="T723" s="38">
        <v>480</v>
      </c>
      <c r="U723" s="38">
        <v>56</v>
      </c>
      <c r="V723" s="38">
        <v>190</v>
      </c>
      <c r="W723" s="38">
        <v>506</v>
      </c>
      <c r="X723" s="38">
        <v>88</v>
      </c>
      <c r="Y723" s="38">
        <v>18</v>
      </c>
      <c r="Z723" s="38"/>
      <c r="AA723" s="38"/>
      <c r="AB723" s="39">
        <v>35.578583799999997</v>
      </c>
      <c r="AC723" s="39">
        <v>7.3402418000000003</v>
      </c>
      <c r="AD723" s="39">
        <v>2.6770293999999999</v>
      </c>
      <c r="AE723" s="39">
        <v>33.2469775</v>
      </c>
      <c r="AF723" s="39">
        <v>16.839378199999999</v>
      </c>
      <c r="AG723" s="39">
        <v>2.5043177999999999</v>
      </c>
      <c r="AH723" s="39">
        <v>1.8134714999999999</v>
      </c>
      <c r="AI723" s="39"/>
      <c r="AJ723" s="39"/>
      <c r="AK723" s="39">
        <v>7.7241378999999997</v>
      </c>
      <c r="AL723" s="39">
        <v>33.103448299999997</v>
      </c>
      <c r="AM723" s="39">
        <v>3.862069</v>
      </c>
      <c r="AN723" s="39">
        <v>13.1034483</v>
      </c>
      <c r="AO723" s="39">
        <v>34.896551700000003</v>
      </c>
      <c r="AP723" s="39">
        <v>6.0689655</v>
      </c>
      <c r="AQ723" s="39">
        <v>1.2413793</v>
      </c>
      <c r="AR723" s="40"/>
      <c r="AS723" s="40"/>
    </row>
    <row r="724" spans="2:45" ht="15" hidden="1" customHeight="1" x14ac:dyDescent="0.25">
      <c r="B724" s="30">
        <v>718</v>
      </c>
      <c r="C724" s="31" t="s">
        <v>29</v>
      </c>
      <c r="D724" s="50" t="s">
        <v>226</v>
      </c>
      <c r="E724" s="50" t="s">
        <v>248</v>
      </c>
      <c r="F724" s="50"/>
      <c r="G724" s="31" t="s">
        <v>248</v>
      </c>
      <c r="H724" s="32">
        <v>8747</v>
      </c>
      <c r="I724" s="32">
        <v>1131</v>
      </c>
      <c r="J724" s="32">
        <v>2262</v>
      </c>
      <c r="K724" s="32">
        <v>890</v>
      </c>
      <c r="L724" s="32">
        <v>2277</v>
      </c>
      <c r="M724" s="32">
        <v>1736</v>
      </c>
      <c r="N724" s="32">
        <v>325</v>
      </c>
      <c r="O724" s="32">
        <v>126</v>
      </c>
      <c r="P724" s="32"/>
      <c r="Q724" s="32"/>
      <c r="R724" s="32">
        <v>8599</v>
      </c>
      <c r="S724" s="32">
        <v>2678</v>
      </c>
      <c r="T724" s="32">
        <v>3537</v>
      </c>
      <c r="U724" s="32">
        <v>179</v>
      </c>
      <c r="V724" s="32">
        <v>224</v>
      </c>
      <c r="W724" s="32">
        <v>1702</v>
      </c>
      <c r="X724" s="32">
        <v>232</v>
      </c>
      <c r="Y724" s="32">
        <v>47</v>
      </c>
      <c r="Z724" s="32"/>
      <c r="AA724" s="32"/>
      <c r="AB724" s="33">
        <v>12.9301475</v>
      </c>
      <c r="AC724" s="33">
        <v>25.860295000000001</v>
      </c>
      <c r="AD724" s="33">
        <v>10.1749171</v>
      </c>
      <c r="AE724" s="33">
        <v>26.0317823</v>
      </c>
      <c r="AF724" s="33">
        <v>19.846804599999999</v>
      </c>
      <c r="AG724" s="33">
        <v>3.7155596000000002</v>
      </c>
      <c r="AH724" s="33">
        <v>1.4404939000000001</v>
      </c>
      <c r="AI724" s="33"/>
      <c r="AJ724" s="33"/>
      <c r="AK724" s="33">
        <v>31.1431562</v>
      </c>
      <c r="AL724" s="33">
        <v>41.132689800000001</v>
      </c>
      <c r="AM724" s="33">
        <v>2.0816374</v>
      </c>
      <c r="AN724" s="33">
        <v>2.6049541000000001</v>
      </c>
      <c r="AO724" s="33">
        <v>19.792999200000001</v>
      </c>
      <c r="AP724" s="33">
        <v>2.6979880999999999</v>
      </c>
      <c r="AQ724" s="33">
        <v>0.54657520000000004</v>
      </c>
      <c r="AR724" s="34"/>
      <c r="AS724" s="34"/>
    </row>
    <row r="725" spans="2:45" ht="15" hidden="1" customHeight="1" x14ac:dyDescent="0.25">
      <c r="B725" s="35">
        <v>719</v>
      </c>
      <c r="C725" s="36" t="s">
        <v>29</v>
      </c>
      <c r="D725" s="36" t="s">
        <v>226</v>
      </c>
      <c r="E725" s="36" t="s">
        <v>248</v>
      </c>
      <c r="F725" s="36"/>
      <c r="G725" s="37" t="s">
        <v>25</v>
      </c>
      <c r="H725" s="38">
        <v>6417</v>
      </c>
      <c r="I725" s="38">
        <v>1102</v>
      </c>
      <c r="J725" s="38">
        <v>2042</v>
      </c>
      <c r="K725" s="38">
        <v>694</v>
      </c>
      <c r="L725" s="38">
        <v>1621</v>
      </c>
      <c r="M725" s="38">
        <v>805</v>
      </c>
      <c r="N725" s="38">
        <v>71</v>
      </c>
      <c r="O725" s="38">
        <v>82</v>
      </c>
      <c r="P725" s="38"/>
      <c r="Q725" s="38"/>
      <c r="R725" s="38">
        <v>5884</v>
      </c>
      <c r="S725" s="38">
        <v>2513</v>
      </c>
      <c r="T725" s="38">
        <v>3037</v>
      </c>
      <c r="U725" s="38">
        <v>60</v>
      </c>
      <c r="V725" s="38">
        <v>56</v>
      </c>
      <c r="W725" s="38">
        <v>195</v>
      </c>
      <c r="X725" s="38">
        <v>13</v>
      </c>
      <c r="Y725" s="38">
        <v>10</v>
      </c>
      <c r="Z725" s="38"/>
      <c r="AA725" s="38"/>
      <c r="AB725" s="39">
        <v>17.1731339</v>
      </c>
      <c r="AC725" s="39">
        <v>31.821723500000001</v>
      </c>
      <c r="AD725" s="39">
        <v>10.815022600000001</v>
      </c>
      <c r="AE725" s="39">
        <v>25.261025400000001</v>
      </c>
      <c r="AF725" s="39">
        <v>12.544802900000001</v>
      </c>
      <c r="AG725" s="39">
        <v>1.106436</v>
      </c>
      <c r="AH725" s="39">
        <v>1.2778556999999999</v>
      </c>
      <c r="AI725" s="39"/>
      <c r="AJ725" s="39"/>
      <c r="AK725" s="39">
        <v>42.709041499999998</v>
      </c>
      <c r="AL725" s="39">
        <v>51.614547899999998</v>
      </c>
      <c r="AM725" s="39">
        <v>1.0197145000000001</v>
      </c>
      <c r="AN725" s="39">
        <v>0.95173350000000001</v>
      </c>
      <c r="AO725" s="39">
        <v>3.3140721000000002</v>
      </c>
      <c r="AP725" s="39">
        <v>0.2209381</v>
      </c>
      <c r="AQ725" s="39">
        <v>0.1699524</v>
      </c>
      <c r="AR725" s="40"/>
      <c r="AS725" s="40"/>
    </row>
    <row r="726" spans="2:45" ht="15" hidden="1" customHeight="1" x14ac:dyDescent="0.25">
      <c r="B726" s="35">
        <v>720</v>
      </c>
      <c r="C726" s="36" t="s">
        <v>29</v>
      </c>
      <c r="D726" s="36" t="s">
        <v>226</v>
      </c>
      <c r="E726" s="36" t="s">
        <v>248</v>
      </c>
      <c r="F726" s="36"/>
      <c r="G726" s="37" t="s">
        <v>26</v>
      </c>
      <c r="H726" s="38">
        <v>2330</v>
      </c>
      <c r="I726" s="38">
        <v>29</v>
      </c>
      <c r="J726" s="38">
        <v>220</v>
      </c>
      <c r="K726" s="38">
        <v>196</v>
      </c>
      <c r="L726" s="38">
        <v>656</v>
      </c>
      <c r="M726" s="38">
        <v>931</v>
      </c>
      <c r="N726" s="38">
        <v>254</v>
      </c>
      <c r="O726" s="38">
        <v>44</v>
      </c>
      <c r="P726" s="38"/>
      <c r="Q726" s="38"/>
      <c r="R726" s="38">
        <v>2715</v>
      </c>
      <c r="S726" s="38">
        <v>165</v>
      </c>
      <c r="T726" s="38">
        <v>500</v>
      </c>
      <c r="U726" s="38">
        <v>119</v>
      </c>
      <c r="V726" s="38">
        <v>168</v>
      </c>
      <c r="W726" s="38">
        <v>1507</v>
      </c>
      <c r="X726" s="38">
        <v>219</v>
      </c>
      <c r="Y726" s="38">
        <v>37</v>
      </c>
      <c r="Z726" s="38"/>
      <c r="AA726" s="38"/>
      <c r="AB726" s="39">
        <v>1.2446352000000001</v>
      </c>
      <c r="AC726" s="39">
        <v>9.4420601000000008</v>
      </c>
      <c r="AD726" s="39">
        <v>8.4120171999999993</v>
      </c>
      <c r="AE726" s="39">
        <v>28.154506399999999</v>
      </c>
      <c r="AF726" s="39">
        <v>39.957081500000001</v>
      </c>
      <c r="AG726" s="39">
        <v>10.9012876</v>
      </c>
      <c r="AH726" s="39">
        <v>1.888412</v>
      </c>
      <c r="AI726" s="39"/>
      <c r="AJ726" s="39"/>
      <c r="AK726" s="39">
        <v>6.0773481</v>
      </c>
      <c r="AL726" s="39">
        <v>18.416206299999999</v>
      </c>
      <c r="AM726" s="39">
        <v>4.3830571000000003</v>
      </c>
      <c r="AN726" s="39">
        <v>6.1878453000000002</v>
      </c>
      <c r="AO726" s="39">
        <v>55.5064457</v>
      </c>
      <c r="AP726" s="39">
        <v>8.0662982999999997</v>
      </c>
      <c r="AQ726" s="39">
        <v>1.3627993</v>
      </c>
      <c r="AR726" s="40"/>
      <c r="AS726" s="40"/>
    </row>
    <row r="727" spans="2:45" ht="15" customHeight="1" x14ac:dyDescent="0.25">
      <c r="B727" s="41">
        <v>721</v>
      </c>
      <c r="C727" s="42" t="s">
        <v>31</v>
      </c>
      <c r="D727" s="51" t="s">
        <v>226</v>
      </c>
      <c r="E727" s="51" t="s">
        <v>248</v>
      </c>
      <c r="F727" s="51" t="s">
        <v>249</v>
      </c>
      <c r="G727" s="52" t="s">
        <v>249</v>
      </c>
      <c r="H727" s="43">
        <v>7189</v>
      </c>
      <c r="I727" s="43">
        <v>1052</v>
      </c>
      <c r="J727" s="43">
        <v>2256</v>
      </c>
      <c r="K727" s="43">
        <v>316</v>
      </c>
      <c r="L727" s="43">
        <v>1995</v>
      </c>
      <c r="M727" s="43">
        <v>1374</v>
      </c>
      <c r="N727" s="43">
        <v>111</v>
      </c>
      <c r="O727" s="43">
        <v>85</v>
      </c>
      <c r="P727" s="44">
        <f>K727+L727+M727+N727+O727</f>
        <v>3881</v>
      </c>
      <c r="Q727" s="44">
        <f>I727+J727</f>
        <v>3308</v>
      </c>
      <c r="R727" s="43">
        <v>6423</v>
      </c>
      <c r="S727" s="43">
        <v>2502</v>
      </c>
      <c r="T727" s="43">
        <v>2604</v>
      </c>
      <c r="U727" s="43">
        <v>74</v>
      </c>
      <c r="V727" s="43">
        <v>161</v>
      </c>
      <c r="W727" s="43">
        <v>991</v>
      </c>
      <c r="X727" s="43">
        <v>70</v>
      </c>
      <c r="Y727" s="43">
        <v>21</v>
      </c>
      <c r="Z727" s="45">
        <f>U727+V727+W727+X727+Y727</f>
        <v>1317</v>
      </c>
      <c r="AA727" s="45">
        <f>S727+T727</f>
        <v>5106</v>
      </c>
      <c r="AB727" s="46">
        <v>14.6334678</v>
      </c>
      <c r="AC727" s="46">
        <v>31.381277000000001</v>
      </c>
      <c r="AD727" s="46">
        <v>4.3956043999999999</v>
      </c>
      <c r="AE727" s="46">
        <v>27.750730300000001</v>
      </c>
      <c r="AF727" s="46">
        <v>19.112532999999999</v>
      </c>
      <c r="AG727" s="46">
        <v>1.5440256000000001</v>
      </c>
      <c r="AH727" s="46">
        <v>1.1823619000000001</v>
      </c>
      <c r="AI727" s="47">
        <f>AB727+AC727</f>
        <v>46.014744800000003</v>
      </c>
      <c r="AJ727" s="47">
        <f>AD727+AE727+AF727+AG727+AH727</f>
        <v>53.985255199999997</v>
      </c>
      <c r="AK727" s="46">
        <v>38.953759900000001</v>
      </c>
      <c r="AL727" s="46">
        <v>40.5418029</v>
      </c>
      <c r="AM727" s="46">
        <v>1.1521096</v>
      </c>
      <c r="AN727" s="46">
        <v>2.5066168000000002</v>
      </c>
      <c r="AO727" s="46">
        <v>15.4289273</v>
      </c>
      <c r="AP727" s="46">
        <v>1.0898334000000001</v>
      </c>
      <c r="AQ727" s="46">
        <v>0.32695000000000002</v>
      </c>
      <c r="AR727" s="48">
        <f>AK727+AL727</f>
        <v>79.495562800000002</v>
      </c>
      <c r="AS727" s="48">
        <f>AM727+AN727+AO727+AP727+AQ727</f>
        <v>20.504437100000001</v>
      </c>
    </row>
    <row r="728" spans="2:45" ht="15" hidden="1" customHeight="1" x14ac:dyDescent="0.25">
      <c r="B728" s="35">
        <v>722</v>
      </c>
      <c r="C728" s="36" t="s">
        <v>31</v>
      </c>
      <c r="D728" s="36" t="s">
        <v>226</v>
      </c>
      <c r="E728" s="36" t="s">
        <v>248</v>
      </c>
      <c r="F728" s="36" t="s">
        <v>249</v>
      </c>
      <c r="G728" s="37" t="s">
        <v>25</v>
      </c>
      <c r="H728" s="38">
        <v>5635</v>
      </c>
      <c r="I728" s="38">
        <v>1028</v>
      </c>
      <c r="J728" s="38">
        <v>2037</v>
      </c>
      <c r="K728" s="38">
        <v>239</v>
      </c>
      <c r="L728" s="38">
        <v>1555</v>
      </c>
      <c r="M728" s="38">
        <v>708</v>
      </c>
      <c r="N728" s="38">
        <v>12</v>
      </c>
      <c r="O728" s="38">
        <v>56</v>
      </c>
      <c r="P728" s="38"/>
      <c r="Q728" s="38"/>
      <c r="R728" s="38">
        <v>4810</v>
      </c>
      <c r="S728" s="38">
        <v>2387</v>
      </c>
      <c r="T728" s="38">
        <v>2241</v>
      </c>
      <c r="U728" s="38">
        <v>26</v>
      </c>
      <c r="V728" s="38">
        <v>47</v>
      </c>
      <c r="W728" s="38">
        <v>99</v>
      </c>
      <c r="X728" s="38">
        <v>2</v>
      </c>
      <c r="Y728" s="38">
        <v>8</v>
      </c>
      <c r="Z728" s="38"/>
      <c r="AA728" s="38"/>
      <c r="AB728" s="39">
        <v>18.243123300000001</v>
      </c>
      <c r="AC728" s="39">
        <v>36.149068300000003</v>
      </c>
      <c r="AD728" s="39">
        <v>4.2413486999999996</v>
      </c>
      <c r="AE728" s="39">
        <v>27.595386000000001</v>
      </c>
      <c r="AF728" s="39">
        <v>12.564330099999999</v>
      </c>
      <c r="AG728" s="39">
        <v>0.2129547</v>
      </c>
      <c r="AH728" s="39">
        <v>0.99378880000000003</v>
      </c>
      <c r="AI728" s="39"/>
      <c r="AJ728" s="39"/>
      <c r="AK728" s="39">
        <v>49.625779600000001</v>
      </c>
      <c r="AL728" s="39">
        <v>46.590436599999997</v>
      </c>
      <c r="AM728" s="39">
        <v>0.54054049999999998</v>
      </c>
      <c r="AN728" s="39">
        <v>0.97713099999999997</v>
      </c>
      <c r="AO728" s="39">
        <v>2.0582121</v>
      </c>
      <c r="AP728" s="39">
        <v>4.1579999999999999E-2</v>
      </c>
      <c r="AQ728" s="39">
        <v>0.1663202</v>
      </c>
      <c r="AR728" s="40"/>
      <c r="AS728" s="40"/>
    </row>
    <row r="729" spans="2:45" ht="15" hidden="1" customHeight="1" x14ac:dyDescent="0.25">
      <c r="B729" s="35">
        <v>723</v>
      </c>
      <c r="C729" s="36" t="s">
        <v>31</v>
      </c>
      <c r="D729" s="36" t="s">
        <v>226</v>
      </c>
      <c r="E729" s="36" t="s">
        <v>248</v>
      </c>
      <c r="F729" s="36" t="s">
        <v>249</v>
      </c>
      <c r="G729" s="37" t="s">
        <v>26</v>
      </c>
      <c r="H729" s="38">
        <v>1554</v>
      </c>
      <c r="I729" s="38">
        <v>24</v>
      </c>
      <c r="J729" s="38">
        <v>219</v>
      </c>
      <c r="K729" s="38">
        <v>77</v>
      </c>
      <c r="L729" s="38">
        <v>440</v>
      </c>
      <c r="M729" s="38">
        <v>666</v>
      </c>
      <c r="N729" s="38">
        <v>99</v>
      </c>
      <c r="O729" s="38">
        <v>29</v>
      </c>
      <c r="P729" s="38"/>
      <c r="Q729" s="38"/>
      <c r="R729" s="38">
        <v>1613</v>
      </c>
      <c r="S729" s="38">
        <v>115</v>
      </c>
      <c r="T729" s="38">
        <v>363</v>
      </c>
      <c r="U729" s="38">
        <v>48</v>
      </c>
      <c r="V729" s="38">
        <v>114</v>
      </c>
      <c r="W729" s="38">
        <v>892</v>
      </c>
      <c r="X729" s="38">
        <v>68</v>
      </c>
      <c r="Y729" s="38">
        <v>13</v>
      </c>
      <c r="Z729" s="38"/>
      <c r="AA729" s="38"/>
      <c r="AB729" s="39">
        <v>1.5444015</v>
      </c>
      <c r="AC729" s="39">
        <v>14.0926641</v>
      </c>
      <c r="AD729" s="39">
        <v>4.954955</v>
      </c>
      <c r="AE729" s="39">
        <v>28.3140283</v>
      </c>
      <c r="AF729" s="39">
        <v>42.857142899999999</v>
      </c>
      <c r="AG729" s="39">
        <v>6.3706563999999997</v>
      </c>
      <c r="AH729" s="39">
        <v>1.8661519</v>
      </c>
      <c r="AI729" s="39"/>
      <c r="AJ729" s="39"/>
      <c r="AK729" s="39">
        <v>7.1295722000000001</v>
      </c>
      <c r="AL729" s="39">
        <v>22.504649700000002</v>
      </c>
      <c r="AM729" s="39">
        <v>2.9758214999999999</v>
      </c>
      <c r="AN729" s="39">
        <v>7.0675758999999996</v>
      </c>
      <c r="AO729" s="39">
        <v>55.300682000000002</v>
      </c>
      <c r="AP729" s="39">
        <v>4.2157470999999997</v>
      </c>
      <c r="AQ729" s="39">
        <v>0.80595159999999999</v>
      </c>
      <c r="AR729" s="40"/>
      <c r="AS729" s="40"/>
    </row>
    <row r="730" spans="2:45" ht="15" customHeight="1" x14ac:dyDescent="0.25">
      <c r="B730" s="41">
        <v>724</v>
      </c>
      <c r="C730" s="42" t="s">
        <v>31</v>
      </c>
      <c r="D730" s="51" t="s">
        <v>226</v>
      </c>
      <c r="E730" s="51" t="s">
        <v>248</v>
      </c>
      <c r="F730" s="51" t="s">
        <v>250</v>
      </c>
      <c r="G730" s="52" t="s">
        <v>250</v>
      </c>
      <c r="H730" s="43">
        <v>1558</v>
      </c>
      <c r="I730" s="43">
        <v>79</v>
      </c>
      <c r="J730" s="43">
        <v>6</v>
      </c>
      <c r="K730" s="43">
        <v>574</v>
      </c>
      <c r="L730" s="43">
        <v>282</v>
      </c>
      <c r="M730" s="43">
        <v>362</v>
      </c>
      <c r="N730" s="43">
        <v>214</v>
      </c>
      <c r="O730" s="43">
        <v>41</v>
      </c>
      <c r="P730" s="44">
        <f>K730+L730+M730+N730+O730</f>
        <v>1473</v>
      </c>
      <c r="Q730" s="44">
        <f>I730+J730</f>
        <v>85</v>
      </c>
      <c r="R730" s="43">
        <v>2176</v>
      </c>
      <c r="S730" s="43">
        <v>176</v>
      </c>
      <c r="T730" s="43">
        <v>933</v>
      </c>
      <c r="U730" s="43">
        <v>105</v>
      </c>
      <c r="V730" s="43">
        <v>63</v>
      </c>
      <c r="W730" s="43">
        <v>711</v>
      </c>
      <c r="X730" s="43">
        <v>162</v>
      </c>
      <c r="Y730" s="43">
        <v>26</v>
      </c>
      <c r="Z730" s="45">
        <f>U730+V730+W730+X730+Y730</f>
        <v>1067</v>
      </c>
      <c r="AA730" s="45">
        <f>S730+T730</f>
        <v>1109</v>
      </c>
      <c r="AB730" s="46">
        <v>5.0706033000000001</v>
      </c>
      <c r="AC730" s="46">
        <v>0.38510909999999998</v>
      </c>
      <c r="AD730" s="46">
        <v>36.8421053</v>
      </c>
      <c r="AE730" s="46">
        <v>18.100128399999999</v>
      </c>
      <c r="AF730" s="46">
        <v>23.234916599999998</v>
      </c>
      <c r="AG730" s="46">
        <v>13.7355584</v>
      </c>
      <c r="AH730" s="46">
        <v>2.6315789000000001</v>
      </c>
      <c r="AI730" s="47">
        <f>AB730+AC730</f>
        <v>5.4557124000000004</v>
      </c>
      <c r="AJ730" s="47">
        <f>AD730+AE730+AF730+AG730+AH730</f>
        <v>94.54428759999999</v>
      </c>
      <c r="AK730" s="46">
        <v>8.0882352999999991</v>
      </c>
      <c r="AL730" s="46">
        <v>42.876838200000002</v>
      </c>
      <c r="AM730" s="46">
        <v>4.8253675999999999</v>
      </c>
      <c r="AN730" s="46">
        <v>2.8952206</v>
      </c>
      <c r="AO730" s="46">
        <v>32.6746324</v>
      </c>
      <c r="AP730" s="46">
        <v>7.4448528999999999</v>
      </c>
      <c r="AQ730" s="46">
        <v>1.1948529000000001</v>
      </c>
      <c r="AR730" s="48">
        <f>AK730+AL730</f>
        <v>50.965073500000003</v>
      </c>
      <c r="AS730" s="48">
        <f>AM730+AN730+AO730+AP730+AQ730</f>
        <v>49.034926400000003</v>
      </c>
    </row>
    <row r="731" spans="2:45" ht="15" hidden="1" customHeight="1" x14ac:dyDescent="0.25">
      <c r="B731" s="35">
        <v>725</v>
      </c>
      <c r="C731" s="36" t="s">
        <v>31</v>
      </c>
      <c r="D731" s="36" t="s">
        <v>226</v>
      </c>
      <c r="E731" s="36" t="s">
        <v>248</v>
      </c>
      <c r="F731" s="36" t="s">
        <v>250</v>
      </c>
      <c r="G731" s="37" t="s">
        <v>25</v>
      </c>
      <c r="H731" s="38">
        <v>782</v>
      </c>
      <c r="I731" s="38">
        <v>74</v>
      </c>
      <c r="J731" s="38">
        <v>5</v>
      </c>
      <c r="K731" s="38">
        <v>455</v>
      </c>
      <c r="L731" s="38">
        <v>66</v>
      </c>
      <c r="M731" s="38">
        <v>97</v>
      </c>
      <c r="N731" s="38">
        <v>59</v>
      </c>
      <c r="O731" s="38">
        <v>26</v>
      </c>
      <c r="P731" s="38"/>
      <c r="Q731" s="38"/>
      <c r="R731" s="38">
        <v>1074</v>
      </c>
      <c r="S731" s="38">
        <v>126</v>
      </c>
      <c r="T731" s="38">
        <v>796</v>
      </c>
      <c r="U731" s="38">
        <v>34</v>
      </c>
      <c r="V731" s="38">
        <v>9</v>
      </c>
      <c r="W731" s="38">
        <v>96</v>
      </c>
      <c r="X731" s="38">
        <v>11</v>
      </c>
      <c r="Y731" s="38">
        <v>2</v>
      </c>
      <c r="Z731" s="38"/>
      <c r="AA731" s="38"/>
      <c r="AB731" s="39">
        <v>9.4629156000000005</v>
      </c>
      <c r="AC731" s="39">
        <v>0.63938620000000002</v>
      </c>
      <c r="AD731" s="39">
        <v>58.184143200000001</v>
      </c>
      <c r="AE731" s="39">
        <v>8.4398976999999995</v>
      </c>
      <c r="AF731" s="39">
        <v>12.4040921</v>
      </c>
      <c r="AG731" s="39">
        <v>7.5447569999999997</v>
      </c>
      <c r="AH731" s="39">
        <v>3.3248082000000001</v>
      </c>
      <c r="AI731" s="39"/>
      <c r="AJ731" s="39"/>
      <c r="AK731" s="39">
        <v>11.731843599999999</v>
      </c>
      <c r="AL731" s="39">
        <v>74.115456199999997</v>
      </c>
      <c r="AM731" s="39">
        <v>3.1657356000000001</v>
      </c>
      <c r="AN731" s="39">
        <v>0.83798879999999998</v>
      </c>
      <c r="AO731" s="39">
        <v>8.9385475000000003</v>
      </c>
      <c r="AP731" s="39">
        <v>1.0242085999999999</v>
      </c>
      <c r="AQ731" s="39">
        <v>0.18621969999999999</v>
      </c>
      <c r="AR731" s="40"/>
      <c r="AS731" s="40"/>
    </row>
    <row r="732" spans="2:45" ht="15" hidden="1" customHeight="1" x14ac:dyDescent="0.25">
      <c r="B732" s="35">
        <v>726</v>
      </c>
      <c r="C732" s="36" t="s">
        <v>31</v>
      </c>
      <c r="D732" s="36" t="s">
        <v>226</v>
      </c>
      <c r="E732" s="36" t="s">
        <v>248</v>
      </c>
      <c r="F732" s="36" t="s">
        <v>250</v>
      </c>
      <c r="G732" s="37" t="s">
        <v>26</v>
      </c>
      <c r="H732" s="38">
        <v>776</v>
      </c>
      <c r="I732" s="38">
        <v>5</v>
      </c>
      <c r="J732" s="38">
        <v>1</v>
      </c>
      <c r="K732" s="38">
        <v>119</v>
      </c>
      <c r="L732" s="38">
        <v>216</v>
      </c>
      <c r="M732" s="38">
        <v>265</v>
      </c>
      <c r="N732" s="38">
        <v>155</v>
      </c>
      <c r="O732" s="38">
        <v>15</v>
      </c>
      <c r="P732" s="38"/>
      <c r="Q732" s="38"/>
      <c r="R732" s="38">
        <v>1102</v>
      </c>
      <c r="S732" s="38">
        <v>50</v>
      </c>
      <c r="T732" s="38">
        <v>137</v>
      </c>
      <c r="U732" s="38">
        <v>71</v>
      </c>
      <c r="V732" s="38">
        <v>54</v>
      </c>
      <c r="W732" s="38">
        <v>615</v>
      </c>
      <c r="X732" s="38">
        <v>151</v>
      </c>
      <c r="Y732" s="38">
        <v>24</v>
      </c>
      <c r="Z732" s="38"/>
      <c r="AA732" s="38"/>
      <c r="AB732" s="39">
        <v>0.64432990000000001</v>
      </c>
      <c r="AC732" s="39">
        <v>0.12886600000000001</v>
      </c>
      <c r="AD732" s="39">
        <v>15.335051500000001</v>
      </c>
      <c r="AE732" s="39">
        <v>27.835051499999999</v>
      </c>
      <c r="AF732" s="39">
        <v>34.1494845</v>
      </c>
      <c r="AG732" s="39">
        <v>19.9742268</v>
      </c>
      <c r="AH732" s="39">
        <v>1.9329897</v>
      </c>
      <c r="AI732" s="39"/>
      <c r="AJ732" s="39"/>
      <c r="AK732" s="39">
        <v>4.5372051000000004</v>
      </c>
      <c r="AL732" s="39">
        <v>12.4319419</v>
      </c>
      <c r="AM732" s="39">
        <v>6.4428311999999996</v>
      </c>
      <c r="AN732" s="39">
        <v>4.9001815000000004</v>
      </c>
      <c r="AO732" s="39">
        <v>55.807622500000001</v>
      </c>
      <c r="AP732" s="39">
        <v>13.702359299999999</v>
      </c>
      <c r="AQ732" s="39">
        <v>2.1778583999999999</v>
      </c>
      <c r="AR732" s="40"/>
      <c r="AS732" s="40"/>
    </row>
    <row r="733" spans="2:45" ht="15" hidden="1" customHeight="1" x14ac:dyDescent="0.25">
      <c r="B733" s="30">
        <v>727</v>
      </c>
      <c r="C733" s="31" t="s">
        <v>29</v>
      </c>
      <c r="D733" s="50" t="s">
        <v>226</v>
      </c>
      <c r="E733" s="50" t="s">
        <v>251</v>
      </c>
      <c r="F733" s="50"/>
      <c r="G733" s="31" t="s">
        <v>251</v>
      </c>
      <c r="H733" s="32">
        <v>4967</v>
      </c>
      <c r="I733" s="32">
        <v>128</v>
      </c>
      <c r="J733" s="32">
        <v>164</v>
      </c>
      <c r="K733" s="32">
        <v>509</v>
      </c>
      <c r="L733" s="32">
        <v>1047</v>
      </c>
      <c r="M733" s="32">
        <v>1816</v>
      </c>
      <c r="N733" s="32">
        <v>1100</v>
      </c>
      <c r="O733" s="32">
        <v>203</v>
      </c>
      <c r="P733" s="32"/>
      <c r="Q733" s="32"/>
      <c r="R733" s="32">
        <v>7244</v>
      </c>
      <c r="S733" s="32">
        <v>574</v>
      </c>
      <c r="T733" s="32">
        <v>765</v>
      </c>
      <c r="U733" s="32">
        <v>335</v>
      </c>
      <c r="V733" s="32">
        <v>278</v>
      </c>
      <c r="W733" s="32">
        <v>3288</v>
      </c>
      <c r="X733" s="32">
        <v>1792</v>
      </c>
      <c r="Y733" s="32">
        <v>212</v>
      </c>
      <c r="Z733" s="32"/>
      <c r="AA733" s="32"/>
      <c r="AB733" s="33">
        <v>2.5770083000000001</v>
      </c>
      <c r="AC733" s="33">
        <v>3.3017918000000002</v>
      </c>
      <c r="AD733" s="33">
        <v>10.247634400000001</v>
      </c>
      <c r="AE733" s="33">
        <v>21.0791222</v>
      </c>
      <c r="AF733" s="33">
        <v>36.5613046</v>
      </c>
      <c r="AG733" s="33">
        <v>22.1461647</v>
      </c>
      <c r="AH733" s="33">
        <v>4.0869739999999997</v>
      </c>
      <c r="AI733" s="33"/>
      <c r="AJ733" s="33"/>
      <c r="AK733" s="33">
        <v>7.9237989999999998</v>
      </c>
      <c r="AL733" s="33">
        <v>10.560463800000001</v>
      </c>
      <c r="AM733" s="33">
        <v>4.6245168000000003</v>
      </c>
      <c r="AN733" s="33">
        <v>3.8376587999999998</v>
      </c>
      <c r="AO733" s="33">
        <v>45.389287699999997</v>
      </c>
      <c r="AP733" s="33">
        <v>24.737714</v>
      </c>
      <c r="AQ733" s="33">
        <v>2.9265599</v>
      </c>
      <c r="AR733" s="34"/>
      <c r="AS733" s="34"/>
    </row>
    <row r="734" spans="2:45" ht="15" hidden="1" customHeight="1" x14ac:dyDescent="0.25">
      <c r="B734" s="35">
        <v>728</v>
      </c>
      <c r="C734" s="36" t="s">
        <v>29</v>
      </c>
      <c r="D734" s="36" t="s">
        <v>226</v>
      </c>
      <c r="E734" s="36" t="s">
        <v>251</v>
      </c>
      <c r="F734" s="36"/>
      <c r="G734" s="37" t="s">
        <v>25</v>
      </c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40"/>
      <c r="AS734" s="40"/>
    </row>
    <row r="735" spans="2:45" ht="15" hidden="1" customHeight="1" x14ac:dyDescent="0.25">
      <c r="B735" s="35">
        <v>729</v>
      </c>
      <c r="C735" s="36" t="s">
        <v>29</v>
      </c>
      <c r="D735" s="36" t="s">
        <v>226</v>
      </c>
      <c r="E735" s="36" t="s">
        <v>251</v>
      </c>
      <c r="F735" s="36"/>
      <c r="G735" s="37" t="s">
        <v>26</v>
      </c>
      <c r="H735" s="38">
        <v>4967</v>
      </c>
      <c r="I735" s="38">
        <v>128</v>
      </c>
      <c r="J735" s="38">
        <v>164</v>
      </c>
      <c r="K735" s="38">
        <v>509</v>
      </c>
      <c r="L735" s="38">
        <v>1047</v>
      </c>
      <c r="M735" s="38">
        <v>1816</v>
      </c>
      <c r="N735" s="38">
        <v>1100</v>
      </c>
      <c r="O735" s="38">
        <v>203</v>
      </c>
      <c r="P735" s="38"/>
      <c r="Q735" s="38"/>
      <c r="R735" s="38">
        <v>7244</v>
      </c>
      <c r="S735" s="38">
        <v>574</v>
      </c>
      <c r="T735" s="38">
        <v>765</v>
      </c>
      <c r="U735" s="38">
        <v>335</v>
      </c>
      <c r="V735" s="38">
        <v>278</v>
      </c>
      <c r="W735" s="38">
        <v>3288</v>
      </c>
      <c r="X735" s="38">
        <v>1792</v>
      </c>
      <c r="Y735" s="38">
        <v>212</v>
      </c>
      <c r="Z735" s="38"/>
      <c r="AA735" s="38"/>
      <c r="AB735" s="39">
        <v>2.5770083000000001</v>
      </c>
      <c r="AC735" s="39">
        <v>3.3017918000000002</v>
      </c>
      <c r="AD735" s="39">
        <v>10.247634400000001</v>
      </c>
      <c r="AE735" s="39">
        <v>21.0791222</v>
      </c>
      <c r="AF735" s="39">
        <v>36.5613046</v>
      </c>
      <c r="AG735" s="39">
        <v>22.1461647</v>
      </c>
      <c r="AH735" s="39">
        <v>4.0869739999999997</v>
      </c>
      <c r="AI735" s="39"/>
      <c r="AJ735" s="39"/>
      <c r="AK735" s="39">
        <v>7.9237989999999998</v>
      </c>
      <c r="AL735" s="39">
        <v>10.560463800000001</v>
      </c>
      <c r="AM735" s="39">
        <v>4.6245168000000003</v>
      </c>
      <c r="AN735" s="39">
        <v>3.8376587999999998</v>
      </c>
      <c r="AO735" s="39">
        <v>45.389287699999997</v>
      </c>
      <c r="AP735" s="39">
        <v>24.737714</v>
      </c>
      <c r="AQ735" s="39">
        <v>2.9265599</v>
      </c>
      <c r="AR735" s="40"/>
      <c r="AS735" s="40"/>
    </row>
    <row r="736" spans="2:45" ht="15" customHeight="1" x14ac:dyDescent="0.25">
      <c r="B736" s="41">
        <v>730</v>
      </c>
      <c r="C736" s="42" t="s">
        <v>31</v>
      </c>
      <c r="D736" s="51" t="s">
        <v>226</v>
      </c>
      <c r="E736" s="51" t="s">
        <v>251</v>
      </c>
      <c r="F736" s="51" t="s">
        <v>252</v>
      </c>
      <c r="G736" s="52" t="s">
        <v>252</v>
      </c>
      <c r="H736" s="43">
        <v>3927</v>
      </c>
      <c r="I736" s="43">
        <v>122</v>
      </c>
      <c r="J736" s="43">
        <v>161</v>
      </c>
      <c r="K736" s="43">
        <v>350</v>
      </c>
      <c r="L736" s="43">
        <v>888</v>
      </c>
      <c r="M736" s="43">
        <v>1247</v>
      </c>
      <c r="N736" s="43">
        <v>989</v>
      </c>
      <c r="O736" s="43">
        <v>170</v>
      </c>
      <c r="P736" s="44">
        <f>K736+L736+M736+N736+O736</f>
        <v>3644</v>
      </c>
      <c r="Q736" s="44">
        <f>I736+J736</f>
        <v>283</v>
      </c>
      <c r="R736" s="43">
        <v>5969</v>
      </c>
      <c r="S736" s="43">
        <v>498</v>
      </c>
      <c r="T736" s="43">
        <v>684</v>
      </c>
      <c r="U736" s="43">
        <v>266</v>
      </c>
      <c r="V736" s="43">
        <v>235</v>
      </c>
      <c r="W736" s="43">
        <v>2532</v>
      </c>
      <c r="X736" s="43">
        <v>1572</v>
      </c>
      <c r="Y736" s="43">
        <v>182</v>
      </c>
      <c r="Z736" s="45">
        <f>U736+V736+W736+X736+Y736</f>
        <v>4787</v>
      </c>
      <c r="AA736" s="45">
        <f>S736+T736</f>
        <v>1182</v>
      </c>
      <c r="AB736" s="46">
        <v>3.1066972000000002</v>
      </c>
      <c r="AC736" s="46">
        <v>4.0998216999999997</v>
      </c>
      <c r="AD736" s="46">
        <v>8.9126560000000001</v>
      </c>
      <c r="AE736" s="46">
        <v>22.6126814</v>
      </c>
      <c r="AF736" s="46">
        <v>31.754519999999999</v>
      </c>
      <c r="AG736" s="46">
        <v>25.184619300000001</v>
      </c>
      <c r="AH736" s="46">
        <v>4.3290043000000002</v>
      </c>
      <c r="AI736" s="47">
        <f>AB736+AC736</f>
        <v>7.2065188999999998</v>
      </c>
      <c r="AJ736" s="47">
        <f>AD736+AE736+AF736+AG736+AH736</f>
        <v>92.793481</v>
      </c>
      <c r="AK736" s="46">
        <v>8.3431060000000006</v>
      </c>
      <c r="AL736" s="46">
        <v>11.459205900000001</v>
      </c>
      <c r="AM736" s="46">
        <v>4.4563578000000001</v>
      </c>
      <c r="AN736" s="46">
        <v>3.9370078999999998</v>
      </c>
      <c r="AO736" s="46">
        <v>42.419165700000001</v>
      </c>
      <c r="AP736" s="46">
        <v>26.336069699999999</v>
      </c>
      <c r="AQ736" s="46">
        <v>3.0490868999999998</v>
      </c>
      <c r="AR736" s="48">
        <f>AK736+AL736</f>
        <v>19.802311899999999</v>
      </c>
      <c r="AS736" s="48">
        <f>AM736+AN736+AO736+AP736+AQ736</f>
        <v>80.197687999999999</v>
      </c>
    </row>
    <row r="737" spans="2:45" ht="15" hidden="1" customHeight="1" x14ac:dyDescent="0.25">
      <c r="B737" s="35">
        <v>731</v>
      </c>
      <c r="C737" s="36" t="s">
        <v>31</v>
      </c>
      <c r="D737" s="36" t="s">
        <v>226</v>
      </c>
      <c r="E737" s="36" t="s">
        <v>251</v>
      </c>
      <c r="F737" s="36" t="s">
        <v>252</v>
      </c>
      <c r="G737" s="37" t="s">
        <v>25</v>
      </c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40"/>
      <c r="AS737" s="40"/>
    </row>
    <row r="738" spans="2:45" ht="15" hidden="1" customHeight="1" x14ac:dyDescent="0.25">
      <c r="B738" s="35">
        <v>732</v>
      </c>
      <c r="C738" s="36" t="s">
        <v>31</v>
      </c>
      <c r="D738" s="36" t="s">
        <v>226</v>
      </c>
      <c r="E738" s="36" t="s">
        <v>251</v>
      </c>
      <c r="F738" s="36" t="s">
        <v>252</v>
      </c>
      <c r="G738" s="37" t="s">
        <v>26</v>
      </c>
      <c r="H738" s="38">
        <v>3927</v>
      </c>
      <c r="I738" s="38">
        <v>122</v>
      </c>
      <c r="J738" s="38">
        <v>161</v>
      </c>
      <c r="K738" s="38">
        <v>350</v>
      </c>
      <c r="L738" s="38">
        <v>888</v>
      </c>
      <c r="M738" s="38">
        <v>1247</v>
      </c>
      <c r="N738" s="38">
        <v>989</v>
      </c>
      <c r="O738" s="38">
        <v>170</v>
      </c>
      <c r="P738" s="38"/>
      <c r="Q738" s="38"/>
      <c r="R738" s="38">
        <v>5969</v>
      </c>
      <c r="S738" s="38">
        <v>498</v>
      </c>
      <c r="T738" s="38">
        <v>684</v>
      </c>
      <c r="U738" s="38">
        <v>266</v>
      </c>
      <c r="V738" s="38">
        <v>235</v>
      </c>
      <c r="W738" s="38">
        <v>2532</v>
      </c>
      <c r="X738" s="38">
        <v>1572</v>
      </c>
      <c r="Y738" s="38">
        <v>182</v>
      </c>
      <c r="Z738" s="38"/>
      <c r="AA738" s="38"/>
      <c r="AB738" s="39">
        <v>3.1066972000000002</v>
      </c>
      <c r="AC738" s="39">
        <v>4.0998216999999997</v>
      </c>
      <c r="AD738" s="39">
        <v>8.9126560000000001</v>
      </c>
      <c r="AE738" s="39">
        <v>22.6126814</v>
      </c>
      <c r="AF738" s="39">
        <v>31.754519999999999</v>
      </c>
      <c r="AG738" s="39">
        <v>25.184619300000001</v>
      </c>
      <c r="AH738" s="39">
        <v>4.3290043000000002</v>
      </c>
      <c r="AI738" s="39"/>
      <c r="AJ738" s="39"/>
      <c r="AK738" s="39">
        <v>8.3431060000000006</v>
      </c>
      <c r="AL738" s="39">
        <v>11.459205900000001</v>
      </c>
      <c r="AM738" s="39">
        <v>4.4563578000000001</v>
      </c>
      <c r="AN738" s="39">
        <v>3.9370078999999998</v>
      </c>
      <c r="AO738" s="39">
        <v>42.419165700000001</v>
      </c>
      <c r="AP738" s="39">
        <v>26.336069699999999</v>
      </c>
      <c r="AQ738" s="39">
        <v>3.0490868999999998</v>
      </c>
      <c r="AR738" s="40"/>
      <c r="AS738" s="40"/>
    </row>
    <row r="739" spans="2:45" ht="15" customHeight="1" x14ac:dyDescent="0.25">
      <c r="B739" s="41">
        <v>733</v>
      </c>
      <c r="C739" s="42" t="s">
        <v>31</v>
      </c>
      <c r="D739" s="51" t="s">
        <v>226</v>
      </c>
      <c r="E739" s="51" t="s">
        <v>251</v>
      </c>
      <c r="F739" s="51" t="s">
        <v>253</v>
      </c>
      <c r="G739" s="52" t="s">
        <v>253</v>
      </c>
      <c r="H739" s="43">
        <v>1040</v>
      </c>
      <c r="I739" s="43">
        <v>6</v>
      </c>
      <c r="J739" s="43">
        <v>3</v>
      </c>
      <c r="K739" s="43">
        <v>159</v>
      </c>
      <c r="L739" s="43">
        <v>159</v>
      </c>
      <c r="M739" s="43">
        <v>569</v>
      </c>
      <c r="N739" s="43">
        <v>111</v>
      </c>
      <c r="O739" s="43">
        <v>33</v>
      </c>
      <c r="P739" s="44">
        <f>K739+L739+M739+N739+O739</f>
        <v>1031</v>
      </c>
      <c r="Q739" s="44">
        <f>I739+J739</f>
        <v>9</v>
      </c>
      <c r="R739" s="43">
        <v>1275</v>
      </c>
      <c r="S739" s="43">
        <v>76</v>
      </c>
      <c r="T739" s="43">
        <v>81</v>
      </c>
      <c r="U739" s="43">
        <v>69</v>
      </c>
      <c r="V739" s="43">
        <v>43</v>
      </c>
      <c r="W739" s="43">
        <v>756</v>
      </c>
      <c r="X739" s="43">
        <v>220</v>
      </c>
      <c r="Y739" s="43">
        <v>30</v>
      </c>
      <c r="Z739" s="45">
        <f>U739+V739+W739+X739+Y739</f>
        <v>1118</v>
      </c>
      <c r="AA739" s="45">
        <f>S739+T739</f>
        <v>157</v>
      </c>
      <c r="AB739" s="46">
        <v>0.57692310000000002</v>
      </c>
      <c r="AC739" s="46">
        <v>0.28846149999999998</v>
      </c>
      <c r="AD739" s="46">
        <v>15.2884615</v>
      </c>
      <c r="AE739" s="46">
        <v>15.2884615</v>
      </c>
      <c r="AF739" s="46">
        <v>54.711538500000003</v>
      </c>
      <c r="AG739" s="46">
        <v>10.6730769</v>
      </c>
      <c r="AH739" s="46">
        <v>3.1730768999999999</v>
      </c>
      <c r="AI739" s="47">
        <f>AB739+AC739</f>
        <v>0.86538460000000006</v>
      </c>
      <c r="AJ739" s="47">
        <f>AD739+AE739+AF739+AG739+AH739</f>
        <v>99.134615300000007</v>
      </c>
      <c r="AK739" s="46">
        <v>5.9607843000000003</v>
      </c>
      <c r="AL739" s="46">
        <v>6.3529412000000001</v>
      </c>
      <c r="AM739" s="46">
        <v>5.4117647</v>
      </c>
      <c r="AN739" s="46">
        <v>3.3725489999999998</v>
      </c>
      <c r="AO739" s="46">
        <v>59.2941176</v>
      </c>
      <c r="AP739" s="46">
        <v>17.254902000000001</v>
      </c>
      <c r="AQ739" s="46">
        <v>2.3529412000000001</v>
      </c>
      <c r="AR739" s="48">
        <f>AK739+AL739</f>
        <v>12.3137255</v>
      </c>
      <c r="AS739" s="48">
        <f>AM739+AN739+AO739+AP739+AQ739</f>
        <v>87.68627450000001</v>
      </c>
    </row>
    <row r="740" spans="2:45" ht="15" hidden="1" customHeight="1" x14ac:dyDescent="0.25">
      <c r="B740" s="35">
        <v>734</v>
      </c>
      <c r="C740" s="36" t="s">
        <v>31</v>
      </c>
      <c r="D740" s="36" t="s">
        <v>226</v>
      </c>
      <c r="E740" s="36" t="s">
        <v>251</v>
      </c>
      <c r="F740" s="36" t="s">
        <v>253</v>
      </c>
      <c r="G740" s="37" t="s">
        <v>25</v>
      </c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40"/>
      <c r="AS740" s="40"/>
    </row>
    <row r="741" spans="2:45" ht="15" hidden="1" customHeight="1" x14ac:dyDescent="0.25">
      <c r="B741" s="35">
        <v>735</v>
      </c>
      <c r="C741" s="36" t="s">
        <v>31</v>
      </c>
      <c r="D741" s="36" t="s">
        <v>226</v>
      </c>
      <c r="E741" s="36" t="s">
        <v>251</v>
      </c>
      <c r="F741" s="36" t="s">
        <v>253</v>
      </c>
      <c r="G741" s="37" t="s">
        <v>26</v>
      </c>
      <c r="H741" s="38">
        <v>1040</v>
      </c>
      <c r="I741" s="38">
        <v>6</v>
      </c>
      <c r="J741" s="38">
        <v>3</v>
      </c>
      <c r="K741" s="38">
        <v>159</v>
      </c>
      <c r="L741" s="38">
        <v>159</v>
      </c>
      <c r="M741" s="38">
        <v>569</v>
      </c>
      <c r="N741" s="38">
        <v>111</v>
      </c>
      <c r="O741" s="38">
        <v>33</v>
      </c>
      <c r="P741" s="38"/>
      <c r="Q741" s="38"/>
      <c r="R741" s="38">
        <v>1275</v>
      </c>
      <c r="S741" s="38">
        <v>76</v>
      </c>
      <c r="T741" s="38">
        <v>81</v>
      </c>
      <c r="U741" s="38">
        <v>69</v>
      </c>
      <c r="V741" s="38">
        <v>43</v>
      </c>
      <c r="W741" s="38">
        <v>756</v>
      </c>
      <c r="X741" s="38">
        <v>220</v>
      </c>
      <c r="Y741" s="38">
        <v>30</v>
      </c>
      <c r="Z741" s="38"/>
      <c r="AA741" s="38"/>
      <c r="AB741" s="39">
        <v>0.57692310000000002</v>
      </c>
      <c r="AC741" s="39">
        <v>0.28846149999999998</v>
      </c>
      <c r="AD741" s="39">
        <v>15.2884615</v>
      </c>
      <c r="AE741" s="39">
        <v>15.2884615</v>
      </c>
      <c r="AF741" s="39">
        <v>54.711538500000003</v>
      </c>
      <c r="AG741" s="39">
        <v>10.6730769</v>
      </c>
      <c r="AH741" s="39">
        <v>3.1730768999999999</v>
      </c>
      <c r="AI741" s="39"/>
      <c r="AJ741" s="39"/>
      <c r="AK741" s="39">
        <v>5.9607843000000003</v>
      </c>
      <c r="AL741" s="39">
        <v>6.3529412000000001</v>
      </c>
      <c r="AM741" s="39">
        <v>5.4117647</v>
      </c>
      <c r="AN741" s="39">
        <v>3.3725489999999998</v>
      </c>
      <c r="AO741" s="39">
        <v>59.2941176</v>
      </c>
      <c r="AP741" s="39">
        <v>17.254902000000001</v>
      </c>
      <c r="AQ741" s="39">
        <v>2.3529412000000001</v>
      </c>
      <c r="AR741" s="40"/>
      <c r="AS741" s="40"/>
    </row>
    <row r="742" spans="2:45" ht="15" hidden="1" customHeight="1" x14ac:dyDescent="0.25">
      <c r="B742" s="30">
        <v>736</v>
      </c>
      <c r="C742" s="31" t="s">
        <v>29</v>
      </c>
      <c r="D742" s="50" t="s">
        <v>226</v>
      </c>
      <c r="E742" s="50" t="s">
        <v>254</v>
      </c>
      <c r="F742" s="50"/>
      <c r="G742" s="31" t="s">
        <v>254</v>
      </c>
      <c r="H742" s="32">
        <v>3090</v>
      </c>
      <c r="I742" s="32">
        <v>67</v>
      </c>
      <c r="J742" s="32">
        <v>204</v>
      </c>
      <c r="K742" s="32">
        <v>871</v>
      </c>
      <c r="L742" s="32">
        <v>151</v>
      </c>
      <c r="M742" s="32">
        <v>1424</v>
      </c>
      <c r="N742" s="32">
        <v>232</v>
      </c>
      <c r="O742" s="32">
        <v>141</v>
      </c>
      <c r="P742" s="32"/>
      <c r="Q742" s="32"/>
      <c r="R742" s="32">
        <v>5317</v>
      </c>
      <c r="S742" s="32">
        <v>500</v>
      </c>
      <c r="T742" s="32">
        <v>595</v>
      </c>
      <c r="U742" s="32">
        <v>488</v>
      </c>
      <c r="V742" s="32">
        <v>53</v>
      </c>
      <c r="W742" s="32">
        <v>3118</v>
      </c>
      <c r="X742" s="32">
        <v>421</v>
      </c>
      <c r="Y742" s="32">
        <v>142</v>
      </c>
      <c r="Z742" s="32"/>
      <c r="AA742" s="32"/>
      <c r="AB742" s="33">
        <v>2.1682847999999999</v>
      </c>
      <c r="AC742" s="33">
        <v>6.6019417000000002</v>
      </c>
      <c r="AD742" s="33">
        <v>28.187702300000002</v>
      </c>
      <c r="AE742" s="33">
        <v>4.8867314000000004</v>
      </c>
      <c r="AF742" s="33">
        <v>46.084142399999998</v>
      </c>
      <c r="AG742" s="33">
        <v>7.5080906000000001</v>
      </c>
      <c r="AH742" s="33">
        <v>4.5631067999999999</v>
      </c>
      <c r="AI742" s="33"/>
      <c r="AJ742" s="33"/>
      <c r="AK742" s="33">
        <v>9.4037991000000005</v>
      </c>
      <c r="AL742" s="33">
        <v>11.190521</v>
      </c>
      <c r="AM742" s="33">
        <v>9.1781079999999999</v>
      </c>
      <c r="AN742" s="33">
        <v>0.99680270000000004</v>
      </c>
      <c r="AO742" s="33">
        <v>58.642091399999998</v>
      </c>
      <c r="AP742" s="33">
        <v>7.9179988999999997</v>
      </c>
      <c r="AQ742" s="33">
        <v>2.6706789999999998</v>
      </c>
      <c r="AR742" s="34"/>
      <c r="AS742" s="34"/>
    </row>
    <row r="743" spans="2:45" ht="15" hidden="1" customHeight="1" x14ac:dyDescent="0.25">
      <c r="B743" s="35">
        <v>737</v>
      </c>
      <c r="C743" s="36" t="s">
        <v>29</v>
      </c>
      <c r="D743" s="36" t="s">
        <v>226</v>
      </c>
      <c r="E743" s="36" t="s">
        <v>254</v>
      </c>
      <c r="F743" s="36"/>
      <c r="G743" s="37" t="s">
        <v>25</v>
      </c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>
        <v>462</v>
      </c>
      <c r="S743" s="38">
        <v>140</v>
      </c>
      <c r="T743" s="38">
        <v>75</v>
      </c>
      <c r="U743" s="38">
        <v>45</v>
      </c>
      <c r="V743" s="38">
        <v>2</v>
      </c>
      <c r="W743" s="38">
        <v>125</v>
      </c>
      <c r="X743" s="38">
        <v>10</v>
      </c>
      <c r="Y743" s="38">
        <v>65</v>
      </c>
      <c r="Z743" s="38"/>
      <c r="AA743" s="38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>
        <v>30.3030303</v>
      </c>
      <c r="AL743" s="39">
        <v>16.233766200000002</v>
      </c>
      <c r="AM743" s="39">
        <v>9.7402596999999993</v>
      </c>
      <c r="AN743" s="39">
        <v>0.43290040000000002</v>
      </c>
      <c r="AO743" s="39">
        <v>27.056277099999999</v>
      </c>
      <c r="AP743" s="39">
        <v>2.1645021999999998</v>
      </c>
      <c r="AQ743" s="39">
        <v>14.0692641</v>
      </c>
      <c r="AR743" s="40"/>
      <c r="AS743" s="40"/>
    </row>
    <row r="744" spans="2:45" ht="15" hidden="1" customHeight="1" x14ac:dyDescent="0.25">
      <c r="B744" s="35">
        <v>738</v>
      </c>
      <c r="C744" s="36" t="s">
        <v>29</v>
      </c>
      <c r="D744" s="36" t="s">
        <v>226</v>
      </c>
      <c r="E744" s="36" t="s">
        <v>254</v>
      </c>
      <c r="F744" s="36"/>
      <c r="G744" s="37" t="s">
        <v>26</v>
      </c>
      <c r="H744" s="38">
        <v>3090</v>
      </c>
      <c r="I744" s="38">
        <v>67</v>
      </c>
      <c r="J744" s="38">
        <v>204</v>
      </c>
      <c r="K744" s="38">
        <v>871</v>
      </c>
      <c r="L744" s="38">
        <v>151</v>
      </c>
      <c r="M744" s="38">
        <v>1424</v>
      </c>
      <c r="N744" s="38">
        <v>232</v>
      </c>
      <c r="O744" s="38">
        <v>141</v>
      </c>
      <c r="P744" s="38"/>
      <c r="Q744" s="38"/>
      <c r="R744" s="38">
        <v>4855</v>
      </c>
      <c r="S744" s="38">
        <v>360</v>
      </c>
      <c r="T744" s="38">
        <v>520</v>
      </c>
      <c r="U744" s="38">
        <v>443</v>
      </c>
      <c r="V744" s="38">
        <v>51</v>
      </c>
      <c r="W744" s="38">
        <v>2993</v>
      </c>
      <c r="X744" s="38">
        <v>411</v>
      </c>
      <c r="Y744" s="38">
        <v>77</v>
      </c>
      <c r="Z744" s="38"/>
      <c r="AA744" s="38"/>
      <c r="AB744" s="39">
        <v>2.1682847999999999</v>
      </c>
      <c r="AC744" s="39">
        <v>6.6019417000000002</v>
      </c>
      <c r="AD744" s="39">
        <v>28.187702300000002</v>
      </c>
      <c r="AE744" s="39">
        <v>4.8867314000000004</v>
      </c>
      <c r="AF744" s="39">
        <v>46.084142399999998</v>
      </c>
      <c r="AG744" s="39">
        <v>7.5080906000000001</v>
      </c>
      <c r="AH744" s="39">
        <v>4.5631067999999999</v>
      </c>
      <c r="AI744" s="39"/>
      <c r="AJ744" s="39"/>
      <c r="AK744" s="39">
        <v>7.4150359999999997</v>
      </c>
      <c r="AL744" s="39">
        <v>10.710607599999999</v>
      </c>
      <c r="AM744" s="39">
        <v>9.1246138000000006</v>
      </c>
      <c r="AN744" s="39">
        <v>1.0504633999999999</v>
      </c>
      <c r="AO744" s="39">
        <v>61.647785800000001</v>
      </c>
      <c r="AP744" s="39">
        <v>8.4654995</v>
      </c>
      <c r="AQ744" s="39">
        <v>1.5859938</v>
      </c>
      <c r="AR744" s="40"/>
      <c r="AS744" s="40"/>
    </row>
    <row r="745" spans="2:45" ht="15" customHeight="1" x14ac:dyDescent="0.25">
      <c r="B745" s="41">
        <v>739</v>
      </c>
      <c r="C745" s="42" t="s">
        <v>31</v>
      </c>
      <c r="D745" s="51" t="s">
        <v>226</v>
      </c>
      <c r="E745" s="51" t="s">
        <v>254</v>
      </c>
      <c r="F745" s="51" t="s">
        <v>254</v>
      </c>
      <c r="G745" s="52" t="s">
        <v>254</v>
      </c>
      <c r="H745" s="43">
        <v>2247</v>
      </c>
      <c r="I745" s="43">
        <v>35</v>
      </c>
      <c r="J745" s="43">
        <v>135</v>
      </c>
      <c r="K745" s="43">
        <v>772</v>
      </c>
      <c r="L745" s="43">
        <v>137</v>
      </c>
      <c r="M745" s="43">
        <v>914</v>
      </c>
      <c r="N745" s="43">
        <v>144</v>
      </c>
      <c r="O745" s="43">
        <v>110</v>
      </c>
      <c r="P745" s="44">
        <f>K745+L745+M745+N745+O745</f>
        <v>2077</v>
      </c>
      <c r="Q745" s="44">
        <f>I745+J745</f>
        <v>170</v>
      </c>
      <c r="R745" s="43">
        <v>3855</v>
      </c>
      <c r="S745" s="43">
        <v>364</v>
      </c>
      <c r="T745" s="43">
        <v>406</v>
      </c>
      <c r="U745" s="43">
        <v>432</v>
      </c>
      <c r="V745" s="43">
        <v>38</v>
      </c>
      <c r="W745" s="43">
        <v>2245</v>
      </c>
      <c r="X745" s="43">
        <v>249</v>
      </c>
      <c r="Y745" s="43">
        <v>121</v>
      </c>
      <c r="Z745" s="45">
        <f>U745+V745+W745+X745+Y745</f>
        <v>3085</v>
      </c>
      <c r="AA745" s="45">
        <f>S745+T745</f>
        <v>770</v>
      </c>
      <c r="AB745" s="46">
        <v>1.5576323999999999</v>
      </c>
      <c r="AC745" s="46">
        <v>6.0080106999999998</v>
      </c>
      <c r="AD745" s="46">
        <v>34.356920299999999</v>
      </c>
      <c r="AE745" s="46">
        <v>6.0970181999999999</v>
      </c>
      <c r="AF745" s="46">
        <v>40.676457499999998</v>
      </c>
      <c r="AG745" s="46">
        <v>6.4085447000000002</v>
      </c>
      <c r="AH745" s="46">
        <v>4.8954161000000003</v>
      </c>
      <c r="AI745" s="47">
        <f>AB745+AC745</f>
        <v>7.5656431</v>
      </c>
      <c r="AJ745" s="47">
        <f>AD745+AE745+AF745+AG745+AH745</f>
        <v>92.434356799999989</v>
      </c>
      <c r="AK745" s="46">
        <v>9.4422826999999998</v>
      </c>
      <c r="AL745" s="46">
        <v>10.531776900000001</v>
      </c>
      <c r="AM745" s="46">
        <v>11.206225699999999</v>
      </c>
      <c r="AN745" s="46">
        <v>0.98573279999999996</v>
      </c>
      <c r="AO745" s="46">
        <v>58.236057099999996</v>
      </c>
      <c r="AP745" s="46">
        <v>6.4591440000000002</v>
      </c>
      <c r="AQ745" s="46">
        <v>3.1387808000000001</v>
      </c>
      <c r="AR745" s="48">
        <f>AK745+AL745</f>
        <v>19.9740596</v>
      </c>
      <c r="AS745" s="48">
        <f>AM745+AN745+AO745+AP745+AQ745</f>
        <v>80.025940399999996</v>
      </c>
    </row>
    <row r="746" spans="2:45" ht="15" hidden="1" customHeight="1" x14ac:dyDescent="0.25">
      <c r="B746" s="35">
        <v>740</v>
      </c>
      <c r="C746" s="36" t="s">
        <v>31</v>
      </c>
      <c r="D746" s="36" t="s">
        <v>226</v>
      </c>
      <c r="E746" s="36" t="s">
        <v>254</v>
      </c>
      <c r="F746" s="36" t="s">
        <v>254</v>
      </c>
      <c r="G746" s="37" t="s">
        <v>25</v>
      </c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>
        <v>462</v>
      </c>
      <c r="S746" s="38">
        <v>140</v>
      </c>
      <c r="T746" s="38">
        <v>75</v>
      </c>
      <c r="U746" s="38">
        <v>45</v>
      </c>
      <c r="V746" s="38">
        <v>2</v>
      </c>
      <c r="W746" s="38">
        <v>125</v>
      </c>
      <c r="X746" s="38">
        <v>10</v>
      </c>
      <c r="Y746" s="38">
        <v>65</v>
      </c>
      <c r="Z746" s="38"/>
      <c r="AA746" s="38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>
        <v>30.3030303</v>
      </c>
      <c r="AL746" s="39">
        <v>16.233766200000002</v>
      </c>
      <c r="AM746" s="39">
        <v>9.7402596999999993</v>
      </c>
      <c r="AN746" s="39">
        <v>0.43290040000000002</v>
      </c>
      <c r="AO746" s="39">
        <v>27.056277099999999</v>
      </c>
      <c r="AP746" s="39">
        <v>2.1645021999999998</v>
      </c>
      <c r="AQ746" s="39">
        <v>14.0692641</v>
      </c>
      <c r="AR746" s="40"/>
      <c r="AS746" s="40"/>
    </row>
    <row r="747" spans="2:45" ht="15" hidden="1" customHeight="1" x14ac:dyDescent="0.25">
      <c r="B747" s="35">
        <v>741</v>
      </c>
      <c r="C747" s="36" t="s">
        <v>31</v>
      </c>
      <c r="D747" s="36" t="s">
        <v>226</v>
      </c>
      <c r="E747" s="36" t="s">
        <v>254</v>
      </c>
      <c r="F747" s="36" t="s">
        <v>254</v>
      </c>
      <c r="G747" s="37" t="s">
        <v>26</v>
      </c>
      <c r="H747" s="38">
        <v>2247</v>
      </c>
      <c r="I747" s="38">
        <v>35</v>
      </c>
      <c r="J747" s="38">
        <v>135</v>
      </c>
      <c r="K747" s="38">
        <v>772</v>
      </c>
      <c r="L747" s="38">
        <v>137</v>
      </c>
      <c r="M747" s="38">
        <v>914</v>
      </c>
      <c r="N747" s="38">
        <v>144</v>
      </c>
      <c r="O747" s="38">
        <v>110</v>
      </c>
      <c r="P747" s="38"/>
      <c r="Q747" s="38"/>
      <c r="R747" s="38">
        <v>3393</v>
      </c>
      <c r="S747" s="38">
        <v>224</v>
      </c>
      <c r="T747" s="38">
        <v>331</v>
      </c>
      <c r="U747" s="38">
        <v>387</v>
      </c>
      <c r="V747" s="38">
        <v>36</v>
      </c>
      <c r="W747" s="38">
        <v>2120</v>
      </c>
      <c r="X747" s="38">
        <v>239</v>
      </c>
      <c r="Y747" s="38">
        <v>56</v>
      </c>
      <c r="Z747" s="38"/>
      <c r="AA747" s="38"/>
      <c r="AB747" s="39">
        <v>1.5576323999999999</v>
      </c>
      <c r="AC747" s="39">
        <v>6.0080106999999998</v>
      </c>
      <c r="AD747" s="39">
        <v>34.356920299999999</v>
      </c>
      <c r="AE747" s="39">
        <v>6.0970181999999999</v>
      </c>
      <c r="AF747" s="39">
        <v>40.676457499999998</v>
      </c>
      <c r="AG747" s="39">
        <v>6.4085447000000002</v>
      </c>
      <c r="AH747" s="39">
        <v>4.8954161000000003</v>
      </c>
      <c r="AI747" s="39"/>
      <c r="AJ747" s="39"/>
      <c r="AK747" s="39">
        <v>6.6018273000000001</v>
      </c>
      <c r="AL747" s="39">
        <v>9.7553786999999996</v>
      </c>
      <c r="AM747" s="39">
        <v>11.4058355</v>
      </c>
      <c r="AN747" s="39">
        <v>1.061008</v>
      </c>
      <c r="AO747" s="39">
        <v>62.481579699999998</v>
      </c>
      <c r="AP747" s="39">
        <v>7.0439138999999997</v>
      </c>
      <c r="AQ747" s="39">
        <v>1.6504567999999999</v>
      </c>
      <c r="AR747" s="40"/>
      <c r="AS747" s="40"/>
    </row>
    <row r="748" spans="2:45" ht="15" customHeight="1" x14ac:dyDescent="0.25">
      <c r="B748" s="41">
        <v>742</v>
      </c>
      <c r="C748" s="42" t="s">
        <v>31</v>
      </c>
      <c r="D748" s="51" t="s">
        <v>226</v>
      </c>
      <c r="E748" s="51" t="s">
        <v>254</v>
      </c>
      <c r="F748" s="51" t="s">
        <v>255</v>
      </c>
      <c r="G748" s="52" t="s">
        <v>255</v>
      </c>
      <c r="H748" s="43">
        <v>253</v>
      </c>
      <c r="I748" s="43">
        <v>4</v>
      </c>
      <c r="J748" s="43">
        <v>68</v>
      </c>
      <c r="K748" s="43">
        <v>82</v>
      </c>
      <c r="L748" s="43">
        <v>1</v>
      </c>
      <c r="M748" s="43">
        <v>58</v>
      </c>
      <c r="N748" s="43">
        <v>30</v>
      </c>
      <c r="O748" s="43">
        <v>10</v>
      </c>
      <c r="P748" s="44">
        <f>K748+L748+M748+N748+O748</f>
        <v>181</v>
      </c>
      <c r="Q748" s="44">
        <f>I748+J748</f>
        <v>72</v>
      </c>
      <c r="R748" s="43">
        <v>357</v>
      </c>
      <c r="S748" s="43">
        <v>47</v>
      </c>
      <c r="T748" s="43">
        <v>145</v>
      </c>
      <c r="U748" s="43">
        <v>44</v>
      </c>
      <c r="V748" s="43">
        <v>10</v>
      </c>
      <c r="W748" s="43">
        <v>105</v>
      </c>
      <c r="X748" s="43">
        <v>3</v>
      </c>
      <c r="Y748" s="43">
        <v>3</v>
      </c>
      <c r="Z748" s="45">
        <f>U748+V748+W748+X748+Y748</f>
        <v>165</v>
      </c>
      <c r="AA748" s="45">
        <f>S748+T748</f>
        <v>192</v>
      </c>
      <c r="AB748" s="46">
        <v>1.5810276999999999</v>
      </c>
      <c r="AC748" s="46">
        <v>26.8774704</v>
      </c>
      <c r="AD748" s="46">
        <v>32.411067199999998</v>
      </c>
      <c r="AE748" s="46">
        <v>0.39525690000000002</v>
      </c>
      <c r="AF748" s="46">
        <v>22.924901200000001</v>
      </c>
      <c r="AG748" s="46">
        <v>11.8577075</v>
      </c>
      <c r="AH748" s="46">
        <v>3.9525692000000001</v>
      </c>
      <c r="AI748" s="47">
        <f>AB748+AC748</f>
        <v>28.4584981</v>
      </c>
      <c r="AJ748" s="47">
        <f>AD748+AE748+AF748+AG748+AH748</f>
        <v>71.541501999999994</v>
      </c>
      <c r="AK748" s="46">
        <v>13.1652661</v>
      </c>
      <c r="AL748" s="46">
        <v>40.616246500000003</v>
      </c>
      <c r="AM748" s="46">
        <v>12.32493</v>
      </c>
      <c r="AN748" s="46">
        <v>2.8011203999999998</v>
      </c>
      <c r="AO748" s="46">
        <v>29.411764699999999</v>
      </c>
      <c r="AP748" s="46">
        <v>0.84033610000000003</v>
      </c>
      <c r="AQ748" s="46">
        <v>0.84033610000000003</v>
      </c>
      <c r="AR748" s="48">
        <f>AK748+AL748</f>
        <v>53.781512599999999</v>
      </c>
      <c r="AS748" s="48">
        <f>AM748+AN748+AO748+AP748+AQ748</f>
        <v>46.218487300000007</v>
      </c>
    </row>
    <row r="749" spans="2:45" ht="15" hidden="1" customHeight="1" x14ac:dyDescent="0.25">
      <c r="B749" s="35">
        <v>743</v>
      </c>
      <c r="C749" s="36" t="s">
        <v>31</v>
      </c>
      <c r="D749" s="36" t="s">
        <v>226</v>
      </c>
      <c r="E749" s="36" t="s">
        <v>254</v>
      </c>
      <c r="F749" s="36" t="s">
        <v>255</v>
      </c>
      <c r="G749" s="37" t="s">
        <v>25</v>
      </c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40"/>
      <c r="AS749" s="40"/>
    </row>
    <row r="750" spans="2:45" ht="15" hidden="1" customHeight="1" x14ac:dyDescent="0.25">
      <c r="B750" s="35">
        <v>744</v>
      </c>
      <c r="C750" s="36" t="s">
        <v>31</v>
      </c>
      <c r="D750" s="36" t="s">
        <v>226</v>
      </c>
      <c r="E750" s="36" t="s">
        <v>254</v>
      </c>
      <c r="F750" s="36" t="s">
        <v>255</v>
      </c>
      <c r="G750" s="37" t="s">
        <v>26</v>
      </c>
      <c r="H750" s="38">
        <v>253</v>
      </c>
      <c r="I750" s="38">
        <v>4</v>
      </c>
      <c r="J750" s="38">
        <v>68</v>
      </c>
      <c r="K750" s="38">
        <v>82</v>
      </c>
      <c r="L750" s="38">
        <v>1</v>
      </c>
      <c r="M750" s="38">
        <v>58</v>
      </c>
      <c r="N750" s="38">
        <v>30</v>
      </c>
      <c r="O750" s="38">
        <v>10</v>
      </c>
      <c r="P750" s="38"/>
      <c r="Q750" s="38"/>
      <c r="R750" s="38">
        <v>357</v>
      </c>
      <c r="S750" s="38">
        <v>47</v>
      </c>
      <c r="T750" s="38">
        <v>145</v>
      </c>
      <c r="U750" s="38">
        <v>44</v>
      </c>
      <c r="V750" s="38">
        <v>10</v>
      </c>
      <c r="W750" s="38">
        <v>105</v>
      </c>
      <c r="X750" s="38">
        <v>3</v>
      </c>
      <c r="Y750" s="38">
        <v>3</v>
      </c>
      <c r="Z750" s="38"/>
      <c r="AA750" s="38"/>
      <c r="AB750" s="39">
        <v>1.5810276999999999</v>
      </c>
      <c r="AC750" s="39">
        <v>26.8774704</v>
      </c>
      <c r="AD750" s="39">
        <v>32.411067199999998</v>
      </c>
      <c r="AE750" s="39">
        <v>0.39525690000000002</v>
      </c>
      <c r="AF750" s="39">
        <v>22.924901200000001</v>
      </c>
      <c r="AG750" s="39">
        <v>11.8577075</v>
      </c>
      <c r="AH750" s="39">
        <v>3.9525692000000001</v>
      </c>
      <c r="AI750" s="39"/>
      <c r="AJ750" s="39"/>
      <c r="AK750" s="39">
        <v>13.1652661</v>
      </c>
      <c r="AL750" s="39">
        <v>40.616246500000003</v>
      </c>
      <c r="AM750" s="39">
        <v>12.32493</v>
      </c>
      <c r="AN750" s="39">
        <v>2.8011203999999998</v>
      </c>
      <c r="AO750" s="39">
        <v>29.411764699999999</v>
      </c>
      <c r="AP750" s="39">
        <v>0.84033610000000003</v>
      </c>
      <c r="AQ750" s="39">
        <v>0.84033610000000003</v>
      </c>
      <c r="AR750" s="40"/>
      <c r="AS750" s="40"/>
    </row>
    <row r="751" spans="2:45" ht="15" customHeight="1" x14ac:dyDescent="0.25">
      <c r="B751" s="41">
        <v>745</v>
      </c>
      <c r="C751" s="42" t="s">
        <v>31</v>
      </c>
      <c r="D751" s="51" t="s">
        <v>226</v>
      </c>
      <c r="E751" s="51" t="s">
        <v>254</v>
      </c>
      <c r="F751" s="51" t="s">
        <v>256</v>
      </c>
      <c r="G751" s="52" t="s">
        <v>256</v>
      </c>
      <c r="H751" s="43">
        <v>590</v>
      </c>
      <c r="I751" s="43">
        <v>28</v>
      </c>
      <c r="J751" s="43">
        <v>1</v>
      </c>
      <c r="K751" s="43">
        <v>17</v>
      </c>
      <c r="L751" s="43">
        <v>13</v>
      </c>
      <c r="M751" s="43">
        <v>452</v>
      </c>
      <c r="N751" s="43">
        <v>58</v>
      </c>
      <c r="O751" s="43">
        <v>21</v>
      </c>
      <c r="P751" s="44">
        <f>K751+L751+M751+N751+O751</f>
        <v>561</v>
      </c>
      <c r="Q751" s="44">
        <f>I751+J751</f>
        <v>29</v>
      </c>
      <c r="R751" s="43">
        <v>1105</v>
      </c>
      <c r="S751" s="43">
        <v>89</v>
      </c>
      <c r="T751" s="43">
        <v>44</v>
      </c>
      <c r="U751" s="43">
        <v>12</v>
      </c>
      <c r="V751" s="43">
        <v>5</v>
      </c>
      <c r="W751" s="43">
        <v>768</v>
      </c>
      <c r="X751" s="43">
        <v>169</v>
      </c>
      <c r="Y751" s="43">
        <v>18</v>
      </c>
      <c r="Z751" s="45">
        <f>U751+V751+W751+X751+Y751</f>
        <v>972</v>
      </c>
      <c r="AA751" s="45">
        <f>S751+T751</f>
        <v>133</v>
      </c>
      <c r="AB751" s="46">
        <v>4.7457627000000002</v>
      </c>
      <c r="AC751" s="46">
        <v>0.16949149999999999</v>
      </c>
      <c r="AD751" s="46">
        <v>2.8813559</v>
      </c>
      <c r="AE751" s="46">
        <v>2.2033898000000001</v>
      </c>
      <c r="AF751" s="46">
        <v>76.610169499999998</v>
      </c>
      <c r="AG751" s="46">
        <v>9.8305085000000005</v>
      </c>
      <c r="AH751" s="46">
        <v>3.5593219999999999</v>
      </c>
      <c r="AI751" s="47">
        <f>AB751+AC751</f>
        <v>4.9152542000000006</v>
      </c>
      <c r="AJ751" s="47">
        <f>AD751+AE751+AF751+AG751+AH751</f>
        <v>95.084745699999999</v>
      </c>
      <c r="AK751" s="46">
        <v>8.0542985999999992</v>
      </c>
      <c r="AL751" s="46">
        <v>3.9819005000000001</v>
      </c>
      <c r="AM751" s="46">
        <v>1.0859729</v>
      </c>
      <c r="AN751" s="46">
        <v>0.45248870000000002</v>
      </c>
      <c r="AO751" s="46">
        <v>69.502262400000006</v>
      </c>
      <c r="AP751" s="46">
        <v>15.2941176</v>
      </c>
      <c r="AQ751" s="46">
        <v>1.6289593</v>
      </c>
      <c r="AR751" s="48">
        <f>AK751+AL751</f>
        <v>12.036199099999999</v>
      </c>
      <c r="AS751" s="48">
        <f>AM751+AN751+AO751+AP751+AQ751</f>
        <v>87.96380090000001</v>
      </c>
    </row>
    <row r="752" spans="2:45" ht="15" hidden="1" customHeight="1" x14ac:dyDescent="0.25">
      <c r="B752" s="35">
        <v>746</v>
      </c>
      <c r="C752" s="36" t="s">
        <v>31</v>
      </c>
      <c r="D752" s="36" t="s">
        <v>226</v>
      </c>
      <c r="E752" s="36" t="s">
        <v>254</v>
      </c>
      <c r="F752" s="36" t="s">
        <v>256</v>
      </c>
      <c r="G752" s="37" t="s">
        <v>25</v>
      </c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40"/>
      <c r="AS752" s="40"/>
    </row>
    <row r="753" spans="2:45" ht="15" hidden="1" customHeight="1" x14ac:dyDescent="0.25">
      <c r="B753" s="35">
        <v>747</v>
      </c>
      <c r="C753" s="36" t="s">
        <v>31</v>
      </c>
      <c r="D753" s="36" t="s">
        <v>226</v>
      </c>
      <c r="E753" s="36" t="s">
        <v>254</v>
      </c>
      <c r="F753" s="36" t="s">
        <v>256</v>
      </c>
      <c r="G753" s="37" t="s">
        <v>26</v>
      </c>
      <c r="H753" s="38">
        <v>590</v>
      </c>
      <c r="I753" s="38">
        <v>28</v>
      </c>
      <c r="J753" s="38">
        <v>1</v>
      </c>
      <c r="K753" s="38">
        <v>17</v>
      </c>
      <c r="L753" s="38">
        <v>13</v>
      </c>
      <c r="M753" s="38">
        <v>452</v>
      </c>
      <c r="N753" s="38">
        <v>58</v>
      </c>
      <c r="O753" s="38">
        <v>21</v>
      </c>
      <c r="P753" s="38"/>
      <c r="Q753" s="38"/>
      <c r="R753" s="38">
        <v>1105</v>
      </c>
      <c r="S753" s="38">
        <v>89</v>
      </c>
      <c r="T753" s="38">
        <v>44</v>
      </c>
      <c r="U753" s="38">
        <v>12</v>
      </c>
      <c r="V753" s="38">
        <v>5</v>
      </c>
      <c r="W753" s="38">
        <v>768</v>
      </c>
      <c r="X753" s="38">
        <v>169</v>
      </c>
      <c r="Y753" s="38">
        <v>18</v>
      </c>
      <c r="Z753" s="38"/>
      <c r="AA753" s="38"/>
      <c r="AB753" s="39">
        <v>4.7457627000000002</v>
      </c>
      <c r="AC753" s="39">
        <v>0.16949149999999999</v>
      </c>
      <c r="AD753" s="39">
        <v>2.8813559</v>
      </c>
      <c r="AE753" s="39">
        <v>2.2033898000000001</v>
      </c>
      <c r="AF753" s="39">
        <v>76.610169499999998</v>
      </c>
      <c r="AG753" s="39">
        <v>9.8305085000000005</v>
      </c>
      <c r="AH753" s="39">
        <v>3.5593219999999999</v>
      </c>
      <c r="AI753" s="39"/>
      <c r="AJ753" s="39"/>
      <c r="AK753" s="39">
        <v>8.0542985999999992</v>
      </c>
      <c r="AL753" s="39">
        <v>3.9819005000000001</v>
      </c>
      <c r="AM753" s="39">
        <v>1.0859729</v>
      </c>
      <c r="AN753" s="39">
        <v>0.45248870000000002</v>
      </c>
      <c r="AO753" s="39">
        <v>69.502262400000006</v>
      </c>
      <c r="AP753" s="39">
        <v>15.2941176</v>
      </c>
      <c r="AQ753" s="39">
        <v>1.6289593</v>
      </c>
      <c r="AR753" s="40"/>
      <c r="AS753" s="40"/>
    </row>
    <row r="754" spans="2:45" ht="15" hidden="1" customHeight="1" x14ac:dyDescent="0.25">
      <c r="B754" s="30">
        <v>748</v>
      </c>
      <c r="C754" s="31" t="s">
        <v>29</v>
      </c>
      <c r="D754" s="50" t="s">
        <v>226</v>
      </c>
      <c r="E754" s="50" t="s">
        <v>257</v>
      </c>
      <c r="F754" s="50"/>
      <c r="G754" s="31" t="s">
        <v>257</v>
      </c>
      <c r="H754" s="32">
        <v>4331</v>
      </c>
      <c r="I754" s="32">
        <v>72</v>
      </c>
      <c r="J754" s="32">
        <v>92</v>
      </c>
      <c r="K754" s="32">
        <v>536</v>
      </c>
      <c r="L754" s="32">
        <v>69</v>
      </c>
      <c r="M754" s="32">
        <v>1967</v>
      </c>
      <c r="N754" s="32">
        <v>1120</v>
      </c>
      <c r="O754" s="32">
        <v>475</v>
      </c>
      <c r="P754" s="32"/>
      <c r="Q754" s="32"/>
      <c r="R754" s="32">
        <v>4732</v>
      </c>
      <c r="S754" s="32">
        <v>160</v>
      </c>
      <c r="T754" s="32">
        <v>409</v>
      </c>
      <c r="U754" s="32">
        <v>115</v>
      </c>
      <c r="V754" s="32">
        <v>22</v>
      </c>
      <c r="W754" s="32">
        <v>2729</v>
      </c>
      <c r="X754" s="32">
        <v>1211</v>
      </c>
      <c r="Y754" s="32">
        <v>86</v>
      </c>
      <c r="Z754" s="32"/>
      <c r="AA754" s="32"/>
      <c r="AB754" s="33">
        <v>1.6624336</v>
      </c>
      <c r="AC754" s="33">
        <v>2.1242207</v>
      </c>
      <c r="AD754" s="33">
        <v>12.3758947</v>
      </c>
      <c r="AE754" s="33">
        <v>1.5931656000000001</v>
      </c>
      <c r="AF754" s="33">
        <v>45.416762900000002</v>
      </c>
      <c r="AG754" s="33">
        <v>25.8600785</v>
      </c>
      <c r="AH754" s="33">
        <v>10.967444</v>
      </c>
      <c r="AI754" s="33"/>
      <c r="AJ754" s="33"/>
      <c r="AK754" s="33">
        <v>3.3812342000000002</v>
      </c>
      <c r="AL754" s="33">
        <v>8.6432798000000002</v>
      </c>
      <c r="AM754" s="33">
        <v>2.4302619999999999</v>
      </c>
      <c r="AN754" s="33">
        <v>0.46491969999999999</v>
      </c>
      <c r="AO754" s="33">
        <v>57.671174999999998</v>
      </c>
      <c r="AP754" s="33">
        <v>25.591716000000002</v>
      </c>
      <c r="AQ754" s="33">
        <v>1.8174134</v>
      </c>
      <c r="AR754" s="34"/>
      <c r="AS754" s="34"/>
    </row>
    <row r="755" spans="2:45" ht="15" hidden="1" customHeight="1" x14ac:dyDescent="0.25">
      <c r="B755" s="35">
        <v>749</v>
      </c>
      <c r="C755" s="36" t="s">
        <v>29</v>
      </c>
      <c r="D755" s="36" t="s">
        <v>226</v>
      </c>
      <c r="E755" s="36" t="s">
        <v>257</v>
      </c>
      <c r="F755" s="36"/>
      <c r="G755" s="37" t="s">
        <v>25</v>
      </c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40"/>
      <c r="AS755" s="40"/>
    </row>
    <row r="756" spans="2:45" ht="15" hidden="1" customHeight="1" x14ac:dyDescent="0.25">
      <c r="B756" s="35">
        <v>750</v>
      </c>
      <c r="C756" s="36" t="s">
        <v>29</v>
      </c>
      <c r="D756" s="36" t="s">
        <v>226</v>
      </c>
      <c r="E756" s="36" t="s">
        <v>257</v>
      </c>
      <c r="F756" s="36"/>
      <c r="G756" s="37" t="s">
        <v>26</v>
      </c>
      <c r="H756" s="38">
        <v>4331</v>
      </c>
      <c r="I756" s="38">
        <v>72</v>
      </c>
      <c r="J756" s="38">
        <v>92</v>
      </c>
      <c r="K756" s="38">
        <v>536</v>
      </c>
      <c r="L756" s="38">
        <v>69</v>
      </c>
      <c r="M756" s="38">
        <v>1967</v>
      </c>
      <c r="N756" s="38">
        <v>1120</v>
      </c>
      <c r="O756" s="38">
        <v>475</v>
      </c>
      <c r="P756" s="38"/>
      <c r="Q756" s="38"/>
      <c r="R756" s="38">
        <v>4732</v>
      </c>
      <c r="S756" s="38">
        <v>160</v>
      </c>
      <c r="T756" s="38">
        <v>409</v>
      </c>
      <c r="U756" s="38">
        <v>115</v>
      </c>
      <c r="V756" s="38">
        <v>22</v>
      </c>
      <c r="W756" s="38">
        <v>2729</v>
      </c>
      <c r="X756" s="38">
        <v>1211</v>
      </c>
      <c r="Y756" s="38">
        <v>86</v>
      </c>
      <c r="Z756" s="38"/>
      <c r="AA756" s="38"/>
      <c r="AB756" s="39">
        <v>1.6624336</v>
      </c>
      <c r="AC756" s="39">
        <v>2.1242207</v>
      </c>
      <c r="AD756" s="39">
        <v>12.3758947</v>
      </c>
      <c r="AE756" s="39">
        <v>1.5931656000000001</v>
      </c>
      <c r="AF756" s="39">
        <v>45.416762900000002</v>
      </c>
      <c r="AG756" s="39">
        <v>25.8600785</v>
      </c>
      <c r="AH756" s="39">
        <v>10.967444</v>
      </c>
      <c r="AI756" s="39"/>
      <c r="AJ756" s="39"/>
      <c r="AK756" s="39">
        <v>3.3812342000000002</v>
      </c>
      <c r="AL756" s="39">
        <v>8.6432798000000002</v>
      </c>
      <c r="AM756" s="39">
        <v>2.4302619999999999</v>
      </c>
      <c r="AN756" s="39">
        <v>0.46491969999999999</v>
      </c>
      <c r="AO756" s="39">
        <v>57.671174999999998</v>
      </c>
      <c r="AP756" s="39">
        <v>25.591716000000002</v>
      </c>
      <c r="AQ756" s="39">
        <v>1.8174134</v>
      </c>
      <c r="AR756" s="40"/>
      <c r="AS756" s="40"/>
    </row>
    <row r="757" spans="2:45" ht="15" customHeight="1" x14ac:dyDescent="0.25">
      <c r="B757" s="41">
        <v>751</v>
      </c>
      <c r="C757" s="42" t="s">
        <v>31</v>
      </c>
      <c r="D757" s="51" t="s">
        <v>226</v>
      </c>
      <c r="E757" s="51" t="s">
        <v>257</v>
      </c>
      <c r="F757" s="51" t="s">
        <v>258</v>
      </c>
      <c r="G757" s="52" t="s">
        <v>258</v>
      </c>
      <c r="H757" s="43">
        <v>4331</v>
      </c>
      <c r="I757" s="43">
        <v>72</v>
      </c>
      <c r="J757" s="43">
        <v>92</v>
      </c>
      <c r="K757" s="43">
        <v>536</v>
      </c>
      <c r="L757" s="43">
        <v>69</v>
      </c>
      <c r="M757" s="43">
        <v>1967</v>
      </c>
      <c r="N757" s="43">
        <v>1120</v>
      </c>
      <c r="O757" s="43">
        <v>475</v>
      </c>
      <c r="P757" s="44">
        <f>K757+L757+M757+N757+O757</f>
        <v>4167</v>
      </c>
      <c r="Q757" s="44">
        <f>I757+J757</f>
        <v>164</v>
      </c>
      <c r="R757" s="43">
        <v>4732</v>
      </c>
      <c r="S757" s="43">
        <v>160</v>
      </c>
      <c r="T757" s="43">
        <v>409</v>
      </c>
      <c r="U757" s="43">
        <v>115</v>
      </c>
      <c r="V757" s="43">
        <v>22</v>
      </c>
      <c r="W757" s="43">
        <v>2729</v>
      </c>
      <c r="X757" s="43">
        <v>1211</v>
      </c>
      <c r="Y757" s="43">
        <v>86</v>
      </c>
      <c r="Z757" s="45">
        <f>U757+V757+W757+X757+Y757</f>
        <v>4163</v>
      </c>
      <c r="AA757" s="45">
        <f>S757+T757</f>
        <v>569</v>
      </c>
      <c r="AB757" s="46">
        <v>1.6624336</v>
      </c>
      <c r="AC757" s="46">
        <v>2.1242207</v>
      </c>
      <c r="AD757" s="46">
        <v>12.3758947</v>
      </c>
      <c r="AE757" s="46">
        <v>1.5931656000000001</v>
      </c>
      <c r="AF757" s="46">
        <v>45.416762900000002</v>
      </c>
      <c r="AG757" s="46">
        <v>25.8600785</v>
      </c>
      <c r="AH757" s="46">
        <v>10.967444</v>
      </c>
      <c r="AI757" s="47">
        <f>AB757+AC757</f>
        <v>3.7866542999999999</v>
      </c>
      <c r="AJ757" s="47">
        <f>AD757+AE757+AF757+AG757+AH757</f>
        <v>96.213345700000005</v>
      </c>
      <c r="AK757" s="46">
        <v>3.3812342000000002</v>
      </c>
      <c r="AL757" s="46">
        <v>8.6432798000000002</v>
      </c>
      <c r="AM757" s="46">
        <v>2.4302619999999999</v>
      </c>
      <c r="AN757" s="46">
        <v>0.46491969999999999</v>
      </c>
      <c r="AO757" s="46">
        <v>57.671174999999998</v>
      </c>
      <c r="AP757" s="46">
        <v>25.591716000000002</v>
      </c>
      <c r="AQ757" s="46">
        <v>1.8174134</v>
      </c>
      <c r="AR757" s="48">
        <f>AK757+AL757</f>
        <v>12.024514</v>
      </c>
      <c r="AS757" s="48">
        <f>AM757+AN757+AO757+AP757+AQ757</f>
        <v>87.975486100000012</v>
      </c>
    </row>
    <row r="758" spans="2:45" ht="15" hidden="1" customHeight="1" x14ac:dyDescent="0.25">
      <c r="B758" s="35">
        <v>752</v>
      </c>
      <c r="C758" s="36" t="s">
        <v>31</v>
      </c>
      <c r="D758" s="36" t="s">
        <v>226</v>
      </c>
      <c r="E758" s="36" t="s">
        <v>257</v>
      </c>
      <c r="F758" s="36" t="s">
        <v>258</v>
      </c>
      <c r="G758" s="37" t="s">
        <v>25</v>
      </c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40"/>
      <c r="AS758" s="40"/>
    </row>
    <row r="759" spans="2:45" ht="15" hidden="1" customHeight="1" x14ac:dyDescent="0.25">
      <c r="B759" s="35">
        <v>753</v>
      </c>
      <c r="C759" s="36" t="s">
        <v>31</v>
      </c>
      <c r="D759" s="36" t="s">
        <v>226</v>
      </c>
      <c r="E759" s="36" t="s">
        <v>257</v>
      </c>
      <c r="F759" s="36" t="s">
        <v>258</v>
      </c>
      <c r="G759" s="37" t="s">
        <v>26</v>
      </c>
      <c r="H759" s="38">
        <v>4331</v>
      </c>
      <c r="I759" s="38">
        <v>72</v>
      </c>
      <c r="J759" s="38">
        <v>92</v>
      </c>
      <c r="K759" s="38">
        <v>536</v>
      </c>
      <c r="L759" s="38">
        <v>69</v>
      </c>
      <c r="M759" s="38">
        <v>1967</v>
      </c>
      <c r="N759" s="38">
        <v>1120</v>
      </c>
      <c r="O759" s="38">
        <v>475</v>
      </c>
      <c r="P759" s="38"/>
      <c r="Q759" s="38"/>
      <c r="R759" s="38">
        <v>4732</v>
      </c>
      <c r="S759" s="38">
        <v>160</v>
      </c>
      <c r="T759" s="38">
        <v>409</v>
      </c>
      <c r="U759" s="38">
        <v>115</v>
      </c>
      <c r="V759" s="38">
        <v>22</v>
      </c>
      <c r="W759" s="38">
        <v>2729</v>
      </c>
      <c r="X759" s="38">
        <v>1211</v>
      </c>
      <c r="Y759" s="38">
        <v>86</v>
      </c>
      <c r="Z759" s="38"/>
      <c r="AA759" s="38"/>
      <c r="AB759" s="39">
        <v>1.6624336</v>
      </c>
      <c r="AC759" s="39">
        <v>2.1242207</v>
      </c>
      <c r="AD759" s="39">
        <v>12.3758947</v>
      </c>
      <c r="AE759" s="39">
        <v>1.5931656000000001</v>
      </c>
      <c r="AF759" s="39">
        <v>45.416762900000002</v>
      </c>
      <c r="AG759" s="39">
        <v>25.8600785</v>
      </c>
      <c r="AH759" s="39">
        <v>10.967444</v>
      </c>
      <c r="AI759" s="39"/>
      <c r="AJ759" s="39"/>
      <c r="AK759" s="39">
        <v>3.3812342000000002</v>
      </c>
      <c r="AL759" s="39">
        <v>8.6432798000000002</v>
      </c>
      <c r="AM759" s="39">
        <v>2.4302619999999999</v>
      </c>
      <c r="AN759" s="39">
        <v>0.46491969999999999</v>
      </c>
      <c r="AO759" s="39">
        <v>57.671174999999998</v>
      </c>
      <c r="AP759" s="39">
        <v>25.591716000000002</v>
      </c>
      <c r="AQ759" s="39">
        <v>1.8174134</v>
      </c>
      <c r="AR759" s="40"/>
      <c r="AS759" s="40"/>
    </row>
    <row r="760" spans="2:45" ht="15" hidden="1" customHeight="1" x14ac:dyDescent="0.25">
      <c r="B760" s="30">
        <v>754</v>
      </c>
      <c r="C760" s="31" t="s">
        <v>29</v>
      </c>
      <c r="D760" s="50" t="s">
        <v>226</v>
      </c>
      <c r="E760" s="50" t="s">
        <v>259</v>
      </c>
      <c r="F760" s="50"/>
      <c r="G760" s="31" t="s">
        <v>259</v>
      </c>
      <c r="H760" s="32">
        <v>1898</v>
      </c>
      <c r="I760" s="32">
        <v>53</v>
      </c>
      <c r="J760" s="32">
        <v>14</v>
      </c>
      <c r="K760" s="32">
        <v>658</v>
      </c>
      <c r="L760" s="32">
        <v>357</v>
      </c>
      <c r="M760" s="32">
        <v>499</v>
      </c>
      <c r="N760" s="32">
        <v>212</v>
      </c>
      <c r="O760" s="32">
        <v>105</v>
      </c>
      <c r="P760" s="32"/>
      <c r="Q760" s="32"/>
      <c r="R760" s="32">
        <v>1936</v>
      </c>
      <c r="S760" s="32">
        <v>137</v>
      </c>
      <c r="T760" s="32">
        <v>264</v>
      </c>
      <c r="U760" s="32">
        <v>281</v>
      </c>
      <c r="V760" s="32">
        <v>182</v>
      </c>
      <c r="W760" s="32">
        <v>842</v>
      </c>
      <c r="X760" s="32">
        <v>185</v>
      </c>
      <c r="Y760" s="32">
        <v>45</v>
      </c>
      <c r="Z760" s="32"/>
      <c r="AA760" s="32"/>
      <c r="AB760" s="33">
        <v>2.7924131000000001</v>
      </c>
      <c r="AC760" s="33">
        <v>0.73761849999999995</v>
      </c>
      <c r="AD760" s="33">
        <v>34.668071699999999</v>
      </c>
      <c r="AE760" s="33">
        <v>18.8092729</v>
      </c>
      <c r="AF760" s="33">
        <v>26.2908325</v>
      </c>
      <c r="AG760" s="33">
        <v>11.169652299999999</v>
      </c>
      <c r="AH760" s="33">
        <v>5.5321391000000002</v>
      </c>
      <c r="AI760" s="33"/>
      <c r="AJ760" s="33"/>
      <c r="AK760" s="33">
        <v>7.0764462999999997</v>
      </c>
      <c r="AL760" s="33">
        <v>13.636363599999999</v>
      </c>
      <c r="AM760" s="33">
        <v>14.5144628</v>
      </c>
      <c r="AN760" s="33">
        <v>9.4008263999999997</v>
      </c>
      <c r="AO760" s="33">
        <v>43.491735499999997</v>
      </c>
      <c r="AP760" s="33">
        <v>9.5557850999999996</v>
      </c>
      <c r="AQ760" s="33">
        <v>2.3243801999999998</v>
      </c>
      <c r="AR760" s="34"/>
      <c r="AS760" s="34"/>
    </row>
    <row r="761" spans="2:45" ht="15" hidden="1" customHeight="1" x14ac:dyDescent="0.25">
      <c r="B761" s="35">
        <v>755</v>
      </c>
      <c r="C761" s="36" t="s">
        <v>29</v>
      </c>
      <c r="D761" s="36" t="s">
        <v>226</v>
      </c>
      <c r="E761" s="36" t="s">
        <v>259</v>
      </c>
      <c r="F761" s="36"/>
      <c r="G761" s="37" t="s">
        <v>25</v>
      </c>
      <c r="H761" s="38">
        <v>1015</v>
      </c>
      <c r="I761" s="38">
        <v>46</v>
      </c>
      <c r="J761" s="38">
        <v>10</v>
      </c>
      <c r="K761" s="38">
        <v>572</v>
      </c>
      <c r="L761" s="38">
        <v>22</v>
      </c>
      <c r="M761" s="38">
        <v>143</v>
      </c>
      <c r="N761" s="38">
        <v>130</v>
      </c>
      <c r="O761" s="38">
        <v>92</v>
      </c>
      <c r="P761" s="38"/>
      <c r="Q761" s="38"/>
      <c r="R761" s="38">
        <v>873</v>
      </c>
      <c r="S761" s="38">
        <v>113</v>
      </c>
      <c r="T761" s="38">
        <v>260</v>
      </c>
      <c r="U761" s="38">
        <v>218</v>
      </c>
      <c r="V761" s="38">
        <v>26</v>
      </c>
      <c r="W761" s="38">
        <v>154</v>
      </c>
      <c r="X761" s="38">
        <v>70</v>
      </c>
      <c r="Y761" s="38">
        <v>32</v>
      </c>
      <c r="Z761" s="38"/>
      <c r="AA761" s="38"/>
      <c r="AB761" s="39">
        <v>4.5320197000000002</v>
      </c>
      <c r="AC761" s="39">
        <v>0.98522169999999998</v>
      </c>
      <c r="AD761" s="39">
        <v>56.3546798</v>
      </c>
      <c r="AE761" s="39">
        <v>2.1674877000000001</v>
      </c>
      <c r="AF761" s="39">
        <v>14.08867</v>
      </c>
      <c r="AG761" s="39">
        <v>12.807881800000001</v>
      </c>
      <c r="AH761" s="39">
        <v>9.0640394000000004</v>
      </c>
      <c r="AI761" s="39"/>
      <c r="AJ761" s="39"/>
      <c r="AK761" s="39">
        <v>12.943871700000001</v>
      </c>
      <c r="AL761" s="39">
        <v>29.782359700000001</v>
      </c>
      <c r="AM761" s="39">
        <v>24.971363100000001</v>
      </c>
      <c r="AN761" s="39">
        <v>2.9782359999999999</v>
      </c>
      <c r="AO761" s="39">
        <v>17.6403207</v>
      </c>
      <c r="AP761" s="39">
        <v>8.0183275999999992</v>
      </c>
      <c r="AQ761" s="39">
        <v>3.6655212000000001</v>
      </c>
      <c r="AR761" s="40"/>
      <c r="AS761" s="40"/>
    </row>
    <row r="762" spans="2:45" ht="15" hidden="1" customHeight="1" x14ac:dyDescent="0.25">
      <c r="B762" s="35">
        <v>756</v>
      </c>
      <c r="C762" s="36" t="s">
        <v>29</v>
      </c>
      <c r="D762" s="36" t="s">
        <v>226</v>
      </c>
      <c r="E762" s="36" t="s">
        <v>259</v>
      </c>
      <c r="F762" s="36"/>
      <c r="G762" s="37" t="s">
        <v>26</v>
      </c>
      <c r="H762" s="38">
        <v>883</v>
      </c>
      <c r="I762" s="38">
        <v>7</v>
      </c>
      <c r="J762" s="38">
        <v>4</v>
      </c>
      <c r="K762" s="38">
        <v>86</v>
      </c>
      <c r="L762" s="38">
        <v>335</v>
      </c>
      <c r="M762" s="38">
        <v>356</v>
      </c>
      <c r="N762" s="38">
        <v>82</v>
      </c>
      <c r="O762" s="38">
        <v>13</v>
      </c>
      <c r="P762" s="38"/>
      <c r="Q762" s="38"/>
      <c r="R762" s="38">
        <v>1063</v>
      </c>
      <c r="S762" s="38">
        <v>24</v>
      </c>
      <c r="T762" s="38">
        <v>4</v>
      </c>
      <c r="U762" s="38">
        <v>63</v>
      </c>
      <c r="V762" s="38">
        <v>156</v>
      </c>
      <c r="W762" s="38">
        <v>688</v>
      </c>
      <c r="X762" s="38">
        <v>115</v>
      </c>
      <c r="Y762" s="38">
        <v>13</v>
      </c>
      <c r="Z762" s="38"/>
      <c r="AA762" s="38"/>
      <c r="AB762" s="39">
        <v>0.79275200000000001</v>
      </c>
      <c r="AC762" s="39">
        <v>0.45300109999999999</v>
      </c>
      <c r="AD762" s="39">
        <v>9.7395242999999994</v>
      </c>
      <c r="AE762" s="39">
        <v>37.938844799999998</v>
      </c>
      <c r="AF762" s="39">
        <v>40.317100799999999</v>
      </c>
      <c r="AG762" s="39">
        <v>9.2865231999999995</v>
      </c>
      <c r="AH762" s="39">
        <v>1.4722537</v>
      </c>
      <c r="AI762" s="39"/>
      <c r="AJ762" s="39"/>
      <c r="AK762" s="39">
        <v>2.2577611000000002</v>
      </c>
      <c r="AL762" s="39">
        <v>0.3762935</v>
      </c>
      <c r="AM762" s="39">
        <v>5.9266227999999996</v>
      </c>
      <c r="AN762" s="39">
        <v>14.6754468</v>
      </c>
      <c r="AO762" s="39">
        <v>64.722483499999996</v>
      </c>
      <c r="AP762" s="39">
        <v>10.8184384</v>
      </c>
      <c r="AQ762" s="39">
        <v>1.2229539</v>
      </c>
      <c r="AR762" s="40"/>
      <c r="AS762" s="40"/>
    </row>
    <row r="763" spans="2:45" ht="15" customHeight="1" x14ac:dyDescent="0.25">
      <c r="B763" s="41">
        <v>757</v>
      </c>
      <c r="C763" s="42" t="s">
        <v>31</v>
      </c>
      <c r="D763" s="51" t="s">
        <v>226</v>
      </c>
      <c r="E763" s="51" t="s">
        <v>259</v>
      </c>
      <c r="F763" s="51" t="s">
        <v>260</v>
      </c>
      <c r="G763" s="52" t="s">
        <v>260</v>
      </c>
      <c r="H763" s="43">
        <v>1898</v>
      </c>
      <c r="I763" s="43">
        <v>53</v>
      </c>
      <c r="J763" s="43">
        <v>14</v>
      </c>
      <c r="K763" s="43">
        <v>658</v>
      </c>
      <c r="L763" s="43">
        <v>357</v>
      </c>
      <c r="M763" s="43">
        <v>499</v>
      </c>
      <c r="N763" s="43">
        <v>212</v>
      </c>
      <c r="O763" s="43">
        <v>105</v>
      </c>
      <c r="P763" s="44">
        <f>K763+L763+M763+N763+O763</f>
        <v>1831</v>
      </c>
      <c r="Q763" s="44">
        <f>I763+J763</f>
        <v>67</v>
      </c>
      <c r="R763" s="43">
        <v>1936</v>
      </c>
      <c r="S763" s="43">
        <v>137</v>
      </c>
      <c r="T763" s="43">
        <v>264</v>
      </c>
      <c r="U763" s="43">
        <v>281</v>
      </c>
      <c r="V763" s="43">
        <v>182</v>
      </c>
      <c r="W763" s="43">
        <v>842</v>
      </c>
      <c r="X763" s="43">
        <v>185</v>
      </c>
      <c r="Y763" s="43">
        <v>45</v>
      </c>
      <c r="Z763" s="45">
        <f>U763+V763+W763+X763+Y763</f>
        <v>1535</v>
      </c>
      <c r="AA763" s="45">
        <f>S763+T763</f>
        <v>401</v>
      </c>
      <c r="AB763" s="46">
        <v>2.7924131000000001</v>
      </c>
      <c r="AC763" s="46">
        <v>0.73761849999999995</v>
      </c>
      <c r="AD763" s="46">
        <v>34.668071699999999</v>
      </c>
      <c r="AE763" s="46">
        <v>18.8092729</v>
      </c>
      <c r="AF763" s="46">
        <v>26.2908325</v>
      </c>
      <c r="AG763" s="46">
        <v>11.169652299999999</v>
      </c>
      <c r="AH763" s="46">
        <v>5.5321391000000002</v>
      </c>
      <c r="AI763" s="47">
        <f>AB763+AC763</f>
        <v>3.5300316</v>
      </c>
      <c r="AJ763" s="47">
        <f>AD763+AE763+AF763+AG763+AH763</f>
        <v>96.469968499999993</v>
      </c>
      <c r="AK763" s="46">
        <v>7.0764462999999997</v>
      </c>
      <c r="AL763" s="46">
        <v>13.636363599999999</v>
      </c>
      <c r="AM763" s="46">
        <v>14.5144628</v>
      </c>
      <c r="AN763" s="46">
        <v>9.4008263999999997</v>
      </c>
      <c r="AO763" s="46">
        <v>43.491735499999997</v>
      </c>
      <c r="AP763" s="46">
        <v>9.5557850999999996</v>
      </c>
      <c r="AQ763" s="46">
        <v>2.3243801999999998</v>
      </c>
      <c r="AR763" s="48">
        <f>AK763+AL763</f>
        <v>20.7128099</v>
      </c>
      <c r="AS763" s="48">
        <f>AM763+AN763+AO763+AP763+AQ763</f>
        <v>79.287189999999981</v>
      </c>
    </row>
    <row r="764" spans="2:45" ht="15" hidden="1" customHeight="1" x14ac:dyDescent="0.25">
      <c r="B764" s="35">
        <v>758</v>
      </c>
      <c r="C764" s="36" t="s">
        <v>31</v>
      </c>
      <c r="D764" s="36" t="s">
        <v>226</v>
      </c>
      <c r="E764" s="36" t="s">
        <v>259</v>
      </c>
      <c r="F764" s="36" t="s">
        <v>260</v>
      </c>
      <c r="G764" s="37" t="s">
        <v>25</v>
      </c>
      <c r="H764" s="38">
        <v>1015</v>
      </c>
      <c r="I764" s="38">
        <v>46</v>
      </c>
      <c r="J764" s="38">
        <v>10</v>
      </c>
      <c r="K764" s="38">
        <v>572</v>
      </c>
      <c r="L764" s="38">
        <v>22</v>
      </c>
      <c r="M764" s="38">
        <v>143</v>
      </c>
      <c r="N764" s="38">
        <v>130</v>
      </c>
      <c r="O764" s="38">
        <v>92</v>
      </c>
      <c r="P764" s="38"/>
      <c r="Q764" s="38"/>
      <c r="R764" s="38">
        <v>873</v>
      </c>
      <c r="S764" s="38">
        <v>113</v>
      </c>
      <c r="T764" s="38">
        <v>260</v>
      </c>
      <c r="U764" s="38">
        <v>218</v>
      </c>
      <c r="V764" s="38">
        <v>26</v>
      </c>
      <c r="W764" s="38">
        <v>154</v>
      </c>
      <c r="X764" s="38">
        <v>70</v>
      </c>
      <c r="Y764" s="38">
        <v>32</v>
      </c>
      <c r="Z764" s="38"/>
      <c r="AA764" s="38"/>
      <c r="AB764" s="39">
        <v>4.5320197000000002</v>
      </c>
      <c r="AC764" s="39">
        <v>0.98522169999999998</v>
      </c>
      <c r="AD764" s="39">
        <v>56.3546798</v>
      </c>
      <c r="AE764" s="39">
        <v>2.1674877000000001</v>
      </c>
      <c r="AF764" s="39">
        <v>14.08867</v>
      </c>
      <c r="AG764" s="39">
        <v>12.807881800000001</v>
      </c>
      <c r="AH764" s="39">
        <v>9.0640394000000004</v>
      </c>
      <c r="AI764" s="39"/>
      <c r="AJ764" s="39"/>
      <c r="AK764" s="39">
        <v>12.943871700000001</v>
      </c>
      <c r="AL764" s="39">
        <v>29.782359700000001</v>
      </c>
      <c r="AM764" s="39">
        <v>24.971363100000001</v>
      </c>
      <c r="AN764" s="39">
        <v>2.9782359999999999</v>
      </c>
      <c r="AO764" s="39">
        <v>17.6403207</v>
      </c>
      <c r="AP764" s="39">
        <v>8.0183275999999992</v>
      </c>
      <c r="AQ764" s="39">
        <v>3.6655212000000001</v>
      </c>
      <c r="AR764" s="40"/>
      <c r="AS764" s="40"/>
    </row>
    <row r="765" spans="2:45" ht="15" hidden="1" customHeight="1" x14ac:dyDescent="0.25">
      <c r="B765" s="35">
        <v>759</v>
      </c>
      <c r="C765" s="36" t="s">
        <v>31</v>
      </c>
      <c r="D765" s="36" t="s">
        <v>226</v>
      </c>
      <c r="E765" s="36" t="s">
        <v>259</v>
      </c>
      <c r="F765" s="36" t="s">
        <v>260</v>
      </c>
      <c r="G765" s="37" t="s">
        <v>26</v>
      </c>
      <c r="H765" s="38">
        <v>883</v>
      </c>
      <c r="I765" s="38">
        <v>7</v>
      </c>
      <c r="J765" s="38">
        <v>4</v>
      </c>
      <c r="K765" s="38">
        <v>86</v>
      </c>
      <c r="L765" s="38">
        <v>335</v>
      </c>
      <c r="M765" s="38">
        <v>356</v>
      </c>
      <c r="N765" s="38">
        <v>82</v>
      </c>
      <c r="O765" s="38">
        <v>13</v>
      </c>
      <c r="P765" s="38"/>
      <c r="Q765" s="38"/>
      <c r="R765" s="38">
        <v>1063</v>
      </c>
      <c r="S765" s="38">
        <v>24</v>
      </c>
      <c r="T765" s="38">
        <v>4</v>
      </c>
      <c r="U765" s="38">
        <v>63</v>
      </c>
      <c r="V765" s="38">
        <v>156</v>
      </c>
      <c r="W765" s="38">
        <v>688</v>
      </c>
      <c r="X765" s="38">
        <v>115</v>
      </c>
      <c r="Y765" s="38">
        <v>13</v>
      </c>
      <c r="Z765" s="38"/>
      <c r="AA765" s="38"/>
      <c r="AB765" s="39">
        <v>0.79275200000000001</v>
      </c>
      <c r="AC765" s="39">
        <v>0.45300109999999999</v>
      </c>
      <c r="AD765" s="39">
        <v>9.7395242999999994</v>
      </c>
      <c r="AE765" s="39">
        <v>37.938844799999998</v>
      </c>
      <c r="AF765" s="39">
        <v>40.317100799999999</v>
      </c>
      <c r="AG765" s="39">
        <v>9.2865231999999995</v>
      </c>
      <c r="AH765" s="39">
        <v>1.4722537</v>
      </c>
      <c r="AI765" s="39"/>
      <c r="AJ765" s="39"/>
      <c r="AK765" s="39">
        <v>2.2577611000000002</v>
      </c>
      <c r="AL765" s="39">
        <v>0.3762935</v>
      </c>
      <c r="AM765" s="39">
        <v>5.9266227999999996</v>
      </c>
      <c r="AN765" s="39">
        <v>14.6754468</v>
      </c>
      <c r="AO765" s="39">
        <v>64.722483499999996</v>
      </c>
      <c r="AP765" s="39">
        <v>10.8184384</v>
      </c>
      <c r="AQ765" s="39">
        <v>1.2229539</v>
      </c>
      <c r="AR765" s="40"/>
      <c r="AS765" s="40"/>
    </row>
    <row r="766" spans="2:45" ht="15" hidden="1" customHeight="1" x14ac:dyDescent="0.25">
      <c r="B766" s="30">
        <v>760</v>
      </c>
      <c r="C766" s="31" t="s">
        <v>29</v>
      </c>
      <c r="D766" s="50" t="s">
        <v>226</v>
      </c>
      <c r="E766" s="50" t="s">
        <v>261</v>
      </c>
      <c r="F766" s="50"/>
      <c r="G766" s="31" t="s">
        <v>261</v>
      </c>
      <c r="H766" s="32">
        <v>2720</v>
      </c>
      <c r="I766" s="32">
        <v>144</v>
      </c>
      <c r="J766" s="32">
        <v>26</v>
      </c>
      <c r="K766" s="32">
        <v>242</v>
      </c>
      <c r="L766" s="32">
        <v>461</v>
      </c>
      <c r="M766" s="32">
        <v>1471</v>
      </c>
      <c r="N766" s="32">
        <v>252</v>
      </c>
      <c r="O766" s="32">
        <v>124</v>
      </c>
      <c r="P766" s="32"/>
      <c r="Q766" s="32"/>
      <c r="R766" s="32">
        <v>3384</v>
      </c>
      <c r="S766" s="32">
        <v>369</v>
      </c>
      <c r="T766" s="32">
        <v>166</v>
      </c>
      <c r="U766" s="32">
        <v>112</v>
      </c>
      <c r="V766" s="32">
        <v>95</v>
      </c>
      <c r="W766" s="32">
        <v>2171</v>
      </c>
      <c r="X766" s="32">
        <v>405</v>
      </c>
      <c r="Y766" s="32">
        <v>66</v>
      </c>
      <c r="Z766" s="32"/>
      <c r="AA766" s="32"/>
      <c r="AB766" s="33">
        <v>5.2941175999999999</v>
      </c>
      <c r="AC766" s="33">
        <v>0.95588240000000002</v>
      </c>
      <c r="AD766" s="33">
        <v>8.8970587999999999</v>
      </c>
      <c r="AE766" s="33">
        <v>16.948529400000002</v>
      </c>
      <c r="AF766" s="33">
        <v>54.0808824</v>
      </c>
      <c r="AG766" s="33">
        <v>9.2647058999999992</v>
      </c>
      <c r="AH766" s="33">
        <v>4.5588234999999999</v>
      </c>
      <c r="AI766" s="33"/>
      <c r="AJ766" s="33"/>
      <c r="AK766" s="33">
        <v>10.904255300000001</v>
      </c>
      <c r="AL766" s="33">
        <v>4.9054374000000003</v>
      </c>
      <c r="AM766" s="33">
        <v>3.3096926999999998</v>
      </c>
      <c r="AN766" s="33">
        <v>2.8073286</v>
      </c>
      <c r="AO766" s="33">
        <v>64.154846300000003</v>
      </c>
      <c r="AP766" s="33">
        <v>11.9680851</v>
      </c>
      <c r="AQ766" s="33">
        <v>1.9503546</v>
      </c>
      <c r="AR766" s="34"/>
      <c r="AS766" s="34"/>
    </row>
    <row r="767" spans="2:45" ht="15" hidden="1" customHeight="1" x14ac:dyDescent="0.25">
      <c r="B767" s="35">
        <v>761</v>
      </c>
      <c r="C767" s="36" t="s">
        <v>29</v>
      </c>
      <c r="D767" s="36" t="s">
        <v>226</v>
      </c>
      <c r="E767" s="36" t="s">
        <v>261</v>
      </c>
      <c r="F767" s="36"/>
      <c r="G767" s="37" t="s">
        <v>25</v>
      </c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40"/>
      <c r="AS767" s="40"/>
    </row>
    <row r="768" spans="2:45" ht="15" hidden="1" customHeight="1" x14ac:dyDescent="0.25">
      <c r="B768" s="35">
        <v>762</v>
      </c>
      <c r="C768" s="36" t="s">
        <v>29</v>
      </c>
      <c r="D768" s="36" t="s">
        <v>226</v>
      </c>
      <c r="E768" s="36" t="s">
        <v>261</v>
      </c>
      <c r="F768" s="36"/>
      <c r="G768" s="37" t="s">
        <v>26</v>
      </c>
      <c r="H768" s="38">
        <v>2720</v>
      </c>
      <c r="I768" s="38">
        <v>144</v>
      </c>
      <c r="J768" s="38">
        <v>26</v>
      </c>
      <c r="K768" s="38">
        <v>242</v>
      </c>
      <c r="L768" s="38">
        <v>461</v>
      </c>
      <c r="M768" s="38">
        <v>1471</v>
      </c>
      <c r="N768" s="38">
        <v>252</v>
      </c>
      <c r="O768" s="38">
        <v>124</v>
      </c>
      <c r="P768" s="38"/>
      <c r="Q768" s="38"/>
      <c r="R768" s="38">
        <v>3384</v>
      </c>
      <c r="S768" s="38">
        <v>369</v>
      </c>
      <c r="T768" s="38">
        <v>166</v>
      </c>
      <c r="U768" s="38">
        <v>112</v>
      </c>
      <c r="V768" s="38">
        <v>95</v>
      </c>
      <c r="W768" s="38">
        <v>2171</v>
      </c>
      <c r="X768" s="38">
        <v>405</v>
      </c>
      <c r="Y768" s="38">
        <v>66</v>
      </c>
      <c r="Z768" s="38"/>
      <c r="AA768" s="38"/>
      <c r="AB768" s="39">
        <v>5.2941175999999999</v>
      </c>
      <c r="AC768" s="39">
        <v>0.95588240000000002</v>
      </c>
      <c r="AD768" s="39">
        <v>8.8970587999999999</v>
      </c>
      <c r="AE768" s="39">
        <v>16.948529400000002</v>
      </c>
      <c r="AF768" s="39">
        <v>54.0808824</v>
      </c>
      <c r="AG768" s="39">
        <v>9.2647058999999992</v>
      </c>
      <c r="AH768" s="39">
        <v>4.5588234999999999</v>
      </c>
      <c r="AI768" s="39"/>
      <c r="AJ768" s="39"/>
      <c r="AK768" s="39">
        <v>10.904255300000001</v>
      </c>
      <c r="AL768" s="39">
        <v>4.9054374000000003</v>
      </c>
      <c r="AM768" s="39">
        <v>3.3096926999999998</v>
      </c>
      <c r="AN768" s="39">
        <v>2.8073286</v>
      </c>
      <c r="AO768" s="39">
        <v>64.154846300000003</v>
      </c>
      <c r="AP768" s="39">
        <v>11.9680851</v>
      </c>
      <c r="AQ768" s="39">
        <v>1.9503546</v>
      </c>
      <c r="AR768" s="40"/>
      <c r="AS768" s="40"/>
    </row>
    <row r="769" spans="2:45" ht="15" customHeight="1" x14ac:dyDescent="0.25">
      <c r="B769" s="41">
        <v>763</v>
      </c>
      <c r="C769" s="42" t="s">
        <v>31</v>
      </c>
      <c r="D769" s="51" t="s">
        <v>226</v>
      </c>
      <c r="E769" s="51" t="s">
        <v>261</v>
      </c>
      <c r="F769" s="51" t="s">
        <v>262</v>
      </c>
      <c r="G769" s="52" t="s">
        <v>262</v>
      </c>
      <c r="H769" s="43">
        <v>1992</v>
      </c>
      <c r="I769" s="43">
        <v>143</v>
      </c>
      <c r="J769" s="43">
        <v>26</v>
      </c>
      <c r="K769" s="43">
        <v>174</v>
      </c>
      <c r="L769" s="43">
        <v>278</v>
      </c>
      <c r="M769" s="43">
        <v>1074</v>
      </c>
      <c r="N769" s="43">
        <v>200</v>
      </c>
      <c r="O769" s="43">
        <v>97</v>
      </c>
      <c r="P769" s="44">
        <f>K769+L769+M769+N769+O769</f>
        <v>1823</v>
      </c>
      <c r="Q769" s="44">
        <f>I769+J769</f>
        <v>169</v>
      </c>
      <c r="R769" s="43">
        <v>2285</v>
      </c>
      <c r="S769" s="43">
        <v>334</v>
      </c>
      <c r="T769" s="43">
        <v>158</v>
      </c>
      <c r="U769" s="43">
        <v>67</v>
      </c>
      <c r="V769" s="43">
        <v>39</v>
      </c>
      <c r="W769" s="43">
        <v>1363</v>
      </c>
      <c r="X769" s="43">
        <v>289</v>
      </c>
      <c r="Y769" s="43">
        <v>35</v>
      </c>
      <c r="Z769" s="45">
        <f>U769+V769+W769+X769+Y769</f>
        <v>1793</v>
      </c>
      <c r="AA769" s="45">
        <f>S769+T769</f>
        <v>492</v>
      </c>
      <c r="AB769" s="46">
        <v>7.1787149000000001</v>
      </c>
      <c r="AC769" s="46">
        <v>1.3052208999999999</v>
      </c>
      <c r="AD769" s="46">
        <v>8.7349397999999994</v>
      </c>
      <c r="AE769" s="46">
        <v>13.9558233</v>
      </c>
      <c r="AF769" s="46">
        <v>53.915662699999999</v>
      </c>
      <c r="AG769" s="46">
        <v>10.0401606</v>
      </c>
      <c r="AH769" s="46">
        <v>4.8694778999999997</v>
      </c>
      <c r="AI769" s="47">
        <f>AB769+AC769</f>
        <v>8.4839357999999994</v>
      </c>
      <c r="AJ769" s="47">
        <f>AD769+AE769+AF769+AG769+AH769</f>
        <v>91.516064299999982</v>
      </c>
      <c r="AK769" s="46">
        <v>14.617067799999999</v>
      </c>
      <c r="AL769" s="46">
        <v>6.9146608000000001</v>
      </c>
      <c r="AM769" s="46">
        <v>2.9321663</v>
      </c>
      <c r="AN769" s="46">
        <v>1.7067834</v>
      </c>
      <c r="AO769" s="46">
        <v>59.649890599999999</v>
      </c>
      <c r="AP769" s="46">
        <v>12.6477024</v>
      </c>
      <c r="AQ769" s="46">
        <v>1.5317286999999999</v>
      </c>
      <c r="AR769" s="48">
        <f>AK769+AL769</f>
        <v>21.531728600000001</v>
      </c>
      <c r="AS769" s="48">
        <f>AM769+AN769+AO769+AP769+AQ769</f>
        <v>78.468271400000006</v>
      </c>
    </row>
    <row r="770" spans="2:45" ht="15" hidden="1" customHeight="1" x14ac:dyDescent="0.25">
      <c r="B770" s="35">
        <v>764</v>
      </c>
      <c r="C770" s="36" t="s">
        <v>31</v>
      </c>
      <c r="D770" s="36" t="s">
        <v>226</v>
      </c>
      <c r="E770" s="36" t="s">
        <v>261</v>
      </c>
      <c r="F770" s="36" t="s">
        <v>262</v>
      </c>
      <c r="G770" s="37" t="s">
        <v>25</v>
      </c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40"/>
      <c r="AS770" s="40"/>
    </row>
    <row r="771" spans="2:45" ht="15" hidden="1" customHeight="1" x14ac:dyDescent="0.25">
      <c r="B771" s="35">
        <v>765</v>
      </c>
      <c r="C771" s="36" t="s">
        <v>31</v>
      </c>
      <c r="D771" s="36" t="s">
        <v>226</v>
      </c>
      <c r="E771" s="36" t="s">
        <v>261</v>
      </c>
      <c r="F771" s="36" t="s">
        <v>262</v>
      </c>
      <c r="G771" s="37" t="s">
        <v>26</v>
      </c>
      <c r="H771" s="38">
        <v>1992</v>
      </c>
      <c r="I771" s="38">
        <v>143</v>
      </c>
      <c r="J771" s="38">
        <v>26</v>
      </c>
      <c r="K771" s="38">
        <v>174</v>
      </c>
      <c r="L771" s="38">
        <v>278</v>
      </c>
      <c r="M771" s="38">
        <v>1074</v>
      </c>
      <c r="N771" s="38">
        <v>200</v>
      </c>
      <c r="O771" s="38">
        <v>97</v>
      </c>
      <c r="P771" s="38"/>
      <c r="Q771" s="38"/>
      <c r="R771" s="38">
        <v>2285</v>
      </c>
      <c r="S771" s="38">
        <v>334</v>
      </c>
      <c r="T771" s="38">
        <v>158</v>
      </c>
      <c r="U771" s="38">
        <v>67</v>
      </c>
      <c r="V771" s="38">
        <v>39</v>
      </c>
      <c r="W771" s="38">
        <v>1363</v>
      </c>
      <c r="X771" s="38">
        <v>289</v>
      </c>
      <c r="Y771" s="38">
        <v>35</v>
      </c>
      <c r="Z771" s="38"/>
      <c r="AA771" s="38"/>
      <c r="AB771" s="39">
        <v>7.1787149000000001</v>
      </c>
      <c r="AC771" s="39">
        <v>1.3052208999999999</v>
      </c>
      <c r="AD771" s="39">
        <v>8.7349397999999994</v>
      </c>
      <c r="AE771" s="39">
        <v>13.9558233</v>
      </c>
      <c r="AF771" s="39">
        <v>53.915662699999999</v>
      </c>
      <c r="AG771" s="39">
        <v>10.0401606</v>
      </c>
      <c r="AH771" s="39">
        <v>4.8694778999999997</v>
      </c>
      <c r="AI771" s="39"/>
      <c r="AJ771" s="39"/>
      <c r="AK771" s="39">
        <v>14.617067799999999</v>
      </c>
      <c r="AL771" s="39">
        <v>6.9146608000000001</v>
      </c>
      <c r="AM771" s="39">
        <v>2.9321663</v>
      </c>
      <c r="AN771" s="39">
        <v>1.7067834</v>
      </c>
      <c r="AO771" s="39">
        <v>59.649890599999999</v>
      </c>
      <c r="AP771" s="39">
        <v>12.6477024</v>
      </c>
      <c r="AQ771" s="39">
        <v>1.5317286999999999</v>
      </c>
      <c r="AR771" s="40"/>
      <c r="AS771" s="40"/>
    </row>
    <row r="772" spans="2:45" ht="15" customHeight="1" x14ac:dyDescent="0.25">
      <c r="B772" s="41">
        <v>766</v>
      </c>
      <c r="C772" s="42" t="s">
        <v>31</v>
      </c>
      <c r="D772" s="51" t="s">
        <v>226</v>
      </c>
      <c r="E772" s="51" t="s">
        <v>261</v>
      </c>
      <c r="F772" s="51" t="s">
        <v>263</v>
      </c>
      <c r="G772" s="52" t="s">
        <v>263</v>
      </c>
      <c r="H772" s="43">
        <v>728</v>
      </c>
      <c r="I772" s="43">
        <v>1</v>
      </c>
      <c r="J772" s="43">
        <v>0</v>
      </c>
      <c r="K772" s="43">
        <v>68</v>
      </c>
      <c r="L772" s="43">
        <v>183</v>
      </c>
      <c r="M772" s="43">
        <v>397</v>
      </c>
      <c r="N772" s="43">
        <v>52</v>
      </c>
      <c r="O772" s="43">
        <v>27</v>
      </c>
      <c r="P772" s="44">
        <f>K772+L772+M772+N772+O772</f>
        <v>727</v>
      </c>
      <c r="Q772" s="44">
        <f>I772+J772</f>
        <v>1</v>
      </c>
      <c r="R772" s="43">
        <v>1099</v>
      </c>
      <c r="S772" s="43">
        <v>35</v>
      </c>
      <c r="T772" s="43">
        <v>8</v>
      </c>
      <c r="U772" s="43">
        <v>45</v>
      </c>
      <c r="V772" s="43">
        <v>56</v>
      </c>
      <c r="W772" s="43">
        <v>808</v>
      </c>
      <c r="X772" s="43">
        <v>116</v>
      </c>
      <c r="Y772" s="43">
        <v>31</v>
      </c>
      <c r="Z772" s="45">
        <f>U772+V772+W772+X772+Y772</f>
        <v>1056</v>
      </c>
      <c r="AA772" s="45">
        <f>S772+T772</f>
        <v>43</v>
      </c>
      <c r="AB772" s="46">
        <v>0.1373626</v>
      </c>
      <c r="AC772" s="46">
        <v>0</v>
      </c>
      <c r="AD772" s="46">
        <v>9.3406593000000004</v>
      </c>
      <c r="AE772" s="46">
        <v>25.137362599999999</v>
      </c>
      <c r="AF772" s="46">
        <v>54.532966999999999</v>
      </c>
      <c r="AG772" s="46">
        <v>7.1428570999999996</v>
      </c>
      <c r="AH772" s="46">
        <v>3.7087911999999998</v>
      </c>
      <c r="AI772" s="47">
        <f>AB772+AC772</f>
        <v>0.1373626</v>
      </c>
      <c r="AJ772" s="47">
        <f>AD772+AE772+AF772+AG772+AH772</f>
        <v>99.862637199999995</v>
      </c>
      <c r="AK772" s="46">
        <v>3.1847134000000001</v>
      </c>
      <c r="AL772" s="46">
        <v>0.72793450000000004</v>
      </c>
      <c r="AM772" s="46">
        <v>4.0946315000000002</v>
      </c>
      <c r="AN772" s="46">
        <v>5.0955414000000001</v>
      </c>
      <c r="AO772" s="46">
        <v>73.521383099999994</v>
      </c>
      <c r="AP772" s="46">
        <v>10.55505</v>
      </c>
      <c r="AQ772" s="46">
        <v>2.8207461</v>
      </c>
      <c r="AR772" s="48">
        <f>AK772+AL772</f>
        <v>3.9126479000000001</v>
      </c>
      <c r="AS772" s="48">
        <f>AM772+AN772+AO772+AP772+AQ772</f>
        <v>96.08735209999999</v>
      </c>
    </row>
    <row r="773" spans="2:45" ht="15" hidden="1" customHeight="1" x14ac:dyDescent="0.25">
      <c r="B773" s="35">
        <v>767</v>
      </c>
      <c r="C773" s="36" t="s">
        <v>31</v>
      </c>
      <c r="D773" s="36" t="s">
        <v>226</v>
      </c>
      <c r="E773" s="36" t="s">
        <v>261</v>
      </c>
      <c r="F773" s="36" t="s">
        <v>263</v>
      </c>
      <c r="G773" s="37" t="s">
        <v>25</v>
      </c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40"/>
      <c r="AS773" s="40"/>
    </row>
    <row r="774" spans="2:45" ht="15" hidden="1" customHeight="1" x14ac:dyDescent="0.25">
      <c r="B774" s="35">
        <v>768</v>
      </c>
      <c r="C774" s="36" t="s">
        <v>31</v>
      </c>
      <c r="D774" s="36" t="s">
        <v>226</v>
      </c>
      <c r="E774" s="36" t="s">
        <v>261</v>
      </c>
      <c r="F774" s="36" t="s">
        <v>263</v>
      </c>
      <c r="G774" s="37" t="s">
        <v>26</v>
      </c>
      <c r="H774" s="38">
        <v>728</v>
      </c>
      <c r="I774" s="38">
        <v>1</v>
      </c>
      <c r="J774" s="38">
        <v>0</v>
      </c>
      <c r="K774" s="38">
        <v>68</v>
      </c>
      <c r="L774" s="38">
        <v>183</v>
      </c>
      <c r="M774" s="38">
        <v>397</v>
      </c>
      <c r="N774" s="38">
        <v>52</v>
      </c>
      <c r="O774" s="38">
        <v>27</v>
      </c>
      <c r="P774" s="38"/>
      <c r="Q774" s="38"/>
      <c r="R774" s="38">
        <v>1099</v>
      </c>
      <c r="S774" s="38">
        <v>35</v>
      </c>
      <c r="T774" s="38">
        <v>8</v>
      </c>
      <c r="U774" s="38">
        <v>45</v>
      </c>
      <c r="V774" s="38">
        <v>56</v>
      </c>
      <c r="W774" s="38">
        <v>808</v>
      </c>
      <c r="X774" s="38">
        <v>116</v>
      </c>
      <c r="Y774" s="38">
        <v>31</v>
      </c>
      <c r="Z774" s="38"/>
      <c r="AA774" s="38"/>
      <c r="AB774" s="39">
        <v>0.1373626</v>
      </c>
      <c r="AC774" s="39">
        <v>0</v>
      </c>
      <c r="AD774" s="39">
        <v>9.3406593000000004</v>
      </c>
      <c r="AE774" s="39">
        <v>25.137362599999999</v>
      </c>
      <c r="AF774" s="39">
        <v>54.532966999999999</v>
      </c>
      <c r="AG774" s="39">
        <v>7.1428570999999996</v>
      </c>
      <c r="AH774" s="39">
        <v>3.7087911999999998</v>
      </c>
      <c r="AI774" s="39"/>
      <c r="AJ774" s="39"/>
      <c r="AK774" s="39">
        <v>3.1847134000000001</v>
      </c>
      <c r="AL774" s="39">
        <v>0.72793450000000004</v>
      </c>
      <c r="AM774" s="39">
        <v>4.0946315000000002</v>
      </c>
      <c r="AN774" s="39">
        <v>5.0955414000000001</v>
      </c>
      <c r="AO774" s="39">
        <v>73.521383099999994</v>
      </c>
      <c r="AP774" s="39">
        <v>10.55505</v>
      </c>
      <c r="AQ774" s="39">
        <v>2.8207461</v>
      </c>
      <c r="AR774" s="40"/>
      <c r="AS774" s="40"/>
    </row>
    <row r="775" spans="2:45" ht="15" hidden="1" customHeight="1" x14ac:dyDescent="0.25">
      <c r="B775" s="30">
        <v>769</v>
      </c>
      <c r="C775" s="31" t="s">
        <v>29</v>
      </c>
      <c r="D775" s="50" t="s">
        <v>226</v>
      </c>
      <c r="E775" s="50" t="s">
        <v>264</v>
      </c>
      <c r="F775" s="50"/>
      <c r="G775" s="31" t="s">
        <v>264</v>
      </c>
      <c r="H775" s="32">
        <v>1886</v>
      </c>
      <c r="I775" s="32">
        <v>32</v>
      </c>
      <c r="J775" s="32">
        <v>13</v>
      </c>
      <c r="K775" s="32">
        <v>80</v>
      </c>
      <c r="L775" s="32">
        <v>413</v>
      </c>
      <c r="M775" s="32">
        <v>1010</v>
      </c>
      <c r="N775" s="32">
        <v>281</v>
      </c>
      <c r="O775" s="32">
        <v>57</v>
      </c>
      <c r="P775" s="32"/>
      <c r="Q775" s="32"/>
      <c r="R775" s="32">
        <v>2648</v>
      </c>
      <c r="S775" s="32">
        <v>224</v>
      </c>
      <c r="T775" s="32">
        <v>76</v>
      </c>
      <c r="U775" s="32">
        <v>47</v>
      </c>
      <c r="V775" s="32">
        <v>131</v>
      </c>
      <c r="W775" s="32">
        <v>1743</v>
      </c>
      <c r="X775" s="32">
        <v>401</v>
      </c>
      <c r="Y775" s="32">
        <v>26</v>
      </c>
      <c r="Z775" s="32"/>
      <c r="AA775" s="32"/>
      <c r="AB775" s="33">
        <v>1.6967125999999999</v>
      </c>
      <c r="AC775" s="33">
        <v>0.6892895</v>
      </c>
      <c r="AD775" s="33">
        <v>4.2417815000000001</v>
      </c>
      <c r="AE775" s="33">
        <v>21.898197199999998</v>
      </c>
      <c r="AF775" s="33">
        <v>53.552492000000001</v>
      </c>
      <c r="AG775" s="33">
        <v>14.8992577</v>
      </c>
      <c r="AH775" s="33">
        <v>3.0222693999999999</v>
      </c>
      <c r="AI775" s="33"/>
      <c r="AJ775" s="33"/>
      <c r="AK775" s="33">
        <v>8.4592144999999999</v>
      </c>
      <c r="AL775" s="33">
        <v>2.8700906000000002</v>
      </c>
      <c r="AM775" s="33">
        <v>1.7749245</v>
      </c>
      <c r="AN775" s="33">
        <v>4.9471299000000002</v>
      </c>
      <c r="AO775" s="33">
        <v>65.823262799999995</v>
      </c>
      <c r="AP775" s="33">
        <v>15.143504500000001</v>
      </c>
      <c r="AQ775" s="33">
        <v>0.98187310000000005</v>
      </c>
      <c r="AR775" s="34"/>
      <c r="AS775" s="34"/>
    </row>
    <row r="776" spans="2:45" ht="15" hidden="1" customHeight="1" x14ac:dyDescent="0.25">
      <c r="B776" s="35">
        <v>770</v>
      </c>
      <c r="C776" s="36" t="s">
        <v>29</v>
      </c>
      <c r="D776" s="36" t="s">
        <v>226</v>
      </c>
      <c r="E776" s="36" t="s">
        <v>264</v>
      </c>
      <c r="F776" s="36"/>
      <c r="G776" s="37" t="s">
        <v>25</v>
      </c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40"/>
      <c r="AS776" s="40"/>
    </row>
    <row r="777" spans="2:45" ht="15" hidden="1" customHeight="1" x14ac:dyDescent="0.25">
      <c r="B777" s="35">
        <v>771</v>
      </c>
      <c r="C777" s="36" t="s">
        <v>29</v>
      </c>
      <c r="D777" s="36" t="s">
        <v>226</v>
      </c>
      <c r="E777" s="36" t="s">
        <v>264</v>
      </c>
      <c r="F777" s="36"/>
      <c r="G777" s="37" t="s">
        <v>26</v>
      </c>
      <c r="H777" s="38">
        <v>1886</v>
      </c>
      <c r="I777" s="38">
        <v>32</v>
      </c>
      <c r="J777" s="38">
        <v>13</v>
      </c>
      <c r="K777" s="38">
        <v>80</v>
      </c>
      <c r="L777" s="38">
        <v>413</v>
      </c>
      <c r="M777" s="38">
        <v>1010</v>
      </c>
      <c r="N777" s="38">
        <v>281</v>
      </c>
      <c r="O777" s="38">
        <v>57</v>
      </c>
      <c r="P777" s="38"/>
      <c r="Q777" s="38"/>
      <c r="R777" s="38">
        <v>2648</v>
      </c>
      <c r="S777" s="38">
        <v>224</v>
      </c>
      <c r="T777" s="38">
        <v>76</v>
      </c>
      <c r="U777" s="38">
        <v>47</v>
      </c>
      <c r="V777" s="38">
        <v>131</v>
      </c>
      <c r="W777" s="38">
        <v>1743</v>
      </c>
      <c r="X777" s="38">
        <v>401</v>
      </c>
      <c r="Y777" s="38">
        <v>26</v>
      </c>
      <c r="Z777" s="38"/>
      <c r="AA777" s="38"/>
      <c r="AB777" s="39">
        <v>1.6967125999999999</v>
      </c>
      <c r="AC777" s="39">
        <v>0.6892895</v>
      </c>
      <c r="AD777" s="39">
        <v>4.2417815000000001</v>
      </c>
      <c r="AE777" s="39">
        <v>21.898197199999998</v>
      </c>
      <c r="AF777" s="39">
        <v>53.552492000000001</v>
      </c>
      <c r="AG777" s="39">
        <v>14.8992577</v>
      </c>
      <c r="AH777" s="39">
        <v>3.0222693999999999</v>
      </c>
      <c r="AI777" s="39"/>
      <c r="AJ777" s="39"/>
      <c r="AK777" s="39">
        <v>8.4592144999999999</v>
      </c>
      <c r="AL777" s="39">
        <v>2.8700906000000002</v>
      </c>
      <c r="AM777" s="39">
        <v>1.7749245</v>
      </c>
      <c r="AN777" s="39">
        <v>4.9471299000000002</v>
      </c>
      <c r="AO777" s="39">
        <v>65.823262799999995</v>
      </c>
      <c r="AP777" s="39">
        <v>15.143504500000001</v>
      </c>
      <c r="AQ777" s="39">
        <v>0.98187310000000005</v>
      </c>
      <c r="AR777" s="40"/>
      <c r="AS777" s="40"/>
    </row>
    <row r="778" spans="2:45" ht="15" customHeight="1" x14ac:dyDescent="0.25">
      <c r="B778" s="41">
        <v>772</v>
      </c>
      <c r="C778" s="42" t="s">
        <v>31</v>
      </c>
      <c r="D778" s="51" t="s">
        <v>226</v>
      </c>
      <c r="E778" s="51" t="s">
        <v>264</v>
      </c>
      <c r="F778" s="51" t="s">
        <v>208</v>
      </c>
      <c r="G778" s="52" t="s">
        <v>208</v>
      </c>
      <c r="H778" s="43">
        <v>1886</v>
      </c>
      <c r="I778" s="43">
        <v>32</v>
      </c>
      <c r="J778" s="43">
        <v>13</v>
      </c>
      <c r="K778" s="43">
        <v>80</v>
      </c>
      <c r="L778" s="43">
        <v>413</v>
      </c>
      <c r="M778" s="43">
        <v>1010</v>
      </c>
      <c r="N778" s="43">
        <v>281</v>
      </c>
      <c r="O778" s="43">
        <v>57</v>
      </c>
      <c r="P778" s="44">
        <f>K778+L778+M778+N778+O778</f>
        <v>1841</v>
      </c>
      <c r="Q778" s="44">
        <f>I778+J778</f>
        <v>45</v>
      </c>
      <c r="R778" s="43">
        <v>2648</v>
      </c>
      <c r="S778" s="43">
        <v>224</v>
      </c>
      <c r="T778" s="43">
        <v>76</v>
      </c>
      <c r="U778" s="43">
        <v>47</v>
      </c>
      <c r="V778" s="43">
        <v>131</v>
      </c>
      <c r="W778" s="43">
        <v>1743</v>
      </c>
      <c r="X778" s="43">
        <v>401</v>
      </c>
      <c r="Y778" s="43">
        <v>26</v>
      </c>
      <c r="Z778" s="45">
        <f>U778+V778+W778+X778+Y778</f>
        <v>2348</v>
      </c>
      <c r="AA778" s="45">
        <f>S778+T778</f>
        <v>300</v>
      </c>
      <c r="AB778" s="46">
        <v>1.6967125999999999</v>
      </c>
      <c r="AC778" s="46">
        <v>0.6892895</v>
      </c>
      <c r="AD778" s="46">
        <v>4.2417815000000001</v>
      </c>
      <c r="AE778" s="46">
        <v>21.898197199999998</v>
      </c>
      <c r="AF778" s="46">
        <v>53.552492000000001</v>
      </c>
      <c r="AG778" s="46">
        <v>14.8992577</v>
      </c>
      <c r="AH778" s="46">
        <v>3.0222693999999999</v>
      </c>
      <c r="AI778" s="47">
        <f>AB778+AC778</f>
        <v>2.3860020999999998</v>
      </c>
      <c r="AJ778" s="47">
        <f>AD778+AE778+AF778+AG778+AH778</f>
        <v>97.613997799999993</v>
      </c>
      <c r="AK778" s="46">
        <v>8.4592144999999999</v>
      </c>
      <c r="AL778" s="46">
        <v>2.8700906000000002</v>
      </c>
      <c r="AM778" s="46">
        <v>1.7749245</v>
      </c>
      <c r="AN778" s="46">
        <v>4.9471299000000002</v>
      </c>
      <c r="AO778" s="46">
        <v>65.823262799999995</v>
      </c>
      <c r="AP778" s="46">
        <v>15.143504500000001</v>
      </c>
      <c r="AQ778" s="46">
        <v>0.98187310000000005</v>
      </c>
      <c r="AR778" s="48">
        <f>AK778+AL778</f>
        <v>11.329305099999999</v>
      </c>
      <c r="AS778" s="48">
        <f>AM778+AN778+AO778+AP778+AQ778</f>
        <v>88.670694800000007</v>
      </c>
    </row>
    <row r="779" spans="2:45" ht="15" hidden="1" customHeight="1" x14ac:dyDescent="0.25">
      <c r="B779" s="35">
        <v>773</v>
      </c>
      <c r="C779" s="36" t="s">
        <v>31</v>
      </c>
      <c r="D779" s="36" t="s">
        <v>226</v>
      </c>
      <c r="E779" s="36" t="s">
        <v>264</v>
      </c>
      <c r="F779" s="36" t="s">
        <v>208</v>
      </c>
      <c r="G779" s="37" t="s">
        <v>25</v>
      </c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40"/>
      <c r="AS779" s="40"/>
    </row>
    <row r="780" spans="2:45" ht="15" hidden="1" customHeight="1" x14ac:dyDescent="0.25">
      <c r="B780" s="35">
        <v>774</v>
      </c>
      <c r="C780" s="36" t="s">
        <v>31</v>
      </c>
      <c r="D780" s="36" t="s">
        <v>226</v>
      </c>
      <c r="E780" s="36" t="s">
        <v>264</v>
      </c>
      <c r="F780" s="36" t="s">
        <v>208</v>
      </c>
      <c r="G780" s="37" t="s">
        <v>26</v>
      </c>
      <c r="H780" s="38">
        <v>1886</v>
      </c>
      <c r="I780" s="38">
        <v>32</v>
      </c>
      <c r="J780" s="38">
        <v>13</v>
      </c>
      <c r="K780" s="38">
        <v>80</v>
      </c>
      <c r="L780" s="38">
        <v>413</v>
      </c>
      <c r="M780" s="38">
        <v>1010</v>
      </c>
      <c r="N780" s="38">
        <v>281</v>
      </c>
      <c r="O780" s="38">
        <v>57</v>
      </c>
      <c r="P780" s="38"/>
      <c r="Q780" s="38"/>
      <c r="R780" s="38">
        <v>2648</v>
      </c>
      <c r="S780" s="38">
        <v>224</v>
      </c>
      <c r="T780" s="38">
        <v>76</v>
      </c>
      <c r="U780" s="38">
        <v>47</v>
      </c>
      <c r="V780" s="38">
        <v>131</v>
      </c>
      <c r="W780" s="38">
        <v>1743</v>
      </c>
      <c r="X780" s="38">
        <v>401</v>
      </c>
      <c r="Y780" s="38">
        <v>26</v>
      </c>
      <c r="Z780" s="38"/>
      <c r="AA780" s="38"/>
      <c r="AB780" s="39">
        <v>1.6967125999999999</v>
      </c>
      <c r="AC780" s="39">
        <v>0.6892895</v>
      </c>
      <c r="AD780" s="39">
        <v>4.2417815000000001</v>
      </c>
      <c r="AE780" s="39">
        <v>21.898197199999998</v>
      </c>
      <c r="AF780" s="39">
        <v>53.552492000000001</v>
      </c>
      <c r="AG780" s="39">
        <v>14.8992577</v>
      </c>
      <c r="AH780" s="39">
        <v>3.0222693999999999</v>
      </c>
      <c r="AI780" s="39"/>
      <c r="AJ780" s="39"/>
      <c r="AK780" s="39">
        <v>8.4592144999999999</v>
      </c>
      <c r="AL780" s="39">
        <v>2.8700906000000002</v>
      </c>
      <c r="AM780" s="39">
        <v>1.7749245</v>
      </c>
      <c r="AN780" s="39">
        <v>4.9471299000000002</v>
      </c>
      <c r="AO780" s="39">
        <v>65.823262799999995</v>
      </c>
      <c r="AP780" s="39">
        <v>15.143504500000001</v>
      </c>
      <c r="AQ780" s="39">
        <v>0.98187310000000005</v>
      </c>
      <c r="AR780" s="40"/>
      <c r="AS780" s="40"/>
    </row>
    <row r="781" spans="2:45" ht="15" hidden="1" customHeight="1" x14ac:dyDescent="0.25">
      <c r="B781" s="30">
        <v>775</v>
      </c>
      <c r="C781" s="31" t="s">
        <v>29</v>
      </c>
      <c r="D781" s="50" t="s">
        <v>226</v>
      </c>
      <c r="E781" s="50" t="s">
        <v>265</v>
      </c>
      <c r="F781" s="50"/>
      <c r="G781" s="31" t="s">
        <v>265</v>
      </c>
      <c r="H781" s="32">
        <v>4302</v>
      </c>
      <c r="I781" s="32">
        <v>184</v>
      </c>
      <c r="J781" s="32">
        <v>956</v>
      </c>
      <c r="K781" s="32">
        <v>466</v>
      </c>
      <c r="L781" s="32">
        <v>730</v>
      </c>
      <c r="M781" s="32">
        <v>1600</v>
      </c>
      <c r="N781" s="32">
        <v>242</v>
      </c>
      <c r="O781" s="32">
        <v>124</v>
      </c>
      <c r="P781" s="32"/>
      <c r="Q781" s="32"/>
      <c r="R781" s="32">
        <v>4639</v>
      </c>
      <c r="S781" s="32">
        <v>228</v>
      </c>
      <c r="T781" s="32">
        <v>949</v>
      </c>
      <c r="U781" s="32">
        <v>176</v>
      </c>
      <c r="V781" s="32">
        <v>216</v>
      </c>
      <c r="W781" s="32">
        <v>2608</v>
      </c>
      <c r="X781" s="32">
        <v>415</v>
      </c>
      <c r="Y781" s="32">
        <v>47</v>
      </c>
      <c r="Z781" s="32"/>
      <c r="AA781" s="32"/>
      <c r="AB781" s="33">
        <v>4.2770804</v>
      </c>
      <c r="AC781" s="33">
        <v>22.222222200000001</v>
      </c>
      <c r="AD781" s="33">
        <v>10.8321711</v>
      </c>
      <c r="AE781" s="33">
        <v>16.968851699999998</v>
      </c>
      <c r="AF781" s="33">
        <v>37.192003700000001</v>
      </c>
      <c r="AG781" s="33">
        <v>5.6252905999999996</v>
      </c>
      <c r="AH781" s="33">
        <v>2.8823802999999999</v>
      </c>
      <c r="AI781" s="33"/>
      <c r="AJ781" s="33"/>
      <c r="AK781" s="33">
        <v>4.9148522999999997</v>
      </c>
      <c r="AL781" s="33">
        <v>20.456994999999999</v>
      </c>
      <c r="AM781" s="33">
        <v>3.7939210999999999</v>
      </c>
      <c r="AN781" s="33">
        <v>4.6561759</v>
      </c>
      <c r="AO781" s="33">
        <v>56.2190127</v>
      </c>
      <c r="AP781" s="33">
        <v>8.9458935000000004</v>
      </c>
      <c r="AQ781" s="33">
        <v>1.0131494000000001</v>
      </c>
      <c r="AR781" s="34"/>
      <c r="AS781" s="34"/>
    </row>
    <row r="782" spans="2:45" ht="15" hidden="1" customHeight="1" x14ac:dyDescent="0.25">
      <c r="B782" s="35">
        <v>776</v>
      </c>
      <c r="C782" s="36" t="s">
        <v>29</v>
      </c>
      <c r="D782" s="36" t="s">
        <v>226</v>
      </c>
      <c r="E782" s="36" t="s">
        <v>265</v>
      </c>
      <c r="F782" s="36"/>
      <c r="G782" s="37" t="s">
        <v>25</v>
      </c>
      <c r="H782" s="38">
        <v>1304</v>
      </c>
      <c r="I782" s="38">
        <v>149</v>
      </c>
      <c r="J782" s="38">
        <v>948</v>
      </c>
      <c r="K782" s="38">
        <v>46</v>
      </c>
      <c r="L782" s="38">
        <v>88</v>
      </c>
      <c r="M782" s="38">
        <v>62</v>
      </c>
      <c r="N782" s="38">
        <v>4</v>
      </c>
      <c r="O782" s="38">
        <v>7</v>
      </c>
      <c r="P782" s="38"/>
      <c r="Q782" s="38"/>
      <c r="R782" s="38">
        <v>1146</v>
      </c>
      <c r="S782" s="38">
        <v>166</v>
      </c>
      <c r="T782" s="38">
        <v>933</v>
      </c>
      <c r="U782" s="38">
        <v>8</v>
      </c>
      <c r="V782" s="38">
        <v>5</v>
      </c>
      <c r="W782" s="38">
        <v>25</v>
      </c>
      <c r="X782" s="38">
        <v>2</v>
      </c>
      <c r="Y782" s="38">
        <v>7</v>
      </c>
      <c r="Z782" s="38"/>
      <c r="AA782" s="38"/>
      <c r="AB782" s="39">
        <v>11.426380399999999</v>
      </c>
      <c r="AC782" s="39">
        <v>72.699386500000003</v>
      </c>
      <c r="AD782" s="39">
        <v>3.5276073999999999</v>
      </c>
      <c r="AE782" s="39">
        <v>6.7484662999999996</v>
      </c>
      <c r="AF782" s="39">
        <v>4.7546011999999997</v>
      </c>
      <c r="AG782" s="39">
        <v>0.30674849999999998</v>
      </c>
      <c r="AH782" s="39">
        <v>0.5368098</v>
      </c>
      <c r="AI782" s="39"/>
      <c r="AJ782" s="39"/>
      <c r="AK782" s="39">
        <v>14.485165800000001</v>
      </c>
      <c r="AL782" s="39">
        <v>81.413612599999993</v>
      </c>
      <c r="AM782" s="39">
        <v>0.69808029999999999</v>
      </c>
      <c r="AN782" s="39">
        <v>0.43630020000000003</v>
      </c>
      <c r="AO782" s="39">
        <v>2.1815009000000001</v>
      </c>
      <c r="AP782" s="39">
        <v>0.17452010000000001</v>
      </c>
      <c r="AQ782" s="39">
        <v>0.61082020000000004</v>
      </c>
      <c r="AR782" s="40"/>
      <c r="AS782" s="40"/>
    </row>
    <row r="783" spans="2:45" ht="15" hidden="1" customHeight="1" x14ac:dyDescent="0.25">
      <c r="B783" s="35">
        <v>777</v>
      </c>
      <c r="C783" s="36" t="s">
        <v>29</v>
      </c>
      <c r="D783" s="36" t="s">
        <v>226</v>
      </c>
      <c r="E783" s="36" t="s">
        <v>265</v>
      </c>
      <c r="F783" s="36"/>
      <c r="G783" s="37" t="s">
        <v>26</v>
      </c>
      <c r="H783" s="38">
        <v>2998</v>
      </c>
      <c r="I783" s="38">
        <v>35</v>
      </c>
      <c r="J783" s="38">
        <v>8</v>
      </c>
      <c r="K783" s="38">
        <v>420</v>
      </c>
      <c r="L783" s="38">
        <v>642</v>
      </c>
      <c r="M783" s="38">
        <v>1538</v>
      </c>
      <c r="N783" s="38">
        <v>238</v>
      </c>
      <c r="O783" s="38">
        <v>117</v>
      </c>
      <c r="P783" s="38"/>
      <c r="Q783" s="38"/>
      <c r="R783" s="38">
        <v>3493</v>
      </c>
      <c r="S783" s="38">
        <v>62</v>
      </c>
      <c r="T783" s="38">
        <v>16</v>
      </c>
      <c r="U783" s="38">
        <v>168</v>
      </c>
      <c r="V783" s="38">
        <v>211</v>
      </c>
      <c r="W783" s="38">
        <v>2583</v>
      </c>
      <c r="X783" s="38">
        <v>413</v>
      </c>
      <c r="Y783" s="38">
        <v>40</v>
      </c>
      <c r="Z783" s="38"/>
      <c r="AA783" s="38"/>
      <c r="AB783" s="39">
        <v>1.1674450000000001</v>
      </c>
      <c r="AC783" s="39">
        <v>0.26684459999999999</v>
      </c>
      <c r="AD783" s="39">
        <v>14.009339600000001</v>
      </c>
      <c r="AE783" s="39">
        <v>21.4142762</v>
      </c>
      <c r="AF783" s="39">
        <v>51.300867199999999</v>
      </c>
      <c r="AG783" s="39">
        <v>7.9386257999999996</v>
      </c>
      <c r="AH783" s="39">
        <v>3.9026017</v>
      </c>
      <c r="AI783" s="39"/>
      <c r="AJ783" s="39"/>
      <c r="AK783" s="39">
        <v>1.7749785</v>
      </c>
      <c r="AL783" s="39">
        <v>0.45805899999999999</v>
      </c>
      <c r="AM783" s="39">
        <v>4.8096192000000002</v>
      </c>
      <c r="AN783" s="39">
        <v>6.0406526999999999</v>
      </c>
      <c r="AO783" s="39">
        <v>73.947895799999998</v>
      </c>
      <c r="AP783" s="39">
        <v>11.823647299999999</v>
      </c>
      <c r="AQ783" s="39">
        <v>1.1451473999999999</v>
      </c>
      <c r="AR783" s="40"/>
      <c r="AS783" s="40"/>
    </row>
    <row r="784" spans="2:45" ht="15" customHeight="1" x14ac:dyDescent="0.25">
      <c r="B784" s="41">
        <v>778</v>
      </c>
      <c r="C784" s="42" t="s">
        <v>31</v>
      </c>
      <c r="D784" s="51" t="s">
        <v>226</v>
      </c>
      <c r="E784" s="51" t="s">
        <v>265</v>
      </c>
      <c r="F784" s="51" t="s">
        <v>266</v>
      </c>
      <c r="G784" s="52" t="s">
        <v>266</v>
      </c>
      <c r="H784" s="43">
        <v>4302</v>
      </c>
      <c r="I784" s="43">
        <v>184</v>
      </c>
      <c r="J784" s="43">
        <v>956</v>
      </c>
      <c r="K784" s="43">
        <v>466</v>
      </c>
      <c r="L784" s="43">
        <v>730</v>
      </c>
      <c r="M784" s="43">
        <v>1600</v>
      </c>
      <c r="N784" s="43">
        <v>242</v>
      </c>
      <c r="O784" s="43">
        <v>124</v>
      </c>
      <c r="P784" s="44">
        <f>K784+L784+M784+N784+O784</f>
        <v>3162</v>
      </c>
      <c r="Q784" s="44">
        <f>I784+J784</f>
        <v>1140</v>
      </c>
      <c r="R784" s="43">
        <v>4639</v>
      </c>
      <c r="S784" s="43">
        <v>228</v>
      </c>
      <c r="T784" s="43">
        <v>949</v>
      </c>
      <c r="U784" s="43">
        <v>176</v>
      </c>
      <c r="V784" s="43">
        <v>216</v>
      </c>
      <c r="W784" s="43">
        <v>2608</v>
      </c>
      <c r="X784" s="43">
        <v>415</v>
      </c>
      <c r="Y784" s="43">
        <v>47</v>
      </c>
      <c r="Z784" s="45">
        <f>U784+V784+W784+X784+Y784</f>
        <v>3462</v>
      </c>
      <c r="AA784" s="45">
        <f>S784+T784</f>
        <v>1177</v>
      </c>
      <c r="AB784" s="46">
        <v>4.2770804</v>
      </c>
      <c r="AC784" s="46">
        <v>22.222222200000001</v>
      </c>
      <c r="AD784" s="46">
        <v>10.8321711</v>
      </c>
      <c r="AE784" s="46">
        <v>16.968851699999998</v>
      </c>
      <c r="AF784" s="46">
        <v>37.192003700000001</v>
      </c>
      <c r="AG784" s="46">
        <v>5.6252905999999996</v>
      </c>
      <c r="AH784" s="46">
        <v>2.8823802999999999</v>
      </c>
      <c r="AI784" s="47">
        <f>AB784+AC784</f>
        <v>26.4993026</v>
      </c>
      <c r="AJ784" s="47">
        <f>AD784+AE784+AF784+AG784+AH784</f>
        <v>73.500697399999993</v>
      </c>
      <c r="AK784" s="46">
        <v>4.9148522999999997</v>
      </c>
      <c r="AL784" s="46">
        <v>20.456994999999999</v>
      </c>
      <c r="AM784" s="46">
        <v>3.7939210999999999</v>
      </c>
      <c r="AN784" s="46">
        <v>4.6561759</v>
      </c>
      <c r="AO784" s="46">
        <v>56.2190127</v>
      </c>
      <c r="AP784" s="46">
        <v>8.9458935000000004</v>
      </c>
      <c r="AQ784" s="46">
        <v>1.0131494000000001</v>
      </c>
      <c r="AR784" s="48">
        <f>AK784+AL784</f>
        <v>25.371847299999999</v>
      </c>
      <c r="AS784" s="48">
        <f>AM784+AN784+AO784+AP784+AQ784</f>
        <v>74.628152600000007</v>
      </c>
    </row>
    <row r="785" spans="2:45" ht="15" hidden="1" customHeight="1" x14ac:dyDescent="0.25">
      <c r="B785" s="35">
        <v>779</v>
      </c>
      <c r="C785" s="36" t="s">
        <v>31</v>
      </c>
      <c r="D785" s="36" t="s">
        <v>226</v>
      </c>
      <c r="E785" s="36" t="s">
        <v>265</v>
      </c>
      <c r="F785" s="36" t="s">
        <v>266</v>
      </c>
      <c r="G785" s="37" t="s">
        <v>25</v>
      </c>
      <c r="H785" s="38">
        <v>1304</v>
      </c>
      <c r="I785" s="38">
        <v>149</v>
      </c>
      <c r="J785" s="38">
        <v>948</v>
      </c>
      <c r="K785" s="38">
        <v>46</v>
      </c>
      <c r="L785" s="38">
        <v>88</v>
      </c>
      <c r="M785" s="38">
        <v>62</v>
      </c>
      <c r="N785" s="38">
        <v>4</v>
      </c>
      <c r="O785" s="38">
        <v>7</v>
      </c>
      <c r="P785" s="38"/>
      <c r="Q785" s="38"/>
      <c r="R785" s="38">
        <v>1146</v>
      </c>
      <c r="S785" s="38">
        <v>166</v>
      </c>
      <c r="T785" s="38">
        <v>933</v>
      </c>
      <c r="U785" s="38">
        <v>8</v>
      </c>
      <c r="V785" s="38">
        <v>5</v>
      </c>
      <c r="W785" s="38">
        <v>25</v>
      </c>
      <c r="X785" s="38">
        <v>2</v>
      </c>
      <c r="Y785" s="38">
        <v>7</v>
      </c>
      <c r="Z785" s="38"/>
      <c r="AA785" s="38"/>
      <c r="AB785" s="39">
        <v>11.426380399999999</v>
      </c>
      <c r="AC785" s="39">
        <v>72.699386500000003</v>
      </c>
      <c r="AD785" s="39">
        <v>3.5276073999999999</v>
      </c>
      <c r="AE785" s="39">
        <v>6.7484662999999996</v>
      </c>
      <c r="AF785" s="39">
        <v>4.7546011999999997</v>
      </c>
      <c r="AG785" s="39">
        <v>0.30674849999999998</v>
      </c>
      <c r="AH785" s="39">
        <v>0.5368098</v>
      </c>
      <c r="AI785" s="39"/>
      <c r="AJ785" s="39"/>
      <c r="AK785" s="39">
        <v>14.485165800000001</v>
      </c>
      <c r="AL785" s="39">
        <v>81.413612599999993</v>
      </c>
      <c r="AM785" s="39">
        <v>0.69808029999999999</v>
      </c>
      <c r="AN785" s="39">
        <v>0.43630020000000003</v>
      </c>
      <c r="AO785" s="39">
        <v>2.1815009000000001</v>
      </c>
      <c r="AP785" s="39">
        <v>0.17452010000000001</v>
      </c>
      <c r="AQ785" s="39">
        <v>0.61082020000000004</v>
      </c>
      <c r="AR785" s="40"/>
      <c r="AS785" s="40"/>
    </row>
    <row r="786" spans="2:45" ht="15" hidden="1" customHeight="1" x14ac:dyDescent="0.25">
      <c r="B786" s="35">
        <v>780</v>
      </c>
      <c r="C786" s="36" t="s">
        <v>31</v>
      </c>
      <c r="D786" s="36" t="s">
        <v>226</v>
      </c>
      <c r="E786" s="36" t="s">
        <v>265</v>
      </c>
      <c r="F786" s="36" t="s">
        <v>266</v>
      </c>
      <c r="G786" s="37" t="s">
        <v>26</v>
      </c>
      <c r="H786" s="38">
        <v>2998</v>
      </c>
      <c r="I786" s="38">
        <v>35</v>
      </c>
      <c r="J786" s="38">
        <v>8</v>
      </c>
      <c r="K786" s="38">
        <v>420</v>
      </c>
      <c r="L786" s="38">
        <v>642</v>
      </c>
      <c r="M786" s="38">
        <v>1538</v>
      </c>
      <c r="N786" s="38">
        <v>238</v>
      </c>
      <c r="O786" s="38">
        <v>117</v>
      </c>
      <c r="P786" s="38"/>
      <c r="Q786" s="38"/>
      <c r="R786" s="38">
        <v>3493</v>
      </c>
      <c r="S786" s="38">
        <v>62</v>
      </c>
      <c r="T786" s="38">
        <v>16</v>
      </c>
      <c r="U786" s="38">
        <v>168</v>
      </c>
      <c r="V786" s="38">
        <v>211</v>
      </c>
      <c r="W786" s="38">
        <v>2583</v>
      </c>
      <c r="X786" s="38">
        <v>413</v>
      </c>
      <c r="Y786" s="38">
        <v>40</v>
      </c>
      <c r="Z786" s="38"/>
      <c r="AA786" s="38"/>
      <c r="AB786" s="39">
        <v>1.1674450000000001</v>
      </c>
      <c r="AC786" s="39">
        <v>0.26684459999999999</v>
      </c>
      <c r="AD786" s="39">
        <v>14.009339600000001</v>
      </c>
      <c r="AE786" s="39">
        <v>21.4142762</v>
      </c>
      <c r="AF786" s="39">
        <v>51.300867199999999</v>
      </c>
      <c r="AG786" s="39">
        <v>7.9386257999999996</v>
      </c>
      <c r="AH786" s="39">
        <v>3.9026017</v>
      </c>
      <c r="AI786" s="39"/>
      <c r="AJ786" s="39"/>
      <c r="AK786" s="39">
        <v>1.7749785</v>
      </c>
      <c r="AL786" s="39">
        <v>0.45805899999999999</v>
      </c>
      <c r="AM786" s="39">
        <v>4.8096192000000002</v>
      </c>
      <c r="AN786" s="39">
        <v>6.0406526999999999</v>
      </c>
      <c r="AO786" s="39">
        <v>73.947895799999998</v>
      </c>
      <c r="AP786" s="39">
        <v>11.823647299999999</v>
      </c>
      <c r="AQ786" s="39">
        <v>1.1451473999999999</v>
      </c>
      <c r="AR786" s="40"/>
      <c r="AS786" s="40"/>
    </row>
    <row r="787" spans="2:45" ht="15" hidden="1" customHeight="1" x14ac:dyDescent="0.25">
      <c r="B787" s="30">
        <v>781</v>
      </c>
      <c r="C787" s="31" t="s">
        <v>29</v>
      </c>
      <c r="D787" s="50" t="s">
        <v>226</v>
      </c>
      <c r="E787" s="50" t="s">
        <v>267</v>
      </c>
      <c r="F787" s="50"/>
      <c r="G787" s="31" t="s">
        <v>267</v>
      </c>
      <c r="H787" s="32">
        <v>619</v>
      </c>
      <c r="I787" s="32">
        <v>2</v>
      </c>
      <c r="J787" s="32">
        <v>7</v>
      </c>
      <c r="K787" s="32">
        <v>93</v>
      </c>
      <c r="L787" s="32">
        <v>39</v>
      </c>
      <c r="M787" s="32">
        <v>397</v>
      </c>
      <c r="N787" s="32">
        <v>26</v>
      </c>
      <c r="O787" s="32">
        <v>55</v>
      </c>
      <c r="P787" s="32"/>
      <c r="Q787" s="32"/>
      <c r="R787" s="32">
        <v>869</v>
      </c>
      <c r="S787" s="32">
        <v>64</v>
      </c>
      <c r="T787" s="32">
        <v>139</v>
      </c>
      <c r="U787" s="32">
        <v>45</v>
      </c>
      <c r="V787" s="32">
        <v>13</v>
      </c>
      <c r="W787" s="32">
        <v>523</v>
      </c>
      <c r="X787" s="32">
        <v>76</v>
      </c>
      <c r="Y787" s="32">
        <v>9</v>
      </c>
      <c r="Z787" s="32"/>
      <c r="AA787" s="32"/>
      <c r="AB787" s="33">
        <v>0.32310179999999999</v>
      </c>
      <c r="AC787" s="33">
        <v>1.1308562</v>
      </c>
      <c r="AD787" s="33">
        <v>15.024232599999999</v>
      </c>
      <c r="AE787" s="33">
        <v>6.3004847000000002</v>
      </c>
      <c r="AF787" s="33">
        <v>64.135702699999996</v>
      </c>
      <c r="AG787" s="33">
        <v>4.2003231000000003</v>
      </c>
      <c r="AH787" s="33">
        <v>8.8852989000000004</v>
      </c>
      <c r="AI787" s="33"/>
      <c r="AJ787" s="33"/>
      <c r="AK787" s="33">
        <v>7.3647871</v>
      </c>
      <c r="AL787" s="33">
        <v>15.995397000000001</v>
      </c>
      <c r="AM787" s="33">
        <v>5.1783659000000002</v>
      </c>
      <c r="AN787" s="33">
        <v>1.4959724000000001</v>
      </c>
      <c r="AO787" s="33">
        <v>60.184119699999997</v>
      </c>
      <c r="AP787" s="33">
        <v>8.7456847</v>
      </c>
      <c r="AQ787" s="33">
        <v>1.0356732</v>
      </c>
      <c r="AR787" s="34"/>
      <c r="AS787" s="34"/>
    </row>
    <row r="788" spans="2:45" ht="15" hidden="1" customHeight="1" x14ac:dyDescent="0.25">
      <c r="B788" s="35">
        <v>782</v>
      </c>
      <c r="C788" s="36" t="s">
        <v>29</v>
      </c>
      <c r="D788" s="36" t="s">
        <v>226</v>
      </c>
      <c r="E788" s="36" t="s">
        <v>267</v>
      </c>
      <c r="F788" s="36"/>
      <c r="G788" s="37" t="s">
        <v>25</v>
      </c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40"/>
      <c r="AS788" s="40"/>
    </row>
    <row r="789" spans="2:45" ht="15" hidden="1" customHeight="1" x14ac:dyDescent="0.25">
      <c r="B789" s="35">
        <v>783</v>
      </c>
      <c r="C789" s="36" t="s">
        <v>29</v>
      </c>
      <c r="D789" s="36" t="s">
        <v>226</v>
      </c>
      <c r="E789" s="36" t="s">
        <v>267</v>
      </c>
      <c r="F789" s="36"/>
      <c r="G789" s="37" t="s">
        <v>26</v>
      </c>
      <c r="H789" s="38">
        <v>619</v>
      </c>
      <c r="I789" s="38">
        <v>2</v>
      </c>
      <c r="J789" s="38">
        <v>7</v>
      </c>
      <c r="K789" s="38">
        <v>93</v>
      </c>
      <c r="L789" s="38">
        <v>39</v>
      </c>
      <c r="M789" s="38">
        <v>397</v>
      </c>
      <c r="N789" s="38">
        <v>26</v>
      </c>
      <c r="O789" s="38">
        <v>55</v>
      </c>
      <c r="P789" s="38"/>
      <c r="Q789" s="38"/>
      <c r="R789" s="38">
        <v>869</v>
      </c>
      <c r="S789" s="38">
        <v>64</v>
      </c>
      <c r="T789" s="38">
        <v>139</v>
      </c>
      <c r="U789" s="38">
        <v>45</v>
      </c>
      <c r="V789" s="38">
        <v>13</v>
      </c>
      <c r="W789" s="38">
        <v>523</v>
      </c>
      <c r="X789" s="38">
        <v>76</v>
      </c>
      <c r="Y789" s="38">
        <v>9</v>
      </c>
      <c r="Z789" s="38"/>
      <c r="AA789" s="38"/>
      <c r="AB789" s="39">
        <v>0.32310179999999999</v>
      </c>
      <c r="AC789" s="39">
        <v>1.1308562</v>
      </c>
      <c r="AD789" s="39">
        <v>15.024232599999999</v>
      </c>
      <c r="AE789" s="39">
        <v>6.3004847000000002</v>
      </c>
      <c r="AF789" s="39">
        <v>64.135702699999996</v>
      </c>
      <c r="AG789" s="39">
        <v>4.2003231000000003</v>
      </c>
      <c r="AH789" s="39">
        <v>8.8852989000000004</v>
      </c>
      <c r="AI789" s="39"/>
      <c r="AJ789" s="39"/>
      <c r="AK789" s="39">
        <v>7.3647871</v>
      </c>
      <c r="AL789" s="39">
        <v>15.995397000000001</v>
      </c>
      <c r="AM789" s="39">
        <v>5.1783659000000002</v>
      </c>
      <c r="AN789" s="39">
        <v>1.4959724000000001</v>
      </c>
      <c r="AO789" s="39">
        <v>60.184119699999997</v>
      </c>
      <c r="AP789" s="39">
        <v>8.7456847</v>
      </c>
      <c r="AQ789" s="39">
        <v>1.0356732</v>
      </c>
      <c r="AR789" s="40"/>
      <c r="AS789" s="40"/>
    </row>
    <row r="790" spans="2:45" ht="15" customHeight="1" x14ac:dyDescent="0.25">
      <c r="B790" s="41">
        <v>784</v>
      </c>
      <c r="C790" s="42" t="s">
        <v>31</v>
      </c>
      <c r="D790" s="51" t="s">
        <v>226</v>
      </c>
      <c r="E790" s="51" t="s">
        <v>267</v>
      </c>
      <c r="F790" s="51" t="s">
        <v>268</v>
      </c>
      <c r="G790" s="52" t="s">
        <v>268</v>
      </c>
      <c r="H790" s="43">
        <v>181</v>
      </c>
      <c r="I790" s="43">
        <v>0</v>
      </c>
      <c r="J790" s="43">
        <v>0</v>
      </c>
      <c r="K790" s="43">
        <v>57</v>
      </c>
      <c r="L790" s="43">
        <v>8</v>
      </c>
      <c r="M790" s="43">
        <v>102</v>
      </c>
      <c r="N790" s="43">
        <v>8</v>
      </c>
      <c r="O790" s="43">
        <v>6</v>
      </c>
      <c r="P790" s="44">
        <f>K790+L790+M790+N790+O790</f>
        <v>181</v>
      </c>
      <c r="Q790" s="44">
        <f>I790+J790</f>
        <v>0</v>
      </c>
      <c r="R790" s="43">
        <v>283</v>
      </c>
      <c r="S790" s="43">
        <v>2</v>
      </c>
      <c r="T790" s="43">
        <v>0</v>
      </c>
      <c r="U790" s="43">
        <v>18</v>
      </c>
      <c r="V790" s="43">
        <v>0</v>
      </c>
      <c r="W790" s="43">
        <v>228</v>
      </c>
      <c r="X790" s="43">
        <v>29</v>
      </c>
      <c r="Y790" s="43">
        <v>6</v>
      </c>
      <c r="Z790" s="45">
        <f>U790+V790+W790+X790+Y790</f>
        <v>281</v>
      </c>
      <c r="AA790" s="45">
        <f>S790+T790</f>
        <v>2</v>
      </c>
      <c r="AB790" s="46">
        <v>0</v>
      </c>
      <c r="AC790" s="46">
        <v>0</v>
      </c>
      <c r="AD790" s="46">
        <v>31.491712700000001</v>
      </c>
      <c r="AE790" s="46">
        <v>4.4198895</v>
      </c>
      <c r="AF790" s="46">
        <v>56.353591199999997</v>
      </c>
      <c r="AG790" s="46">
        <v>4.4198895</v>
      </c>
      <c r="AH790" s="46">
        <v>3.3149171000000002</v>
      </c>
      <c r="AI790" s="47">
        <f>AB790+AC790</f>
        <v>0</v>
      </c>
      <c r="AJ790" s="47">
        <f>AD790+AE790+AF790+AG790+AH790</f>
        <v>100</v>
      </c>
      <c r="AK790" s="46">
        <v>0.70671379999999995</v>
      </c>
      <c r="AL790" s="46">
        <v>0</v>
      </c>
      <c r="AM790" s="46">
        <v>6.3604240000000001</v>
      </c>
      <c r="AN790" s="46">
        <v>0</v>
      </c>
      <c r="AO790" s="46">
        <v>80.565370999999999</v>
      </c>
      <c r="AP790" s="46">
        <v>10.2473498</v>
      </c>
      <c r="AQ790" s="46">
        <v>2.1201412999999998</v>
      </c>
      <c r="AR790" s="48">
        <f>AK790+AL790</f>
        <v>0.70671379999999995</v>
      </c>
      <c r="AS790" s="48">
        <f>AM790+AN790+AO790+AP790+AQ790</f>
        <v>99.293286099999989</v>
      </c>
    </row>
    <row r="791" spans="2:45" ht="15" hidden="1" customHeight="1" x14ac:dyDescent="0.25">
      <c r="B791" s="35">
        <v>785</v>
      </c>
      <c r="C791" s="36" t="s">
        <v>31</v>
      </c>
      <c r="D791" s="36" t="s">
        <v>226</v>
      </c>
      <c r="E791" s="36" t="s">
        <v>267</v>
      </c>
      <c r="F791" s="36" t="s">
        <v>268</v>
      </c>
      <c r="G791" s="37" t="s">
        <v>25</v>
      </c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40"/>
      <c r="AS791" s="40"/>
    </row>
    <row r="792" spans="2:45" ht="15" hidden="1" customHeight="1" x14ac:dyDescent="0.25">
      <c r="B792" s="35">
        <v>786</v>
      </c>
      <c r="C792" s="36" t="s">
        <v>31</v>
      </c>
      <c r="D792" s="36" t="s">
        <v>226</v>
      </c>
      <c r="E792" s="36" t="s">
        <v>267</v>
      </c>
      <c r="F792" s="36" t="s">
        <v>268</v>
      </c>
      <c r="G792" s="37" t="s">
        <v>26</v>
      </c>
      <c r="H792" s="38">
        <v>181</v>
      </c>
      <c r="I792" s="38">
        <v>0</v>
      </c>
      <c r="J792" s="38">
        <v>0</v>
      </c>
      <c r="K792" s="38">
        <v>57</v>
      </c>
      <c r="L792" s="38">
        <v>8</v>
      </c>
      <c r="M792" s="38">
        <v>102</v>
      </c>
      <c r="N792" s="38">
        <v>8</v>
      </c>
      <c r="O792" s="38">
        <v>6</v>
      </c>
      <c r="P792" s="38"/>
      <c r="Q792" s="38"/>
      <c r="R792" s="38">
        <v>283</v>
      </c>
      <c r="S792" s="38">
        <v>2</v>
      </c>
      <c r="T792" s="38">
        <v>0</v>
      </c>
      <c r="U792" s="38">
        <v>18</v>
      </c>
      <c r="V792" s="38">
        <v>0</v>
      </c>
      <c r="W792" s="38">
        <v>228</v>
      </c>
      <c r="X792" s="38">
        <v>29</v>
      </c>
      <c r="Y792" s="38">
        <v>6</v>
      </c>
      <c r="Z792" s="38"/>
      <c r="AA792" s="38"/>
      <c r="AB792" s="39">
        <v>0</v>
      </c>
      <c r="AC792" s="39">
        <v>0</v>
      </c>
      <c r="AD792" s="39">
        <v>31.491712700000001</v>
      </c>
      <c r="AE792" s="39">
        <v>4.4198895</v>
      </c>
      <c r="AF792" s="39">
        <v>56.353591199999997</v>
      </c>
      <c r="AG792" s="39">
        <v>4.4198895</v>
      </c>
      <c r="AH792" s="39">
        <v>3.3149171000000002</v>
      </c>
      <c r="AI792" s="39"/>
      <c r="AJ792" s="39"/>
      <c r="AK792" s="39">
        <v>0.70671379999999995</v>
      </c>
      <c r="AL792" s="39">
        <v>0</v>
      </c>
      <c r="AM792" s="39">
        <v>6.3604240000000001</v>
      </c>
      <c r="AN792" s="39">
        <v>0</v>
      </c>
      <c r="AO792" s="39">
        <v>80.565370999999999</v>
      </c>
      <c r="AP792" s="39">
        <v>10.2473498</v>
      </c>
      <c r="AQ792" s="39">
        <v>2.1201412999999998</v>
      </c>
      <c r="AR792" s="40"/>
      <c r="AS792" s="40"/>
    </row>
    <row r="793" spans="2:45" ht="15" customHeight="1" x14ac:dyDescent="0.25">
      <c r="B793" s="41">
        <v>787</v>
      </c>
      <c r="C793" s="42" t="s">
        <v>31</v>
      </c>
      <c r="D793" s="51" t="s">
        <v>226</v>
      </c>
      <c r="E793" s="51" t="s">
        <v>267</v>
      </c>
      <c r="F793" s="51" t="s">
        <v>269</v>
      </c>
      <c r="G793" s="52" t="s">
        <v>269</v>
      </c>
      <c r="H793" s="43">
        <v>193</v>
      </c>
      <c r="I793" s="43">
        <v>2</v>
      </c>
      <c r="J793" s="43">
        <v>1</v>
      </c>
      <c r="K793" s="43">
        <v>20</v>
      </c>
      <c r="L793" s="43">
        <v>7</v>
      </c>
      <c r="M793" s="43">
        <v>132</v>
      </c>
      <c r="N793" s="43">
        <v>6</v>
      </c>
      <c r="O793" s="43">
        <v>25</v>
      </c>
      <c r="P793" s="44">
        <f>K793+L793+M793+N793+O793</f>
        <v>190</v>
      </c>
      <c r="Q793" s="44">
        <f>I793+J793</f>
        <v>3</v>
      </c>
      <c r="R793" s="43">
        <v>329</v>
      </c>
      <c r="S793" s="43">
        <v>45</v>
      </c>
      <c r="T793" s="43">
        <v>138</v>
      </c>
      <c r="U793" s="43">
        <v>10</v>
      </c>
      <c r="V793" s="43">
        <v>2</v>
      </c>
      <c r="W793" s="43">
        <v>117</v>
      </c>
      <c r="X793" s="43">
        <v>15</v>
      </c>
      <c r="Y793" s="43">
        <v>2</v>
      </c>
      <c r="Z793" s="45">
        <f>U793+V793+W793+X793+Y793</f>
        <v>146</v>
      </c>
      <c r="AA793" s="45">
        <f>S793+T793</f>
        <v>183</v>
      </c>
      <c r="AB793" s="46">
        <v>1.0362693999999999</v>
      </c>
      <c r="AC793" s="46">
        <v>0.51813469999999995</v>
      </c>
      <c r="AD793" s="46">
        <v>10.362694299999999</v>
      </c>
      <c r="AE793" s="46">
        <v>3.6269429999999998</v>
      </c>
      <c r="AF793" s="46">
        <v>68.393782400000006</v>
      </c>
      <c r="AG793" s="46">
        <v>3.1088083000000002</v>
      </c>
      <c r="AH793" s="46">
        <v>12.9533679</v>
      </c>
      <c r="AI793" s="47">
        <f>AB793+AC793</f>
        <v>1.5544040999999997</v>
      </c>
      <c r="AJ793" s="47">
        <f>AD793+AE793+AF793+AG793+AH793</f>
        <v>98.445595900000015</v>
      </c>
      <c r="AK793" s="46">
        <v>13.6778116</v>
      </c>
      <c r="AL793" s="46">
        <v>41.9452888</v>
      </c>
      <c r="AM793" s="46">
        <v>3.0395137000000001</v>
      </c>
      <c r="AN793" s="46">
        <v>0.60790270000000002</v>
      </c>
      <c r="AO793" s="46">
        <v>35.562309999999997</v>
      </c>
      <c r="AP793" s="46">
        <v>4.5592705000000002</v>
      </c>
      <c r="AQ793" s="46">
        <v>0.60790270000000002</v>
      </c>
      <c r="AR793" s="48">
        <f>AK793+AL793</f>
        <v>55.623100399999998</v>
      </c>
      <c r="AS793" s="48">
        <f>AM793+AN793+AO793+AP793+AQ793</f>
        <v>44.376899599999987</v>
      </c>
    </row>
    <row r="794" spans="2:45" ht="15" hidden="1" customHeight="1" x14ac:dyDescent="0.25">
      <c r="B794" s="35">
        <v>788</v>
      </c>
      <c r="C794" s="36" t="s">
        <v>31</v>
      </c>
      <c r="D794" s="36" t="s">
        <v>226</v>
      </c>
      <c r="E794" s="36" t="s">
        <v>267</v>
      </c>
      <c r="F794" s="36" t="s">
        <v>269</v>
      </c>
      <c r="G794" s="37" t="s">
        <v>25</v>
      </c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40"/>
      <c r="AS794" s="40"/>
    </row>
    <row r="795" spans="2:45" ht="15" hidden="1" customHeight="1" x14ac:dyDescent="0.25">
      <c r="B795" s="35">
        <v>789</v>
      </c>
      <c r="C795" s="36" t="s">
        <v>31</v>
      </c>
      <c r="D795" s="36" t="s">
        <v>226</v>
      </c>
      <c r="E795" s="36" t="s">
        <v>267</v>
      </c>
      <c r="F795" s="36" t="s">
        <v>269</v>
      </c>
      <c r="G795" s="37" t="s">
        <v>26</v>
      </c>
      <c r="H795" s="38">
        <v>193</v>
      </c>
      <c r="I795" s="38">
        <v>2</v>
      </c>
      <c r="J795" s="38">
        <v>1</v>
      </c>
      <c r="K795" s="38">
        <v>20</v>
      </c>
      <c r="L795" s="38">
        <v>7</v>
      </c>
      <c r="M795" s="38">
        <v>132</v>
      </c>
      <c r="N795" s="38">
        <v>6</v>
      </c>
      <c r="O795" s="38">
        <v>25</v>
      </c>
      <c r="P795" s="38"/>
      <c r="Q795" s="38"/>
      <c r="R795" s="38">
        <v>329</v>
      </c>
      <c r="S795" s="38">
        <v>45</v>
      </c>
      <c r="T795" s="38">
        <v>138</v>
      </c>
      <c r="U795" s="38">
        <v>10</v>
      </c>
      <c r="V795" s="38">
        <v>2</v>
      </c>
      <c r="W795" s="38">
        <v>117</v>
      </c>
      <c r="X795" s="38">
        <v>15</v>
      </c>
      <c r="Y795" s="38">
        <v>2</v>
      </c>
      <c r="Z795" s="38"/>
      <c r="AA795" s="38"/>
      <c r="AB795" s="39">
        <v>1.0362693999999999</v>
      </c>
      <c r="AC795" s="39">
        <v>0.51813469999999995</v>
      </c>
      <c r="AD795" s="39">
        <v>10.362694299999999</v>
      </c>
      <c r="AE795" s="39">
        <v>3.6269429999999998</v>
      </c>
      <c r="AF795" s="39">
        <v>68.393782400000006</v>
      </c>
      <c r="AG795" s="39">
        <v>3.1088083000000002</v>
      </c>
      <c r="AH795" s="39">
        <v>12.9533679</v>
      </c>
      <c r="AI795" s="39"/>
      <c r="AJ795" s="39"/>
      <c r="AK795" s="39">
        <v>13.6778116</v>
      </c>
      <c r="AL795" s="39">
        <v>41.9452888</v>
      </c>
      <c r="AM795" s="39">
        <v>3.0395137000000001</v>
      </c>
      <c r="AN795" s="39">
        <v>0.60790270000000002</v>
      </c>
      <c r="AO795" s="39">
        <v>35.562309999999997</v>
      </c>
      <c r="AP795" s="39">
        <v>4.5592705000000002</v>
      </c>
      <c r="AQ795" s="39">
        <v>0.60790270000000002</v>
      </c>
      <c r="AR795" s="40"/>
      <c r="AS795" s="40"/>
    </row>
    <row r="796" spans="2:45" ht="15" customHeight="1" x14ac:dyDescent="0.25">
      <c r="B796" s="41">
        <v>790</v>
      </c>
      <c r="C796" s="42" t="s">
        <v>31</v>
      </c>
      <c r="D796" s="51" t="s">
        <v>226</v>
      </c>
      <c r="E796" s="51" t="s">
        <v>267</v>
      </c>
      <c r="F796" s="51" t="s">
        <v>233</v>
      </c>
      <c r="G796" s="52" t="s">
        <v>233</v>
      </c>
      <c r="H796" s="43">
        <v>245</v>
      </c>
      <c r="I796" s="43">
        <v>0</v>
      </c>
      <c r="J796" s="43">
        <v>6</v>
      </c>
      <c r="K796" s="43">
        <v>16</v>
      </c>
      <c r="L796" s="43">
        <v>24</v>
      </c>
      <c r="M796" s="43">
        <v>163</v>
      </c>
      <c r="N796" s="43">
        <v>12</v>
      </c>
      <c r="O796" s="43">
        <v>24</v>
      </c>
      <c r="P796" s="44">
        <f>K796+L796+M796+N796+O796</f>
        <v>239</v>
      </c>
      <c r="Q796" s="44">
        <f>I796+J796</f>
        <v>6</v>
      </c>
      <c r="R796" s="43">
        <v>257</v>
      </c>
      <c r="S796" s="43">
        <v>17</v>
      </c>
      <c r="T796" s="43">
        <v>1</v>
      </c>
      <c r="U796" s="43">
        <v>17</v>
      </c>
      <c r="V796" s="43">
        <v>11</v>
      </c>
      <c r="W796" s="43">
        <v>178</v>
      </c>
      <c r="X796" s="43">
        <v>32</v>
      </c>
      <c r="Y796" s="43">
        <v>1</v>
      </c>
      <c r="Z796" s="45">
        <f>U796+V796+W796+X796+Y796</f>
        <v>239</v>
      </c>
      <c r="AA796" s="45">
        <f>S796+T796</f>
        <v>18</v>
      </c>
      <c r="AB796" s="46">
        <v>0</v>
      </c>
      <c r="AC796" s="46">
        <v>2.4489795999999999</v>
      </c>
      <c r="AD796" s="46">
        <v>6.5306122000000002</v>
      </c>
      <c r="AE796" s="46">
        <v>9.7959183999999997</v>
      </c>
      <c r="AF796" s="46">
        <v>66.530612199999993</v>
      </c>
      <c r="AG796" s="46">
        <v>4.8979591999999998</v>
      </c>
      <c r="AH796" s="46">
        <v>9.7959183999999997</v>
      </c>
      <c r="AI796" s="47">
        <f>AB796+AC796</f>
        <v>2.4489795999999999</v>
      </c>
      <c r="AJ796" s="47">
        <f>AD796+AE796+AF796+AG796+AH796</f>
        <v>97.551020399999999</v>
      </c>
      <c r="AK796" s="46">
        <v>6.6147859999999996</v>
      </c>
      <c r="AL796" s="46">
        <v>0.38910509999999998</v>
      </c>
      <c r="AM796" s="46">
        <v>6.6147859999999996</v>
      </c>
      <c r="AN796" s="46">
        <v>4.2801555999999996</v>
      </c>
      <c r="AO796" s="46">
        <v>69.260700400000005</v>
      </c>
      <c r="AP796" s="46">
        <v>12.4513619</v>
      </c>
      <c r="AQ796" s="46">
        <v>0.38910509999999998</v>
      </c>
      <c r="AR796" s="48">
        <f>AK796+AL796</f>
        <v>7.0038910999999997</v>
      </c>
      <c r="AS796" s="48">
        <f>AM796+AN796+AO796+AP796+AQ796</f>
        <v>92.99610899999999</v>
      </c>
    </row>
    <row r="797" spans="2:45" ht="15" hidden="1" customHeight="1" x14ac:dyDescent="0.25">
      <c r="B797" s="35">
        <v>791</v>
      </c>
      <c r="C797" s="36" t="s">
        <v>31</v>
      </c>
      <c r="D797" s="36" t="s">
        <v>226</v>
      </c>
      <c r="E797" s="36" t="s">
        <v>267</v>
      </c>
      <c r="F797" s="36" t="s">
        <v>233</v>
      </c>
      <c r="G797" s="37" t="s">
        <v>25</v>
      </c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40"/>
      <c r="AS797" s="40"/>
    </row>
    <row r="798" spans="2:45" ht="15" hidden="1" customHeight="1" x14ac:dyDescent="0.25">
      <c r="B798" s="35">
        <v>792</v>
      </c>
      <c r="C798" s="36" t="s">
        <v>31</v>
      </c>
      <c r="D798" s="36" t="s">
        <v>226</v>
      </c>
      <c r="E798" s="36" t="s">
        <v>267</v>
      </c>
      <c r="F798" s="36" t="s">
        <v>233</v>
      </c>
      <c r="G798" s="37" t="s">
        <v>26</v>
      </c>
      <c r="H798" s="38">
        <v>245</v>
      </c>
      <c r="I798" s="38">
        <v>0</v>
      </c>
      <c r="J798" s="38">
        <v>6</v>
      </c>
      <c r="K798" s="38">
        <v>16</v>
      </c>
      <c r="L798" s="38">
        <v>24</v>
      </c>
      <c r="M798" s="38">
        <v>163</v>
      </c>
      <c r="N798" s="38">
        <v>12</v>
      </c>
      <c r="O798" s="38">
        <v>24</v>
      </c>
      <c r="P798" s="38"/>
      <c r="Q798" s="38"/>
      <c r="R798" s="38">
        <v>257</v>
      </c>
      <c r="S798" s="38">
        <v>17</v>
      </c>
      <c r="T798" s="38">
        <v>1</v>
      </c>
      <c r="U798" s="38">
        <v>17</v>
      </c>
      <c r="V798" s="38">
        <v>11</v>
      </c>
      <c r="W798" s="38">
        <v>178</v>
      </c>
      <c r="X798" s="38">
        <v>32</v>
      </c>
      <c r="Y798" s="38">
        <v>1</v>
      </c>
      <c r="Z798" s="38"/>
      <c r="AA798" s="38"/>
      <c r="AB798" s="39">
        <v>0</v>
      </c>
      <c r="AC798" s="39">
        <v>2.4489795999999999</v>
      </c>
      <c r="AD798" s="39">
        <v>6.5306122000000002</v>
      </c>
      <c r="AE798" s="39">
        <v>9.7959183999999997</v>
      </c>
      <c r="AF798" s="39">
        <v>66.530612199999993</v>
      </c>
      <c r="AG798" s="39">
        <v>4.8979591999999998</v>
      </c>
      <c r="AH798" s="39">
        <v>9.7959183999999997</v>
      </c>
      <c r="AI798" s="39"/>
      <c r="AJ798" s="39"/>
      <c r="AK798" s="39">
        <v>6.6147859999999996</v>
      </c>
      <c r="AL798" s="39">
        <v>0.38910509999999998</v>
      </c>
      <c r="AM798" s="39">
        <v>6.6147859999999996</v>
      </c>
      <c r="AN798" s="39">
        <v>4.2801555999999996</v>
      </c>
      <c r="AO798" s="39">
        <v>69.260700400000005</v>
      </c>
      <c r="AP798" s="39">
        <v>12.4513619</v>
      </c>
      <c r="AQ798" s="39">
        <v>0.38910509999999998</v>
      </c>
      <c r="AR798" s="40"/>
      <c r="AS798" s="40"/>
    </row>
    <row r="799" spans="2:45" ht="15" hidden="1" customHeight="1" x14ac:dyDescent="0.25">
      <c r="B799" s="30">
        <v>793</v>
      </c>
      <c r="C799" s="31" t="s">
        <v>29</v>
      </c>
      <c r="D799" s="50" t="s">
        <v>226</v>
      </c>
      <c r="E799" s="50" t="s">
        <v>270</v>
      </c>
      <c r="F799" s="50"/>
      <c r="G799" s="31" t="s">
        <v>270</v>
      </c>
      <c r="H799" s="32">
        <v>2254</v>
      </c>
      <c r="I799" s="32">
        <v>8</v>
      </c>
      <c r="J799" s="32">
        <v>2</v>
      </c>
      <c r="K799" s="32">
        <v>275</v>
      </c>
      <c r="L799" s="32">
        <v>593</v>
      </c>
      <c r="M799" s="32">
        <v>1055</v>
      </c>
      <c r="N799" s="32">
        <v>228</v>
      </c>
      <c r="O799" s="32">
        <v>93</v>
      </c>
      <c r="P799" s="32"/>
      <c r="Q799" s="32"/>
      <c r="R799" s="32">
        <v>2722</v>
      </c>
      <c r="S799" s="32">
        <v>154</v>
      </c>
      <c r="T799" s="32">
        <v>122</v>
      </c>
      <c r="U799" s="32">
        <v>67</v>
      </c>
      <c r="V799" s="32">
        <v>157</v>
      </c>
      <c r="W799" s="32">
        <v>1838</v>
      </c>
      <c r="X799" s="32">
        <v>320</v>
      </c>
      <c r="Y799" s="32">
        <v>64</v>
      </c>
      <c r="Z799" s="32"/>
      <c r="AA799" s="32"/>
      <c r="AB799" s="33">
        <v>0.35492459999999998</v>
      </c>
      <c r="AC799" s="33">
        <v>8.8731099999999993E-2</v>
      </c>
      <c r="AD799" s="33">
        <v>12.2005324</v>
      </c>
      <c r="AE799" s="33">
        <v>26.3087844</v>
      </c>
      <c r="AF799" s="33">
        <v>46.805678800000003</v>
      </c>
      <c r="AG799" s="33">
        <v>10.1153505</v>
      </c>
      <c r="AH799" s="33">
        <v>4.1259981999999997</v>
      </c>
      <c r="AI799" s="33"/>
      <c r="AJ799" s="33"/>
      <c r="AK799" s="33">
        <v>5.6576047000000003</v>
      </c>
      <c r="AL799" s="33">
        <v>4.4819985000000004</v>
      </c>
      <c r="AM799" s="33">
        <v>2.4614254</v>
      </c>
      <c r="AN799" s="33">
        <v>5.7678178000000004</v>
      </c>
      <c r="AO799" s="33">
        <v>67.523879500000007</v>
      </c>
      <c r="AP799" s="33">
        <v>11.7560617</v>
      </c>
      <c r="AQ799" s="33">
        <v>2.3512122999999998</v>
      </c>
      <c r="AR799" s="34"/>
      <c r="AS799" s="34"/>
    </row>
    <row r="800" spans="2:45" ht="15" hidden="1" customHeight="1" x14ac:dyDescent="0.25">
      <c r="B800" s="35">
        <v>794</v>
      </c>
      <c r="C800" s="36" t="s">
        <v>29</v>
      </c>
      <c r="D800" s="36" t="s">
        <v>226</v>
      </c>
      <c r="E800" s="36" t="s">
        <v>270</v>
      </c>
      <c r="F800" s="36"/>
      <c r="G800" s="37" t="s">
        <v>25</v>
      </c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40"/>
      <c r="AS800" s="40"/>
    </row>
    <row r="801" spans="2:45" ht="15" hidden="1" customHeight="1" x14ac:dyDescent="0.25">
      <c r="B801" s="35">
        <v>795</v>
      </c>
      <c r="C801" s="36" t="s">
        <v>29</v>
      </c>
      <c r="D801" s="36" t="s">
        <v>226</v>
      </c>
      <c r="E801" s="36" t="s">
        <v>270</v>
      </c>
      <c r="F801" s="36"/>
      <c r="G801" s="37" t="s">
        <v>26</v>
      </c>
      <c r="H801" s="38">
        <v>2254</v>
      </c>
      <c r="I801" s="38">
        <v>8</v>
      </c>
      <c r="J801" s="38">
        <v>2</v>
      </c>
      <c r="K801" s="38">
        <v>275</v>
      </c>
      <c r="L801" s="38">
        <v>593</v>
      </c>
      <c r="M801" s="38">
        <v>1055</v>
      </c>
      <c r="N801" s="38">
        <v>228</v>
      </c>
      <c r="O801" s="38">
        <v>93</v>
      </c>
      <c r="P801" s="38"/>
      <c r="Q801" s="38"/>
      <c r="R801" s="38">
        <v>2722</v>
      </c>
      <c r="S801" s="38">
        <v>154</v>
      </c>
      <c r="T801" s="38">
        <v>122</v>
      </c>
      <c r="U801" s="38">
        <v>67</v>
      </c>
      <c r="V801" s="38">
        <v>157</v>
      </c>
      <c r="W801" s="38">
        <v>1838</v>
      </c>
      <c r="X801" s="38">
        <v>320</v>
      </c>
      <c r="Y801" s="38">
        <v>64</v>
      </c>
      <c r="Z801" s="38"/>
      <c r="AA801" s="38"/>
      <c r="AB801" s="39">
        <v>0.35492459999999998</v>
      </c>
      <c r="AC801" s="39">
        <v>8.8731099999999993E-2</v>
      </c>
      <c r="AD801" s="39">
        <v>12.2005324</v>
      </c>
      <c r="AE801" s="39">
        <v>26.3087844</v>
      </c>
      <c r="AF801" s="39">
        <v>46.805678800000003</v>
      </c>
      <c r="AG801" s="39">
        <v>10.1153505</v>
      </c>
      <c r="AH801" s="39">
        <v>4.1259981999999997</v>
      </c>
      <c r="AI801" s="39"/>
      <c r="AJ801" s="39"/>
      <c r="AK801" s="39">
        <v>5.6576047000000003</v>
      </c>
      <c r="AL801" s="39">
        <v>4.4819985000000004</v>
      </c>
      <c r="AM801" s="39">
        <v>2.4614254</v>
      </c>
      <c r="AN801" s="39">
        <v>5.7678178000000004</v>
      </c>
      <c r="AO801" s="39">
        <v>67.523879500000007</v>
      </c>
      <c r="AP801" s="39">
        <v>11.7560617</v>
      </c>
      <c r="AQ801" s="39">
        <v>2.3512122999999998</v>
      </c>
      <c r="AR801" s="40"/>
      <c r="AS801" s="40"/>
    </row>
    <row r="802" spans="2:45" ht="15" customHeight="1" x14ac:dyDescent="0.25">
      <c r="B802" s="41">
        <v>796</v>
      </c>
      <c r="C802" s="42" t="s">
        <v>31</v>
      </c>
      <c r="D802" s="51" t="s">
        <v>226</v>
      </c>
      <c r="E802" s="51" t="s">
        <v>270</v>
      </c>
      <c r="F802" s="51" t="s">
        <v>271</v>
      </c>
      <c r="G802" s="52" t="s">
        <v>271</v>
      </c>
      <c r="H802" s="43">
        <v>2254</v>
      </c>
      <c r="I802" s="43">
        <v>8</v>
      </c>
      <c r="J802" s="43">
        <v>2</v>
      </c>
      <c r="K802" s="43">
        <v>275</v>
      </c>
      <c r="L802" s="43">
        <v>593</v>
      </c>
      <c r="M802" s="43">
        <v>1055</v>
      </c>
      <c r="N802" s="43">
        <v>228</v>
      </c>
      <c r="O802" s="43">
        <v>93</v>
      </c>
      <c r="P802" s="44">
        <f>K802+L802+M802+N802+O802</f>
        <v>2244</v>
      </c>
      <c r="Q802" s="44">
        <f>I802+J802</f>
        <v>10</v>
      </c>
      <c r="R802" s="43">
        <v>2722</v>
      </c>
      <c r="S802" s="43">
        <v>154</v>
      </c>
      <c r="T802" s="43">
        <v>122</v>
      </c>
      <c r="U802" s="43">
        <v>67</v>
      </c>
      <c r="V802" s="43">
        <v>157</v>
      </c>
      <c r="W802" s="43">
        <v>1838</v>
      </c>
      <c r="X802" s="43">
        <v>320</v>
      </c>
      <c r="Y802" s="43">
        <v>64</v>
      </c>
      <c r="Z802" s="45">
        <f>U802+V802+W802+X802+Y802</f>
        <v>2446</v>
      </c>
      <c r="AA802" s="45">
        <f>S802+T802</f>
        <v>276</v>
      </c>
      <c r="AB802" s="46">
        <v>0.35492459999999998</v>
      </c>
      <c r="AC802" s="46">
        <v>8.8731099999999993E-2</v>
      </c>
      <c r="AD802" s="46">
        <v>12.2005324</v>
      </c>
      <c r="AE802" s="46">
        <v>26.3087844</v>
      </c>
      <c r="AF802" s="46">
        <v>46.805678800000003</v>
      </c>
      <c r="AG802" s="46">
        <v>10.1153505</v>
      </c>
      <c r="AH802" s="46">
        <v>4.1259981999999997</v>
      </c>
      <c r="AI802" s="47">
        <f>AB802+AC802</f>
        <v>0.44365569999999999</v>
      </c>
      <c r="AJ802" s="47">
        <f>AD802+AE802+AF802+AG802+AH802</f>
        <v>99.556344300000006</v>
      </c>
      <c r="AK802" s="46">
        <v>5.6576047000000003</v>
      </c>
      <c r="AL802" s="46">
        <v>4.4819985000000004</v>
      </c>
      <c r="AM802" s="46">
        <v>2.4614254</v>
      </c>
      <c r="AN802" s="46">
        <v>5.7678178000000004</v>
      </c>
      <c r="AO802" s="46">
        <v>67.523879500000007</v>
      </c>
      <c r="AP802" s="46">
        <v>11.7560617</v>
      </c>
      <c r="AQ802" s="46">
        <v>2.3512122999999998</v>
      </c>
      <c r="AR802" s="48">
        <f>AK802+AL802</f>
        <v>10.1396032</v>
      </c>
      <c r="AS802" s="48">
        <f>AM802+AN802+AO802+AP802+AQ802</f>
        <v>89.86039670000001</v>
      </c>
    </row>
    <row r="803" spans="2:45" ht="15" hidden="1" customHeight="1" x14ac:dyDescent="0.25">
      <c r="B803" s="35">
        <v>797</v>
      </c>
      <c r="C803" s="36" t="s">
        <v>31</v>
      </c>
      <c r="D803" s="36" t="s">
        <v>226</v>
      </c>
      <c r="E803" s="36" t="s">
        <v>270</v>
      </c>
      <c r="F803" s="36" t="s">
        <v>271</v>
      </c>
      <c r="G803" s="37" t="s">
        <v>25</v>
      </c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40"/>
      <c r="AS803" s="40"/>
    </row>
    <row r="804" spans="2:45" ht="15" hidden="1" customHeight="1" x14ac:dyDescent="0.25">
      <c r="B804" s="35">
        <v>798</v>
      </c>
      <c r="C804" s="36" t="s">
        <v>31</v>
      </c>
      <c r="D804" s="36" t="s">
        <v>226</v>
      </c>
      <c r="E804" s="36" t="s">
        <v>270</v>
      </c>
      <c r="F804" s="36" t="s">
        <v>271</v>
      </c>
      <c r="G804" s="37" t="s">
        <v>26</v>
      </c>
      <c r="H804" s="38">
        <v>2254</v>
      </c>
      <c r="I804" s="38">
        <v>8</v>
      </c>
      <c r="J804" s="38">
        <v>2</v>
      </c>
      <c r="K804" s="38">
        <v>275</v>
      </c>
      <c r="L804" s="38">
        <v>593</v>
      </c>
      <c r="M804" s="38">
        <v>1055</v>
      </c>
      <c r="N804" s="38">
        <v>228</v>
      </c>
      <c r="O804" s="38">
        <v>93</v>
      </c>
      <c r="P804" s="38"/>
      <c r="Q804" s="38"/>
      <c r="R804" s="38">
        <v>2722</v>
      </c>
      <c r="S804" s="38">
        <v>154</v>
      </c>
      <c r="T804" s="38">
        <v>122</v>
      </c>
      <c r="U804" s="38">
        <v>67</v>
      </c>
      <c r="V804" s="38">
        <v>157</v>
      </c>
      <c r="W804" s="38">
        <v>1838</v>
      </c>
      <c r="X804" s="38">
        <v>320</v>
      </c>
      <c r="Y804" s="38">
        <v>64</v>
      </c>
      <c r="Z804" s="38"/>
      <c r="AA804" s="38"/>
      <c r="AB804" s="39">
        <v>0.35492459999999998</v>
      </c>
      <c r="AC804" s="39">
        <v>8.8731099999999993E-2</v>
      </c>
      <c r="AD804" s="39">
        <v>12.2005324</v>
      </c>
      <c r="AE804" s="39">
        <v>26.3087844</v>
      </c>
      <c r="AF804" s="39">
        <v>46.805678800000003</v>
      </c>
      <c r="AG804" s="39">
        <v>10.1153505</v>
      </c>
      <c r="AH804" s="39">
        <v>4.1259981999999997</v>
      </c>
      <c r="AI804" s="39"/>
      <c r="AJ804" s="39"/>
      <c r="AK804" s="39">
        <v>5.6576047000000003</v>
      </c>
      <c r="AL804" s="39">
        <v>4.4819985000000004</v>
      </c>
      <c r="AM804" s="39">
        <v>2.4614254</v>
      </c>
      <c r="AN804" s="39">
        <v>5.7678178000000004</v>
      </c>
      <c r="AO804" s="39">
        <v>67.523879500000007</v>
      </c>
      <c r="AP804" s="39">
        <v>11.7560617</v>
      </c>
      <c r="AQ804" s="39">
        <v>2.3512122999999998</v>
      </c>
      <c r="AR804" s="40"/>
      <c r="AS804" s="40"/>
    </row>
    <row r="805" spans="2:45" ht="15" hidden="1" customHeight="1" x14ac:dyDescent="0.25">
      <c r="B805" s="20">
        <v>799</v>
      </c>
      <c r="C805" s="21" t="s">
        <v>27</v>
      </c>
      <c r="D805" s="21" t="s">
        <v>272</v>
      </c>
      <c r="E805" s="21"/>
      <c r="F805" s="21"/>
      <c r="G805" s="21" t="s">
        <v>272</v>
      </c>
      <c r="H805" s="22">
        <v>242302</v>
      </c>
      <c r="I805" s="22">
        <v>15737</v>
      </c>
      <c r="J805" s="22">
        <v>76329</v>
      </c>
      <c r="K805" s="22">
        <v>31178</v>
      </c>
      <c r="L805" s="22">
        <v>55081</v>
      </c>
      <c r="M805" s="22">
        <v>44342</v>
      </c>
      <c r="N805" s="22">
        <v>14705</v>
      </c>
      <c r="O805" s="22">
        <v>4930</v>
      </c>
      <c r="P805" s="22">
        <f>K805+L805+M805+N805+O805</f>
        <v>150236</v>
      </c>
      <c r="Q805" s="22">
        <f>I805+J805</f>
        <v>92066</v>
      </c>
      <c r="R805" s="22">
        <v>303745</v>
      </c>
      <c r="S805" s="22">
        <v>24948</v>
      </c>
      <c r="T805" s="22">
        <v>110618</v>
      </c>
      <c r="U805" s="22">
        <v>9259</v>
      </c>
      <c r="V805" s="22">
        <v>18334</v>
      </c>
      <c r="W805" s="22">
        <v>120125</v>
      </c>
      <c r="X805" s="22">
        <v>17311</v>
      </c>
      <c r="Y805" s="22">
        <v>3150</v>
      </c>
      <c r="Z805" s="22">
        <f>U805+V805+W805+X805+Y805</f>
        <v>168179</v>
      </c>
      <c r="AA805" s="22">
        <f>S805+T805</f>
        <v>135566</v>
      </c>
      <c r="AB805" s="23">
        <v>6.4947875000000002</v>
      </c>
      <c r="AC805" s="23">
        <v>31.501597199999999</v>
      </c>
      <c r="AD805" s="23">
        <v>12.8674134</v>
      </c>
      <c r="AE805" s="23">
        <v>22.732375300000001</v>
      </c>
      <c r="AF805" s="23">
        <v>18.300302899999998</v>
      </c>
      <c r="AG805" s="23">
        <v>6.0688727</v>
      </c>
      <c r="AH805" s="23">
        <v>2.0346510000000002</v>
      </c>
      <c r="AI805" s="23">
        <f>AB805+AC805</f>
        <v>37.9963847</v>
      </c>
      <c r="AJ805" s="23"/>
      <c r="AK805" s="23">
        <v>8.2134684999999994</v>
      </c>
      <c r="AL805" s="23">
        <v>36.418047999999999</v>
      </c>
      <c r="AM805" s="23">
        <v>3.0482806</v>
      </c>
      <c r="AN805" s="23">
        <v>6.0359841000000003</v>
      </c>
      <c r="AO805" s="23">
        <v>39.5479761</v>
      </c>
      <c r="AP805" s="23">
        <v>5.6991885</v>
      </c>
      <c r="AQ805" s="23">
        <v>1.0370541</v>
      </c>
      <c r="AR805" s="24">
        <f>AK805+AL805</f>
        <v>44.631516499999996</v>
      </c>
      <c r="AS805" s="24"/>
    </row>
    <row r="806" spans="2:45" ht="15" hidden="1" customHeight="1" x14ac:dyDescent="0.25">
      <c r="B806" s="25">
        <v>800</v>
      </c>
      <c r="C806" s="26" t="s">
        <v>27</v>
      </c>
      <c r="D806" s="49" t="s">
        <v>272</v>
      </c>
      <c r="E806" s="49"/>
      <c r="F806" s="49"/>
      <c r="G806" s="26" t="s">
        <v>25</v>
      </c>
      <c r="H806" s="27">
        <v>93169</v>
      </c>
      <c r="I806" s="27">
        <v>13202</v>
      </c>
      <c r="J806" s="27">
        <v>68794</v>
      </c>
      <c r="K806" s="27">
        <v>2685</v>
      </c>
      <c r="L806" s="27">
        <v>5007</v>
      </c>
      <c r="M806" s="27">
        <v>2795</v>
      </c>
      <c r="N806" s="27">
        <v>262</v>
      </c>
      <c r="O806" s="27">
        <v>424</v>
      </c>
      <c r="P806" s="27"/>
      <c r="Q806" s="27"/>
      <c r="R806" s="27">
        <v>123576</v>
      </c>
      <c r="S806" s="27">
        <v>18150</v>
      </c>
      <c r="T806" s="27">
        <v>96140</v>
      </c>
      <c r="U806" s="27">
        <v>1042</v>
      </c>
      <c r="V806" s="27">
        <v>1153</v>
      </c>
      <c r="W806" s="27">
        <v>6282</v>
      </c>
      <c r="X806" s="27">
        <v>371</v>
      </c>
      <c r="Y806" s="27">
        <v>438</v>
      </c>
      <c r="Z806" s="27"/>
      <c r="AA806" s="27"/>
      <c r="AB806" s="28">
        <v>14.1699492</v>
      </c>
      <c r="AC806" s="28">
        <v>73.837864499999995</v>
      </c>
      <c r="AD806" s="28">
        <v>2.8818598</v>
      </c>
      <c r="AE806" s="28">
        <v>5.3741051000000004</v>
      </c>
      <c r="AF806" s="28">
        <v>2.9999248999999999</v>
      </c>
      <c r="AG806" s="28">
        <v>0.2812094</v>
      </c>
      <c r="AH806" s="28">
        <v>0.45508700000000002</v>
      </c>
      <c r="AI806" s="28"/>
      <c r="AJ806" s="28"/>
      <c r="AK806" s="28">
        <v>14.6873179</v>
      </c>
      <c r="AL806" s="28">
        <v>77.798277999999996</v>
      </c>
      <c r="AM806" s="28">
        <v>0.84320580000000001</v>
      </c>
      <c r="AN806" s="28">
        <v>0.93302909999999994</v>
      </c>
      <c r="AO806" s="28">
        <v>5.0835113999999999</v>
      </c>
      <c r="AP806" s="28">
        <v>0.30022009999999999</v>
      </c>
      <c r="AQ806" s="28">
        <v>0.35443780000000003</v>
      </c>
      <c r="AR806" s="29"/>
      <c r="AS806" s="29"/>
    </row>
    <row r="807" spans="2:45" ht="15" hidden="1" customHeight="1" x14ac:dyDescent="0.25">
      <c r="B807" s="25">
        <v>801</v>
      </c>
      <c r="C807" s="26" t="s">
        <v>27</v>
      </c>
      <c r="D807" s="49" t="s">
        <v>272</v>
      </c>
      <c r="E807" s="49"/>
      <c r="F807" s="49"/>
      <c r="G807" s="26" t="s">
        <v>26</v>
      </c>
      <c r="H807" s="27">
        <v>149133</v>
      </c>
      <c r="I807" s="27">
        <v>2535</v>
      </c>
      <c r="J807" s="27">
        <v>7535</v>
      </c>
      <c r="K807" s="27">
        <v>28493</v>
      </c>
      <c r="L807" s="27">
        <v>50074</v>
      </c>
      <c r="M807" s="27">
        <v>41547</v>
      </c>
      <c r="N807" s="27">
        <v>14443</v>
      </c>
      <c r="O807" s="27">
        <v>4506</v>
      </c>
      <c r="P807" s="27"/>
      <c r="Q807" s="27"/>
      <c r="R807" s="27">
        <v>180169</v>
      </c>
      <c r="S807" s="27">
        <v>6798</v>
      </c>
      <c r="T807" s="27">
        <v>14478</v>
      </c>
      <c r="U807" s="27">
        <v>8217</v>
      </c>
      <c r="V807" s="27">
        <v>17181</v>
      </c>
      <c r="W807" s="27">
        <v>113843</v>
      </c>
      <c r="X807" s="27">
        <v>16940</v>
      </c>
      <c r="Y807" s="27">
        <v>2712</v>
      </c>
      <c r="Z807" s="27"/>
      <c r="AA807" s="27"/>
      <c r="AB807" s="28">
        <v>1.6998249999999999</v>
      </c>
      <c r="AC807" s="28">
        <v>5.0525370000000001</v>
      </c>
      <c r="AD807" s="28">
        <v>19.105764700000002</v>
      </c>
      <c r="AE807" s="28">
        <v>33.576740200000003</v>
      </c>
      <c r="AF807" s="28">
        <v>27.859025200000001</v>
      </c>
      <c r="AG807" s="28">
        <v>9.6846438999999993</v>
      </c>
      <c r="AH807" s="28">
        <v>3.0214641000000002</v>
      </c>
      <c r="AI807" s="28"/>
      <c r="AJ807" s="28"/>
      <c r="AK807" s="28">
        <v>3.7731241</v>
      </c>
      <c r="AL807" s="28">
        <v>8.0357886000000001</v>
      </c>
      <c r="AM807" s="28">
        <v>4.5607179999999996</v>
      </c>
      <c r="AN807" s="28">
        <v>9.5360467</v>
      </c>
      <c r="AO807" s="28">
        <v>63.186785700000001</v>
      </c>
      <c r="AP807" s="28">
        <v>9.4022834</v>
      </c>
      <c r="AQ807" s="28">
        <v>1.5052534</v>
      </c>
      <c r="AR807" s="29"/>
      <c r="AS807" s="29"/>
    </row>
    <row r="808" spans="2:45" ht="15" hidden="1" customHeight="1" x14ac:dyDescent="0.25">
      <c r="B808" s="30">
        <v>802</v>
      </c>
      <c r="C808" s="31" t="s">
        <v>29</v>
      </c>
      <c r="D808" s="50" t="s">
        <v>272</v>
      </c>
      <c r="E808" s="50" t="s">
        <v>273</v>
      </c>
      <c r="F808" s="50"/>
      <c r="G808" s="31" t="s">
        <v>273</v>
      </c>
      <c r="H808" s="32">
        <v>63169</v>
      </c>
      <c r="I808" s="32">
        <v>8352</v>
      </c>
      <c r="J808" s="32">
        <v>34464</v>
      </c>
      <c r="K808" s="32">
        <v>4452</v>
      </c>
      <c r="L808" s="32">
        <v>8135</v>
      </c>
      <c r="M808" s="32">
        <v>5556</v>
      </c>
      <c r="N808" s="32">
        <v>1584</v>
      </c>
      <c r="O808" s="32">
        <v>626</v>
      </c>
      <c r="P808" s="32"/>
      <c r="Q808" s="32"/>
      <c r="R808" s="32">
        <v>82587</v>
      </c>
      <c r="S808" s="32">
        <v>9269</v>
      </c>
      <c r="T808" s="32">
        <v>50455</v>
      </c>
      <c r="U808" s="32">
        <v>1876</v>
      </c>
      <c r="V808" s="32">
        <v>2696</v>
      </c>
      <c r="W808" s="32">
        <v>15230</v>
      </c>
      <c r="X808" s="32">
        <v>2535</v>
      </c>
      <c r="Y808" s="32">
        <v>526</v>
      </c>
      <c r="Z808" s="32"/>
      <c r="AA808" s="32"/>
      <c r="AB808" s="33">
        <v>13.2216752</v>
      </c>
      <c r="AC808" s="33">
        <v>54.5584068</v>
      </c>
      <c r="AD808" s="33">
        <v>7.0477607999999998</v>
      </c>
      <c r="AE808" s="33">
        <v>12.8781523</v>
      </c>
      <c r="AF808" s="33">
        <v>8.7954535000000007</v>
      </c>
      <c r="AG808" s="33">
        <v>2.5075590999999999</v>
      </c>
      <c r="AH808" s="33">
        <v>0.9909924</v>
      </c>
      <c r="AI808" s="33"/>
      <c r="AJ808" s="33"/>
      <c r="AK808" s="33">
        <v>11.223316000000001</v>
      </c>
      <c r="AL808" s="33">
        <v>61.093150299999998</v>
      </c>
      <c r="AM808" s="33">
        <v>2.2715439000000002</v>
      </c>
      <c r="AN808" s="33">
        <v>3.2644362999999998</v>
      </c>
      <c r="AO808" s="33">
        <v>18.441158999999999</v>
      </c>
      <c r="AP808" s="33">
        <v>3.0694903999999998</v>
      </c>
      <c r="AQ808" s="33">
        <v>0.63690409999999997</v>
      </c>
      <c r="AR808" s="34"/>
      <c r="AS808" s="34"/>
    </row>
    <row r="809" spans="2:45" ht="15" hidden="1" customHeight="1" x14ac:dyDescent="0.25">
      <c r="B809" s="35">
        <v>803</v>
      </c>
      <c r="C809" s="36" t="s">
        <v>29</v>
      </c>
      <c r="D809" s="36" t="s">
        <v>272</v>
      </c>
      <c r="E809" s="36" t="s">
        <v>273</v>
      </c>
      <c r="F809" s="36"/>
      <c r="G809" s="37" t="s">
        <v>25</v>
      </c>
      <c r="H809" s="38">
        <v>46764</v>
      </c>
      <c r="I809" s="38">
        <v>8252</v>
      </c>
      <c r="J809" s="38">
        <v>34147</v>
      </c>
      <c r="K809" s="38">
        <v>1426</v>
      </c>
      <c r="L809" s="38">
        <v>1565</v>
      </c>
      <c r="M809" s="38">
        <v>1139</v>
      </c>
      <c r="N809" s="38">
        <v>80</v>
      </c>
      <c r="O809" s="38">
        <v>155</v>
      </c>
      <c r="P809" s="38"/>
      <c r="Q809" s="38"/>
      <c r="R809" s="38">
        <v>60712</v>
      </c>
      <c r="S809" s="38">
        <v>8654</v>
      </c>
      <c r="T809" s="38">
        <v>49185</v>
      </c>
      <c r="U809" s="38">
        <v>538</v>
      </c>
      <c r="V809" s="38">
        <v>282</v>
      </c>
      <c r="W809" s="38">
        <v>1783</v>
      </c>
      <c r="X809" s="38">
        <v>113</v>
      </c>
      <c r="Y809" s="38">
        <v>157</v>
      </c>
      <c r="Z809" s="38"/>
      <c r="AA809" s="38"/>
      <c r="AB809" s="39">
        <v>17.6460525</v>
      </c>
      <c r="AC809" s="39">
        <v>73.019844300000003</v>
      </c>
      <c r="AD809" s="39">
        <v>3.0493541999999998</v>
      </c>
      <c r="AE809" s="39">
        <v>3.3465913999999999</v>
      </c>
      <c r="AF809" s="39">
        <v>2.4356342</v>
      </c>
      <c r="AG809" s="39">
        <v>0.1710718</v>
      </c>
      <c r="AH809" s="39">
        <v>0.33145150000000001</v>
      </c>
      <c r="AI809" s="39"/>
      <c r="AJ809" s="39"/>
      <c r="AK809" s="39">
        <v>14.2541837</v>
      </c>
      <c r="AL809" s="39">
        <v>81.013638200000003</v>
      </c>
      <c r="AM809" s="39">
        <v>0.88615100000000002</v>
      </c>
      <c r="AN809" s="39">
        <v>0.46448810000000001</v>
      </c>
      <c r="AO809" s="39">
        <v>2.9368164000000001</v>
      </c>
      <c r="AP809" s="39">
        <v>0.1861247</v>
      </c>
      <c r="AQ809" s="39">
        <v>0.25859799999999999</v>
      </c>
      <c r="AR809" s="40"/>
      <c r="AS809" s="40"/>
    </row>
    <row r="810" spans="2:45" ht="15" hidden="1" customHeight="1" x14ac:dyDescent="0.25">
      <c r="B810" s="35">
        <v>804</v>
      </c>
      <c r="C810" s="36" t="s">
        <v>29</v>
      </c>
      <c r="D810" s="36" t="s">
        <v>272</v>
      </c>
      <c r="E810" s="36" t="s">
        <v>273</v>
      </c>
      <c r="F810" s="36"/>
      <c r="G810" s="37" t="s">
        <v>26</v>
      </c>
      <c r="H810" s="38">
        <v>16405</v>
      </c>
      <c r="I810" s="38">
        <v>100</v>
      </c>
      <c r="J810" s="38">
        <v>317</v>
      </c>
      <c r="K810" s="38">
        <v>3026</v>
      </c>
      <c r="L810" s="38">
        <v>6570</v>
      </c>
      <c r="M810" s="38">
        <v>4417</v>
      </c>
      <c r="N810" s="38">
        <v>1504</v>
      </c>
      <c r="O810" s="38">
        <v>471</v>
      </c>
      <c r="P810" s="38"/>
      <c r="Q810" s="38"/>
      <c r="R810" s="38">
        <v>21875</v>
      </c>
      <c r="S810" s="38">
        <v>615</v>
      </c>
      <c r="T810" s="38">
        <v>1270</v>
      </c>
      <c r="U810" s="38">
        <v>1338</v>
      </c>
      <c r="V810" s="38">
        <v>2414</v>
      </c>
      <c r="W810" s="38">
        <v>13447</v>
      </c>
      <c r="X810" s="38">
        <v>2422</v>
      </c>
      <c r="Y810" s="38">
        <v>369</v>
      </c>
      <c r="Z810" s="38"/>
      <c r="AA810" s="38"/>
      <c r="AB810" s="39">
        <v>0.60957030000000001</v>
      </c>
      <c r="AC810" s="39">
        <v>1.9323376999999999</v>
      </c>
      <c r="AD810" s="39">
        <v>18.445595900000001</v>
      </c>
      <c r="AE810" s="39">
        <v>40.048765600000003</v>
      </c>
      <c r="AF810" s="39">
        <v>26.9247181</v>
      </c>
      <c r="AG810" s="39">
        <v>9.1679366000000009</v>
      </c>
      <c r="AH810" s="39">
        <v>2.8710759000000001</v>
      </c>
      <c r="AI810" s="39"/>
      <c r="AJ810" s="39"/>
      <c r="AK810" s="39">
        <v>2.8114286000000002</v>
      </c>
      <c r="AL810" s="39">
        <v>5.8057143</v>
      </c>
      <c r="AM810" s="39">
        <v>6.1165713999999998</v>
      </c>
      <c r="AN810" s="39">
        <v>11.035428599999999</v>
      </c>
      <c r="AO810" s="39">
        <v>61.472000000000001</v>
      </c>
      <c r="AP810" s="39">
        <v>11.071999999999999</v>
      </c>
      <c r="AQ810" s="39">
        <v>1.6868571000000001</v>
      </c>
      <c r="AR810" s="40"/>
      <c r="AS810" s="40"/>
    </row>
    <row r="811" spans="2:45" ht="15" customHeight="1" x14ac:dyDescent="0.25">
      <c r="B811" s="41">
        <v>805</v>
      </c>
      <c r="C811" s="42" t="s">
        <v>31</v>
      </c>
      <c r="D811" s="51" t="s">
        <v>272</v>
      </c>
      <c r="E811" s="51" t="s">
        <v>273</v>
      </c>
      <c r="F811" s="51" t="s">
        <v>272</v>
      </c>
      <c r="G811" s="52" t="s">
        <v>272</v>
      </c>
      <c r="H811" s="43">
        <v>51606</v>
      </c>
      <c r="I811" s="43">
        <v>8270</v>
      </c>
      <c r="J811" s="43">
        <v>34277</v>
      </c>
      <c r="K811" s="43">
        <v>2138</v>
      </c>
      <c r="L811" s="43">
        <v>3406</v>
      </c>
      <c r="M811" s="43">
        <v>2721</v>
      </c>
      <c r="N811" s="43">
        <v>518</v>
      </c>
      <c r="O811" s="43">
        <v>276</v>
      </c>
      <c r="P811" s="44">
        <f>K811+L811+M811+N811+O811</f>
        <v>9059</v>
      </c>
      <c r="Q811" s="44">
        <f>I811+J811</f>
        <v>42547</v>
      </c>
      <c r="R811" s="43">
        <v>67379</v>
      </c>
      <c r="S811" s="43">
        <v>8982</v>
      </c>
      <c r="T811" s="43">
        <v>50141</v>
      </c>
      <c r="U811" s="43">
        <v>870</v>
      </c>
      <c r="V811" s="43">
        <v>750</v>
      </c>
      <c r="W811" s="43">
        <v>5442</v>
      </c>
      <c r="X811" s="43">
        <v>921</v>
      </c>
      <c r="Y811" s="43">
        <v>273</v>
      </c>
      <c r="Z811" s="45">
        <f>U811+V811+W811+X811+Y811</f>
        <v>8256</v>
      </c>
      <c r="AA811" s="45">
        <f>S811+T811</f>
        <v>59123</v>
      </c>
      <c r="AB811" s="46">
        <v>16.025268400000002</v>
      </c>
      <c r="AC811" s="46">
        <v>66.420571300000006</v>
      </c>
      <c r="AD811" s="46">
        <v>4.1429290999999999</v>
      </c>
      <c r="AE811" s="46">
        <v>6.6000078000000002</v>
      </c>
      <c r="AF811" s="46">
        <v>5.2726426999999996</v>
      </c>
      <c r="AG811" s="46">
        <v>1.0037593</v>
      </c>
      <c r="AH811" s="46">
        <v>0.53482149999999995</v>
      </c>
      <c r="AI811" s="47">
        <f>AB811+AC811</f>
        <v>82.445839700000008</v>
      </c>
      <c r="AJ811" s="47">
        <f>AD811+AE811+AF811+AG811+AH811</f>
        <v>17.554160399999997</v>
      </c>
      <c r="AK811" s="46">
        <v>13.3305629</v>
      </c>
      <c r="AL811" s="46">
        <v>74.416361199999997</v>
      </c>
      <c r="AM811" s="46">
        <v>1.2912034999999999</v>
      </c>
      <c r="AN811" s="46">
        <v>1.1131065</v>
      </c>
      <c r="AO811" s="46">
        <v>8.0767004999999994</v>
      </c>
      <c r="AP811" s="46">
        <v>1.3668947</v>
      </c>
      <c r="AQ811" s="46">
        <v>0.4051708</v>
      </c>
      <c r="AR811" s="48">
        <f>AK811+AL811</f>
        <v>87.746924100000001</v>
      </c>
      <c r="AS811" s="48">
        <f>AM811+AN811+AO811+AP811+AQ811</f>
        <v>12.253076</v>
      </c>
    </row>
    <row r="812" spans="2:45" ht="15" hidden="1" customHeight="1" x14ac:dyDescent="0.25">
      <c r="B812" s="35">
        <v>806</v>
      </c>
      <c r="C812" s="36" t="s">
        <v>31</v>
      </c>
      <c r="D812" s="36" t="s">
        <v>272</v>
      </c>
      <c r="E812" s="36" t="s">
        <v>273</v>
      </c>
      <c r="F812" s="36" t="s">
        <v>272</v>
      </c>
      <c r="G812" s="37" t="s">
        <v>25</v>
      </c>
      <c r="H812" s="38">
        <v>46764</v>
      </c>
      <c r="I812" s="38">
        <v>8252</v>
      </c>
      <c r="J812" s="38">
        <v>34147</v>
      </c>
      <c r="K812" s="38">
        <v>1426</v>
      </c>
      <c r="L812" s="38">
        <v>1565</v>
      </c>
      <c r="M812" s="38">
        <v>1139</v>
      </c>
      <c r="N812" s="38">
        <v>80</v>
      </c>
      <c r="O812" s="38">
        <v>155</v>
      </c>
      <c r="P812" s="38"/>
      <c r="Q812" s="38"/>
      <c r="R812" s="38">
        <v>60712</v>
      </c>
      <c r="S812" s="38">
        <v>8654</v>
      </c>
      <c r="T812" s="38">
        <v>49185</v>
      </c>
      <c r="U812" s="38">
        <v>538</v>
      </c>
      <c r="V812" s="38">
        <v>282</v>
      </c>
      <c r="W812" s="38">
        <v>1783</v>
      </c>
      <c r="X812" s="38">
        <v>113</v>
      </c>
      <c r="Y812" s="38">
        <v>157</v>
      </c>
      <c r="Z812" s="38"/>
      <c r="AA812" s="38"/>
      <c r="AB812" s="39">
        <v>17.6460525</v>
      </c>
      <c r="AC812" s="39">
        <v>73.019844300000003</v>
      </c>
      <c r="AD812" s="39">
        <v>3.0493541999999998</v>
      </c>
      <c r="AE812" s="39">
        <v>3.3465913999999999</v>
      </c>
      <c r="AF812" s="39">
        <v>2.4356342</v>
      </c>
      <c r="AG812" s="39">
        <v>0.1710718</v>
      </c>
      <c r="AH812" s="39">
        <v>0.33145150000000001</v>
      </c>
      <c r="AI812" s="39"/>
      <c r="AJ812" s="39"/>
      <c r="AK812" s="39">
        <v>14.2541837</v>
      </c>
      <c r="AL812" s="39">
        <v>81.013638200000003</v>
      </c>
      <c r="AM812" s="39">
        <v>0.88615100000000002</v>
      </c>
      <c r="AN812" s="39">
        <v>0.46448810000000001</v>
      </c>
      <c r="AO812" s="39">
        <v>2.9368164000000001</v>
      </c>
      <c r="AP812" s="39">
        <v>0.1861247</v>
      </c>
      <c r="AQ812" s="39">
        <v>0.25859799999999999</v>
      </c>
      <c r="AR812" s="40"/>
      <c r="AS812" s="40"/>
    </row>
    <row r="813" spans="2:45" ht="15" hidden="1" customHeight="1" x14ac:dyDescent="0.25">
      <c r="B813" s="35">
        <v>807</v>
      </c>
      <c r="C813" s="36" t="s">
        <v>31</v>
      </c>
      <c r="D813" s="36" t="s">
        <v>272</v>
      </c>
      <c r="E813" s="36" t="s">
        <v>273</v>
      </c>
      <c r="F813" s="36" t="s">
        <v>272</v>
      </c>
      <c r="G813" s="37" t="s">
        <v>26</v>
      </c>
      <c r="H813" s="38">
        <v>4842</v>
      </c>
      <c r="I813" s="38">
        <v>18</v>
      </c>
      <c r="J813" s="38">
        <v>130</v>
      </c>
      <c r="K813" s="38">
        <v>712</v>
      </c>
      <c r="L813" s="38">
        <v>1841</v>
      </c>
      <c r="M813" s="38">
        <v>1582</v>
      </c>
      <c r="N813" s="38">
        <v>438</v>
      </c>
      <c r="O813" s="38">
        <v>121</v>
      </c>
      <c r="P813" s="38"/>
      <c r="Q813" s="38"/>
      <c r="R813" s="38">
        <v>6667</v>
      </c>
      <c r="S813" s="38">
        <v>328</v>
      </c>
      <c r="T813" s="38">
        <v>956</v>
      </c>
      <c r="U813" s="38">
        <v>332</v>
      </c>
      <c r="V813" s="38">
        <v>468</v>
      </c>
      <c r="W813" s="38">
        <v>3659</v>
      </c>
      <c r="X813" s="38">
        <v>808</v>
      </c>
      <c r="Y813" s="38">
        <v>116</v>
      </c>
      <c r="Z813" s="38"/>
      <c r="AA813" s="38"/>
      <c r="AB813" s="39">
        <v>0.3717472</v>
      </c>
      <c r="AC813" s="39">
        <v>2.684841</v>
      </c>
      <c r="AD813" s="39">
        <v>14.704667499999999</v>
      </c>
      <c r="AE813" s="39">
        <v>38.021478700000003</v>
      </c>
      <c r="AF813" s="39">
        <v>32.672449399999998</v>
      </c>
      <c r="AG813" s="39">
        <v>9.0458487999999999</v>
      </c>
      <c r="AH813" s="39">
        <v>2.4989674000000002</v>
      </c>
      <c r="AI813" s="39"/>
      <c r="AJ813" s="39"/>
      <c r="AK813" s="39">
        <v>4.9197540000000002</v>
      </c>
      <c r="AL813" s="39">
        <v>14.339283</v>
      </c>
      <c r="AM813" s="39">
        <v>4.9797510000000003</v>
      </c>
      <c r="AN813" s="39">
        <v>7.0196490000000002</v>
      </c>
      <c r="AO813" s="39">
        <v>54.882255899999997</v>
      </c>
      <c r="AP813" s="39">
        <v>12.119394</v>
      </c>
      <c r="AQ813" s="39">
        <v>1.739913</v>
      </c>
      <c r="AR813" s="40"/>
      <c r="AS813" s="40"/>
    </row>
    <row r="814" spans="2:45" ht="15" customHeight="1" x14ac:dyDescent="0.25">
      <c r="B814" s="41">
        <v>808</v>
      </c>
      <c r="C814" s="42" t="s">
        <v>31</v>
      </c>
      <c r="D814" s="51" t="s">
        <v>272</v>
      </c>
      <c r="E814" s="51" t="s">
        <v>273</v>
      </c>
      <c r="F814" s="51" t="s">
        <v>274</v>
      </c>
      <c r="G814" s="52" t="s">
        <v>274</v>
      </c>
      <c r="H814" s="43">
        <v>7545</v>
      </c>
      <c r="I814" s="43">
        <v>39</v>
      </c>
      <c r="J814" s="43">
        <v>16</v>
      </c>
      <c r="K814" s="43">
        <v>1769</v>
      </c>
      <c r="L814" s="43">
        <v>3653</v>
      </c>
      <c r="M814" s="43">
        <v>1105</v>
      </c>
      <c r="N814" s="43">
        <v>697</v>
      </c>
      <c r="O814" s="43">
        <v>266</v>
      </c>
      <c r="P814" s="44">
        <f>K814+L814+M814+N814+O814</f>
        <v>7490</v>
      </c>
      <c r="Q814" s="44">
        <f>I814+J814</f>
        <v>55</v>
      </c>
      <c r="R814" s="43">
        <v>9796</v>
      </c>
      <c r="S814" s="43">
        <v>116</v>
      </c>
      <c r="T814" s="43">
        <v>159</v>
      </c>
      <c r="U814" s="43">
        <v>702</v>
      </c>
      <c r="V814" s="43">
        <v>1606</v>
      </c>
      <c r="W814" s="43">
        <v>5976</v>
      </c>
      <c r="X814" s="43">
        <v>1055</v>
      </c>
      <c r="Y814" s="43">
        <v>182</v>
      </c>
      <c r="Z814" s="45">
        <f>U814+V814+W814+X814+Y814</f>
        <v>9521</v>
      </c>
      <c r="AA814" s="45">
        <f>S814+T814</f>
        <v>275</v>
      </c>
      <c r="AB814" s="46">
        <v>0.51689859999999999</v>
      </c>
      <c r="AC814" s="46">
        <v>0.212061</v>
      </c>
      <c r="AD814" s="46">
        <v>23.445990699999999</v>
      </c>
      <c r="AE814" s="46">
        <v>48.416169600000003</v>
      </c>
      <c r="AF814" s="46">
        <v>14.6454606</v>
      </c>
      <c r="AG814" s="46">
        <v>9.2379058999999994</v>
      </c>
      <c r="AH814" s="46">
        <v>3.5255136</v>
      </c>
      <c r="AI814" s="47">
        <f>AB814+AC814</f>
        <v>0.72895960000000004</v>
      </c>
      <c r="AJ814" s="47">
        <f>AD814+AE814+AF814+AG814+AH814</f>
        <v>99.271040400000004</v>
      </c>
      <c r="AK814" s="46">
        <v>1.1841568</v>
      </c>
      <c r="AL814" s="46">
        <v>1.6231115</v>
      </c>
      <c r="AM814" s="46">
        <v>7.1661903000000002</v>
      </c>
      <c r="AN814" s="46">
        <v>16.3944467</v>
      </c>
      <c r="AO814" s="46">
        <v>61.004491600000001</v>
      </c>
      <c r="AP814" s="46">
        <v>10.769701899999999</v>
      </c>
      <c r="AQ814" s="46">
        <v>1.8579011999999999</v>
      </c>
      <c r="AR814" s="48">
        <f>AK814+AL814</f>
        <v>2.8072683</v>
      </c>
      <c r="AS814" s="48">
        <f>AM814+AN814+AO814+AP814+AQ814</f>
        <v>97.19273170000001</v>
      </c>
    </row>
    <row r="815" spans="2:45" ht="15" hidden="1" customHeight="1" x14ac:dyDescent="0.25">
      <c r="B815" s="35">
        <v>809</v>
      </c>
      <c r="C815" s="36" t="s">
        <v>31</v>
      </c>
      <c r="D815" s="36" t="s">
        <v>272</v>
      </c>
      <c r="E815" s="36" t="s">
        <v>273</v>
      </c>
      <c r="F815" s="36" t="s">
        <v>274</v>
      </c>
      <c r="G815" s="37" t="s">
        <v>25</v>
      </c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40"/>
      <c r="AS815" s="40"/>
    </row>
    <row r="816" spans="2:45" ht="15" hidden="1" customHeight="1" x14ac:dyDescent="0.25">
      <c r="B816" s="35">
        <v>810</v>
      </c>
      <c r="C816" s="36" t="s">
        <v>31</v>
      </c>
      <c r="D816" s="36" t="s">
        <v>272</v>
      </c>
      <c r="E816" s="36" t="s">
        <v>273</v>
      </c>
      <c r="F816" s="36" t="s">
        <v>274</v>
      </c>
      <c r="G816" s="37" t="s">
        <v>26</v>
      </c>
      <c r="H816" s="38">
        <v>7545</v>
      </c>
      <c r="I816" s="38">
        <v>39</v>
      </c>
      <c r="J816" s="38">
        <v>16</v>
      </c>
      <c r="K816" s="38">
        <v>1769</v>
      </c>
      <c r="L816" s="38">
        <v>3653</v>
      </c>
      <c r="M816" s="38">
        <v>1105</v>
      </c>
      <c r="N816" s="38">
        <v>697</v>
      </c>
      <c r="O816" s="38">
        <v>266</v>
      </c>
      <c r="P816" s="38"/>
      <c r="Q816" s="38"/>
      <c r="R816" s="38">
        <v>9796</v>
      </c>
      <c r="S816" s="38">
        <v>116</v>
      </c>
      <c r="T816" s="38">
        <v>159</v>
      </c>
      <c r="U816" s="38">
        <v>702</v>
      </c>
      <c r="V816" s="38">
        <v>1606</v>
      </c>
      <c r="W816" s="38">
        <v>5976</v>
      </c>
      <c r="X816" s="38">
        <v>1055</v>
      </c>
      <c r="Y816" s="38">
        <v>182</v>
      </c>
      <c r="Z816" s="38"/>
      <c r="AA816" s="38"/>
      <c r="AB816" s="39">
        <v>0.51689859999999999</v>
      </c>
      <c r="AC816" s="39">
        <v>0.212061</v>
      </c>
      <c r="AD816" s="39">
        <v>23.445990699999999</v>
      </c>
      <c r="AE816" s="39">
        <v>48.416169600000003</v>
      </c>
      <c r="AF816" s="39">
        <v>14.6454606</v>
      </c>
      <c r="AG816" s="39">
        <v>9.2379058999999994</v>
      </c>
      <c r="AH816" s="39">
        <v>3.5255136</v>
      </c>
      <c r="AI816" s="39"/>
      <c r="AJ816" s="39"/>
      <c r="AK816" s="39">
        <v>1.1841568</v>
      </c>
      <c r="AL816" s="39">
        <v>1.6231115</v>
      </c>
      <c r="AM816" s="39">
        <v>7.1661903000000002</v>
      </c>
      <c r="AN816" s="39">
        <v>16.3944467</v>
      </c>
      <c r="AO816" s="39">
        <v>61.004491600000001</v>
      </c>
      <c r="AP816" s="39">
        <v>10.769701899999999</v>
      </c>
      <c r="AQ816" s="39">
        <v>1.8579011999999999</v>
      </c>
      <c r="AR816" s="40"/>
      <c r="AS816" s="40"/>
    </row>
    <row r="817" spans="2:45" ht="15" customHeight="1" x14ac:dyDescent="0.25">
      <c r="B817" s="41">
        <v>811</v>
      </c>
      <c r="C817" s="42" t="s">
        <v>31</v>
      </c>
      <c r="D817" s="51" t="s">
        <v>272</v>
      </c>
      <c r="E817" s="51" t="s">
        <v>273</v>
      </c>
      <c r="F817" s="51" t="s">
        <v>275</v>
      </c>
      <c r="G817" s="52" t="s">
        <v>275</v>
      </c>
      <c r="H817" s="43">
        <v>2916</v>
      </c>
      <c r="I817" s="43">
        <v>43</v>
      </c>
      <c r="J817" s="43">
        <v>170</v>
      </c>
      <c r="K817" s="43">
        <v>422</v>
      </c>
      <c r="L817" s="43">
        <v>1011</v>
      </c>
      <c r="M817" s="43">
        <v>975</v>
      </c>
      <c r="N817" s="43">
        <v>240</v>
      </c>
      <c r="O817" s="43">
        <v>55</v>
      </c>
      <c r="P817" s="44">
        <f>K817+L817+M817+N817+O817</f>
        <v>2703</v>
      </c>
      <c r="Q817" s="44">
        <f>I817+J817</f>
        <v>213</v>
      </c>
      <c r="R817" s="43">
        <v>4191</v>
      </c>
      <c r="S817" s="43">
        <v>162</v>
      </c>
      <c r="T817" s="43">
        <v>153</v>
      </c>
      <c r="U817" s="43">
        <v>253</v>
      </c>
      <c r="V817" s="43">
        <v>325</v>
      </c>
      <c r="W817" s="43">
        <v>2862</v>
      </c>
      <c r="X817" s="43">
        <v>401</v>
      </c>
      <c r="Y817" s="43">
        <v>35</v>
      </c>
      <c r="Z817" s="45">
        <f>U817+V817+W817+X817+Y817</f>
        <v>3876</v>
      </c>
      <c r="AA817" s="45">
        <f>S817+T817</f>
        <v>315</v>
      </c>
      <c r="AB817" s="46">
        <v>1.4746227999999999</v>
      </c>
      <c r="AC817" s="46">
        <v>5.829904</v>
      </c>
      <c r="AD817" s="46">
        <v>14.471879299999999</v>
      </c>
      <c r="AE817" s="46">
        <v>34.670781900000001</v>
      </c>
      <c r="AF817" s="46">
        <v>33.436214</v>
      </c>
      <c r="AG817" s="46">
        <v>8.2304527000000007</v>
      </c>
      <c r="AH817" s="46">
        <v>1.8861454</v>
      </c>
      <c r="AI817" s="47">
        <f>AB817+AC817</f>
        <v>7.3045267999999997</v>
      </c>
      <c r="AJ817" s="47">
        <f>AD817+AE817+AF817+AG817+AH817</f>
        <v>92.695473300000003</v>
      </c>
      <c r="AK817" s="46">
        <v>3.8654259</v>
      </c>
      <c r="AL817" s="46">
        <v>3.6506799999999999</v>
      </c>
      <c r="AM817" s="46">
        <v>6.0367454</v>
      </c>
      <c r="AN817" s="46">
        <v>7.7547125000000001</v>
      </c>
      <c r="AO817" s="46">
        <v>68.289191099999996</v>
      </c>
      <c r="AP817" s="46">
        <v>9.5681221999999995</v>
      </c>
      <c r="AQ817" s="46">
        <v>0.8351229</v>
      </c>
      <c r="AR817" s="48">
        <f>AK817+AL817</f>
        <v>7.5161058999999995</v>
      </c>
      <c r="AS817" s="48">
        <f>AM817+AN817+AO817+AP817+AQ817</f>
        <v>92.483894100000001</v>
      </c>
    </row>
    <row r="818" spans="2:45" ht="15" hidden="1" customHeight="1" x14ac:dyDescent="0.25">
      <c r="B818" s="35">
        <v>812</v>
      </c>
      <c r="C818" s="36" t="s">
        <v>31</v>
      </c>
      <c r="D818" s="36" t="s">
        <v>272</v>
      </c>
      <c r="E818" s="36" t="s">
        <v>273</v>
      </c>
      <c r="F818" s="36" t="s">
        <v>275</v>
      </c>
      <c r="G818" s="37" t="s">
        <v>25</v>
      </c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40"/>
      <c r="AS818" s="40"/>
    </row>
    <row r="819" spans="2:45" ht="15" hidden="1" customHeight="1" x14ac:dyDescent="0.25">
      <c r="B819" s="35">
        <v>813</v>
      </c>
      <c r="C819" s="36" t="s">
        <v>31</v>
      </c>
      <c r="D819" s="36" t="s">
        <v>272</v>
      </c>
      <c r="E819" s="36" t="s">
        <v>273</v>
      </c>
      <c r="F819" s="36" t="s">
        <v>275</v>
      </c>
      <c r="G819" s="37" t="s">
        <v>26</v>
      </c>
      <c r="H819" s="38">
        <v>2916</v>
      </c>
      <c r="I819" s="38">
        <v>43</v>
      </c>
      <c r="J819" s="38">
        <v>170</v>
      </c>
      <c r="K819" s="38">
        <v>422</v>
      </c>
      <c r="L819" s="38">
        <v>1011</v>
      </c>
      <c r="M819" s="38">
        <v>975</v>
      </c>
      <c r="N819" s="38">
        <v>240</v>
      </c>
      <c r="O819" s="38">
        <v>55</v>
      </c>
      <c r="P819" s="38"/>
      <c r="Q819" s="38"/>
      <c r="R819" s="38">
        <v>4191</v>
      </c>
      <c r="S819" s="38">
        <v>162</v>
      </c>
      <c r="T819" s="38">
        <v>153</v>
      </c>
      <c r="U819" s="38">
        <v>253</v>
      </c>
      <c r="V819" s="38">
        <v>325</v>
      </c>
      <c r="W819" s="38">
        <v>2862</v>
      </c>
      <c r="X819" s="38">
        <v>401</v>
      </c>
      <c r="Y819" s="38">
        <v>35</v>
      </c>
      <c r="Z819" s="38"/>
      <c r="AA819" s="38"/>
      <c r="AB819" s="39">
        <v>1.4746227999999999</v>
      </c>
      <c r="AC819" s="39">
        <v>5.829904</v>
      </c>
      <c r="AD819" s="39">
        <v>14.471879299999999</v>
      </c>
      <c r="AE819" s="39">
        <v>34.670781900000001</v>
      </c>
      <c r="AF819" s="39">
        <v>33.436214</v>
      </c>
      <c r="AG819" s="39">
        <v>8.2304527000000007</v>
      </c>
      <c r="AH819" s="39">
        <v>1.8861454</v>
      </c>
      <c r="AI819" s="39"/>
      <c r="AJ819" s="39"/>
      <c r="AK819" s="39">
        <v>3.8654259</v>
      </c>
      <c r="AL819" s="39">
        <v>3.6506799999999999</v>
      </c>
      <c r="AM819" s="39">
        <v>6.0367454</v>
      </c>
      <c r="AN819" s="39">
        <v>7.7547125000000001</v>
      </c>
      <c r="AO819" s="39">
        <v>68.289191099999996</v>
      </c>
      <c r="AP819" s="39">
        <v>9.5681221999999995</v>
      </c>
      <c r="AQ819" s="39">
        <v>0.8351229</v>
      </c>
      <c r="AR819" s="40"/>
      <c r="AS819" s="40"/>
    </row>
    <row r="820" spans="2:45" ht="15" customHeight="1" x14ac:dyDescent="0.25">
      <c r="B820" s="41">
        <v>814</v>
      </c>
      <c r="C820" s="42" t="s">
        <v>31</v>
      </c>
      <c r="D820" s="51" t="s">
        <v>272</v>
      </c>
      <c r="E820" s="51" t="s">
        <v>273</v>
      </c>
      <c r="F820" s="51" t="s">
        <v>276</v>
      </c>
      <c r="G820" s="52" t="s">
        <v>276</v>
      </c>
      <c r="H820" s="43">
        <v>1102</v>
      </c>
      <c r="I820" s="43">
        <v>0</v>
      </c>
      <c r="J820" s="43">
        <v>1</v>
      </c>
      <c r="K820" s="43">
        <v>123</v>
      </c>
      <c r="L820" s="43">
        <v>65</v>
      </c>
      <c r="M820" s="43">
        <v>755</v>
      </c>
      <c r="N820" s="43">
        <v>129</v>
      </c>
      <c r="O820" s="43">
        <v>29</v>
      </c>
      <c r="P820" s="44">
        <f>K820+L820+M820+N820+O820</f>
        <v>1101</v>
      </c>
      <c r="Q820" s="44">
        <f>I820+J820</f>
        <v>1</v>
      </c>
      <c r="R820" s="43">
        <v>1221</v>
      </c>
      <c r="S820" s="43">
        <v>9</v>
      </c>
      <c r="T820" s="43">
        <v>2</v>
      </c>
      <c r="U820" s="43">
        <v>51</v>
      </c>
      <c r="V820" s="43">
        <v>15</v>
      </c>
      <c r="W820" s="43">
        <v>950</v>
      </c>
      <c r="X820" s="43">
        <v>158</v>
      </c>
      <c r="Y820" s="43">
        <v>36</v>
      </c>
      <c r="Z820" s="45">
        <f>U820+V820+W820+X820+Y820</f>
        <v>1210</v>
      </c>
      <c r="AA820" s="45">
        <f>S820+T820</f>
        <v>11</v>
      </c>
      <c r="AB820" s="46">
        <v>0</v>
      </c>
      <c r="AC820" s="46">
        <v>9.0744099999999994E-2</v>
      </c>
      <c r="AD820" s="46">
        <v>11.161524500000001</v>
      </c>
      <c r="AE820" s="46">
        <v>5.8983666000000001</v>
      </c>
      <c r="AF820" s="46">
        <v>68.511796700000005</v>
      </c>
      <c r="AG820" s="46">
        <v>11.7059891</v>
      </c>
      <c r="AH820" s="46">
        <v>2.6315789000000001</v>
      </c>
      <c r="AI820" s="47">
        <f>AB820+AC820</f>
        <v>9.0744099999999994E-2</v>
      </c>
      <c r="AJ820" s="47">
        <f>AD820+AE820+AF820+AG820+AH820</f>
        <v>99.909255799999997</v>
      </c>
      <c r="AK820" s="46">
        <v>0.73710070000000005</v>
      </c>
      <c r="AL820" s="46">
        <v>0.16380020000000001</v>
      </c>
      <c r="AM820" s="46">
        <v>4.1769042000000001</v>
      </c>
      <c r="AN820" s="46">
        <v>1.2285012</v>
      </c>
      <c r="AO820" s="46">
        <v>77.805077800000007</v>
      </c>
      <c r="AP820" s="46">
        <v>12.940212900000001</v>
      </c>
      <c r="AQ820" s="46">
        <v>2.9484029</v>
      </c>
      <c r="AR820" s="48">
        <f>AK820+AL820</f>
        <v>0.90090090000000012</v>
      </c>
      <c r="AS820" s="48">
        <f>AM820+AN820+AO820+AP820+AQ820</f>
        <v>99.099099000000024</v>
      </c>
    </row>
    <row r="821" spans="2:45" ht="15" hidden="1" customHeight="1" x14ac:dyDescent="0.25">
      <c r="B821" s="35">
        <v>815</v>
      </c>
      <c r="C821" s="36" t="s">
        <v>31</v>
      </c>
      <c r="D821" s="36" t="s">
        <v>272</v>
      </c>
      <c r="E821" s="36" t="s">
        <v>273</v>
      </c>
      <c r="F821" s="36" t="s">
        <v>276</v>
      </c>
      <c r="G821" s="37" t="s">
        <v>25</v>
      </c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40"/>
      <c r="AS821" s="40"/>
    </row>
    <row r="822" spans="2:45" ht="15" hidden="1" customHeight="1" x14ac:dyDescent="0.25">
      <c r="B822" s="35">
        <v>816</v>
      </c>
      <c r="C822" s="36" t="s">
        <v>31</v>
      </c>
      <c r="D822" s="36" t="s">
        <v>272</v>
      </c>
      <c r="E822" s="36" t="s">
        <v>273</v>
      </c>
      <c r="F822" s="36" t="s">
        <v>276</v>
      </c>
      <c r="G822" s="37" t="s">
        <v>26</v>
      </c>
      <c r="H822" s="38">
        <v>1102</v>
      </c>
      <c r="I822" s="38">
        <v>0</v>
      </c>
      <c r="J822" s="38">
        <v>1</v>
      </c>
      <c r="K822" s="38">
        <v>123</v>
      </c>
      <c r="L822" s="38">
        <v>65</v>
      </c>
      <c r="M822" s="38">
        <v>755</v>
      </c>
      <c r="N822" s="38">
        <v>129</v>
      </c>
      <c r="O822" s="38">
        <v>29</v>
      </c>
      <c r="P822" s="38"/>
      <c r="Q822" s="38"/>
      <c r="R822" s="38">
        <v>1221</v>
      </c>
      <c r="S822" s="38">
        <v>9</v>
      </c>
      <c r="T822" s="38">
        <v>2</v>
      </c>
      <c r="U822" s="38">
        <v>51</v>
      </c>
      <c r="V822" s="38">
        <v>15</v>
      </c>
      <c r="W822" s="38">
        <v>950</v>
      </c>
      <c r="X822" s="38">
        <v>158</v>
      </c>
      <c r="Y822" s="38">
        <v>36</v>
      </c>
      <c r="Z822" s="38"/>
      <c r="AA822" s="38"/>
      <c r="AB822" s="39">
        <v>0</v>
      </c>
      <c r="AC822" s="39">
        <v>9.0744099999999994E-2</v>
      </c>
      <c r="AD822" s="39">
        <v>11.161524500000001</v>
      </c>
      <c r="AE822" s="39">
        <v>5.8983666000000001</v>
      </c>
      <c r="AF822" s="39">
        <v>68.511796700000005</v>
      </c>
      <c r="AG822" s="39">
        <v>11.7059891</v>
      </c>
      <c r="AH822" s="39">
        <v>2.6315789000000001</v>
      </c>
      <c r="AI822" s="39"/>
      <c r="AJ822" s="39"/>
      <c r="AK822" s="39">
        <v>0.73710070000000005</v>
      </c>
      <c r="AL822" s="39">
        <v>0.16380020000000001</v>
      </c>
      <c r="AM822" s="39">
        <v>4.1769042000000001</v>
      </c>
      <c r="AN822" s="39">
        <v>1.2285012</v>
      </c>
      <c r="AO822" s="39">
        <v>77.805077800000007</v>
      </c>
      <c r="AP822" s="39">
        <v>12.940212900000001</v>
      </c>
      <c r="AQ822" s="39">
        <v>2.9484029</v>
      </c>
      <c r="AR822" s="40"/>
      <c r="AS822" s="40"/>
    </row>
    <row r="823" spans="2:45" ht="15" hidden="1" customHeight="1" x14ac:dyDescent="0.25">
      <c r="B823" s="30">
        <v>817</v>
      </c>
      <c r="C823" s="31" t="s">
        <v>29</v>
      </c>
      <c r="D823" s="50" t="s">
        <v>272</v>
      </c>
      <c r="E823" s="50" t="s">
        <v>277</v>
      </c>
      <c r="F823" s="50"/>
      <c r="G823" s="31" t="s">
        <v>277</v>
      </c>
      <c r="H823" s="32">
        <v>25965</v>
      </c>
      <c r="I823" s="32">
        <v>1420</v>
      </c>
      <c r="J823" s="32">
        <v>10049</v>
      </c>
      <c r="K823" s="32">
        <v>1632</v>
      </c>
      <c r="L823" s="32">
        <v>9183</v>
      </c>
      <c r="M823" s="32">
        <v>2542</v>
      </c>
      <c r="N823" s="32">
        <v>812</v>
      </c>
      <c r="O823" s="32">
        <v>327</v>
      </c>
      <c r="P823" s="32"/>
      <c r="Q823" s="32"/>
      <c r="R823" s="32">
        <v>33144</v>
      </c>
      <c r="S823" s="32">
        <v>2880</v>
      </c>
      <c r="T823" s="32">
        <v>14406</v>
      </c>
      <c r="U823" s="32">
        <v>426</v>
      </c>
      <c r="V823" s="32">
        <v>2319</v>
      </c>
      <c r="W823" s="32">
        <v>11687</v>
      </c>
      <c r="X823" s="32">
        <v>1216</v>
      </c>
      <c r="Y823" s="32">
        <v>210</v>
      </c>
      <c r="Z823" s="32"/>
      <c r="AA823" s="32"/>
      <c r="AB823" s="33">
        <v>5.4689003999999999</v>
      </c>
      <c r="AC823" s="33">
        <v>38.702098999999997</v>
      </c>
      <c r="AD823" s="33">
        <v>6.2853842000000002</v>
      </c>
      <c r="AE823" s="33">
        <v>35.366840000000003</v>
      </c>
      <c r="AF823" s="33">
        <v>9.7901021000000004</v>
      </c>
      <c r="AG823" s="33">
        <v>3.1272867</v>
      </c>
      <c r="AH823" s="33">
        <v>1.2593875999999999</v>
      </c>
      <c r="AI823" s="33"/>
      <c r="AJ823" s="33"/>
      <c r="AK823" s="33">
        <v>8.6893554999999996</v>
      </c>
      <c r="AL823" s="33">
        <v>43.4648805</v>
      </c>
      <c r="AM823" s="33">
        <v>1.2853005</v>
      </c>
      <c r="AN823" s="33">
        <v>6.9967414999999997</v>
      </c>
      <c r="AO823" s="33">
        <v>35.261284099999997</v>
      </c>
      <c r="AP823" s="33">
        <v>3.6688390000000002</v>
      </c>
      <c r="AQ823" s="33">
        <v>0.63359880000000002</v>
      </c>
      <c r="AR823" s="34"/>
      <c r="AS823" s="34"/>
    </row>
    <row r="824" spans="2:45" ht="15" hidden="1" customHeight="1" x14ac:dyDescent="0.25">
      <c r="B824" s="35">
        <v>818</v>
      </c>
      <c r="C824" s="36" t="s">
        <v>29</v>
      </c>
      <c r="D824" s="36" t="s">
        <v>272</v>
      </c>
      <c r="E824" s="36" t="s">
        <v>277</v>
      </c>
      <c r="F824" s="36"/>
      <c r="G824" s="37" t="s">
        <v>25</v>
      </c>
      <c r="H824" s="38">
        <v>14008</v>
      </c>
      <c r="I824" s="38">
        <v>1352</v>
      </c>
      <c r="J824" s="38">
        <v>9241</v>
      </c>
      <c r="K824" s="38">
        <v>431</v>
      </c>
      <c r="L824" s="38">
        <v>2492</v>
      </c>
      <c r="M824" s="38">
        <v>406</v>
      </c>
      <c r="N824" s="38">
        <v>34</v>
      </c>
      <c r="O824" s="38">
        <v>52</v>
      </c>
      <c r="P824" s="38"/>
      <c r="Q824" s="38"/>
      <c r="R824" s="38">
        <v>19003</v>
      </c>
      <c r="S824" s="38">
        <v>2671</v>
      </c>
      <c r="T824" s="38">
        <v>13474</v>
      </c>
      <c r="U824" s="38">
        <v>164</v>
      </c>
      <c r="V824" s="38">
        <v>539</v>
      </c>
      <c r="W824" s="38">
        <v>2000</v>
      </c>
      <c r="X824" s="38">
        <v>71</v>
      </c>
      <c r="Y824" s="38">
        <v>84</v>
      </c>
      <c r="Z824" s="38"/>
      <c r="AA824" s="38"/>
      <c r="AB824" s="39">
        <v>9.6516275999999994</v>
      </c>
      <c r="AC824" s="39">
        <v>65.969446000000005</v>
      </c>
      <c r="AD824" s="39">
        <v>3.0768132000000001</v>
      </c>
      <c r="AE824" s="39">
        <v>17.7898344</v>
      </c>
      <c r="AF824" s="39">
        <v>2.8983438000000001</v>
      </c>
      <c r="AG824" s="39">
        <v>0.2427184</v>
      </c>
      <c r="AH824" s="39">
        <v>0.3712164</v>
      </c>
      <c r="AI824" s="39"/>
      <c r="AJ824" s="39"/>
      <c r="AK824" s="39">
        <v>14.0556754</v>
      </c>
      <c r="AL824" s="39">
        <v>70.904594000000003</v>
      </c>
      <c r="AM824" s="39">
        <v>0.86302160000000006</v>
      </c>
      <c r="AN824" s="39">
        <v>2.8363942999999998</v>
      </c>
      <c r="AO824" s="39">
        <v>10.524654</v>
      </c>
      <c r="AP824" s="39">
        <v>0.37362519999999999</v>
      </c>
      <c r="AQ824" s="39">
        <v>0.44203550000000003</v>
      </c>
      <c r="AR824" s="40"/>
      <c r="AS824" s="40"/>
    </row>
    <row r="825" spans="2:45" ht="15" hidden="1" customHeight="1" x14ac:dyDescent="0.25">
      <c r="B825" s="35">
        <v>819</v>
      </c>
      <c r="C825" s="36" t="s">
        <v>29</v>
      </c>
      <c r="D825" s="36" t="s">
        <v>272</v>
      </c>
      <c r="E825" s="36" t="s">
        <v>277</v>
      </c>
      <c r="F825" s="36"/>
      <c r="G825" s="37" t="s">
        <v>26</v>
      </c>
      <c r="H825" s="38">
        <v>11957</v>
      </c>
      <c r="I825" s="38">
        <v>68</v>
      </c>
      <c r="J825" s="38">
        <v>808</v>
      </c>
      <c r="K825" s="38">
        <v>1201</v>
      </c>
      <c r="L825" s="38">
        <v>6691</v>
      </c>
      <c r="M825" s="38">
        <v>2136</v>
      </c>
      <c r="N825" s="38">
        <v>778</v>
      </c>
      <c r="O825" s="38">
        <v>275</v>
      </c>
      <c r="P825" s="38"/>
      <c r="Q825" s="38"/>
      <c r="R825" s="38">
        <v>14141</v>
      </c>
      <c r="S825" s="38">
        <v>209</v>
      </c>
      <c r="T825" s="38">
        <v>932</v>
      </c>
      <c r="U825" s="38">
        <v>262</v>
      </c>
      <c r="V825" s="38">
        <v>1780</v>
      </c>
      <c r="W825" s="38">
        <v>9687</v>
      </c>
      <c r="X825" s="38">
        <v>1145</v>
      </c>
      <c r="Y825" s="38">
        <v>126</v>
      </c>
      <c r="Z825" s="38"/>
      <c r="AA825" s="38"/>
      <c r="AB825" s="39">
        <v>0.56870449999999995</v>
      </c>
      <c r="AC825" s="39">
        <v>6.7575478999999996</v>
      </c>
      <c r="AD825" s="39">
        <v>10.044325499999999</v>
      </c>
      <c r="AE825" s="39">
        <v>55.9588526</v>
      </c>
      <c r="AF825" s="39">
        <v>17.8640127</v>
      </c>
      <c r="AG825" s="39">
        <v>6.5066487999999998</v>
      </c>
      <c r="AH825" s="39">
        <v>2.2999079999999998</v>
      </c>
      <c r="AI825" s="39"/>
      <c r="AJ825" s="39"/>
      <c r="AK825" s="39">
        <v>1.4779719</v>
      </c>
      <c r="AL825" s="39">
        <v>6.5907644000000003</v>
      </c>
      <c r="AM825" s="39">
        <v>1.8527685</v>
      </c>
      <c r="AN825" s="39">
        <v>12.5875115</v>
      </c>
      <c r="AO825" s="39">
        <v>68.502934699999997</v>
      </c>
      <c r="AP825" s="39">
        <v>8.0970227999999995</v>
      </c>
      <c r="AQ825" s="39">
        <v>0.89102610000000004</v>
      </c>
      <c r="AR825" s="40"/>
      <c r="AS825" s="40"/>
    </row>
    <row r="826" spans="2:45" ht="15" customHeight="1" x14ac:dyDescent="0.25">
      <c r="B826" s="41">
        <v>820</v>
      </c>
      <c r="C826" s="42" t="s">
        <v>31</v>
      </c>
      <c r="D826" s="51" t="s">
        <v>272</v>
      </c>
      <c r="E826" s="51" t="s">
        <v>277</v>
      </c>
      <c r="F826" s="51" t="s">
        <v>278</v>
      </c>
      <c r="G826" s="52" t="s">
        <v>278</v>
      </c>
      <c r="H826" s="43">
        <v>6620</v>
      </c>
      <c r="I826" s="43">
        <v>161</v>
      </c>
      <c r="J826" s="43">
        <v>1356</v>
      </c>
      <c r="K826" s="43">
        <v>373</v>
      </c>
      <c r="L826" s="43">
        <v>3227</v>
      </c>
      <c r="M826" s="43">
        <v>1067</v>
      </c>
      <c r="N826" s="43">
        <v>337</v>
      </c>
      <c r="O826" s="43">
        <v>99</v>
      </c>
      <c r="P826" s="44">
        <f>K826+L826+M826+N826+O826</f>
        <v>5103</v>
      </c>
      <c r="Q826" s="44">
        <f>I826+J826</f>
        <v>1517</v>
      </c>
      <c r="R826" s="43">
        <v>8437</v>
      </c>
      <c r="S826" s="43">
        <v>454</v>
      </c>
      <c r="T826" s="43">
        <v>2928</v>
      </c>
      <c r="U826" s="43">
        <v>82</v>
      </c>
      <c r="V826" s="43">
        <v>602</v>
      </c>
      <c r="W826" s="43">
        <v>3922</v>
      </c>
      <c r="X826" s="43">
        <v>412</v>
      </c>
      <c r="Y826" s="43">
        <v>37</v>
      </c>
      <c r="Z826" s="45">
        <f>U826+V826+W826+X826+Y826</f>
        <v>5055</v>
      </c>
      <c r="AA826" s="45">
        <f>S826+T826</f>
        <v>3382</v>
      </c>
      <c r="AB826" s="46">
        <v>2.4320241999999999</v>
      </c>
      <c r="AC826" s="46">
        <v>20.483383700000001</v>
      </c>
      <c r="AD826" s="46">
        <v>5.6344411000000001</v>
      </c>
      <c r="AE826" s="46">
        <v>48.7462236</v>
      </c>
      <c r="AF826" s="46">
        <v>16.117824800000001</v>
      </c>
      <c r="AG826" s="46">
        <v>5.0906343999999999</v>
      </c>
      <c r="AH826" s="46">
        <v>1.4954683</v>
      </c>
      <c r="AI826" s="47">
        <f>AB826+AC826</f>
        <v>22.915407900000002</v>
      </c>
      <c r="AJ826" s="47">
        <f>AD826+AE826+AF826+AG826+AH826</f>
        <v>77.084592200000003</v>
      </c>
      <c r="AK826" s="46">
        <v>5.3810596000000004</v>
      </c>
      <c r="AL826" s="46">
        <v>34.704278799999997</v>
      </c>
      <c r="AM826" s="46">
        <v>0.97190940000000003</v>
      </c>
      <c r="AN826" s="46">
        <v>7.1352376</v>
      </c>
      <c r="AO826" s="46">
        <v>46.485717700000002</v>
      </c>
      <c r="AP826" s="46">
        <v>4.8832522999999997</v>
      </c>
      <c r="AQ826" s="46">
        <v>0.4385445</v>
      </c>
      <c r="AR826" s="48">
        <f>AK826+AL826</f>
        <v>40.085338399999998</v>
      </c>
      <c r="AS826" s="48">
        <f>AM826+AN826+AO826+AP826+AQ826</f>
        <v>59.914661500000001</v>
      </c>
    </row>
    <row r="827" spans="2:45" ht="15" hidden="1" customHeight="1" x14ac:dyDescent="0.25">
      <c r="B827" s="35">
        <v>821</v>
      </c>
      <c r="C827" s="36" t="s">
        <v>31</v>
      </c>
      <c r="D827" s="36" t="s">
        <v>272</v>
      </c>
      <c r="E827" s="36" t="s">
        <v>277</v>
      </c>
      <c r="F827" s="36" t="s">
        <v>278</v>
      </c>
      <c r="G827" s="37" t="s">
        <v>25</v>
      </c>
      <c r="H827" s="38">
        <v>2825</v>
      </c>
      <c r="I827" s="38">
        <v>141</v>
      </c>
      <c r="J827" s="38">
        <v>1350</v>
      </c>
      <c r="K827" s="38">
        <v>153</v>
      </c>
      <c r="L827" s="38">
        <v>973</v>
      </c>
      <c r="M827" s="38">
        <v>186</v>
      </c>
      <c r="N827" s="38">
        <v>12</v>
      </c>
      <c r="O827" s="38">
        <v>10</v>
      </c>
      <c r="P827" s="38"/>
      <c r="Q827" s="38"/>
      <c r="R827" s="38">
        <v>3551</v>
      </c>
      <c r="S827" s="38">
        <v>348</v>
      </c>
      <c r="T827" s="38">
        <v>2664</v>
      </c>
      <c r="U827" s="38">
        <v>31</v>
      </c>
      <c r="V827" s="38">
        <v>112</v>
      </c>
      <c r="W827" s="38">
        <v>368</v>
      </c>
      <c r="X827" s="38">
        <v>14</v>
      </c>
      <c r="Y827" s="38">
        <v>14</v>
      </c>
      <c r="Z827" s="38"/>
      <c r="AA827" s="38"/>
      <c r="AB827" s="39">
        <v>4.9911504000000004</v>
      </c>
      <c r="AC827" s="39">
        <v>47.787610600000001</v>
      </c>
      <c r="AD827" s="39">
        <v>5.4159291999999999</v>
      </c>
      <c r="AE827" s="39">
        <v>34.4424779</v>
      </c>
      <c r="AF827" s="39">
        <v>6.5840708000000001</v>
      </c>
      <c r="AG827" s="39">
        <v>0.42477880000000001</v>
      </c>
      <c r="AH827" s="39">
        <v>0.35398230000000003</v>
      </c>
      <c r="AI827" s="39"/>
      <c r="AJ827" s="39"/>
      <c r="AK827" s="39">
        <v>9.8000562999999996</v>
      </c>
      <c r="AL827" s="39">
        <v>75.021120800000006</v>
      </c>
      <c r="AM827" s="39">
        <v>0.87299349999999998</v>
      </c>
      <c r="AN827" s="39">
        <v>3.1540411000000002</v>
      </c>
      <c r="AO827" s="39">
        <v>10.3632779</v>
      </c>
      <c r="AP827" s="39">
        <v>0.39425510000000002</v>
      </c>
      <c r="AQ827" s="39">
        <v>0.39425510000000002</v>
      </c>
      <c r="AR827" s="40"/>
      <c r="AS827" s="40"/>
    </row>
    <row r="828" spans="2:45" ht="15" hidden="1" customHeight="1" x14ac:dyDescent="0.25">
      <c r="B828" s="35">
        <v>822</v>
      </c>
      <c r="C828" s="36" t="s">
        <v>31</v>
      </c>
      <c r="D828" s="36" t="s">
        <v>272</v>
      </c>
      <c r="E828" s="36" t="s">
        <v>277</v>
      </c>
      <c r="F828" s="36" t="s">
        <v>278</v>
      </c>
      <c r="G828" s="37" t="s">
        <v>26</v>
      </c>
      <c r="H828" s="38">
        <v>3795</v>
      </c>
      <c r="I828" s="38">
        <v>20</v>
      </c>
      <c r="J828" s="38">
        <v>6</v>
      </c>
      <c r="K828" s="38">
        <v>220</v>
      </c>
      <c r="L828" s="38">
        <v>2254</v>
      </c>
      <c r="M828" s="38">
        <v>881</v>
      </c>
      <c r="N828" s="38">
        <v>325</v>
      </c>
      <c r="O828" s="38">
        <v>89</v>
      </c>
      <c r="P828" s="38"/>
      <c r="Q828" s="38"/>
      <c r="R828" s="38">
        <v>4886</v>
      </c>
      <c r="S828" s="38">
        <v>106</v>
      </c>
      <c r="T828" s="38">
        <v>264</v>
      </c>
      <c r="U828" s="38">
        <v>51</v>
      </c>
      <c r="V828" s="38">
        <v>490</v>
      </c>
      <c r="W828" s="38">
        <v>3554</v>
      </c>
      <c r="X828" s="38">
        <v>398</v>
      </c>
      <c r="Y828" s="38">
        <v>23</v>
      </c>
      <c r="Z828" s="38"/>
      <c r="AA828" s="38"/>
      <c r="AB828" s="39">
        <v>0.52700919999999996</v>
      </c>
      <c r="AC828" s="39">
        <v>0.15810279999999999</v>
      </c>
      <c r="AD828" s="39">
        <v>5.7971013999999998</v>
      </c>
      <c r="AE828" s="39">
        <v>59.393939400000001</v>
      </c>
      <c r="AF828" s="39">
        <v>23.214756300000001</v>
      </c>
      <c r="AG828" s="39">
        <v>8.5638998999999991</v>
      </c>
      <c r="AH828" s="39">
        <v>2.3451909999999998</v>
      </c>
      <c r="AI828" s="39"/>
      <c r="AJ828" s="39"/>
      <c r="AK828" s="39">
        <v>2.1694637999999999</v>
      </c>
      <c r="AL828" s="39">
        <v>5.4031928000000002</v>
      </c>
      <c r="AM828" s="39">
        <v>1.0437985999999999</v>
      </c>
      <c r="AN828" s="39">
        <v>10.0286533</v>
      </c>
      <c r="AO828" s="39">
        <v>72.738436300000004</v>
      </c>
      <c r="AP828" s="39">
        <v>8.1457224999999998</v>
      </c>
      <c r="AQ828" s="39">
        <v>0.4707327</v>
      </c>
      <c r="AR828" s="40"/>
      <c r="AS828" s="40"/>
    </row>
    <row r="829" spans="2:45" ht="15" customHeight="1" x14ac:dyDescent="0.25">
      <c r="B829" s="41">
        <v>823</v>
      </c>
      <c r="C829" s="42" t="s">
        <v>31</v>
      </c>
      <c r="D829" s="51" t="s">
        <v>272</v>
      </c>
      <c r="E829" s="51" t="s">
        <v>277</v>
      </c>
      <c r="F829" s="51" t="s">
        <v>279</v>
      </c>
      <c r="G829" s="52" t="s">
        <v>279</v>
      </c>
      <c r="H829" s="43">
        <v>4667</v>
      </c>
      <c r="I829" s="43">
        <v>70</v>
      </c>
      <c r="J829" s="43">
        <v>1120</v>
      </c>
      <c r="K829" s="43">
        <v>581</v>
      </c>
      <c r="L829" s="43">
        <v>2060</v>
      </c>
      <c r="M829" s="43">
        <v>536</v>
      </c>
      <c r="N829" s="43">
        <v>255</v>
      </c>
      <c r="O829" s="43">
        <v>45</v>
      </c>
      <c r="P829" s="44">
        <f>K829+L829+M829+N829+O829</f>
        <v>3477</v>
      </c>
      <c r="Q829" s="44">
        <f>I829+J829</f>
        <v>1190</v>
      </c>
      <c r="R829" s="43">
        <v>5658</v>
      </c>
      <c r="S829" s="43">
        <v>194</v>
      </c>
      <c r="T829" s="43">
        <v>1018</v>
      </c>
      <c r="U829" s="43">
        <v>138</v>
      </c>
      <c r="V829" s="43">
        <v>612</v>
      </c>
      <c r="W829" s="43">
        <v>3262</v>
      </c>
      <c r="X829" s="43">
        <v>369</v>
      </c>
      <c r="Y829" s="43">
        <v>65</v>
      </c>
      <c r="Z829" s="45">
        <f>U829+V829+W829+X829+Y829</f>
        <v>4446</v>
      </c>
      <c r="AA829" s="45">
        <f>S829+T829</f>
        <v>1212</v>
      </c>
      <c r="AB829" s="46">
        <v>1.4998929000000001</v>
      </c>
      <c r="AC829" s="46">
        <v>23.998285800000001</v>
      </c>
      <c r="AD829" s="46">
        <v>12.4491108</v>
      </c>
      <c r="AE829" s="46">
        <v>44.139704299999998</v>
      </c>
      <c r="AF829" s="46">
        <v>11.484893899999999</v>
      </c>
      <c r="AG829" s="46">
        <v>5.4638954000000002</v>
      </c>
      <c r="AH829" s="46">
        <v>0.96421679999999999</v>
      </c>
      <c r="AI829" s="47">
        <f>AB829+AC829</f>
        <v>25.4981787</v>
      </c>
      <c r="AJ829" s="47">
        <f>AD829+AE829+AF829+AG829+AH829</f>
        <v>74.501821199999995</v>
      </c>
      <c r="AK829" s="46">
        <v>3.4287733999999999</v>
      </c>
      <c r="AL829" s="46">
        <v>17.9922234</v>
      </c>
      <c r="AM829" s="46">
        <v>2.4390244000000001</v>
      </c>
      <c r="AN829" s="46">
        <v>10.8165429</v>
      </c>
      <c r="AO829" s="46">
        <v>57.6528809</v>
      </c>
      <c r="AP829" s="46">
        <v>6.5217390999999996</v>
      </c>
      <c r="AQ829" s="46">
        <v>1.1488157999999999</v>
      </c>
      <c r="AR829" s="48">
        <f>AK829+AL829</f>
        <v>21.420996800000001</v>
      </c>
      <c r="AS829" s="48">
        <f>AM829+AN829+AO829+AP829+AQ829</f>
        <v>78.579003099999994</v>
      </c>
    </row>
    <row r="830" spans="2:45" ht="15" hidden="1" customHeight="1" x14ac:dyDescent="0.25">
      <c r="B830" s="35">
        <v>824</v>
      </c>
      <c r="C830" s="36" t="s">
        <v>31</v>
      </c>
      <c r="D830" s="36" t="s">
        <v>272</v>
      </c>
      <c r="E830" s="36" t="s">
        <v>277</v>
      </c>
      <c r="F830" s="36" t="s">
        <v>279</v>
      </c>
      <c r="G830" s="37" t="s">
        <v>25</v>
      </c>
      <c r="H830" s="38">
        <v>810</v>
      </c>
      <c r="I830" s="38">
        <v>49</v>
      </c>
      <c r="J830" s="38">
        <v>690</v>
      </c>
      <c r="K830" s="38">
        <v>4</v>
      </c>
      <c r="L830" s="38">
        <v>53</v>
      </c>
      <c r="M830" s="38">
        <v>8</v>
      </c>
      <c r="N830" s="38">
        <v>3</v>
      </c>
      <c r="O830" s="38">
        <v>3</v>
      </c>
      <c r="P830" s="38"/>
      <c r="Q830" s="38"/>
      <c r="R830" s="38">
        <v>1044</v>
      </c>
      <c r="S830" s="38">
        <v>121</v>
      </c>
      <c r="T830" s="38">
        <v>365</v>
      </c>
      <c r="U830" s="38">
        <v>19</v>
      </c>
      <c r="V830" s="38">
        <v>89</v>
      </c>
      <c r="W830" s="38">
        <v>420</v>
      </c>
      <c r="X830" s="38">
        <v>12</v>
      </c>
      <c r="Y830" s="38">
        <v>18</v>
      </c>
      <c r="Z830" s="38"/>
      <c r="AA830" s="38"/>
      <c r="AB830" s="39">
        <v>6.0493826999999998</v>
      </c>
      <c r="AC830" s="39">
        <v>85.185185200000006</v>
      </c>
      <c r="AD830" s="39">
        <v>0.49382720000000002</v>
      </c>
      <c r="AE830" s="39">
        <v>6.5432098999999999</v>
      </c>
      <c r="AF830" s="39">
        <v>0.98765429999999999</v>
      </c>
      <c r="AG830" s="39">
        <v>0.37037039999999999</v>
      </c>
      <c r="AH830" s="39">
        <v>0.37037039999999999</v>
      </c>
      <c r="AI830" s="39"/>
      <c r="AJ830" s="39"/>
      <c r="AK830" s="39">
        <v>11.5900383</v>
      </c>
      <c r="AL830" s="39">
        <v>34.961685799999998</v>
      </c>
      <c r="AM830" s="39">
        <v>1.8199234</v>
      </c>
      <c r="AN830" s="39">
        <v>8.5249041999999999</v>
      </c>
      <c r="AO830" s="39">
        <v>40.229885099999997</v>
      </c>
      <c r="AP830" s="39">
        <v>1.1494253000000001</v>
      </c>
      <c r="AQ830" s="39">
        <v>1.7241378999999999</v>
      </c>
      <c r="AR830" s="40"/>
      <c r="AS830" s="40"/>
    </row>
    <row r="831" spans="2:45" ht="15" hidden="1" customHeight="1" x14ac:dyDescent="0.25">
      <c r="B831" s="35">
        <v>825</v>
      </c>
      <c r="C831" s="36" t="s">
        <v>31</v>
      </c>
      <c r="D831" s="36" t="s">
        <v>272</v>
      </c>
      <c r="E831" s="36" t="s">
        <v>277</v>
      </c>
      <c r="F831" s="36" t="s">
        <v>279</v>
      </c>
      <c r="G831" s="37" t="s">
        <v>26</v>
      </c>
      <c r="H831" s="38">
        <v>3857</v>
      </c>
      <c r="I831" s="38">
        <v>21</v>
      </c>
      <c r="J831" s="38">
        <v>430</v>
      </c>
      <c r="K831" s="38">
        <v>577</v>
      </c>
      <c r="L831" s="38">
        <v>2007</v>
      </c>
      <c r="M831" s="38">
        <v>528</v>
      </c>
      <c r="N831" s="38">
        <v>252</v>
      </c>
      <c r="O831" s="38">
        <v>42</v>
      </c>
      <c r="P831" s="38"/>
      <c r="Q831" s="38"/>
      <c r="R831" s="38">
        <v>4614</v>
      </c>
      <c r="S831" s="38">
        <v>73</v>
      </c>
      <c r="T831" s="38">
        <v>653</v>
      </c>
      <c r="U831" s="38">
        <v>119</v>
      </c>
      <c r="V831" s="38">
        <v>523</v>
      </c>
      <c r="W831" s="38">
        <v>2842</v>
      </c>
      <c r="X831" s="38">
        <v>357</v>
      </c>
      <c r="Y831" s="38">
        <v>47</v>
      </c>
      <c r="Z831" s="38"/>
      <c r="AA831" s="38"/>
      <c r="AB831" s="39">
        <v>0.54446459999999997</v>
      </c>
      <c r="AC831" s="39">
        <v>11.1485611</v>
      </c>
      <c r="AD831" s="39">
        <v>14.9598133</v>
      </c>
      <c r="AE831" s="39">
        <v>52.035260600000001</v>
      </c>
      <c r="AF831" s="39">
        <v>13.689395899999999</v>
      </c>
      <c r="AG831" s="39">
        <v>6.5335752999999999</v>
      </c>
      <c r="AH831" s="39">
        <v>1.0889291999999999</v>
      </c>
      <c r="AI831" s="39"/>
      <c r="AJ831" s="39"/>
      <c r="AK831" s="39">
        <v>1.5821413</v>
      </c>
      <c r="AL831" s="39">
        <v>14.152579100000001</v>
      </c>
      <c r="AM831" s="39">
        <v>2.5791070999999999</v>
      </c>
      <c r="AN831" s="39">
        <v>11.335067199999999</v>
      </c>
      <c r="AO831" s="39">
        <v>61.595145199999997</v>
      </c>
      <c r="AP831" s="39">
        <v>7.7373212000000002</v>
      </c>
      <c r="AQ831" s="39">
        <v>1.0186389</v>
      </c>
      <c r="AR831" s="40"/>
      <c r="AS831" s="40"/>
    </row>
    <row r="832" spans="2:45" ht="15" customHeight="1" x14ac:dyDescent="0.25">
      <c r="B832" s="41">
        <v>826</v>
      </c>
      <c r="C832" s="42" t="s">
        <v>31</v>
      </c>
      <c r="D832" s="51" t="s">
        <v>272</v>
      </c>
      <c r="E832" s="51" t="s">
        <v>277</v>
      </c>
      <c r="F832" s="51" t="s">
        <v>280</v>
      </c>
      <c r="G832" s="52" t="s">
        <v>280</v>
      </c>
      <c r="H832" s="43">
        <v>12409</v>
      </c>
      <c r="I832" s="43">
        <v>1166</v>
      </c>
      <c r="J832" s="43">
        <v>7207</v>
      </c>
      <c r="K832" s="43">
        <v>473</v>
      </c>
      <c r="L832" s="43">
        <v>2614</v>
      </c>
      <c r="M832" s="43">
        <v>723</v>
      </c>
      <c r="N832" s="43">
        <v>164</v>
      </c>
      <c r="O832" s="43">
        <v>62</v>
      </c>
      <c r="P832" s="44">
        <f>K832+L832+M832+N832+O832</f>
        <v>4036</v>
      </c>
      <c r="Q832" s="44">
        <f>I832+J832</f>
        <v>8373</v>
      </c>
      <c r="R832" s="43">
        <v>16017</v>
      </c>
      <c r="S832" s="43">
        <v>2161</v>
      </c>
      <c r="T832" s="43">
        <v>9942</v>
      </c>
      <c r="U832" s="43">
        <v>147</v>
      </c>
      <c r="V832" s="43">
        <v>676</v>
      </c>
      <c r="W832" s="43">
        <v>2743</v>
      </c>
      <c r="X832" s="43">
        <v>268</v>
      </c>
      <c r="Y832" s="43">
        <v>80</v>
      </c>
      <c r="Z832" s="45">
        <f>U832+V832+W832+X832+Y832</f>
        <v>3914</v>
      </c>
      <c r="AA832" s="45">
        <f>S832+T832</f>
        <v>12103</v>
      </c>
      <c r="AB832" s="46">
        <v>9.3964058000000001</v>
      </c>
      <c r="AC832" s="46">
        <v>58.078813799999999</v>
      </c>
      <c r="AD832" s="46">
        <v>3.8117494999999999</v>
      </c>
      <c r="AE832" s="46">
        <v>21.065355799999999</v>
      </c>
      <c r="AF832" s="46">
        <v>5.8264163</v>
      </c>
      <c r="AG832" s="46">
        <v>1.3216213999999999</v>
      </c>
      <c r="AH832" s="46">
        <v>0.49963740000000001</v>
      </c>
      <c r="AI832" s="47">
        <f>AB832+AC832</f>
        <v>67.475219600000003</v>
      </c>
      <c r="AJ832" s="47">
        <f>AD832+AE832+AF832+AG832+AH832</f>
        <v>32.524780399999997</v>
      </c>
      <c r="AK832" s="46">
        <v>13.4919148</v>
      </c>
      <c r="AL832" s="46">
        <v>62.071548999999997</v>
      </c>
      <c r="AM832" s="46">
        <v>0.91777489999999995</v>
      </c>
      <c r="AN832" s="46">
        <v>4.2205157</v>
      </c>
      <c r="AO832" s="46">
        <v>17.125554099999999</v>
      </c>
      <c r="AP832" s="46">
        <v>1.6732222000000001</v>
      </c>
      <c r="AQ832" s="46">
        <v>0.4994693</v>
      </c>
      <c r="AR832" s="48">
        <f>AK832+AL832</f>
        <v>75.563463799999994</v>
      </c>
      <c r="AS832" s="48">
        <f>AM832+AN832+AO832+AP832+AQ832</f>
        <v>24.436536200000003</v>
      </c>
    </row>
    <row r="833" spans="2:45" ht="15" hidden="1" customHeight="1" x14ac:dyDescent="0.25">
      <c r="B833" s="35">
        <v>827</v>
      </c>
      <c r="C833" s="36" t="s">
        <v>31</v>
      </c>
      <c r="D833" s="36" t="s">
        <v>272</v>
      </c>
      <c r="E833" s="36" t="s">
        <v>277</v>
      </c>
      <c r="F833" s="36" t="s">
        <v>280</v>
      </c>
      <c r="G833" s="37" t="s">
        <v>25</v>
      </c>
      <c r="H833" s="38">
        <v>10373</v>
      </c>
      <c r="I833" s="38">
        <v>1162</v>
      </c>
      <c r="J833" s="38">
        <v>7201</v>
      </c>
      <c r="K833" s="38">
        <v>274</v>
      </c>
      <c r="L833" s="38">
        <v>1466</v>
      </c>
      <c r="M833" s="38">
        <v>212</v>
      </c>
      <c r="N833" s="38">
        <v>19</v>
      </c>
      <c r="O833" s="38">
        <v>39</v>
      </c>
      <c r="P833" s="38"/>
      <c r="Q833" s="38"/>
      <c r="R833" s="38">
        <v>13731</v>
      </c>
      <c r="S833" s="38">
        <v>2141</v>
      </c>
      <c r="T833" s="38">
        <v>9932</v>
      </c>
      <c r="U833" s="38">
        <v>112</v>
      </c>
      <c r="V833" s="38">
        <v>331</v>
      </c>
      <c r="W833" s="38">
        <v>1121</v>
      </c>
      <c r="X833" s="38">
        <v>43</v>
      </c>
      <c r="Y833" s="38">
        <v>51</v>
      </c>
      <c r="Z833" s="38"/>
      <c r="AA833" s="38"/>
      <c r="AB833" s="39">
        <v>11.2021595</v>
      </c>
      <c r="AC833" s="39">
        <v>69.420611199999996</v>
      </c>
      <c r="AD833" s="39">
        <v>2.6414730999999998</v>
      </c>
      <c r="AE833" s="39">
        <v>14.1328449</v>
      </c>
      <c r="AF833" s="39">
        <v>2.0437675</v>
      </c>
      <c r="AG833" s="39">
        <v>0.18316779999999999</v>
      </c>
      <c r="AH833" s="39">
        <v>0.37597609999999998</v>
      </c>
      <c r="AI833" s="39"/>
      <c r="AJ833" s="39"/>
      <c r="AK833" s="39">
        <v>15.592454999999999</v>
      </c>
      <c r="AL833" s="39">
        <v>72.332677899999993</v>
      </c>
      <c r="AM833" s="39">
        <v>0.81567259999999997</v>
      </c>
      <c r="AN833" s="39">
        <v>2.4106036999999998</v>
      </c>
      <c r="AO833" s="39">
        <v>8.1640084000000002</v>
      </c>
      <c r="AP833" s="39">
        <v>0.31315999999999999</v>
      </c>
      <c r="AQ833" s="39">
        <v>0.37142229999999998</v>
      </c>
      <c r="AR833" s="40"/>
      <c r="AS833" s="40"/>
    </row>
    <row r="834" spans="2:45" ht="15" hidden="1" customHeight="1" x14ac:dyDescent="0.25">
      <c r="B834" s="35">
        <v>828</v>
      </c>
      <c r="C834" s="36" t="s">
        <v>31</v>
      </c>
      <c r="D834" s="36" t="s">
        <v>272</v>
      </c>
      <c r="E834" s="36" t="s">
        <v>277</v>
      </c>
      <c r="F834" s="36" t="s">
        <v>280</v>
      </c>
      <c r="G834" s="37" t="s">
        <v>26</v>
      </c>
      <c r="H834" s="38">
        <v>2036</v>
      </c>
      <c r="I834" s="38">
        <v>4</v>
      </c>
      <c r="J834" s="38">
        <v>6</v>
      </c>
      <c r="K834" s="38">
        <v>199</v>
      </c>
      <c r="L834" s="38">
        <v>1148</v>
      </c>
      <c r="M834" s="38">
        <v>511</v>
      </c>
      <c r="N834" s="38">
        <v>145</v>
      </c>
      <c r="O834" s="38">
        <v>23</v>
      </c>
      <c r="P834" s="38"/>
      <c r="Q834" s="38"/>
      <c r="R834" s="38">
        <v>2286</v>
      </c>
      <c r="S834" s="38">
        <v>20</v>
      </c>
      <c r="T834" s="38">
        <v>10</v>
      </c>
      <c r="U834" s="38">
        <v>35</v>
      </c>
      <c r="V834" s="38">
        <v>345</v>
      </c>
      <c r="W834" s="38">
        <v>1622</v>
      </c>
      <c r="X834" s="38">
        <v>225</v>
      </c>
      <c r="Y834" s="38">
        <v>29</v>
      </c>
      <c r="Z834" s="38"/>
      <c r="AA834" s="38"/>
      <c r="AB834" s="39">
        <v>0.19646369999999999</v>
      </c>
      <c r="AC834" s="39">
        <v>0.2946955</v>
      </c>
      <c r="AD834" s="39">
        <v>9.7740667999999999</v>
      </c>
      <c r="AE834" s="39">
        <v>56.385068799999999</v>
      </c>
      <c r="AF834" s="39">
        <v>25.098231800000001</v>
      </c>
      <c r="AG834" s="39">
        <v>7.1218075000000001</v>
      </c>
      <c r="AH834" s="39">
        <v>1.1296660000000001</v>
      </c>
      <c r="AI834" s="39"/>
      <c r="AJ834" s="39"/>
      <c r="AK834" s="39">
        <v>0.87489059999999996</v>
      </c>
      <c r="AL834" s="39">
        <v>0.43744529999999998</v>
      </c>
      <c r="AM834" s="39">
        <v>1.5310585999999999</v>
      </c>
      <c r="AN834" s="39">
        <v>15.091863500000001</v>
      </c>
      <c r="AO834" s="39">
        <v>70.953630799999999</v>
      </c>
      <c r="AP834" s="39">
        <v>9.8425197000000004</v>
      </c>
      <c r="AQ834" s="39">
        <v>1.2685914</v>
      </c>
      <c r="AR834" s="40"/>
      <c r="AS834" s="40"/>
    </row>
    <row r="835" spans="2:45" ht="15" customHeight="1" x14ac:dyDescent="0.25">
      <c r="B835" s="41">
        <v>829</v>
      </c>
      <c r="C835" s="42" t="s">
        <v>31</v>
      </c>
      <c r="D835" s="51" t="s">
        <v>272</v>
      </c>
      <c r="E835" s="51" t="s">
        <v>277</v>
      </c>
      <c r="F835" s="51" t="s">
        <v>281</v>
      </c>
      <c r="G835" s="52" t="s">
        <v>281</v>
      </c>
      <c r="H835" s="43">
        <v>2269</v>
      </c>
      <c r="I835" s="43">
        <v>23</v>
      </c>
      <c r="J835" s="43">
        <v>366</v>
      </c>
      <c r="K835" s="43">
        <v>205</v>
      </c>
      <c r="L835" s="43">
        <v>1282</v>
      </c>
      <c r="M835" s="43">
        <v>216</v>
      </c>
      <c r="N835" s="43">
        <v>56</v>
      </c>
      <c r="O835" s="43">
        <v>121</v>
      </c>
      <c r="P835" s="44">
        <f>K835+L835+M835+N835+O835</f>
        <v>1880</v>
      </c>
      <c r="Q835" s="44">
        <f>I835+J835</f>
        <v>389</v>
      </c>
      <c r="R835" s="43">
        <v>3032</v>
      </c>
      <c r="S835" s="43">
        <v>71</v>
      </c>
      <c r="T835" s="43">
        <v>518</v>
      </c>
      <c r="U835" s="43">
        <v>59</v>
      </c>
      <c r="V835" s="43">
        <v>429</v>
      </c>
      <c r="W835" s="43">
        <v>1760</v>
      </c>
      <c r="X835" s="43">
        <v>167</v>
      </c>
      <c r="Y835" s="43">
        <v>28</v>
      </c>
      <c r="Z835" s="45">
        <f>U835+V835+W835+X835+Y835</f>
        <v>2443</v>
      </c>
      <c r="AA835" s="45">
        <f>S835+T835</f>
        <v>589</v>
      </c>
      <c r="AB835" s="46">
        <v>1.0136624000000001</v>
      </c>
      <c r="AC835" s="46">
        <v>16.130453899999999</v>
      </c>
      <c r="AD835" s="46">
        <v>9.0348170999999997</v>
      </c>
      <c r="AE835" s="46">
        <v>56.500661100000002</v>
      </c>
      <c r="AF835" s="46">
        <v>9.5196121999999992</v>
      </c>
      <c r="AG835" s="46">
        <v>2.4680475999999998</v>
      </c>
      <c r="AH835" s="46">
        <v>5.3327457000000003</v>
      </c>
      <c r="AI835" s="47">
        <f>AB835+AC835</f>
        <v>17.1441163</v>
      </c>
      <c r="AJ835" s="47">
        <f>AD835+AE835+AF835+AG835+AH835</f>
        <v>82.855883700000007</v>
      </c>
      <c r="AK835" s="46">
        <v>2.3416887000000002</v>
      </c>
      <c r="AL835" s="46">
        <v>17.084432700000001</v>
      </c>
      <c r="AM835" s="46">
        <v>1.9459103</v>
      </c>
      <c r="AN835" s="46">
        <v>14.1490765</v>
      </c>
      <c r="AO835" s="46">
        <v>58.0474934</v>
      </c>
      <c r="AP835" s="46">
        <v>5.5079155999999996</v>
      </c>
      <c r="AQ835" s="46">
        <v>0.92348280000000005</v>
      </c>
      <c r="AR835" s="48">
        <f>AK835+AL835</f>
        <v>19.4261214</v>
      </c>
      <c r="AS835" s="48">
        <f>AM835+AN835+AO835+AP835+AQ835</f>
        <v>80.5738786</v>
      </c>
    </row>
    <row r="836" spans="2:45" ht="15" hidden="1" customHeight="1" x14ac:dyDescent="0.25">
      <c r="B836" s="35">
        <v>830</v>
      </c>
      <c r="C836" s="36" t="s">
        <v>31</v>
      </c>
      <c r="D836" s="36" t="s">
        <v>272</v>
      </c>
      <c r="E836" s="36" t="s">
        <v>277</v>
      </c>
      <c r="F836" s="36" t="s">
        <v>281</v>
      </c>
      <c r="G836" s="37" t="s">
        <v>25</v>
      </c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>
        <v>677</v>
      </c>
      <c r="S836" s="38">
        <v>61</v>
      </c>
      <c r="T836" s="38">
        <v>513</v>
      </c>
      <c r="U836" s="38">
        <v>2</v>
      </c>
      <c r="V836" s="38">
        <v>7</v>
      </c>
      <c r="W836" s="38">
        <v>91</v>
      </c>
      <c r="X836" s="38">
        <v>2</v>
      </c>
      <c r="Y836" s="38">
        <v>1</v>
      </c>
      <c r="Z836" s="38"/>
      <c r="AA836" s="38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>
        <v>9.0103396999999994</v>
      </c>
      <c r="AL836" s="39">
        <v>75.775480099999996</v>
      </c>
      <c r="AM836" s="39">
        <v>0.29542099999999999</v>
      </c>
      <c r="AN836" s="39">
        <v>1.0339734</v>
      </c>
      <c r="AO836" s="39">
        <v>13.441654399999999</v>
      </c>
      <c r="AP836" s="39">
        <v>0.29542099999999999</v>
      </c>
      <c r="AQ836" s="39">
        <v>0.14771049999999999</v>
      </c>
      <c r="AR836" s="40"/>
      <c r="AS836" s="40"/>
    </row>
    <row r="837" spans="2:45" ht="15" hidden="1" customHeight="1" x14ac:dyDescent="0.25">
      <c r="B837" s="35">
        <v>831</v>
      </c>
      <c r="C837" s="36" t="s">
        <v>31</v>
      </c>
      <c r="D837" s="36" t="s">
        <v>272</v>
      </c>
      <c r="E837" s="36" t="s">
        <v>277</v>
      </c>
      <c r="F837" s="36" t="s">
        <v>281</v>
      </c>
      <c r="G837" s="37" t="s">
        <v>26</v>
      </c>
      <c r="H837" s="38">
        <v>2269</v>
      </c>
      <c r="I837" s="38">
        <v>23</v>
      </c>
      <c r="J837" s="38">
        <v>366</v>
      </c>
      <c r="K837" s="38">
        <v>205</v>
      </c>
      <c r="L837" s="38">
        <v>1282</v>
      </c>
      <c r="M837" s="38">
        <v>216</v>
      </c>
      <c r="N837" s="38">
        <v>56</v>
      </c>
      <c r="O837" s="38">
        <v>121</v>
      </c>
      <c r="P837" s="38"/>
      <c r="Q837" s="38"/>
      <c r="R837" s="38">
        <v>2355</v>
      </c>
      <c r="S837" s="38">
        <v>10</v>
      </c>
      <c r="T837" s="38">
        <v>5</v>
      </c>
      <c r="U837" s="38">
        <v>57</v>
      </c>
      <c r="V837" s="38">
        <v>422</v>
      </c>
      <c r="W837" s="38">
        <v>1669</v>
      </c>
      <c r="X837" s="38">
        <v>165</v>
      </c>
      <c r="Y837" s="38">
        <v>27</v>
      </c>
      <c r="Z837" s="38"/>
      <c r="AA837" s="38"/>
      <c r="AB837" s="39">
        <v>1.0136624000000001</v>
      </c>
      <c r="AC837" s="39">
        <v>16.130453899999999</v>
      </c>
      <c r="AD837" s="39">
        <v>9.0348170999999997</v>
      </c>
      <c r="AE837" s="39">
        <v>56.500661100000002</v>
      </c>
      <c r="AF837" s="39">
        <v>9.5196121999999992</v>
      </c>
      <c r="AG837" s="39">
        <v>2.4680475999999998</v>
      </c>
      <c r="AH837" s="39">
        <v>5.3327457000000003</v>
      </c>
      <c r="AI837" s="39"/>
      <c r="AJ837" s="39"/>
      <c r="AK837" s="39">
        <v>0.42462850000000002</v>
      </c>
      <c r="AL837" s="39">
        <v>0.21231420000000001</v>
      </c>
      <c r="AM837" s="39">
        <v>2.4203822000000002</v>
      </c>
      <c r="AN837" s="39">
        <v>17.919320599999999</v>
      </c>
      <c r="AO837" s="39">
        <v>70.870488300000005</v>
      </c>
      <c r="AP837" s="39">
        <v>7.0063693999999996</v>
      </c>
      <c r="AQ837" s="39">
        <v>1.1464968</v>
      </c>
      <c r="AR837" s="40"/>
      <c r="AS837" s="40"/>
    </row>
    <row r="838" spans="2:45" ht="15" hidden="1" customHeight="1" x14ac:dyDescent="0.25">
      <c r="B838" s="30">
        <v>832</v>
      </c>
      <c r="C838" s="31" t="s">
        <v>29</v>
      </c>
      <c r="D838" s="50" t="s">
        <v>272</v>
      </c>
      <c r="E838" s="50" t="s">
        <v>282</v>
      </c>
      <c r="F838" s="50"/>
      <c r="G838" s="31" t="s">
        <v>282</v>
      </c>
      <c r="H838" s="32">
        <v>16840</v>
      </c>
      <c r="I838" s="32">
        <v>366</v>
      </c>
      <c r="J838" s="32">
        <v>1230</v>
      </c>
      <c r="K838" s="32">
        <v>4173</v>
      </c>
      <c r="L838" s="32">
        <v>4733</v>
      </c>
      <c r="M838" s="32">
        <v>3775</v>
      </c>
      <c r="N838" s="32">
        <v>1892</v>
      </c>
      <c r="O838" s="32">
        <v>671</v>
      </c>
      <c r="P838" s="32"/>
      <c r="Q838" s="32"/>
      <c r="R838" s="32">
        <v>19584</v>
      </c>
      <c r="S838" s="32">
        <v>557</v>
      </c>
      <c r="T838" s="32">
        <v>1785</v>
      </c>
      <c r="U838" s="32">
        <v>1588</v>
      </c>
      <c r="V838" s="32">
        <v>1824</v>
      </c>
      <c r="W838" s="32">
        <v>11483</v>
      </c>
      <c r="X838" s="32">
        <v>1928</v>
      </c>
      <c r="Y838" s="32">
        <v>419</v>
      </c>
      <c r="Z838" s="32"/>
      <c r="AA838" s="32"/>
      <c r="AB838" s="33">
        <v>2.1733967000000001</v>
      </c>
      <c r="AC838" s="33">
        <v>7.3040380000000003</v>
      </c>
      <c r="AD838" s="33">
        <v>24.780284999999999</v>
      </c>
      <c r="AE838" s="33">
        <v>28.1057007</v>
      </c>
      <c r="AF838" s="33">
        <v>22.4168646</v>
      </c>
      <c r="AG838" s="33">
        <v>11.235154400000001</v>
      </c>
      <c r="AH838" s="33">
        <v>3.9845606</v>
      </c>
      <c r="AI838" s="33"/>
      <c r="AJ838" s="33"/>
      <c r="AK838" s="33">
        <v>2.8441584999999998</v>
      </c>
      <c r="AL838" s="33">
        <v>9.1145832999999996</v>
      </c>
      <c r="AM838" s="33">
        <v>8.1086600999999998</v>
      </c>
      <c r="AN838" s="33">
        <v>9.3137255000000003</v>
      </c>
      <c r="AO838" s="33">
        <v>58.634599700000003</v>
      </c>
      <c r="AP838" s="33">
        <v>9.8447712000000003</v>
      </c>
      <c r="AQ838" s="33">
        <v>2.1395016</v>
      </c>
      <c r="AR838" s="34"/>
      <c r="AS838" s="34"/>
    </row>
    <row r="839" spans="2:45" ht="15" hidden="1" customHeight="1" x14ac:dyDescent="0.25">
      <c r="B839" s="35">
        <v>833</v>
      </c>
      <c r="C839" s="36" t="s">
        <v>29</v>
      </c>
      <c r="D839" s="36" t="s">
        <v>272</v>
      </c>
      <c r="E839" s="36" t="s">
        <v>282</v>
      </c>
      <c r="F839" s="36"/>
      <c r="G839" s="37" t="s">
        <v>25</v>
      </c>
      <c r="H839" s="38">
        <v>1438</v>
      </c>
      <c r="I839" s="38">
        <v>208</v>
      </c>
      <c r="J839" s="38">
        <v>1017</v>
      </c>
      <c r="K839" s="38">
        <v>25</v>
      </c>
      <c r="L839" s="38">
        <v>103</v>
      </c>
      <c r="M839" s="38">
        <v>68</v>
      </c>
      <c r="N839" s="38">
        <v>8</v>
      </c>
      <c r="O839" s="38">
        <v>9</v>
      </c>
      <c r="P839" s="38"/>
      <c r="Q839" s="38"/>
      <c r="R839" s="38">
        <v>2182</v>
      </c>
      <c r="S839" s="38">
        <v>311</v>
      </c>
      <c r="T839" s="38">
        <v>1474</v>
      </c>
      <c r="U839" s="38">
        <v>41</v>
      </c>
      <c r="V839" s="38">
        <v>67</v>
      </c>
      <c r="W839" s="38">
        <v>265</v>
      </c>
      <c r="X839" s="38">
        <v>19</v>
      </c>
      <c r="Y839" s="38">
        <v>5</v>
      </c>
      <c r="Z839" s="38"/>
      <c r="AA839" s="38"/>
      <c r="AB839" s="39">
        <v>14.4645341</v>
      </c>
      <c r="AC839" s="39">
        <v>70.723226699999998</v>
      </c>
      <c r="AD839" s="39">
        <v>1.7385257000000001</v>
      </c>
      <c r="AE839" s="39">
        <v>7.1627260000000001</v>
      </c>
      <c r="AF839" s="39">
        <v>4.72879</v>
      </c>
      <c r="AG839" s="39">
        <v>0.55632820000000005</v>
      </c>
      <c r="AH839" s="39">
        <v>0.62586929999999996</v>
      </c>
      <c r="AI839" s="39"/>
      <c r="AJ839" s="39"/>
      <c r="AK839" s="39">
        <v>14.2529789</v>
      </c>
      <c r="AL839" s="39">
        <v>67.552703899999997</v>
      </c>
      <c r="AM839" s="39">
        <v>1.8790100999999999</v>
      </c>
      <c r="AN839" s="39">
        <v>3.0705775000000002</v>
      </c>
      <c r="AO839" s="39">
        <v>12.1448213</v>
      </c>
      <c r="AP839" s="39">
        <v>0.8707608</v>
      </c>
      <c r="AQ839" s="39">
        <v>0.22914760000000001</v>
      </c>
      <c r="AR839" s="40"/>
      <c r="AS839" s="40"/>
    </row>
    <row r="840" spans="2:45" ht="15" hidden="1" customHeight="1" x14ac:dyDescent="0.25">
      <c r="B840" s="35">
        <v>834</v>
      </c>
      <c r="C840" s="36" t="s">
        <v>29</v>
      </c>
      <c r="D840" s="36" t="s">
        <v>272</v>
      </c>
      <c r="E840" s="36" t="s">
        <v>282</v>
      </c>
      <c r="F840" s="36"/>
      <c r="G840" s="37" t="s">
        <v>26</v>
      </c>
      <c r="H840" s="38">
        <v>15402</v>
      </c>
      <c r="I840" s="38">
        <v>158</v>
      </c>
      <c r="J840" s="38">
        <v>213</v>
      </c>
      <c r="K840" s="38">
        <v>4148</v>
      </c>
      <c r="L840" s="38">
        <v>4630</v>
      </c>
      <c r="M840" s="38">
        <v>3707</v>
      </c>
      <c r="N840" s="38">
        <v>1884</v>
      </c>
      <c r="O840" s="38">
        <v>662</v>
      </c>
      <c r="P840" s="38"/>
      <c r="Q840" s="38"/>
      <c r="R840" s="38">
        <v>17402</v>
      </c>
      <c r="S840" s="38">
        <v>246</v>
      </c>
      <c r="T840" s="38">
        <v>311</v>
      </c>
      <c r="U840" s="38">
        <v>1547</v>
      </c>
      <c r="V840" s="38">
        <v>1757</v>
      </c>
      <c r="W840" s="38">
        <v>11218</v>
      </c>
      <c r="X840" s="38">
        <v>1909</v>
      </c>
      <c r="Y840" s="38">
        <v>414</v>
      </c>
      <c r="Z840" s="38"/>
      <c r="AA840" s="38"/>
      <c r="AB840" s="39">
        <v>1.0258408000000001</v>
      </c>
      <c r="AC840" s="39">
        <v>1.3829373</v>
      </c>
      <c r="AD840" s="39">
        <v>26.931567300000001</v>
      </c>
      <c r="AE840" s="39">
        <v>30.061031</v>
      </c>
      <c r="AF840" s="39">
        <v>24.068302800000001</v>
      </c>
      <c r="AG840" s="39">
        <v>12.2321776</v>
      </c>
      <c r="AH840" s="39">
        <v>4.2981430999999999</v>
      </c>
      <c r="AI840" s="39"/>
      <c r="AJ840" s="39"/>
      <c r="AK840" s="39">
        <v>1.4136306000000001</v>
      </c>
      <c r="AL840" s="39">
        <v>1.7871509000000001</v>
      </c>
      <c r="AM840" s="39">
        <v>8.8897828000000008</v>
      </c>
      <c r="AN840" s="39">
        <v>10.096540600000001</v>
      </c>
      <c r="AO840" s="39">
        <v>64.463854699999999</v>
      </c>
      <c r="AP840" s="39">
        <v>10.9700034</v>
      </c>
      <c r="AQ840" s="39">
        <v>2.3790369</v>
      </c>
      <c r="AR840" s="40"/>
      <c r="AS840" s="40"/>
    </row>
    <row r="841" spans="2:45" ht="15" customHeight="1" x14ac:dyDescent="0.25">
      <c r="B841" s="41">
        <v>835</v>
      </c>
      <c r="C841" s="42" t="s">
        <v>31</v>
      </c>
      <c r="D841" s="51" t="s">
        <v>272</v>
      </c>
      <c r="E841" s="51" t="s">
        <v>282</v>
      </c>
      <c r="F841" s="51" t="s">
        <v>283</v>
      </c>
      <c r="G841" s="52" t="s">
        <v>283</v>
      </c>
      <c r="H841" s="43">
        <v>9721</v>
      </c>
      <c r="I841" s="43">
        <v>313</v>
      </c>
      <c r="J841" s="43">
        <v>1048</v>
      </c>
      <c r="K841" s="43">
        <v>2412</v>
      </c>
      <c r="L841" s="43">
        <v>2575</v>
      </c>
      <c r="M841" s="43">
        <v>2103</v>
      </c>
      <c r="N841" s="43">
        <v>809</v>
      </c>
      <c r="O841" s="43">
        <v>461</v>
      </c>
      <c r="P841" s="44">
        <f>K841+L841+M841+N841+O841</f>
        <v>8360</v>
      </c>
      <c r="Q841" s="44">
        <f>I841+J841</f>
        <v>1361</v>
      </c>
      <c r="R841" s="43">
        <v>10921</v>
      </c>
      <c r="S841" s="43">
        <v>387</v>
      </c>
      <c r="T841" s="43">
        <v>1498</v>
      </c>
      <c r="U841" s="43">
        <v>809</v>
      </c>
      <c r="V841" s="43">
        <v>784</v>
      </c>
      <c r="W841" s="43">
        <v>6457</v>
      </c>
      <c r="X841" s="43">
        <v>810</v>
      </c>
      <c r="Y841" s="43">
        <v>176</v>
      </c>
      <c r="Z841" s="45">
        <f>U841+V841+W841+X841+Y841</f>
        <v>9036</v>
      </c>
      <c r="AA841" s="45">
        <f>S841+T841</f>
        <v>1885</v>
      </c>
      <c r="AB841" s="46">
        <v>3.2198334000000002</v>
      </c>
      <c r="AC841" s="46">
        <v>10.780783899999999</v>
      </c>
      <c r="AD841" s="46">
        <v>24.812262100000002</v>
      </c>
      <c r="AE841" s="46">
        <v>26.4890443</v>
      </c>
      <c r="AF841" s="46">
        <v>21.6335768</v>
      </c>
      <c r="AG841" s="46">
        <v>8.3221890999999992</v>
      </c>
      <c r="AH841" s="46">
        <v>4.7423105000000003</v>
      </c>
      <c r="AI841" s="47">
        <f>AB841+AC841</f>
        <v>14.0006173</v>
      </c>
      <c r="AJ841" s="47">
        <f>AD841+AE841+AF841+AG841+AH841</f>
        <v>85.999382800000006</v>
      </c>
      <c r="AK841" s="46">
        <v>3.5436315</v>
      </c>
      <c r="AL841" s="46">
        <v>13.7166926</v>
      </c>
      <c r="AM841" s="46">
        <v>7.4077465</v>
      </c>
      <c r="AN841" s="46">
        <v>7.1788297999999999</v>
      </c>
      <c r="AO841" s="46">
        <v>59.124622299999999</v>
      </c>
      <c r="AP841" s="46">
        <v>7.4169032000000001</v>
      </c>
      <c r="AQ841" s="46">
        <v>1.6115740000000001</v>
      </c>
      <c r="AR841" s="48">
        <f>AK841+AL841</f>
        <v>17.260324099999998</v>
      </c>
      <c r="AS841" s="48">
        <f>AM841+AN841+AO841+AP841+AQ841</f>
        <v>82.739675800000001</v>
      </c>
    </row>
    <row r="842" spans="2:45" ht="15" hidden="1" customHeight="1" x14ac:dyDescent="0.25">
      <c r="B842" s="35">
        <v>836</v>
      </c>
      <c r="C842" s="36" t="s">
        <v>31</v>
      </c>
      <c r="D842" s="36" t="s">
        <v>272</v>
      </c>
      <c r="E842" s="36" t="s">
        <v>282</v>
      </c>
      <c r="F842" s="36" t="s">
        <v>283</v>
      </c>
      <c r="G842" s="37" t="s">
        <v>25</v>
      </c>
      <c r="H842" s="38">
        <v>1438</v>
      </c>
      <c r="I842" s="38">
        <v>208</v>
      </c>
      <c r="J842" s="38">
        <v>1017</v>
      </c>
      <c r="K842" s="38">
        <v>25</v>
      </c>
      <c r="L842" s="38">
        <v>103</v>
      </c>
      <c r="M842" s="38">
        <v>68</v>
      </c>
      <c r="N842" s="38">
        <v>8</v>
      </c>
      <c r="O842" s="38">
        <v>9</v>
      </c>
      <c r="P842" s="38"/>
      <c r="Q842" s="38"/>
      <c r="R842" s="38">
        <v>2182</v>
      </c>
      <c r="S842" s="38">
        <v>311</v>
      </c>
      <c r="T842" s="38">
        <v>1474</v>
      </c>
      <c r="U842" s="38">
        <v>41</v>
      </c>
      <c r="V842" s="38">
        <v>67</v>
      </c>
      <c r="W842" s="38">
        <v>265</v>
      </c>
      <c r="X842" s="38">
        <v>19</v>
      </c>
      <c r="Y842" s="38">
        <v>5</v>
      </c>
      <c r="Z842" s="38"/>
      <c r="AA842" s="38"/>
      <c r="AB842" s="39">
        <v>14.4645341</v>
      </c>
      <c r="AC842" s="39">
        <v>70.723226699999998</v>
      </c>
      <c r="AD842" s="39">
        <v>1.7385257000000001</v>
      </c>
      <c r="AE842" s="39">
        <v>7.1627260000000001</v>
      </c>
      <c r="AF842" s="39">
        <v>4.72879</v>
      </c>
      <c r="AG842" s="39">
        <v>0.55632820000000005</v>
      </c>
      <c r="AH842" s="39">
        <v>0.62586929999999996</v>
      </c>
      <c r="AI842" s="39"/>
      <c r="AJ842" s="39"/>
      <c r="AK842" s="39">
        <v>14.2529789</v>
      </c>
      <c r="AL842" s="39">
        <v>67.552703899999997</v>
      </c>
      <c r="AM842" s="39">
        <v>1.8790100999999999</v>
      </c>
      <c r="AN842" s="39">
        <v>3.0705775000000002</v>
      </c>
      <c r="AO842" s="39">
        <v>12.1448213</v>
      </c>
      <c r="AP842" s="39">
        <v>0.8707608</v>
      </c>
      <c r="AQ842" s="39">
        <v>0.22914760000000001</v>
      </c>
      <c r="AR842" s="40"/>
      <c r="AS842" s="40"/>
    </row>
    <row r="843" spans="2:45" ht="15" hidden="1" customHeight="1" x14ac:dyDescent="0.25">
      <c r="B843" s="35">
        <v>837</v>
      </c>
      <c r="C843" s="36" t="s">
        <v>31</v>
      </c>
      <c r="D843" s="36" t="s">
        <v>272</v>
      </c>
      <c r="E843" s="36" t="s">
        <v>282</v>
      </c>
      <c r="F843" s="36" t="s">
        <v>283</v>
      </c>
      <c r="G843" s="37" t="s">
        <v>26</v>
      </c>
      <c r="H843" s="38">
        <v>8283</v>
      </c>
      <c r="I843" s="38">
        <v>105</v>
      </c>
      <c r="J843" s="38">
        <v>31</v>
      </c>
      <c r="K843" s="38">
        <v>2387</v>
      </c>
      <c r="L843" s="38">
        <v>2472</v>
      </c>
      <c r="M843" s="38">
        <v>2035</v>
      </c>
      <c r="N843" s="38">
        <v>801</v>
      </c>
      <c r="O843" s="38">
        <v>452</v>
      </c>
      <c r="P843" s="38"/>
      <c r="Q843" s="38"/>
      <c r="R843" s="38">
        <v>8739</v>
      </c>
      <c r="S843" s="38">
        <v>76</v>
      </c>
      <c r="T843" s="38">
        <v>24</v>
      </c>
      <c r="U843" s="38">
        <v>768</v>
      </c>
      <c r="V843" s="38">
        <v>717</v>
      </c>
      <c r="W843" s="38">
        <v>6192</v>
      </c>
      <c r="X843" s="38">
        <v>791</v>
      </c>
      <c r="Y843" s="38">
        <v>171</v>
      </c>
      <c r="Z843" s="38"/>
      <c r="AA843" s="38"/>
      <c r="AB843" s="39">
        <v>1.2676566</v>
      </c>
      <c r="AC843" s="39">
        <v>0.3742605</v>
      </c>
      <c r="AD843" s="39">
        <v>28.818061100000001</v>
      </c>
      <c r="AE843" s="39">
        <v>29.844259300000001</v>
      </c>
      <c r="AF843" s="39">
        <v>24.568393100000002</v>
      </c>
      <c r="AG843" s="39">
        <v>9.6704092999999993</v>
      </c>
      <c r="AH843" s="39">
        <v>5.4569599999999996</v>
      </c>
      <c r="AI843" s="39"/>
      <c r="AJ843" s="39"/>
      <c r="AK843" s="39">
        <v>0.86966469999999996</v>
      </c>
      <c r="AL843" s="39">
        <v>0.27463100000000001</v>
      </c>
      <c r="AM843" s="39">
        <v>8.7881909</v>
      </c>
      <c r="AN843" s="39">
        <v>8.2046001000000004</v>
      </c>
      <c r="AO843" s="39">
        <v>70.854788900000003</v>
      </c>
      <c r="AP843" s="39">
        <v>9.0513788999999996</v>
      </c>
      <c r="AQ843" s="39">
        <v>1.9567456000000001</v>
      </c>
      <c r="AR843" s="40"/>
      <c r="AS843" s="40"/>
    </row>
    <row r="844" spans="2:45" ht="15" customHeight="1" x14ac:dyDescent="0.25">
      <c r="B844" s="41">
        <v>838</v>
      </c>
      <c r="C844" s="42" t="s">
        <v>31</v>
      </c>
      <c r="D844" s="51" t="s">
        <v>272</v>
      </c>
      <c r="E844" s="51" t="s">
        <v>282</v>
      </c>
      <c r="F844" s="51" t="s">
        <v>284</v>
      </c>
      <c r="G844" s="52" t="s">
        <v>284</v>
      </c>
      <c r="H844" s="43">
        <v>3222</v>
      </c>
      <c r="I844" s="43">
        <v>39</v>
      </c>
      <c r="J844" s="43">
        <v>180</v>
      </c>
      <c r="K844" s="43">
        <v>931</v>
      </c>
      <c r="L844" s="43">
        <v>386</v>
      </c>
      <c r="M844" s="43">
        <v>1153</v>
      </c>
      <c r="N844" s="43">
        <v>423</v>
      </c>
      <c r="O844" s="43">
        <v>110</v>
      </c>
      <c r="P844" s="44">
        <f>K844+L844+M844+N844+O844</f>
        <v>3003</v>
      </c>
      <c r="Q844" s="44">
        <f>I844+J844</f>
        <v>219</v>
      </c>
      <c r="R844" s="43">
        <v>3482</v>
      </c>
      <c r="S844" s="43">
        <v>101</v>
      </c>
      <c r="T844" s="43">
        <v>269</v>
      </c>
      <c r="U844" s="43">
        <v>320</v>
      </c>
      <c r="V844" s="43">
        <v>146</v>
      </c>
      <c r="W844" s="43">
        <v>2253</v>
      </c>
      <c r="X844" s="43">
        <v>368</v>
      </c>
      <c r="Y844" s="43">
        <v>25</v>
      </c>
      <c r="Z844" s="45">
        <f>U844+V844+W844+X844+Y844</f>
        <v>3112</v>
      </c>
      <c r="AA844" s="45">
        <f>S844+T844</f>
        <v>370</v>
      </c>
      <c r="AB844" s="46">
        <v>1.2104283</v>
      </c>
      <c r="AC844" s="46">
        <v>5.5865922000000001</v>
      </c>
      <c r="AD844" s="46">
        <v>28.895096200000001</v>
      </c>
      <c r="AE844" s="46">
        <v>11.9801366</v>
      </c>
      <c r="AF844" s="46">
        <v>35.785226600000001</v>
      </c>
      <c r="AG844" s="46">
        <v>13.1284916</v>
      </c>
      <c r="AH844" s="46">
        <v>3.4140286</v>
      </c>
      <c r="AI844" s="47">
        <f>AB844+AC844</f>
        <v>6.7970205000000004</v>
      </c>
      <c r="AJ844" s="47">
        <f>AD844+AE844+AF844+AG844+AH844</f>
        <v>93.202979600000006</v>
      </c>
      <c r="AK844" s="46">
        <v>2.9006318000000002</v>
      </c>
      <c r="AL844" s="46">
        <v>7.7254451</v>
      </c>
      <c r="AM844" s="46">
        <v>9.1901206000000002</v>
      </c>
      <c r="AN844" s="46">
        <v>4.1929924999999999</v>
      </c>
      <c r="AO844" s="46">
        <v>64.704193000000004</v>
      </c>
      <c r="AP844" s="46">
        <v>10.568638699999999</v>
      </c>
      <c r="AQ844" s="46">
        <v>0.71797820000000001</v>
      </c>
      <c r="AR844" s="48">
        <f>AK844+AL844</f>
        <v>10.626076900000001</v>
      </c>
      <c r="AS844" s="48">
        <f>AM844+AN844+AO844+AP844+AQ844</f>
        <v>89.373923000000005</v>
      </c>
    </row>
    <row r="845" spans="2:45" ht="15" hidden="1" customHeight="1" x14ac:dyDescent="0.25">
      <c r="B845" s="35">
        <v>839</v>
      </c>
      <c r="C845" s="36" t="s">
        <v>31</v>
      </c>
      <c r="D845" s="36" t="s">
        <v>272</v>
      </c>
      <c r="E845" s="36" t="s">
        <v>282</v>
      </c>
      <c r="F845" s="36" t="s">
        <v>284</v>
      </c>
      <c r="G845" s="37" t="s">
        <v>25</v>
      </c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40"/>
      <c r="AS845" s="40"/>
    </row>
    <row r="846" spans="2:45" ht="15" hidden="1" customHeight="1" x14ac:dyDescent="0.25">
      <c r="B846" s="35">
        <v>840</v>
      </c>
      <c r="C846" s="36" t="s">
        <v>31</v>
      </c>
      <c r="D846" s="36" t="s">
        <v>272</v>
      </c>
      <c r="E846" s="36" t="s">
        <v>282</v>
      </c>
      <c r="F846" s="36" t="s">
        <v>284</v>
      </c>
      <c r="G846" s="37" t="s">
        <v>26</v>
      </c>
      <c r="H846" s="38">
        <v>3222</v>
      </c>
      <c r="I846" s="38">
        <v>39</v>
      </c>
      <c r="J846" s="38">
        <v>180</v>
      </c>
      <c r="K846" s="38">
        <v>931</v>
      </c>
      <c r="L846" s="38">
        <v>386</v>
      </c>
      <c r="M846" s="38">
        <v>1153</v>
      </c>
      <c r="N846" s="38">
        <v>423</v>
      </c>
      <c r="O846" s="38">
        <v>110</v>
      </c>
      <c r="P846" s="38"/>
      <c r="Q846" s="38"/>
      <c r="R846" s="38">
        <v>3482</v>
      </c>
      <c r="S846" s="38">
        <v>101</v>
      </c>
      <c r="T846" s="38">
        <v>269</v>
      </c>
      <c r="U846" s="38">
        <v>320</v>
      </c>
      <c r="V846" s="38">
        <v>146</v>
      </c>
      <c r="W846" s="38">
        <v>2253</v>
      </c>
      <c r="X846" s="38">
        <v>368</v>
      </c>
      <c r="Y846" s="38">
        <v>25</v>
      </c>
      <c r="Z846" s="38"/>
      <c r="AA846" s="38"/>
      <c r="AB846" s="39">
        <v>1.2104283</v>
      </c>
      <c r="AC846" s="39">
        <v>5.5865922000000001</v>
      </c>
      <c r="AD846" s="39">
        <v>28.895096200000001</v>
      </c>
      <c r="AE846" s="39">
        <v>11.9801366</v>
      </c>
      <c r="AF846" s="39">
        <v>35.785226600000001</v>
      </c>
      <c r="AG846" s="39">
        <v>13.1284916</v>
      </c>
      <c r="AH846" s="39">
        <v>3.4140286</v>
      </c>
      <c r="AI846" s="39"/>
      <c r="AJ846" s="39"/>
      <c r="AK846" s="39">
        <v>2.9006318000000002</v>
      </c>
      <c r="AL846" s="39">
        <v>7.7254451</v>
      </c>
      <c r="AM846" s="39">
        <v>9.1901206000000002</v>
      </c>
      <c r="AN846" s="39">
        <v>4.1929924999999999</v>
      </c>
      <c r="AO846" s="39">
        <v>64.704193000000004</v>
      </c>
      <c r="AP846" s="39">
        <v>10.568638699999999</v>
      </c>
      <c r="AQ846" s="39">
        <v>0.71797820000000001</v>
      </c>
      <c r="AR846" s="40"/>
      <c r="AS846" s="40"/>
    </row>
    <row r="847" spans="2:45" ht="15" customHeight="1" x14ac:dyDescent="0.25">
      <c r="B847" s="41">
        <v>841</v>
      </c>
      <c r="C847" s="42" t="s">
        <v>31</v>
      </c>
      <c r="D847" s="51" t="s">
        <v>272</v>
      </c>
      <c r="E847" s="51" t="s">
        <v>282</v>
      </c>
      <c r="F847" s="51" t="s">
        <v>285</v>
      </c>
      <c r="G847" s="52" t="s">
        <v>285</v>
      </c>
      <c r="H847" s="43">
        <v>3897</v>
      </c>
      <c r="I847" s="43">
        <v>14</v>
      </c>
      <c r="J847" s="43">
        <v>2</v>
      </c>
      <c r="K847" s="43">
        <v>830</v>
      </c>
      <c r="L847" s="43">
        <v>1772</v>
      </c>
      <c r="M847" s="43">
        <v>519</v>
      </c>
      <c r="N847" s="43">
        <v>660</v>
      </c>
      <c r="O847" s="43">
        <v>100</v>
      </c>
      <c r="P847" s="44">
        <f>K847+L847+M847+N847+O847</f>
        <v>3881</v>
      </c>
      <c r="Q847" s="44">
        <f>I847+J847</f>
        <v>16</v>
      </c>
      <c r="R847" s="43">
        <v>5181</v>
      </c>
      <c r="S847" s="43">
        <v>69</v>
      </c>
      <c r="T847" s="43">
        <v>18</v>
      </c>
      <c r="U847" s="43">
        <v>459</v>
      </c>
      <c r="V847" s="43">
        <v>894</v>
      </c>
      <c r="W847" s="43">
        <v>2773</v>
      </c>
      <c r="X847" s="43">
        <v>750</v>
      </c>
      <c r="Y847" s="43">
        <v>218</v>
      </c>
      <c r="Z847" s="45">
        <f>U847+V847+W847+X847+Y847</f>
        <v>5094</v>
      </c>
      <c r="AA847" s="45">
        <f>S847+T847</f>
        <v>87</v>
      </c>
      <c r="AB847" s="46">
        <v>0.35925069999999998</v>
      </c>
      <c r="AC847" s="46">
        <v>5.1321499999999999E-2</v>
      </c>
      <c r="AD847" s="46">
        <v>21.298434700000001</v>
      </c>
      <c r="AE847" s="46">
        <v>45.470874999999999</v>
      </c>
      <c r="AF847" s="46">
        <v>13.317936899999999</v>
      </c>
      <c r="AG847" s="46">
        <v>16.936104700000001</v>
      </c>
      <c r="AH847" s="46">
        <v>2.5660764999999999</v>
      </c>
      <c r="AI847" s="47">
        <f>AB847+AC847</f>
        <v>0.4105722</v>
      </c>
      <c r="AJ847" s="47">
        <f>AD847+AE847+AF847+AG847+AH847</f>
        <v>99.58942780000001</v>
      </c>
      <c r="AK847" s="46">
        <v>1.3317892</v>
      </c>
      <c r="AL847" s="46">
        <v>0.34742329999999999</v>
      </c>
      <c r="AM847" s="46">
        <v>8.8592936000000009</v>
      </c>
      <c r="AN847" s="46">
        <v>17.2553561</v>
      </c>
      <c r="AO847" s="46">
        <v>53.522486000000001</v>
      </c>
      <c r="AP847" s="46">
        <v>14.475969900000001</v>
      </c>
      <c r="AQ847" s="46">
        <v>4.2076818999999999</v>
      </c>
      <c r="AR847" s="48">
        <f>AK847+AL847</f>
        <v>1.6792125</v>
      </c>
      <c r="AS847" s="48">
        <f>AM847+AN847+AO847+AP847+AQ847</f>
        <v>98.320787499999994</v>
      </c>
    </row>
    <row r="848" spans="2:45" ht="15" hidden="1" customHeight="1" x14ac:dyDescent="0.25">
      <c r="B848" s="35">
        <v>842</v>
      </c>
      <c r="C848" s="36" t="s">
        <v>31</v>
      </c>
      <c r="D848" s="36" t="s">
        <v>272</v>
      </c>
      <c r="E848" s="36" t="s">
        <v>282</v>
      </c>
      <c r="F848" s="36" t="s">
        <v>285</v>
      </c>
      <c r="G848" s="37" t="s">
        <v>25</v>
      </c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40"/>
      <c r="AS848" s="40"/>
    </row>
    <row r="849" spans="2:45" ht="15" hidden="1" customHeight="1" x14ac:dyDescent="0.25">
      <c r="B849" s="35">
        <v>843</v>
      </c>
      <c r="C849" s="36" t="s">
        <v>31</v>
      </c>
      <c r="D849" s="36" t="s">
        <v>272</v>
      </c>
      <c r="E849" s="36" t="s">
        <v>282</v>
      </c>
      <c r="F849" s="36" t="s">
        <v>285</v>
      </c>
      <c r="G849" s="37" t="s">
        <v>26</v>
      </c>
      <c r="H849" s="38">
        <v>3897</v>
      </c>
      <c r="I849" s="38">
        <v>14</v>
      </c>
      <c r="J849" s="38">
        <v>2</v>
      </c>
      <c r="K849" s="38">
        <v>830</v>
      </c>
      <c r="L849" s="38">
        <v>1772</v>
      </c>
      <c r="M849" s="38">
        <v>519</v>
      </c>
      <c r="N849" s="38">
        <v>660</v>
      </c>
      <c r="O849" s="38">
        <v>100</v>
      </c>
      <c r="P849" s="38"/>
      <c r="Q849" s="38"/>
      <c r="R849" s="38">
        <v>5181</v>
      </c>
      <c r="S849" s="38">
        <v>69</v>
      </c>
      <c r="T849" s="38">
        <v>18</v>
      </c>
      <c r="U849" s="38">
        <v>459</v>
      </c>
      <c r="V849" s="38">
        <v>894</v>
      </c>
      <c r="W849" s="38">
        <v>2773</v>
      </c>
      <c r="X849" s="38">
        <v>750</v>
      </c>
      <c r="Y849" s="38">
        <v>218</v>
      </c>
      <c r="Z849" s="38"/>
      <c r="AA849" s="38"/>
      <c r="AB849" s="39">
        <v>0.35925069999999998</v>
      </c>
      <c r="AC849" s="39">
        <v>5.1321499999999999E-2</v>
      </c>
      <c r="AD849" s="39">
        <v>21.298434700000001</v>
      </c>
      <c r="AE849" s="39">
        <v>45.470874999999999</v>
      </c>
      <c r="AF849" s="39">
        <v>13.317936899999999</v>
      </c>
      <c r="AG849" s="39">
        <v>16.936104700000001</v>
      </c>
      <c r="AH849" s="39">
        <v>2.5660764999999999</v>
      </c>
      <c r="AI849" s="39"/>
      <c r="AJ849" s="39"/>
      <c r="AK849" s="39">
        <v>1.3317892</v>
      </c>
      <c r="AL849" s="39">
        <v>0.34742329999999999</v>
      </c>
      <c r="AM849" s="39">
        <v>8.8592936000000009</v>
      </c>
      <c r="AN849" s="39">
        <v>17.2553561</v>
      </c>
      <c r="AO849" s="39">
        <v>53.522486000000001</v>
      </c>
      <c r="AP849" s="39">
        <v>14.475969900000001</v>
      </c>
      <c r="AQ849" s="39">
        <v>4.2076818999999999</v>
      </c>
      <c r="AR849" s="40"/>
      <c r="AS849" s="40"/>
    </row>
    <row r="850" spans="2:45" ht="15" hidden="1" customHeight="1" x14ac:dyDescent="0.25">
      <c r="B850" s="30">
        <v>844</v>
      </c>
      <c r="C850" s="31" t="s">
        <v>29</v>
      </c>
      <c r="D850" s="50" t="s">
        <v>272</v>
      </c>
      <c r="E850" s="50" t="s">
        <v>279</v>
      </c>
      <c r="F850" s="50"/>
      <c r="G850" s="31" t="s">
        <v>279</v>
      </c>
      <c r="H850" s="32">
        <v>30864</v>
      </c>
      <c r="I850" s="32">
        <v>270</v>
      </c>
      <c r="J850" s="32">
        <v>1276</v>
      </c>
      <c r="K850" s="32">
        <v>7679</v>
      </c>
      <c r="L850" s="32">
        <v>13296</v>
      </c>
      <c r="M850" s="32">
        <v>5514</v>
      </c>
      <c r="N850" s="32">
        <v>1962</v>
      </c>
      <c r="O850" s="32">
        <v>867</v>
      </c>
      <c r="P850" s="32"/>
      <c r="Q850" s="32"/>
      <c r="R850" s="32">
        <v>40534</v>
      </c>
      <c r="S850" s="32">
        <v>1157</v>
      </c>
      <c r="T850" s="32">
        <v>3295</v>
      </c>
      <c r="U850" s="32">
        <v>1957</v>
      </c>
      <c r="V850" s="32">
        <v>5451</v>
      </c>
      <c r="W850" s="32">
        <v>25488</v>
      </c>
      <c r="X850" s="32">
        <v>2703</v>
      </c>
      <c r="Y850" s="32">
        <v>483</v>
      </c>
      <c r="Z850" s="32"/>
      <c r="AA850" s="32"/>
      <c r="AB850" s="33">
        <v>0.87480559999999996</v>
      </c>
      <c r="AC850" s="33">
        <v>4.1342664999999998</v>
      </c>
      <c r="AD850" s="33">
        <v>24.880119199999999</v>
      </c>
      <c r="AE850" s="33">
        <v>43.079315700000002</v>
      </c>
      <c r="AF850" s="33">
        <v>17.865474299999999</v>
      </c>
      <c r="AG850" s="33">
        <v>6.3569206999999999</v>
      </c>
      <c r="AH850" s="33">
        <v>2.8090980000000001</v>
      </c>
      <c r="AI850" s="33"/>
      <c r="AJ850" s="33"/>
      <c r="AK850" s="33">
        <v>2.8543938</v>
      </c>
      <c r="AL850" s="33">
        <v>8.1289780999999994</v>
      </c>
      <c r="AM850" s="33">
        <v>4.8280456000000003</v>
      </c>
      <c r="AN850" s="33">
        <v>13.4479696</v>
      </c>
      <c r="AO850" s="33">
        <v>62.880544700000002</v>
      </c>
      <c r="AP850" s="33">
        <v>6.6684758000000004</v>
      </c>
      <c r="AQ850" s="33">
        <v>1.1915922000000001</v>
      </c>
      <c r="AR850" s="34"/>
      <c r="AS850" s="34"/>
    </row>
    <row r="851" spans="2:45" ht="15" hidden="1" customHeight="1" x14ac:dyDescent="0.25">
      <c r="B851" s="35">
        <v>845</v>
      </c>
      <c r="C851" s="36" t="s">
        <v>29</v>
      </c>
      <c r="D851" s="36" t="s">
        <v>272</v>
      </c>
      <c r="E851" s="36" t="s">
        <v>279</v>
      </c>
      <c r="F851" s="36"/>
      <c r="G851" s="37" t="s">
        <v>25</v>
      </c>
      <c r="H851" s="38">
        <v>1085</v>
      </c>
      <c r="I851" s="38">
        <v>102</v>
      </c>
      <c r="J851" s="38">
        <v>492</v>
      </c>
      <c r="K851" s="38">
        <v>32</v>
      </c>
      <c r="L851" s="38">
        <v>410</v>
      </c>
      <c r="M851" s="38">
        <v>47</v>
      </c>
      <c r="N851" s="38">
        <v>1</v>
      </c>
      <c r="O851" s="38">
        <v>1</v>
      </c>
      <c r="P851" s="38"/>
      <c r="Q851" s="38"/>
      <c r="R851" s="38">
        <v>3467</v>
      </c>
      <c r="S851" s="38">
        <v>542</v>
      </c>
      <c r="T851" s="38">
        <v>1822</v>
      </c>
      <c r="U851" s="38">
        <v>65</v>
      </c>
      <c r="V851" s="38">
        <v>194</v>
      </c>
      <c r="W851" s="38">
        <v>799</v>
      </c>
      <c r="X851" s="38">
        <v>21</v>
      </c>
      <c r="Y851" s="38">
        <v>24</v>
      </c>
      <c r="Z851" s="38"/>
      <c r="AA851" s="38"/>
      <c r="AB851" s="39">
        <v>9.4009216999999996</v>
      </c>
      <c r="AC851" s="39">
        <v>45.3456221</v>
      </c>
      <c r="AD851" s="39">
        <v>2.9493087999999998</v>
      </c>
      <c r="AE851" s="39">
        <v>37.788018399999999</v>
      </c>
      <c r="AF851" s="39">
        <v>4.3317971999999996</v>
      </c>
      <c r="AG851" s="39">
        <v>9.2165899999999995E-2</v>
      </c>
      <c r="AH851" s="39">
        <v>9.2165899999999995E-2</v>
      </c>
      <c r="AI851" s="39"/>
      <c r="AJ851" s="39"/>
      <c r="AK851" s="39">
        <v>15.633112199999999</v>
      </c>
      <c r="AL851" s="39">
        <v>52.552639200000002</v>
      </c>
      <c r="AM851" s="39">
        <v>1.8748197</v>
      </c>
      <c r="AN851" s="39">
        <v>5.5956158</v>
      </c>
      <c r="AO851" s="39">
        <v>23.045860999999999</v>
      </c>
      <c r="AP851" s="39">
        <v>0.605711</v>
      </c>
      <c r="AQ851" s="39">
        <v>0.69224110000000005</v>
      </c>
      <c r="AR851" s="40"/>
      <c r="AS851" s="40"/>
    </row>
    <row r="852" spans="2:45" ht="15" hidden="1" customHeight="1" x14ac:dyDescent="0.25">
      <c r="B852" s="35">
        <v>846</v>
      </c>
      <c r="C852" s="36" t="s">
        <v>29</v>
      </c>
      <c r="D852" s="36" t="s">
        <v>272</v>
      </c>
      <c r="E852" s="36" t="s">
        <v>279</v>
      </c>
      <c r="F852" s="36"/>
      <c r="G852" s="37" t="s">
        <v>26</v>
      </c>
      <c r="H852" s="38">
        <v>29779</v>
      </c>
      <c r="I852" s="38">
        <v>168</v>
      </c>
      <c r="J852" s="38">
        <v>784</v>
      </c>
      <c r="K852" s="38">
        <v>7647</v>
      </c>
      <c r="L852" s="38">
        <v>12886</v>
      </c>
      <c r="M852" s="38">
        <v>5467</v>
      </c>
      <c r="N852" s="38">
        <v>1961</v>
      </c>
      <c r="O852" s="38">
        <v>866</v>
      </c>
      <c r="P852" s="38"/>
      <c r="Q852" s="38"/>
      <c r="R852" s="38">
        <v>37067</v>
      </c>
      <c r="S852" s="38">
        <v>615</v>
      </c>
      <c r="T852" s="38">
        <v>1473</v>
      </c>
      <c r="U852" s="38">
        <v>1892</v>
      </c>
      <c r="V852" s="38">
        <v>5257</v>
      </c>
      <c r="W852" s="38">
        <v>24689</v>
      </c>
      <c r="X852" s="38">
        <v>2682</v>
      </c>
      <c r="Y852" s="38">
        <v>459</v>
      </c>
      <c r="Z852" s="38"/>
      <c r="AA852" s="38"/>
      <c r="AB852" s="39">
        <v>0.56415590000000004</v>
      </c>
      <c r="AC852" s="39">
        <v>2.6327278000000001</v>
      </c>
      <c r="AD852" s="39">
        <v>25.679169900000002</v>
      </c>
      <c r="AE852" s="39">
        <v>43.272104499999998</v>
      </c>
      <c r="AF852" s="39">
        <v>18.3585748</v>
      </c>
      <c r="AG852" s="39">
        <v>6.5851775000000004</v>
      </c>
      <c r="AH852" s="39">
        <v>2.9080895999999998</v>
      </c>
      <c r="AI852" s="39"/>
      <c r="AJ852" s="39"/>
      <c r="AK852" s="39">
        <v>1.6591577</v>
      </c>
      <c r="AL852" s="39">
        <v>3.9738850999999999</v>
      </c>
      <c r="AM852" s="39">
        <v>5.1042706000000004</v>
      </c>
      <c r="AN852" s="39">
        <v>14.182426400000001</v>
      </c>
      <c r="AO852" s="39">
        <v>66.606415400000003</v>
      </c>
      <c r="AP852" s="39">
        <v>7.2355463999999996</v>
      </c>
      <c r="AQ852" s="39">
        <v>1.2382982</v>
      </c>
      <c r="AR852" s="40"/>
      <c r="AS852" s="40"/>
    </row>
    <row r="853" spans="2:45" ht="15" customHeight="1" x14ac:dyDescent="0.25">
      <c r="B853" s="41">
        <v>847</v>
      </c>
      <c r="C853" s="42" t="s">
        <v>31</v>
      </c>
      <c r="D853" s="51" t="s">
        <v>272</v>
      </c>
      <c r="E853" s="51" t="s">
        <v>279</v>
      </c>
      <c r="F853" s="51" t="s">
        <v>286</v>
      </c>
      <c r="G853" s="52" t="s">
        <v>286</v>
      </c>
      <c r="H853" s="43">
        <v>4286</v>
      </c>
      <c r="I853" s="43">
        <v>103</v>
      </c>
      <c r="J853" s="43">
        <v>495</v>
      </c>
      <c r="K853" s="43">
        <v>886</v>
      </c>
      <c r="L853" s="43">
        <v>2070</v>
      </c>
      <c r="M853" s="43">
        <v>374</v>
      </c>
      <c r="N853" s="43">
        <v>300</v>
      </c>
      <c r="O853" s="43">
        <v>58</v>
      </c>
      <c r="P853" s="44">
        <f>K853+L853+M853+N853+O853</f>
        <v>3688</v>
      </c>
      <c r="Q853" s="44">
        <f>I853+J853</f>
        <v>598</v>
      </c>
      <c r="R853" s="43">
        <v>6497</v>
      </c>
      <c r="S853" s="43">
        <v>417</v>
      </c>
      <c r="T853" s="43">
        <v>1319</v>
      </c>
      <c r="U853" s="43">
        <v>219</v>
      </c>
      <c r="V853" s="43">
        <v>1157</v>
      </c>
      <c r="W853" s="43">
        <v>3021</v>
      </c>
      <c r="X853" s="43">
        <v>330</v>
      </c>
      <c r="Y853" s="43">
        <v>34</v>
      </c>
      <c r="Z853" s="45">
        <f>U853+V853+W853+X853+Y853</f>
        <v>4761</v>
      </c>
      <c r="AA853" s="45">
        <f>S853+T853</f>
        <v>1736</v>
      </c>
      <c r="AB853" s="46">
        <v>2.4031731000000001</v>
      </c>
      <c r="AC853" s="46">
        <v>11.549230100000001</v>
      </c>
      <c r="AD853" s="46">
        <v>20.671955199999999</v>
      </c>
      <c r="AE853" s="46">
        <v>48.296780200000001</v>
      </c>
      <c r="AF853" s="46">
        <v>8.7260849</v>
      </c>
      <c r="AG853" s="46">
        <v>6.9995333999999998</v>
      </c>
      <c r="AH853" s="46">
        <v>1.3532431</v>
      </c>
      <c r="AI853" s="47">
        <f>AB853+AC853</f>
        <v>13.952403200000001</v>
      </c>
      <c r="AJ853" s="47">
        <f>AD853+AE853+AF853+AG853+AH853</f>
        <v>86.047596800000008</v>
      </c>
      <c r="AK853" s="46">
        <v>6.4183469000000004</v>
      </c>
      <c r="AL853" s="46">
        <v>20.301677699999999</v>
      </c>
      <c r="AM853" s="46">
        <v>3.3707864999999999</v>
      </c>
      <c r="AN853" s="46">
        <v>17.8082192</v>
      </c>
      <c r="AO853" s="46">
        <v>46.4983839</v>
      </c>
      <c r="AP853" s="46">
        <v>5.0792674</v>
      </c>
      <c r="AQ853" s="46">
        <v>0.52331850000000002</v>
      </c>
      <c r="AR853" s="48">
        <f>AK853+AL853</f>
        <v>26.720024599999999</v>
      </c>
      <c r="AS853" s="48">
        <f>AM853+AN853+AO853+AP853+AQ853</f>
        <v>73.279975500000006</v>
      </c>
    </row>
    <row r="854" spans="2:45" ht="15" hidden="1" customHeight="1" x14ac:dyDescent="0.25">
      <c r="B854" s="35">
        <v>848</v>
      </c>
      <c r="C854" s="36" t="s">
        <v>31</v>
      </c>
      <c r="D854" s="36" t="s">
        <v>272</v>
      </c>
      <c r="E854" s="36" t="s">
        <v>279</v>
      </c>
      <c r="F854" s="36" t="s">
        <v>286</v>
      </c>
      <c r="G854" s="37" t="s">
        <v>25</v>
      </c>
      <c r="H854" s="38">
        <v>1085</v>
      </c>
      <c r="I854" s="38">
        <v>102</v>
      </c>
      <c r="J854" s="38">
        <v>492</v>
      </c>
      <c r="K854" s="38">
        <v>32</v>
      </c>
      <c r="L854" s="38">
        <v>410</v>
      </c>
      <c r="M854" s="38">
        <v>47</v>
      </c>
      <c r="N854" s="38">
        <v>1</v>
      </c>
      <c r="O854" s="38">
        <v>1</v>
      </c>
      <c r="P854" s="38"/>
      <c r="Q854" s="38"/>
      <c r="R854" s="38">
        <v>2012</v>
      </c>
      <c r="S854" s="38">
        <v>378</v>
      </c>
      <c r="T854" s="38">
        <v>1311</v>
      </c>
      <c r="U854" s="38">
        <v>27</v>
      </c>
      <c r="V854" s="38">
        <v>71</v>
      </c>
      <c r="W854" s="38">
        <v>207</v>
      </c>
      <c r="X854" s="38">
        <v>5</v>
      </c>
      <c r="Y854" s="38">
        <v>13</v>
      </c>
      <c r="Z854" s="38"/>
      <c r="AA854" s="38"/>
      <c r="AB854" s="39">
        <v>9.4009216999999996</v>
      </c>
      <c r="AC854" s="39">
        <v>45.3456221</v>
      </c>
      <c r="AD854" s="39">
        <v>2.9493087999999998</v>
      </c>
      <c r="AE854" s="39">
        <v>37.788018399999999</v>
      </c>
      <c r="AF854" s="39">
        <v>4.3317971999999996</v>
      </c>
      <c r="AG854" s="39">
        <v>9.2165899999999995E-2</v>
      </c>
      <c r="AH854" s="39">
        <v>9.2165899999999995E-2</v>
      </c>
      <c r="AI854" s="39"/>
      <c r="AJ854" s="39"/>
      <c r="AK854" s="39">
        <v>18.787276299999998</v>
      </c>
      <c r="AL854" s="39">
        <v>65.159045699999993</v>
      </c>
      <c r="AM854" s="39">
        <v>1.3419483000000001</v>
      </c>
      <c r="AN854" s="39">
        <v>3.5288270000000002</v>
      </c>
      <c r="AO854" s="39">
        <v>10.2882704</v>
      </c>
      <c r="AP854" s="39">
        <v>0.2485089</v>
      </c>
      <c r="AQ854" s="39">
        <v>0.64612329999999996</v>
      </c>
      <c r="AR854" s="40"/>
      <c r="AS854" s="40"/>
    </row>
    <row r="855" spans="2:45" ht="15" hidden="1" customHeight="1" x14ac:dyDescent="0.25">
      <c r="B855" s="35">
        <v>849</v>
      </c>
      <c r="C855" s="36" t="s">
        <v>31</v>
      </c>
      <c r="D855" s="36" t="s">
        <v>272</v>
      </c>
      <c r="E855" s="36" t="s">
        <v>279</v>
      </c>
      <c r="F855" s="36" t="s">
        <v>286</v>
      </c>
      <c r="G855" s="37" t="s">
        <v>26</v>
      </c>
      <c r="H855" s="38">
        <v>3201</v>
      </c>
      <c r="I855" s="38">
        <v>1</v>
      </c>
      <c r="J855" s="38">
        <v>3</v>
      </c>
      <c r="K855" s="38">
        <v>854</v>
      </c>
      <c r="L855" s="38">
        <v>1660</v>
      </c>
      <c r="M855" s="38">
        <v>327</v>
      </c>
      <c r="N855" s="38">
        <v>299</v>
      </c>
      <c r="O855" s="38">
        <v>57</v>
      </c>
      <c r="P855" s="38"/>
      <c r="Q855" s="38"/>
      <c r="R855" s="38">
        <v>4485</v>
      </c>
      <c r="S855" s="38">
        <v>39</v>
      </c>
      <c r="T855" s="38">
        <v>8</v>
      </c>
      <c r="U855" s="38">
        <v>192</v>
      </c>
      <c r="V855" s="38">
        <v>1086</v>
      </c>
      <c r="W855" s="38">
        <v>2814</v>
      </c>
      <c r="X855" s="38">
        <v>325</v>
      </c>
      <c r="Y855" s="38">
        <v>21</v>
      </c>
      <c r="Z855" s="38"/>
      <c r="AA855" s="38"/>
      <c r="AB855" s="39">
        <v>3.1240199999999999E-2</v>
      </c>
      <c r="AC855" s="39">
        <v>9.3720700000000004E-2</v>
      </c>
      <c r="AD855" s="39">
        <v>26.6791628</v>
      </c>
      <c r="AE855" s="39">
        <v>51.858794099999997</v>
      </c>
      <c r="AF855" s="39">
        <v>10.2155576</v>
      </c>
      <c r="AG855" s="39">
        <v>9.3408309999999997</v>
      </c>
      <c r="AH855" s="39">
        <v>1.7806934999999999</v>
      </c>
      <c r="AI855" s="39"/>
      <c r="AJ855" s="39"/>
      <c r="AK855" s="39">
        <v>0.86956520000000004</v>
      </c>
      <c r="AL855" s="39">
        <v>0.17837239999999999</v>
      </c>
      <c r="AM855" s="39">
        <v>4.2809365000000001</v>
      </c>
      <c r="AN855" s="39">
        <v>24.214046799999998</v>
      </c>
      <c r="AO855" s="39">
        <v>62.742474899999998</v>
      </c>
      <c r="AP855" s="39">
        <v>7.2463768000000002</v>
      </c>
      <c r="AQ855" s="39">
        <v>0.46822740000000002</v>
      </c>
      <c r="AR855" s="40"/>
      <c r="AS855" s="40"/>
    </row>
    <row r="856" spans="2:45" ht="15" customHeight="1" x14ac:dyDescent="0.25">
      <c r="B856" s="41">
        <v>850</v>
      </c>
      <c r="C856" s="42" t="s">
        <v>31</v>
      </c>
      <c r="D856" s="51" t="s">
        <v>272</v>
      </c>
      <c r="E856" s="51" t="s">
        <v>279</v>
      </c>
      <c r="F856" s="51" t="s">
        <v>287</v>
      </c>
      <c r="G856" s="52" t="s">
        <v>287</v>
      </c>
      <c r="H856" s="43">
        <v>6685</v>
      </c>
      <c r="I856" s="43">
        <v>79</v>
      </c>
      <c r="J856" s="43">
        <v>409</v>
      </c>
      <c r="K856" s="43">
        <v>2033</v>
      </c>
      <c r="L856" s="43">
        <v>1820</v>
      </c>
      <c r="M856" s="43">
        <v>1486</v>
      </c>
      <c r="N856" s="43">
        <v>437</v>
      </c>
      <c r="O856" s="43">
        <v>421</v>
      </c>
      <c r="P856" s="44">
        <f>K856+L856+M856+N856+O856</f>
        <v>6197</v>
      </c>
      <c r="Q856" s="44">
        <f>I856+J856</f>
        <v>488</v>
      </c>
      <c r="R856" s="43">
        <v>6880</v>
      </c>
      <c r="S856" s="43">
        <v>120</v>
      </c>
      <c r="T856" s="43">
        <v>499</v>
      </c>
      <c r="U856" s="43">
        <v>657</v>
      </c>
      <c r="V856" s="43">
        <v>895</v>
      </c>
      <c r="W856" s="43">
        <v>4094</v>
      </c>
      <c r="X856" s="43">
        <v>536</v>
      </c>
      <c r="Y856" s="43">
        <v>79</v>
      </c>
      <c r="Z856" s="45">
        <f>U856+V856+W856+X856+Y856</f>
        <v>6261</v>
      </c>
      <c r="AA856" s="45">
        <f>S856+T856</f>
        <v>619</v>
      </c>
      <c r="AB856" s="46">
        <v>1.1817502</v>
      </c>
      <c r="AC856" s="46">
        <v>6.1181749999999999</v>
      </c>
      <c r="AD856" s="46">
        <v>30.411368700000001</v>
      </c>
      <c r="AE856" s="46">
        <v>27.2251309</v>
      </c>
      <c r="AF856" s="46">
        <v>22.2288706</v>
      </c>
      <c r="AG856" s="46">
        <v>6.5370232000000001</v>
      </c>
      <c r="AH856" s="46">
        <v>6.2976814000000001</v>
      </c>
      <c r="AI856" s="47">
        <f>AB856+AC856</f>
        <v>7.2999251999999997</v>
      </c>
      <c r="AJ856" s="47">
        <f>AD856+AE856+AF856+AG856+AH856</f>
        <v>92.700074799999996</v>
      </c>
      <c r="AK856" s="46">
        <v>1.744186</v>
      </c>
      <c r="AL856" s="46">
        <v>7.2529070000000004</v>
      </c>
      <c r="AM856" s="46">
        <v>9.5494185999999992</v>
      </c>
      <c r="AN856" s="46">
        <v>13.0087209</v>
      </c>
      <c r="AO856" s="46">
        <v>59.505814000000001</v>
      </c>
      <c r="AP856" s="46">
        <v>7.7906976999999999</v>
      </c>
      <c r="AQ856" s="46">
        <v>1.1482558</v>
      </c>
      <c r="AR856" s="48">
        <f>AK856+AL856</f>
        <v>8.9970929999999996</v>
      </c>
      <c r="AS856" s="48">
        <f>AM856+AN856+AO856+AP856+AQ856</f>
        <v>91.002906999999993</v>
      </c>
    </row>
    <row r="857" spans="2:45" ht="15" hidden="1" customHeight="1" x14ac:dyDescent="0.25">
      <c r="B857" s="35">
        <v>851</v>
      </c>
      <c r="C857" s="36" t="s">
        <v>31</v>
      </c>
      <c r="D857" s="36" t="s">
        <v>272</v>
      </c>
      <c r="E857" s="36" t="s">
        <v>279</v>
      </c>
      <c r="F857" s="36" t="s">
        <v>287</v>
      </c>
      <c r="G857" s="37" t="s">
        <v>25</v>
      </c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40"/>
      <c r="AS857" s="40"/>
    </row>
    <row r="858" spans="2:45" ht="15" hidden="1" customHeight="1" x14ac:dyDescent="0.25">
      <c r="B858" s="35">
        <v>852</v>
      </c>
      <c r="C858" s="36" t="s">
        <v>31</v>
      </c>
      <c r="D858" s="36" t="s">
        <v>272</v>
      </c>
      <c r="E858" s="36" t="s">
        <v>279</v>
      </c>
      <c r="F858" s="36" t="s">
        <v>287</v>
      </c>
      <c r="G858" s="37" t="s">
        <v>26</v>
      </c>
      <c r="H858" s="38">
        <v>6685</v>
      </c>
      <c r="I858" s="38">
        <v>79</v>
      </c>
      <c r="J858" s="38">
        <v>409</v>
      </c>
      <c r="K858" s="38">
        <v>2033</v>
      </c>
      <c r="L858" s="38">
        <v>1820</v>
      </c>
      <c r="M858" s="38">
        <v>1486</v>
      </c>
      <c r="N858" s="38">
        <v>437</v>
      </c>
      <c r="O858" s="38">
        <v>421</v>
      </c>
      <c r="P858" s="38"/>
      <c r="Q858" s="38"/>
      <c r="R858" s="38">
        <v>6880</v>
      </c>
      <c r="S858" s="38">
        <v>120</v>
      </c>
      <c r="T858" s="38">
        <v>499</v>
      </c>
      <c r="U858" s="38">
        <v>657</v>
      </c>
      <c r="V858" s="38">
        <v>895</v>
      </c>
      <c r="W858" s="38">
        <v>4094</v>
      </c>
      <c r="X858" s="38">
        <v>536</v>
      </c>
      <c r="Y858" s="38">
        <v>79</v>
      </c>
      <c r="Z858" s="38"/>
      <c r="AA858" s="38"/>
      <c r="AB858" s="39">
        <v>1.1817502</v>
      </c>
      <c r="AC858" s="39">
        <v>6.1181749999999999</v>
      </c>
      <c r="AD858" s="39">
        <v>30.411368700000001</v>
      </c>
      <c r="AE858" s="39">
        <v>27.2251309</v>
      </c>
      <c r="AF858" s="39">
        <v>22.2288706</v>
      </c>
      <c r="AG858" s="39">
        <v>6.5370232000000001</v>
      </c>
      <c r="AH858" s="39">
        <v>6.2976814000000001</v>
      </c>
      <c r="AI858" s="39"/>
      <c r="AJ858" s="39"/>
      <c r="AK858" s="39">
        <v>1.744186</v>
      </c>
      <c r="AL858" s="39">
        <v>7.2529070000000004</v>
      </c>
      <c r="AM858" s="39">
        <v>9.5494185999999992</v>
      </c>
      <c r="AN858" s="39">
        <v>13.0087209</v>
      </c>
      <c r="AO858" s="39">
        <v>59.505814000000001</v>
      </c>
      <c r="AP858" s="39">
        <v>7.7906976999999999</v>
      </c>
      <c r="AQ858" s="39">
        <v>1.1482558</v>
      </c>
      <c r="AR858" s="40"/>
      <c r="AS858" s="40"/>
    </row>
    <row r="859" spans="2:45" ht="15" customHeight="1" x14ac:dyDescent="0.25">
      <c r="B859" s="41">
        <v>853</v>
      </c>
      <c r="C859" s="42" t="s">
        <v>31</v>
      </c>
      <c r="D859" s="51" t="s">
        <v>272</v>
      </c>
      <c r="E859" s="51" t="s">
        <v>279</v>
      </c>
      <c r="F859" s="51" t="s">
        <v>288</v>
      </c>
      <c r="G859" s="52" t="s">
        <v>288</v>
      </c>
      <c r="H859" s="43">
        <v>8436</v>
      </c>
      <c r="I859" s="43">
        <v>39</v>
      </c>
      <c r="J859" s="43">
        <v>331</v>
      </c>
      <c r="K859" s="43">
        <v>2248</v>
      </c>
      <c r="L859" s="43">
        <v>3407</v>
      </c>
      <c r="M859" s="43">
        <v>1403</v>
      </c>
      <c r="N859" s="43">
        <v>740</v>
      </c>
      <c r="O859" s="43">
        <v>268</v>
      </c>
      <c r="P859" s="44">
        <f>K859+L859+M859+N859+O859</f>
        <v>8066</v>
      </c>
      <c r="Q859" s="44">
        <f>I859+J859</f>
        <v>370</v>
      </c>
      <c r="R859" s="43">
        <v>12538</v>
      </c>
      <c r="S859" s="43">
        <v>254</v>
      </c>
      <c r="T859" s="43">
        <v>531</v>
      </c>
      <c r="U859" s="43">
        <v>582</v>
      </c>
      <c r="V859" s="43">
        <v>1399</v>
      </c>
      <c r="W859" s="43">
        <v>8608</v>
      </c>
      <c r="X859" s="43">
        <v>972</v>
      </c>
      <c r="Y859" s="43">
        <v>192</v>
      </c>
      <c r="Z859" s="45">
        <f>U859+V859+W859+X859+Y859</f>
        <v>11753</v>
      </c>
      <c r="AA859" s="45">
        <f>S859+T859</f>
        <v>785</v>
      </c>
      <c r="AB859" s="46">
        <v>0.4623044</v>
      </c>
      <c r="AC859" s="46">
        <v>3.9236605</v>
      </c>
      <c r="AD859" s="46">
        <v>26.6477003</v>
      </c>
      <c r="AE859" s="46">
        <v>40.386439099999997</v>
      </c>
      <c r="AF859" s="46">
        <v>16.631104799999999</v>
      </c>
      <c r="AG859" s="46">
        <v>8.7719298000000006</v>
      </c>
      <c r="AH859" s="46">
        <v>3.1768611</v>
      </c>
      <c r="AI859" s="47">
        <f>AB859+AC859</f>
        <v>4.3859649000000003</v>
      </c>
      <c r="AJ859" s="47">
        <f>AD859+AE859+AF859+AG859+AH859</f>
        <v>95.614035099999995</v>
      </c>
      <c r="AK859" s="46">
        <v>2.0258414</v>
      </c>
      <c r="AL859" s="46">
        <v>4.2351251999999997</v>
      </c>
      <c r="AM859" s="46">
        <v>4.6418887</v>
      </c>
      <c r="AN859" s="46">
        <v>11.1580794</v>
      </c>
      <c r="AO859" s="46">
        <v>68.655287900000005</v>
      </c>
      <c r="AP859" s="46">
        <v>7.7524325999999997</v>
      </c>
      <c r="AQ859" s="46">
        <v>1.5313447</v>
      </c>
      <c r="AR859" s="48">
        <f>AK859+AL859</f>
        <v>6.2609665999999997</v>
      </c>
      <c r="AS859" s="48">
        <f>AM859+AN859+AO859+AP859+AQ859</f>
        <v>93.739033300000017</v>
      </c>
    </row>
    <row r="860" spans="2:45" ht="15" hidden="1" customHeight="1" x14ac:dyDescent="0.25">
      <c r="B860" s="35">
        <v>854</v>
      </c>
      <c r="C860" s="36" t="s">
        <v>31</v>
      </c>
      <c r="D860" s="36" t="s">
        <v>272</v>
      </c>
      <c r="E860" s="36" t="s">
        <v>279</v>
      </c>
      <c r="F860" s="36" t="s">
        <v>288</v>
      </c>
      <c r="G860" s="37" t="s">
        <v>25</v>
      </c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>
        <v>1455</v>
      </c>
      <c r="S860" s="38">
        <v>164</v>
      </c>
      <c r="T860" s="38">
        <v>511</v>
      </c>
      <c r="U860" s="38">
        <v>38</v>
      </c>
      <c r="V860" s="38">
        <v>123</v>
      </c>
      <c r="W860" s="38">
        <v>592</v>
      </c>
      <c r="X860" s="38">
        <v>16</v>
      </c>
      <c r="Y860" s="38">
        <v>11</v>
      </c>
      <c r="Z860" s="38"/>
      <c r="AA860" s="38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>
        <v>11.2714777</v>
      </c>
      <c r="AL860" s="39">
        <v>35.120274899999998</v>
      </c>
      <c r="AM860" s="39">
        <v>2.6116838000000002</v>
      </c>
      <c r="AN860" s="39">
        <v>8.4536081999999997</v>
      </c>
      <c r="AO860" s="39">
        <v>40.687285199999998</v>
      </c>
      <c r="AP860" s="39">
        <v>1.0996564</v>
      </c>
      <c r="AQ860" s="39">
        <v>0.75601370000000001</v>
      </c>
      <c r="AR860" s="40"/>
      <c r="AS860" s="40"/>
    </row>
    <row r="861" spans="2:45" ht="15" hidden="1" customHeight="1" x14ac:dyDescent="0.25">
      <c r="B861" s="35">
        <v>855</v>
      </c>
      <c r="C861" s="36" t="s">
        <v>31</v>
      </c>
      <c r="D861" s="36" t="s">
        <v>272</v>
      </c>
      <c r="E861" s="36" t="s">
        <v>279</v>
      </c>
      <c r="F861" s="36" t="s">
        <v>288</v>
      </c>
      <c r="G861" s="37" t="s">
        <v>26</v>
      </c>
      <c r="H861" s="38">
        <v>8436</v>
      </c>
      <c r="I861" s="38">
        <v>39</v>
      </c>
      <c r="J861" s="38">
        <v>331</v>
      </c>
      <c r="K861" s="38">
        <v>2248</v>
      </c>
      <c r="L861" s="38">
        <v>3407</v>
      </c>
      <c r="M861" s="38">
        <v>1403</v>
      </c>
      <c r="N861" s="38">
        <v>740</v>
      </c>
      <c r="O861" s="38">
        <v>268</v>
      </c>
      <c r="P861" s="38"/>
      <c r="Q861" s="38"/>
      <c r="R861" s="38">
        <v>11083</v>
      </c>
      <c r="S861" s="38">
        <v>90</v>
      </c>
      <c r="T861" s="38">
        <v>20</v>
      </c>
      <c r="U861" s="38">
        <v>544</v>
      </c>
      <c r="V861" s="38">
        <v>1276</v>
      </c>
      <c r="W861" s="38">
        <v>8016</v>
      </c>
      <c r="X861" s="38">
        <v>956</v>
      </c>
      <c r="Y861" s="38">
        <v>181</v>
      </c>
      <c r="Z861" s="38"/>
      <c r="AA861" s="38"/>
      <c r="AB861" s="39">
        <v>0.4623044</v>
      </c>
      <c r="AC861" s="39">
        <v>3.9236605</v>
      </c>
      <c r="AD861" s="39">
        <v>26.6477003</v>
      </c>
      <c r="AE861" s="39">
        <v>40.386439099999997</v>
      </c>
      <c r="AF861" s="39">
        <v>16.631104799999999</v>
      </c>
      <c r="AG861" s="39">
        <v>8.7719298000000006</v>
      </c>
      <c r="AH861" s="39">
        <v>3.1768611</v>
      </c>
      <c r="AI861" s="39"/>
      <c r="AJ861" s="39"/>
      <c r="AK861" s="39">
        <v>0.81205450000000001</v>
      </c>
      <c r="AL861" s="39">
        <v>0.18045659999999999</v>
      </c>
      <c r="AM861" s="39">
        <v>4.9084183000000001</v>
      </c>
      <c r="AN861" s="39">
        <v>11.513128200000001</v>
      </c>
      <c r="AO861" s="39">
        <v>72.326987299999999</v>
      </c>
      <c r="AP861" s="39">
        <v>8.6258233000000004</v>
      </c>
      <c r="AQ861" s="39">
        <v>1.6331317999999999</v>
      </c>
      <c r="AR861" s="40"/>
      <c r="AS861" s="40"/>
    </row>
    <row r="862" spans="2:45" ht="15" customHeight="1" x14ac:dyDescent="0.25">
      <c r="B862" s="41">
        <v>856</v>
      </c>
      <c r="C862" s="42" t="s">
        <v>31</v>
      </c>
      <c r="D862" s="51" t="s">
        <v>272</v>
      </c>
      <c r="E862" s="51" t="s">
        <v>279</v>
      </c>
      <c r="F862" s="51" t="s">
        <v>289</v>
      </c>
      <c r="G862" s="52" t="s">
        <v>289</v>
      </c>
      <c r="H862" s="43">
        <v>5093</v>
      </c>
      <c r="I862" s="43">
        <v>27</v>
      </c>
      <c r="J862" s="43">
        <v>37</v>
      </c>
      <c r="K862" s="43">
        <v>1548</v>
      </c>
      <c r="L862" s="43">
        <v>2322</v>
      </c>
      <c r="M862" s="43">
        <v>826</v>
      </c>
      <c r="N862" s="43">
        <v>251</v>
      </c>
      <c r="O862" s="43">
        <v>82</v>
      </c>
      <c r="P862" s="44">
        <f>K862+L862+M862+N862+O862</f>
        <v>5029</v>
      </c>
      <c r="Q862" s="44">
        <f>I862+J862</f>
        <v>64</v>
      </c>
      <c r="R862" s="43">
        <v>6181</v>
      </c>
      <c r="S862" s="43">
        <v>167</v>
      </c>
      <c r="T862" s="43">
        <v>482</v>
      </c>
      <c r="U862" s="43">
        <v>336</v>
      </c>
      <c r="V862" s="43">
        <v>1007</v>
      </c>
      <c r="W862" s="43">
        <v>3675</v>
      </c>
      <c r="X862" s="43">
        <v>405</v>
      </c>
      <c r="Y862" s="43">
        <v>109</v>
      </c>
      <c r="Z862" s="45">
        <f>U862+V862+W862+X862+Y862</f>
        <v>5532</v>
      </c>
      <c r="AA862" s="45">
        <f>S862+T862</f>
        <v>649</v>
      </c>
      <c r="AB862" s="46">
        <v>0.53013940000000004</v>
      </c>
      <c r="AC862" s="46">
        <v>0.72648729999999995</v>
      </c>
      <c r="AD862" s="46">
        <v>30.394659300000001</v>
      </c>
      <c r="AE862" s="46">
        <v>45.591988999999998</v>
      </c>
      <c r="AF862" s="46">
        <v>16.218338899999999</v>
      </c>
      <c r="AG862" s="46">
        <v>4.9283330000000003</v>
      </c>
      <c r="AH862" s="46">
        <v>1.610053</v>
      </c>
      <c r="AI862" s="47">
        <f>AB862+AC862</f>
        <v>1.2566267</v>
      </c>
      <c r="AJ862" s="47">
        <f>AD862+AE862+AF862+AG862+AH862</f>
        <v>98.743373199999994</v>
      </c>
      <c r="AK862" s="46">
        <v>2.7018282</v>
      </c>
      <c r="AL862" s="46">
        <v>7.7980909</v>
      </c>
      <c r="AM862" s="46">
        <v>5.4360135999999999</v>
      </c>
      <c r="AN862" s="46">
        <v>16.291862200000001</v>
      </c>
      <c r="AO862" s="46">
        <v>59.4563986</v>
      </c>
      <c r="AP862" s="46">
        <v>6.5523378000000001</v>
      </c>
      <c r="AQ862" s="46">
        <v>1.7634687</v>
      </c>
      <c r="AR862" s="48">
        <f>AK862+AL862</f>
        <v>10.4999191</v>
      </c>
      <c r="AS862" s="48">
        <f>AM862+AN862+AO862+AP862+AQ862</f>
        <v>89.5000809</v>
      </c>
    </row>
    <row r="863" spans="2:45" ht="15" hidden="1" customHeight="1" x14ac:dyDescent="0.25">
      <c r="B863" s="35">
        <v>857</v>
      </c>
      <c r="C863" s="36" t="s">
        <v>31</v>
      </c>
      <c r="D863" s="36" t="s">
        <v>272</v>
      </c>
      <c r="E863" s="36" t="s">
        <v>279</v>
      </c>
      <c r="F863" s="36" t="s">
        <v>289</v>
      </c>
      <c r="G863" s="37" t="s">
        <v>25</v>
      </c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40"/>
      <c r="AS863" s="40"/>
    </row>
    <row r="864" spans="2:45" ht="15" hidden="1" customHeight="1" x14ac:dyDescent="0.25">
      <c r="B864" s="35">
        <v>858</v>
      </c>
      <c r="C864" s="36" t="s">
        <v>31</v>
      </c>
      <c r="D864" s="36" t="s">
        <v>272</v>
      </c>
      <c r="E864" s="36" t="s">
        <v>279</v>
      </c>
      <c r="F864" s="36" t="s">
        <v>289</v>
      </c>
      <c r="G864" s="37" t="s">
        <v>26</v>
      </c>
      <c r="H864" s="38">
        <v>5093</v>
      </c>
      <c r="I864" s="38">
        <v>27</v>
      </c>
      <c r="J864" s="38">
        <v>37</v>
      </c>
      <c r="K864" s="38">
        <v>1548</v>
      </c>
      <c r="L864" s="38">
        <v>2322</v>
      </c>
      <c r="M864" s="38">
        <v>826</v>
      </c>
      <c r="N864" s="38">
        <v>251</v>
      </c>
      <c r="O864" s="38">
        <v>82</v>
      </c>
      <c r="P864" s="38"/>
      <c r="Q864" s="38"/>
      <c r="R864" s="38">
        <v>6181</v>
      </c>
      <c r="S864" s="38">
        <v>167</v>
      </c>
      <c r="T864" s="38">
        <v>482</v>
      </c>
      <c r="U864" s="38">
        <v>336</v>
      </c>
      <c r="V864" s="38">
        <v>1007</v>
      </c>
      <c r="W864" s="38">
        <v>3675</v>
      </c>
      <c r="X864" s="38">
        <v>405</v>
      </c>
      <c r="Y864" s="38">
        <v>109</v>
      </c>
      <c r="Z864" s="38"/>
      <c r="AA864" s="38"/>
      <c r="AB864" s="39">
        <v>0.53013940000000004</v>
      </c>
      <c r="AC864" s="39">
        <v>0.72648729999999995</v>
      </c>
      <c r="AD864" s="39">
        <v>30.394659300000001</v>
      </c>
      <c r="AE864" s="39">
        <v>45.591988999999998</v>
      </c>
      <c r="AF864" s="39">
        <v>16.218338899999999</v>
      </c>
      <c r="AG864" s="39">
        <v>4.9283330000000003</v>
      </c>
      <c r="AH864" s="39">
        <v>1.610053</v>
      </c>
      <c r="AI864" s="39"/>
      <c r="AJ864" s="39"/>
      <c r="AK864" s="39">
        <v>2.7018282</v>
      </c>
      <c r="AL864" s="39">
        <v>7.7980909</v>
      </c>
      <c r="AM864" s="39">
        <v>5.4360135999999999</v>
      </c>
      <c r="AN864" s="39">
        <v>16.291862200000001</v>
      </c>
      <c r="AO864" s="39">
        <v>59.4563986</v>
      </c>
      <c r="AP864" s="39">
        <v>6.5523378000000001</v>
      </c>
      <c r="AQ864" s="39">
        <v>1.7634687</v>
      </c>
      <c r="AR864" s="40"/>
      <c r="AS864" s="40"/>
    </row>
    <row r="865" spans="2:45" ht="15" customHeight="1" x14ac:dyDescent="0.25">
      <c r="B865" s="41">
        <v>859</v>
      </c>
      <c r="C865" s="42" t="s">
        <v>31</v>
      </c>
      <c r="D865" s="51" t="s">
        <v>272</v>
      </c>
      <c r="E865" s="51" t="s">
        <v>279</v>
      </c>
      <c r="F865" s="51" t="s">
        <v>290</v>
      </c>
      <c r="G865" s="52" t="s">
        <v>290</v>
      </c>
      <c r="H865" s="43">
        <v>6364</v>
      </c>
      <c r="I865" s="43">
        <v>22</v>
      </c>
      <c r="J865" s="43">
        <v>4</v>
      </c>
      <c r="K865" s="43">
        <v>964</v>
      </c>
      <c r="L865" s="43">
        <v>3677</v>
      </c>
      <c r="M865" s="43">
        <v>1425</v>
      </c>
      <c r="N865" s="43">
        <v>234</v>
      </c>
      <c r="O865" s="43">
        <v>38</v>
      </c>
      <c r="P865" s="44">
        <f>K865+L865+M865+N865+O865</f>
        <v>6338</v>
      </c>
      <c r="Q865" s="44">
        <f>I865+J865</f>
        <v>26</v>
      </c>
      <c r="R865" s="43">
        <v>8438</v>
      </c>
      <c r="S865" s="43">
        <v>199</v>
      </c>
      <c r="T865" s="43">
        <v>464</v>
      </c>
      <c r="U865" s="43">
        <v>163</v>
      </c>
      <c r="V865" s="43">
        <v>993</v>
      </c>
      <c r="W865" s="43">
        <v>6090</v>
      </c>
      <c r="X865" s="43">
        <v>460</v>
      </c>
      <c r="Y865" s="43">
        <v>69</v>
      </c>
      <c r="Z865" s="45">
        <f>U865+V865+W865+X865+Y865</f>
        <v>7775</v>
      </c>
      <c r="AA865" s="45">
        <f>S865+T865</f>
        <v>663</v>
      </c>
      <c r="AB865" s="46">
        <v>0.34569450000000002</v>
      </c>
      <c r="AC865" s="46">
        <v>6.2853599999999996E-2</v>
      </c>
      <c r="AD865" s="46">
        <v>15.147705800000001</v>
      </c>
      <c r="AE865" s="46">
        <v>57.778126999999998</v>
      </c>
      <c r="AF865" s="46">
        <v>22.391577600000002</v>
      </c>
      <c r="AG865" s="46">
        <v>3.6769327000000001</v>
      </c>
      <c r="AH865" s="46">
        <v>0.59710870000000005</v>
      </c>
      <c r="AI865" s="47">
        <f>AB865+AC865</f>
        <v>0.40854810000000003</v>
      </c>
      <c r="AJ865" s="47">
        <f>AD865+AE865+AF865+AG865+AH865</f>
        <v>99.591451800000002</v>
      </c>
      <c r="AK865" s="46">
        <v>2.3583788000000001</v>
      </c>
      <c r="AL865" s="46">
        <v>5.4989334000000003</v>
      </c>
      <c r="AM865" s="46">
        <v>1.9317374</v>
      </c>
      <c r="AN865" s="46">
        <v>11.7681915</v>
      </c>
      <c r="AO865" s="46">
        <v>72.173500799999999</v>
      </c>
      <c r="AP865" s="46">
        <v>5.4515288000000002</v>
      </c>
      <c r="AQ865" s="46">
        <v>0.81772929999999999</v>
      </c>
      <c r="AR865" s="48">
        <f>AK865+AL865</f>
        <v>7.8573122000000009</v>
      </c>
      <c r="AS865" s="48">
        <f>AM865+AN865+AO865+AP865+AQ865</f>
        <v>92.142687800000004</v>
      </c>
    </row>
    <row r="866" spans="2:45" ht="15" hidden="1" customHeight="1" x14ac:dyDescent="0.25">
      <c r="B866" s="35">
        <v>860</v>
      </c>
      <c r="C866" s="36" t="s">
        <v>31</v>
      </c>
      <c r="D866" s="36" t="s">
        <v>272</v>
      </c>
      <c r="E866" s="36" t="s">
        <v>279</v>
      </c>
      <c r="F866" s="36" t="s">
        <v>290</v>
      </c>
      <c r="G866" s="37" t="s">
        <v>25</v>
      </c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40"/>
      <c r="AS866" s="40"/>
    </row>
    <row r="867" spans="2:45" ht="15" hidden="1" customHeight="1" x14ac:dyDescent="0.25">
      <c r="B867" s="35">
        <v>861</v>
      </c>
      <c r="C867" s="36" t="s">
        <v>31</v>
      </c>
      <c r="D867" s="36" t="s">
        <v>272</v>
      </c>
      <c r="E867" s="36" t="s">
        <v>279</v>
      </c>
      <c r="F867" s="36" t="s">
        <v>290</v>
      </c>
      <c r="G867" s="37" t="s">
        <v>26</v>
      </c>
      <c r="H867" s="38">
        <v>6364</v>
      </c>
      <c r="I867" s="38">
        <v>22</v>
      </c>
      <c r="J867" s="38">
        <v>4</v>
      </c>
      <c r="K867" s="38">
        <v>964</v>
      </c>
      <c r="L867" s="38">
        <v>3677</v>
      </c>
      <c r="M867" s="38">
        <v>1425</v>
      </c>
      <c r="N867" s="38">
        <v>234</v>
      </c>
      <c r="O867" s="38">
        <v>38</v>
      </c>
      <c r="P867" s="38"/>
      <c r="Q867" s="38"/>
      <c r="R867" s="38">
        <v>8438</v>
      </c>
      <c r="S867" s="38">
        <v>199</v>
      </c>
      <c r="T867" s="38">
        <v>464</v>
      </c>
      <c r="U867" s="38">
        <v>163</v>
      </c>
      <c r="V867" s="38">
        <v>993</v>
      </c>
      <c r="W867" s="38">
        <v>6090</v>
      </c>
      <c r="X867" s="38">
        <v>460</v>
      </c>
      <c r="Y867" s="38">
        <v>69</v>
      </c>
      <c r="Z867" s="38"/>
      <c r="AA867" s="38"/>
      <c r="AB867" s="39">
        <v>0.34569450000000002</v>
      </c>
      <c r="AC867" s="39">
        <v>6.2853599999999996E-2</v>
      </c>
      <c r="AD867" s="39">
        <v>15.147705800000001</v>
      </c>
      <c r="AE867" s="39">
        <v>57.778126999999998</v>
      </c>
      <c r="AF867" s="39">
        <v>22.391577600000002</v>
      </c>
      <c r="AG867" s="39">
        <v>3.6769327000000001</v>
      </c>
      <c r="AH867" s="39">
        <v>0.59710870000000005</v>
      </c>
      <c r="AI867" s="39"/>
      <c r="AJ867" s="39"/>
      <c r="AK867" s="39">
        <v>2.3583788000000001</v>
      </c>
      <c r="AL867" s="39">
        <v>5.4989334000000003</v>
      </c>
      <c r="AM867" s="39">
        <v>1.9317374</v>
      </c>
      <c r="AN867" s="39">
        <v>11.7681915</v>
      </c>
      <c r="AO867" s="39">
        <v>72.173500799999999</v>
      </c>
      <c r="AP867" s="39">
        <v>5.4515288000000002</v>
      </c>
      <c r="AQ867" s="39">
        <v>0.81772929999999999</v>
      </c>
      <c r="AR867" s="40"/>
      <c r="AS867" s="40"/>
    </row>
    <row r="868" spans="2:45" ht="15" hidden="1" customHeight="1" x14ac:dyDescent="0.25">
      <c r="B868" s="30">
        <v>862</v>
      </c>
      <c r="C868" s="31" t="s">
        <v>29</v>
      </c>
      <c r="D868" s="50" t="s">
        <v>272</v>
      </c>
      <c r="E868" s="50" t="s">
        <v>291</v>
      </c>
      <c r="F868" s="50"/>
      <c r="G868" s="31" t="s">
        <v>291</v>
      </c>
      <c r="H868" s="32">
        <v>11788</v>
      </c>
      <c r="I868" s="32">
        <v>268</v>
      </c>
      <c r="J868" s="32">
        <v>630</v>
      </c>
      <c r="K868" s="32">
        <v>2747</v>
      </c>
      <c r="L868" s="32">
        <v>4288</v>
      </c>
      <c r="M868" s="32">
        <v>2632</v>
      </c>
      <c r="N868" s="32">
        <v>852</v>
      </c>
      <c r="O868" s="32">
        <v>371</v>
      </c>
      <c r="P868" s="32"/>
      <c r="Q868" s="32"/>
      <c r="R868" s="32">
        <v>15495</v>
      </c>
      <c r="S868" s="32">
        <v>292</v>
      </c>
      <c r="T868" s="32">
        <v>1048</v>
      </c>
      <c r="U868" s="32">
        <v>587</v>
      </c>
      <c r="V868" s="32">
        <v>2100</v>
      </c>
      <c r="W868" s="32">
        <v>10674</v>
      </c>
      <c r="X868" s="32">
        <v>619</v>
      </c>
      <c r="Y868" s="32">
        <v>175</v>
      </c>
      <c r="Z868" s="32"/>
      <c r="AA868" s="32"/>
      <c r="AB868" s="33">
        <v>2.2734985000000001</v>
      </c>
      <c r="AC868" s="33">
        <v>5.3444181000000004</v>
      </c>
      <c r="AD868" s="33">
        <v>23.3033593</v>
      </c>
      <c r="AE868" s="33">
        <v>36.375975599999997</v>
      </c>
      <c r="AF868" s="33">
        <v>22.327791000000001</v>
      </c>
      <c r="AG868" s="33">
        <v>7.2276892000000004</v>
      </c>
      <c r="AH868" s="33">
        <v>3.1472684000000002</v>
      </c>
      <c r="AI868" s="33"/>
      <c r="AJ868" s="33"/>
      <c r="AK868" s="33">
        <v>1.8844789</v>
      </c>
      <c r="AL868" s="33">
        <v>6.7634721000000004</v>
      </c>
      <c r="AM868" s="33">
        <v>3.7883187999999999</v>
      </c>
      <c r="AN868" s="33">
        <v>13.552759</v>
      </c>
      <c r="AO868" s="33">
        <v>68.886737699999998</v>
      </c>
      <c r="AP868" s="33">
        <v>3.994837</v>
      </c>
      <c r="AQ868" s="33">
        <v>1.1293966</v>
      </c>
      <c r="AR868" s="34"/>
      <c r="AS868" s="34"/>
    </row>
    <row r="869" spans="2:45" ht="15" hidden="1" customHeight="1" x14ac:dyDescent="0.25">
      <c r="B869" s="35">
        <v>863</v>
      </c>
      <c r="C869" s="36" t="s">
        <v>29</v>
      </c>
      <c r="D869" s="36" t="s">
        <v>272</v>
      </c>
      <c r="E869" s="36" t="s">
        <v>291</v>
      </c>
      <c r="F869" s="36"/>
      <c r="G869" s="37" t="s">
        <v>25</v>
      </c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40"/>
      <c r="AS869" s="40"/>
    </row>
    <row r="870" spans="2:45" ht="15" hidden="1" customHeight="1" x14ac:dyDescent="0.25">
      <c r="B870" s="35">
        <v>864</v>
      </c>
      <c r="C870" s="36" t="s">
        <v>29</v>
      </c>
      <c r="D870" s="36" t="s">
        <v>272</v>
      </c>
      <c r="E870" s="36" t="s">
        <v>291</v>
      </c>
      <c r="F870" s="36"/>
      <c r="G870" s="37" t="s">
        <v>26</v>
      </c>
      <c r="H870" s="38">
        <v>11788</v>
      </c>
      <c r="I870" s="38">
        <v>268</v>
      </c>
      <c r="J870" s="38">
        <v>630</v>
      </c>
      <c r="K870" s="38">
        <v>2747</v>
      </c>
      <c r="L870" s="38">
        <v>4288</v>
      </c>
      <c r="M870" s="38">
        <v>2632</v>
      </c>
      <c r="N870" s="38">
        <v>852</v>
      </c>
      <c r="O870" s="38">
        <v>371</v>
      </c>
      <c r="P870" s="38"/>
      <c r="Q870" s="38"/>
      <c r="R870" s="38">
        <v>15495</v>
      </c>
      <c r="S870" s="38">
        <v>292</v>
      </c>
      <c r="T870" s="38">
        <v>1048</v>
      </c>
      <c r="U870" s="38">
        <v>587</v>
      </c>
      <c r="V870" s="38">
        <v>2100</v>
      </c>
      <c r="W870" s="38">
        <v>10674</v>
      </c>
      <c r="X870" s="38">
        <v>619</v>
      </c>
      <c r="Y870" s="38">
        <v>175</v>
      </c>
      <c r="Z870" s="38"/>
      <c r="AA870" s="38"/>
      <c r="AB870" s="39">
        <v>2.2734985000000001</v>
      </c>
      <c r="AC870" s="39">
        <v>5.3444181000000004</v>
      </c>
      <c r="AD870" s="39">
        <v>23.3033593</v>
      </c>
      <c r="AE870" s="39">
        <v>36.375975599999997</v>
      </c>
      <c r="AF870" s="39">
        <v>22.327791000000001</v>
      </c>
      <c r="AG870" s="39">
        <v>7.2276892000000004</v>
      </c>
      <c r="AH870" s="39">
        <v>3.1472684000000002</v>
      </c>
      <c r="AI870" s="39"/>
      <c r="AJ870" s="39"/>
      <c r="AK870" s="39">
        <v>1.8844789</v>
      </c>
      <c r="AL870" s="39">
        <v>6.7634721000000004</v>
      </c>
      <c r="AM870" s="39">
        <v>3.7883187999999999</v>
      </c>
      <c r="AN870" s="39">
        <v>13.552759</v>
      </c>
      <c r="AO870" s="39">
        <v>68.886737699999998</v>
      </c>
      <c r="AP870" s="39">
        <v>3.994837</v>
      </c>
      <c r="AQ870" s="39">
        <v>1.1293966</v>
      </c>
      <c r="AR870" s="40"/>
      <c r="AS870" s="40"/>
    </row>
    <row r="871" spans="2:45" ht="15" customHeight="1" x14ac:dyDescent="0.25">
      <c r="B871" s="41">
        <v>865</v>
      </c>
      <c r="C871" s="42" t="s">
        <v>31</v>
      </c>
      <c r="D871" s="51" t="s">
        <v>272</v>
      </c>
      <c r="E871" s="51" t="s">
        <v>291</v>
      </c>
      <c r="F871" s="51" t="s">
        <v>292</v>
      </c>
      <c r="G871" s="52" t="s">
        <v>292</v>
      </c>
      <c r="H871" s="43">
        <v>8277</v>
      </c>
      <c r="I871" s="43">
        <v>230</v>
      </c>
      <c r="J871" s="43">
        <v>331</v>
      </c>
      <c r="K871" s="43">
        <v>1847</v>
      </c>
      <c r="L871" s="43">
        <v>3507</v>
      </c>
      <c r="M871" s="43">
        <v>1510</v>
      </c>
      <c r="N871" s="43">
        <v>612</v>
      </c>
      <c r="O871" s="43">
        <v>240</v>
      </c>
      <c r="P871" s="44">
        <f>K871+L871+M871+N871+O871</f>
        <v>7716</v>
      </c>
      <c r="Q871" s="44">
        <f>I871+J871</f>
        <v>561</v>
      </c>
      <c r="R871" s="43">
        <v>11303</v>
      </c>
      <c r="S871" s="43">
        <v>187</v>
      </c>
      <c r="T871" s="43">
        <v>610</v>
      </c>
      <c r="U871" s="43">
        <v>417</v>
      </c>
      <c r="V871" s="43">
        <v>1832</v>
      </c>
      <c r="W871" s="43">
        <v>7708</v>
      </c>
      <c r="X871" s="43">
        <v>433</v>
      </c>
      <c r="Y871" s="43">
        <v>116</v>
      </c>
      <c r="Z871" s="45">
        <f>U871+V871+W871+X871+Y871</f>
        <v>10506</v>
      </c>
      <c r="AA871" s="45">
        <f>S871+T871</f>
        <v>797</v>
      </c>
      <c r="AB871" s="46">
        <v>2.7787845999999998</v>
      </c>
      <c r="AC871" s="46">
        <v>3.9990334999999999</v>
      </c>
      <c r="AD871" s="46">
        <v>22.314848399999999</v>
      </c>
      <c r="AE871" s="46">
        <v>42.370424100000001</v>
      </c>
      <c r="AF871" s="46">
        <v>18.243324900000001</v>
      </c>
      <c r="AG871" s="46">
        <v>7.3939833000000004</v>
      </c>
      <c r="AH871" s="46">
        <v>2.8996013</v>
      </c>
      <c r="AI871" s="47">
        <f>AB871+AC871</f>
        <v>6.7778180999999993</v>
      </c>
      <c r="AJ871" s="47">
        <f>AD871+AE871+AF871+AG871+AH871</f>
        <v>93.222182000000004</v>
      </c>
      <c r="AK871" s="46">
        <v>1.654428</v>
      </c>
      <c r="AL871" s="46">
        <v>5.3967973000000002</v>
      </c>
      <c r="AM871" s="46">
        <v>3.6892860000000001</v>
      </c>
      <c r="AN871" s="46">
        <v>16.208086300000002</v>
      </c>
      <c r="AO871" s="46">
        <v>68.194284699999997</v>
      </c>
      <c r="AP871" s="46">
        <v>3.8308414000000002</v>
      </c>
      <c r="AQ871" s="46">
        <v>1.0262762000000001</v>
      </c>
      <c r="AR871" s="48">
        <f>AK871+AL871</f>
        <v>7.0512253000000005</v>
      </c>
      <c r="AS871" s="48">
        <f>AM871+AN871+AO871+AP871+AQ871</f>
        <v>92.948774599999993</v>
      </c>
    </row>
    <row r="872" spans="2:45" ht="15" hidden="1" customHeight="1" x14ac:dyDescent="0.25">
      <c r="B872" s="35">
        <v>866</v>
      </c>
      <c r="C872" s="36" t="s">
        <v>31</v>
      </c>
      <c r="D872" s="36" t="s">
        <v>272</v>
      </c>
      <c r="E872" s="36" t="s">
        <v>291</v>
      </c>
      <c r="F872" s="36" t="s">
        <v>292</v>
      </c>
      <c r="G872" s="37" t="s">
        <v>25</v>
      </c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40"/>
      <c r="AS872" s="40"/>
    </row>
    <row r="873" spans="2:45" ht="15" hidden="1" customHeight="1" x14ac:dyDescent="0.25">
      <c r="B873" s="35">
        <v>867</v>
      </c>
      <c r="C873" s="36" t="s">
        <v>31</v>
      </c>
      <c r="D873" s="36" t="s">
        <v>272</v>
      </c>
      <c r="E873" s="36" t="s">
        <v>291</v>
      </c>
      <c r="F873" s="36" t="s">
        <v>292</v>
      </c>
      <c r="G873" s="37" t="s">
        <v>26</v>
      </c>
      <c r="H873" s="38">
        <v>8277</v>
      </c>
      <c r="I873" s="38">
        <v>230</v>
      </c>
      <c r="J873" s="38">
        <v>331</v>
      </c>
      <c r="K873" s="38">
        <v>1847</v>
      </c>
      <c r="L873" s="38">
        <v>3507</v>
      </c>
      <c r="M873" s="38">
        <v>1510</v>
      </c>
      <c r="N873" s="38">
        <v>612</v>
      </c>
      <c r="O873" s="38">
        <v>240</v>
      </c>
      <c r="P873" s="38"/>
      <c r="Q873" s="38"/>
      <c r="R873" s="38">
        <v>11303</v>
      </c>
      <c r="S873" s="38">
        <v>187</v>
      </c>
      <c r="T873" s="38">
        <v>610</v>
      </c>
      <c r="U873" s="38">
        <v>417</v>
      </c>
      <c r="V873" s="38">
        <v>1832</v>
      </c>
      <c r="W873" s="38">
        <v>7708</v>
      </c>
      <c r="X873" s="38">
        <v>433</v>
      </c>
      <c r="Y873" s="38">
        <v>116</v>
      </c>
      <c r="Z873" s="38"/>
      <c r="AA873" s="38"/>
      <c r="AB873" s="39">
        <v>2.7787845999999998</v>
      </c>
      <c r="AC873" s="39">
        <v>3.9990334999999999</v>
      </c>
      <c r="AD873" s="39">
        <v>22.314848399999999</v>
      </c>
      <c r="AE873" s="39">
        <v>42.370424100000001</v>
      </c>
      <c r="AF873" s="39">
        <v>18.243324900000001</v>
      </c>
      <c r="AG873" s="39">
        <v>7.3939833000000004</v>
      </c>
      <c r="AH873" s="39">
        <v>2.8996013</v>
      </c>
      <c r="AI873" s="39"/>
      <c r="AJ873" s="39"/>
      <c r="AK873" s="39">
        <v>1.654428</v>
      </c>
      <c r="AL873" s="39">
        <v>5.3967973000000002</v>
      </c>
      <c r="AM873" s="39">
        <v>3.6892860000000001</v>
      </c>
      <c r="AN873" s="39">
        <v>16.208086300000002</v>
      </c>
      <c r="AO873" s="39">
        <v>68.194284699999997</v>
      </c>
      <c r="AP873" s="39">
        <v>3.8308414000000002</v>
      </c>
      <c r="AQ873" s="39">
        <v>1.0262762000000001</v>
      </c>
      <c r="AR873" s="40"/>
      <c r="AS873" s="40"/>
    </row>
    <row r="874" spans="2:45" ht="15" customHeight="1" x14ac:dyDescent="0.25">
      <c r="B874" s="41">
        <v>868</v>
      </c>
      <c r="C874" s="42" t="s">
        <v>31</v>
      </c>
      <c r="D874" s="51" t="s">
        <v>272</v>
      </c>
      <c r="E874" s="51" t="s">
        <v>291</v>
      </c>
      <c r="F874" s="51" t="s">
        <v>293</v>
      </c>
      <c r="G874" s="52" t="s">
        <v>293</v>
      </c>
      <c r="H874" s="43">
        <v>3511</v>
      </c>
      <c r="I874" s="43">
        <v>38</v>
      </c>
      <c r="J874" s="43">
        <v>299</v>
      </c>
      <c r="K874" s="43">
        <v>900</v>
      </c>
      <c r="L874" s="43">
        <v>781</v>
      </c>
      <c r="M874" s="43">
        <v>1122</v>
      </c>
      <c r="N874" s="43">
        <v>240</v>
      </c>
      <c r="O874" s="43">
        <v>131</v>
      </c>
      <c r="P874" s="44">
        <f>K874+L874+M874+N874+O874</f>
        <v>3174</v>
      </c>
      <c r="Q874" s="44">
        <f>I874+J874</f>
        <v>337</v>
      </c>
      <c r="R874" s="43">
        <v>4192</v>
      </c>
      <c r="S874" s="43">
        <v>105</v>
      </c>
      <c r="T874" s="43">
        <v>438</v>
      </c>
      <c r="U874" s="43">
        <v>170</v>
      </c>
      <c r="V874" s="43">
        <v>268</v>
      </c>
      <c r="W874" s="43">
        <v>2966</v>
      </c>
      <c r="X874" s="43">
        <v>186</v>
      </c>
      <c r="Y874" s="43">
        <v>59</v>
      </c>
      <c r="Z874" s="45">
        <f>U874+V874+W874+X874+Y874</f>
        <v>3649</v>
      </c>
      <c r="AA874" s="45">
        <f>S874+T874</f>
        <v>543</v>
      </c>
      <c r="AB874" s="46">
        <v>1.0823126999999999</v>
      </c>
      <c r="AC874" s="46">
        <v>8.5160923000000004</v>
      </c>
      <c r="AD874" s="46">
        <v>25.633722599999999</v>
      </c>
      <c r="AE874" s="46">
        <v>22.244374799999999</v>
      </c>
      <c r="AF874" s="46">
        <v>31.9567075</v>
      </c>
      <c r="AG874" s="46">
        <v>6.8356593999999999</v>
      </c>
      <c r="AH874" s="46">
        <v>3.7311307</v>
      </c>
      <c r="AI874" s="47">
        <f>AB874+AC874</f>
        <v>9.5984049999999996</v>
      </c>
      <c r="AJ874" s="47">
        <f>AD874+AE874+AF874+AG874+AH874</f>
        <v>90.401594999999986</v>
      </c>
      <c r="AK874" s="46">
        <v>2.5047709999999999</v>
      </c>
      <c r="AL874" s="46">
        <v>10.4484733</v>
      </c>
      <c r="AM874" s="46">
        <v>4.0553435000000002</v>
      </c>
      <c r="AN874" s="46">
        <v>6.3931297999999996</v>
      </c>
      <c r="AO874" s="46">
        <v>70.753816799999996</v>
      </c>
      <c r="AP874" s="46">
        <v>4.4370228999999997</v>
      </c>
      <c r="AQ874" s="46">
        <v>1.4074427</v>
      </c>
      <c r="AR874" s="48">
        <f>AK874+AL874</f>
        <v>12.9532443</v>
      </c>
      <c r="AS874" s="48">
        <f>AM874+AN874+AO874+AP874+AQ874</f>
        <v>87.046755700000006</v>
      </c>
    </row>
    <row r="875" spans="2:45" ht="15" hidden="1" customHeight="1" x14ac:dyDescent="0.25">
      <c r="B875" s="35">
        <v>869</v>
      </c>
      <c r="C875" s="36" t="s">
        <v>31</v>
      </c>
      <c r="D875" s="36" t="s">
        <v>272</v>
      </c>
      <c r="E875" s="36" t="s">
        <v>291</v>
      </c>
      <c r="F875" s="36" t="s">
        <v>293</v>
      </c>
      <c r="G875" s="37" t="s">
        <v>25</v>
      </c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40"/>
      <c r="AS875" s="40"/>
    </row>
    <row r="876" spans="2:45" ht="15" hidden="1" customHeight="1" x14ac:dyDescent="0.25">
      <c r="B876" s="35">
        <v>870</v>
      </c>
      <c r="C876" s="36" t="s">
        <v>31</v>
      </c>
      <c r="D876" s="36" t="s">
        <v>272</v>
      </c>
      <c r="E876" s="36" t="s">
        <v>291</v>
      </c>
      <c r="F876" s="36" t="s">
        <v>293</v>
      </c>
      <c r="G876" s="37" t="s">
        <v>26</v>
      </c>
      <c r="H876" s="38">
        <v>3511</v>
      </c>
      <c r="I876" s="38">
        <v>38</v>
      </c>
      <c r="J876" s="38">
        <v>299</v>
      </c>
      <c r="K876" s="38">
        <v>900</v>
      </c>
      <c r="L876" s="38">
        <v>781</v>
      </c>
      <c r="M876" s="38">
        <v>1122</v>
      </c>
      <c r="N876" s="38">
        <v>240</v>
      </c>
      <c r="O876" s="38">
        <v>131</v>
      </c>
      <c r="P876" s="38"/>
      <c r="Q876" s="38"/>
      <c r="R876" s="38">
        <v>4192</v>
      </c>
      <c r="S876" s="38">
        <v>105</v>
      </c>
      <c r="T876" s="38">
        <v>438</v>
      </c>
      <c r="U876" s="38">
        <v>170</v>
      </c>
      <c r="V876" s="38">
        <v>268</v>
      </c>
      <c r="W876" s="38">
        <v>2966</v>
      </c>
      <c r="X876" s="38">
        <v>186</v>
      </c>
      <c r="Y876" s="38">
        <v>59</v>
      </c>
      <c r="Z876" s="38"/>
      <c r="AA876" s="38"/>
      <c r="AB876" s="39">
        <v>1.0823126999999999</v>
      </c>
      <c r="AC876" s="39">
        <v>8.5160923000000004</v>
      </c>
      <c r="AD876" s="39">
        <v>25.633722599999999</v>
      </c>
      <c r="AE876" s="39">
        <v>22.244374799999999</v>
      </c>
      <c r="AF876" s="39">
        <v>31.9567075</v>
      </c>
      <c r="AG876" s="39">
        <v>6.8356593999999999</v>
      </c>
      <c r="AH876" s="39">
        <v>3.7311307</v>
      </c>
      <c r="AI876" s="39"/>
      <c r="AJ876" s="39"/>
      <c r="AK876" s="39">
        <v>2.5047709999999999</v>
      </c>
      <c r="AL876" s="39">
        <v>10.4484733</v>
      </c>
      <c r="AM876" s="39">
        <v>4.0553435000000002</v>
      </c>
      <c r="AN876" s="39">
        <v>6.3931297999999996</v>
      </c>
      <c r="AO876" s="39">
        <v>70.753816799999996</v>
      </c>
      <c r="AP876" s="39">
        <v>4.4370228999999997</v>
      </c>
      <c r="AQ876" s="39">
        <v>1.4074427</v>
      </c>
      <c r="AR876" s="40"/>
      <c r="AS876" s="40"/>
    </row>
    <row r="877" spans="2:45" ht="15" hidden="1" customHeight="1" x14ac:dyDescent="0.25">
      <c r="B877" s="30">
        <v>871</v>
      </c>
      <c r="C877" s="31" t="s">
        <v>29</v>
      </c>
      <c r="D877" s="50" t="s">
        <v>272</v>
      </c>
      <c r="E877" s="50" t="s">
        <v>294</v>
      </c>
      <c r="F877" s="50"/>
      <c r="G877" s="31" t="s">
        <v>294</v>
      </c>
      <c r="H877" s="32">
        <v>12595</v>
      </c>
      <c r="I877" s="32">
        <v>355</v>
      </c>
      <c r="J877" s="32">
        <v>2147</v>
      </c>
      <c r="K877" s="32">
        <v>1286</v>
      </c>
      <c r="L877" s="32">
        <v>1855</v>
      </c>
      <c r="M877" s="32">
        <v>5477</v>
      </c>
      <c r="N877" s="32">
        <v>1113</v>
      </c>
      <c r="O877" s="32">
        <v>362</v>
      </c>
      <c r="P877" s="32"/>
      <c r="Q877" s="32"/>
      <c r="R877" s="32">
        <v>15104</v>
      </c>
      <c r="S877" s="32">
        <v>687</v>
      </c>
      <c r="T877" s="32">
        <v>2648</v>
      </c>
      <c r="U877" s="32">
        <v>297</v>
      </c>
      <c r="V877" s="32">
        <v>309</v>
      </c>
      <c r="W877" s="32">
        <v>9619</v>
      </c>
      <c r="X877" s="32">
        <v>1402</v>
      </c>
      <c r="Y877" s="32">
        <v>142</v>
      </c>
      <c r="Z877" s="32"/>
      <c r="AA877" s="32"/>
      <c r="AB877" s="33">
        <v>2.8185788000000001</v>
      </c>
      <c r="AC877" s="33">
        <v>17.046447000000001</v>
      </c>
      <c r="AD877" s="33">
        <v>10.210400999999999</v>
      </c>
      <c r="AE877" s="33">
        <v>14.728066699999999</v>
      </c>
      <c r="AF877" s="33">
        <v>43.485510099999999</v>
      </c>
      <c r="AG877" s="33">
        <v>8.8368400000000005</v>
      </c>
      <c r="AH877" s="33">
        <v>2.8741563999999999</v>
      </c>
      <c r="AI877" s="33"/>
      <c r="AJ877" s="33"/>
      <c r="AK877" s="33">
        <v>4.5484640000000001</v>
      </c>
      <c r="AL877" s="33">
        <v>17.531779700000001</v>
      </c>
      <c r="AM877" s="33">
        <v>1.9663664999999999</v>
      </c>
      <c r="AN877" s="33">
        <v>2.0458156999999999</v>
      </c>
      <c r="AO877" s="33">
        <v>63.685116499999999</v>
      </c>
      <c r="AP877" s="33">
        <v>9.2823092999999997</v>
      </c>
      <c r="AQ877" s="33">
        <v>0.94014830000000005</v>
      </c>
      <c r="AR877" s="34"/>
      <c r="AS877" s="34"/>
    </row>
    <row r="878" spans="2:45" ht="15" hidden="1" customHeight="1" x14ac:dyDescent="0.25">
      <c r="B878" s="35">
        <v>872</v>
      </c>
      <c r="C878" s="36" t="s">
        <v>29</v>
      </c>
      <c r="D878" s="36" t="s">
        <v>272</v>
      </c>
      <c r="E878" s="36" t="s">
        <v>294</v>
      </c>
      <c r="F878" s="36"/>
      <c r="G878" s="37" t="s">
        <v>25</v>
      </c>
      <c r="H878" s="38">
        <v>1765</v>
      </c>
      <c r="I878" s="38">
        <v>105</v>
      </c>
      <c r="J878" s="38">
        <v>1505</v>
      </c>
      <c r="K878" s="38">
        <v>20</v>
      </c>
      <c r="L878" s="38">
        <v>17</v>
      </c>
      <c r="M878" s="38">
        <v>108</v>
      </c>
      <c r="N878" s="38">
        <v>3</v>
      </c>
      <c r="O878" s="38">
        <v>7</v>
      </c>
      <c r="P878" s="38"/>
      <c r="Q878" s="38"/>
      <c r="R878" s="38">
        <v>1322</v>
      </c>
      <c r="S878" s="38">
        <v>237</v>
      </c>
      <c r="T878" s="38">
        <v>1014</v>
      </c>
      <c r="U878" s="38">
        <v>7</v>
      </c>
      <c r="V878" s="38">
        <v>6</v>
      </c>
      <c r="W878" s="38">
        <v>54</v>
      </c>
      <c r="X878" s="38">
        <v>2</v>
      </c>
      <c r="Y878" s="38">
        <v>2</v>
      </c>
      <c r="Z878" s="38"/>
      <c r="AA878" s="38"/>
      <c r="AB878" s="39">
        <v>5.9490084999999997</v>
      </c>
      <c r="AC878" s="39">
        <v>85.269121799999994</v>
      </c>
      <c r="AD878" s="39">
        <v>1.1331445</v>
      </c>
      <c r="AE878" s="39">
        <v>0.96317280000000005</v>
      </c>
      <c r="AF878" s="39">
        <v>6.1189802000000002</v>
      </c>
      <c r="AG878" s="39">
        <v>0.1699717</v>
      </c>
      <c r="AH878" s="39">
        <v>0.39660060000000003</v>
      </c>
      <c r="AI878" s="39"/>
      <c r="AJ878" s="39"/>
      <c r="AK878" s="39">
        <v>17.9273828</v>
      </c>
      <c r="AL878" s="39">
        <v>76.7019667</v>
      </c>
      <c r="AM878" s="39">
        <v>0.52950079999999999</v>
      </c>
      <c r="AN878" s="39">
        <v>0.45385779999999998</v>
      </c>
      <c r="AO878" s="39">
        <v>4.0847201000000002</v>
      </c>
      <c r="AP878" s="39">
        <v>0.1512859</v>
      </c>
      <c r="AQ878" s="39">
        <v>0.1512859</v>
      </c>
      <c r="AR878" s="40"/>
      <c r="AS878" s="40"/>
    </row>
    <row r="879" spans="2:45" ht="15" hidden="1" customHeight="1" x14ac:dyDescent="0.25">
      <c r="B879" s="35">
        <v>873</v>
      </c>
      <c r="C879" s="36" t="s">
        <v>29</v>
      </c>
      <c r="D879" s="36" t="s">
        <v>272</v>
      </c>
      <c r="E879" s="36" t="s">
        <v>294</v>
      </c>
      <c r="F879" s="36"/>
      <c r="G879" s="37" t="s">
        <v>26</v>
      </c>
      <c r="H879" s="38">
        <v>10830</v>
      </c>
      <c r="I879" s="38">
        <v>250</v>
      </c>
      <c r="J879" s="38">
        <v>642</v>
      </c>
      <c r="K879" s="38">
        <v>1266</v>
      </c>
      <c r="L879" s="38">
        <v>1838</v>
      </c>
      <c r="M879" s="38">
        <v>5369</v>
      </c>
      <c r="N879" s="38">
        <v>1110</v>
      </c>
      <c r="O879" s="38">
        <v>355</v>
      </c>
      <c r="P879" s="38"/>
      <c r="Q879" s="38"/>
      <c r="R879" s="38">
        <v>13782</v>
      </c>
      <c r="S879" s="38">
        <v>450</v>
      </c>
      <c r="T879" s="38">
        <v>1634</v>
      </c>
      <c r="U879" s="38">
        <v>290</v>
      </c>
      <c r="V879" s="38">
        <v>303</v>
      </c>
      <c r="W879" s="38">
        <v>9565</v>
      </c>
      <c r="X879" s="38">
        <v>1400</v>
      </c>
      <c r="Y879" s="38">
        <v>140</v>
      </c>
      <c r="Z879" s="38"/>
      <c r="AA879" s="38"/>
      <c r="AB879" s="39">
        <v>2.3084026</v>
      </c>
      <c r="AC879" s="39">
        <v>5.9279777999999999</v>
      </c>
      <c r="AD879" s="39">
        <v>11.689750699999999</v>
      </c>
      <c r="AE879" s="39">
        <v>16.971375800000001</v>
      </c>
      <c r="AF879" s="39">
        <v>49.5752539</v>
      </c>
      <c r="AG879" s="39">
        <v>10.2493075</v>
      </c>
      <c r="AH879" s="39">
        <v>3.2779316999999999</v>
      </c>
      <c r="AI879" s="39"/>
      <c r="AJ879" s="39"/>
      <c r="AK879" s="39">
        <v>3.2651284</v>
      </c>
      <c r="AL879" s="39">
        <v>11.8560441</v>
      </c>
      <c r="AM879" s="39">
        <v>2.1041938999999998</v>
      </c>
      <c r="AN879" s="39">
        <v>2.1985198000000001</v>
      </c>
      <c r="AO879" s="39">
        <v>69.402118700000003</v>
      </c>
      <c r="AP879" s="39">
        <v>10.1581773</v>
      </c>
      <c r="AQ879" s="39">
        <v>1.0158176999999999</v>
      </c>
      <c r="AR879" s="40"/>
      <c r="AS879" s="40"/>
    </row>
    <row r="880" spans="2:45" ht="15" customHeight="1" x14ac:dyDescent="0.25">
      <c r="B880" s="41">
        <v>874</v>
      </c>
      <c r="C880" s="42" t="s">
        <v>31</v>
      </c>
      <c r="D880" s="51" t="s">
        <v>272</v>
      </c>
      <c r="E880" s="51" t="s">
        <v>294</v>
      </c>
      <c r="F880" s="51" t="s">
        <v>295</v>
      </c>
      <c r="G880" s="52" t="s">
        <v>295</v>
      </c>
      <c r="H880" s="43">
        <v>9471</v>
      </c>
      <c r="I880" s="43">
        <v>248</v>
      </c>
      <c r="J880" s="43">
        <v>2040</v>
      </c>
      <c r="K880" s="43">
        <v>622</v>
      </c>
      <c r="L880" s="43">
        <v>1327</v>
      </c>
      <c r="M880" s="43">
        <v>4016</v>
      </c>
      <c r="N880" s="43">
        <v>925</v>
      </c>
      <c r="O880" s="43">
        <v>293</v>
      </c>
      <c r="P880" s="44">
        <f>K880+L880+M880+N880+O880</f>
        <v>7183</v>
      </c>
      <c r="Q880" s="44">
        <f>I880+J880</f>
        <v>2288</v>
      </c>
      <c r="R880" s="43">
        <v>11224</v>
      </c>
      <c r="S880" s="43">
        <v>595</v>
      </c>
      <c r="T880" s="43">
        <v>2350</v>
      </c>
      <c r="U880" s="43">
        <v>198</v>
      </c>
      <c r="V880" s="43">
        <v>211</v>
      </c>
      <c r="W880" s="43">
        <v>6511</v>
      </c>
      <c r="X880" s="43">
        <v>1253</v>
      </c>
      <c r="Y880" s="43">
        <v>106</v>
      </c>
      <c r="Z880" s="45">
        <f>U880+V880+W880+X880+Y880</f>
        <v>8279</v>
      </c>
      <c r="AA880" s="45">
        <f>S880+T880</f>
        <v>2945</v>
      </c>
      <c r="AB880" s="46">
        <v>2.6185196999999998</v>
      </c>
      <c r="AC880" s="46">
        <v>21.539436200000001</v>
      </c>
      <c r="AD880" s="46">
        <v>6.5674162999999997</v>
      </c>
      <c r="AE880" s="46">
        <v>14.011192100000001</v>
      </c>
      <c r="AF880" s="46">
        <v>42.403125299999999</v>
      </c>
      <c r="AG880" s="46">
        <v>9.7666561000000005</v>
      </c>
      <c r="AH880" s="46">
        <v>3.0936542999999999</v>
      </c>
      <c r="AI880" s="47">
        <f>AB880+AC880</f>
        <v>24.157955900000001</v>
      </c>
      <c r="AJ880" s="47">
        <f>AD880+AE880+AF880+AG880+AH880</f>
        <v>75.842044099999995</v>
      </c>
      <c r="AK880" s="46">
        <v>5.3011404000000004</v>
      </c>
      <c r="AL880" s="46">
        <v>20.937277300000002</v>
      </c>
      <c r="AM880" s="46">
        <v>1.7640769999999999</v>
      </c>
      <c r="AN880" s="46">
        <v>1.8799002</v>
      </c>
      <c r="AO880" s="46">
        <v>58.009622200000003</v>
      </c>
      <c r="AP880" s="46">
        <v>11.163577999999999</v>
      </c>
      <c r="AQ880" s="46">
        <v>0.94440480000000004</v>
      </c>
      <c r="AR880" s="48">
        <f>AK880+AL880</f>
        <v>26.238417700000003</v>
      </c>
      <c r="AS880" s="48">
        <f>AM880+AN880+AO880+AP880+AQ880</f>
        <v>73.761582200000007</v>
      </c>
    </row>
    <row r="881" spans="2:45" ht="15" hidden="1" customHeight="1" x14ac:dyDescent="0.25">
      <c r="B881" s="35">
        <v>875</v>
      </c>
      <c r="C881" s="36" t="s">
        <v>31</v>
      </c>
      <c r="D881" s="36" t="s">
        <v>272</v>
      </c>
      <c r="E881" s="36" t="s">
        <v>294</v>
      </c>
      <c r="F881" s="36" t="s">
        <v>295</v>
      </c>
      <c r="G881" s="37" t="s">
        <v>25</v>
      </c>
      <c r="H881" s="38">
        <v>1765</v>
      </c>
      <c r="I881" s="38">
        <v>105</v>
      </c>
      <c r="J881" s="38">
        <v>1505</v>
      </c>
      <c r="K881" s="38">
        <v>20</v>
      </c>
      <c r="L881" s="38">
        <v>17</v>
      </c>
      <c r="M881" s="38">
        <v>108</v>
      </c>
      <c r="N881" s="38">
        <v>3</v>
      </c>
      <c r="O881" s="38">
        <v>7</v>
      </c>
      <c r="P881" s="38"/>
      <c r="Q881" s="38"/>
      <c r="R881" s="38">
        <v>1322</v>
      </c>
      <c r="S881" s="38">
        <v>237</v>
      </c>
      <c r="T881" s="38">
        <v>1014</v>
      </c>
      <c r="U881" s="38">
        <v>7</v>
      </c>
      <c r="V881" s="38">
        <v>6</v>
      </c>
      <c r="W881" s="38">
        <v>54</v>
      </c>
      <c r="X881" s="38">
        <v>2</v>
      </c>
      <c r="Y881" s="38">
        <v>2</v>
      </c>
      <c r="Z881" s="38"/>
      <c r="AA881" s="38"/>
      <c r="AB881" s="39">
        <v>5.9490084999999997</v>
      </c>
      <c r="AC881" s="39">
        <v>85.269121799999994</v>
      </c>
      <c r="AD881" s="39">
        <v>1.1331445</v>
      </c>
      <c r="AE881" s="39">
        <v>0.96317280000000005</v>
      </c>
      <c r="AF881" s="39">
        <v>6.1189802000000002</v>
      </c>
      <c r="AG881" s="39">
        <v>0.1699717</v>
      </c>
      <c r="AH881" s="39">
        <v>0.39660060000000003</v>
      </c>
      <c r="AI881" s="39"/>
      <c r="AJ881" s="39"/>
      <c r="AK881" s="39">
        <v>17.9273828</v>
      </c>
      <c r="AL881" s="39">
        <v>76.7019667</v>
      </c>
      <c r="AM881" s="39">
        <v>0.52950079999999999</v>
      </c>
      <c r="AN881" s="39">
        <v>0.45385779999999998</v>
      </c>
      <c r="AO881" s="39">
        <v>4.0847201000000002</v>
      </c>
      <c r="AP881" s="39">
        <v>0.1512859</v>
      </c>
      <c r="AQ881" s="39">
        <v>0.1512859</v>
      </c>
      <c r="AR881" s="40"/>
      <c r="AS881" s="40"/>
    </row>
    <row r="882" spans="2:45" ht="15" hidden="1" customHeight="1" x14ac:dyDescent="0.25">
      <c r="B882" s="35">
        <v>876</v>
      </c>
      <c r="C882" s="36" t="s">
        <v>31</v>
      </c>
      <c r="D882" s="36" t="s">
        <v>272</v>
      </c>
      <c r="E882" s="36" t="s">
        <v>294</v>
      </c>
      <c r="F882" s="36" t="s">
        <v>295</v>
      </c>
      <c r="G882" s="37" t="s">
        <v>26</v>
      </c>
      <c r="H882" s="38">
        <v>7706</v>
      </c>
      <c r="I882" s="38">
        <v>143</v>
      </c>
      <c r="J882" s="38">
        <v>535</v>
      </c>
      <c r="K882" s="38">
        <v>602</v>
      </c>
      <c r="L882" s="38">
        <v>1310</v>
      </c>
      <c r="M882" s="38">
        <v>3908</v>
      </c>
      <c r="N882" s="38">
        <v>922</v>
      </c>
      <c r="O882" s="38">
        <v>286</v>
      </c>
      <c r="P882" s="38"/>
      <c r="Q882" s="38"/>
      <c r="R882" s="38">
        <v>9902</v>
      </c>
      <c r="S882" s="38">
        <v>358</v>
      </c>
      <c r="T882" s="38">
        <v>1336</v>
      </c>
      <c r="U882" s="38">
        <v>191</v>
      </c>
      <c r="V882" s="38">
        <v>205</v>
      </c>
      <c r="W882" s="38">
        <v>6457</v>
      </c>
      <c r="X882" s="38">
        <v>1251</v>
      </c>
      <c r="Y882" s="38">
        <v>104</v>
      </c>
      <c r="Z882" s="38"/>
      <c r="AA882" s="38"/>
      <c r="AB882" s="39">
        <v>1.8556969000000001</v>
      </c>
      <c r="AC882" s="39">
        <v>6.9426420999999996</v>
      </c>
      <c r="AD882" s="39">
        <v>7.8120944999999997</v>
      </c>
      <c r="AE882" s="39">
        <v>16.999740500000001</v>
      </c>
      <c r="AF882" s="39">
        <v>50.713729600000001</v>
      </c>
      <c r="AG882" s="39">
        <v>11.9647028</v>
      </c>
      <c r="AH882" s="39">
        <v>3.7113936999999999</v>
      </c>
      <c r="AI882" s="39"/>
      <c r="AJ882" s="39"/>
      <c r="AK882" s="39">
        <v>3.6154312000000002</v>
      </c>
      <c r="AL882" s="39">
        <v>13.4922238</v>
      </c>
      <c r="AM882" s="39">
        <v>1.9289033</v>
      </c>
      <c r="AN882" s="39">
        <v>2.0702888000000002</v>
      </c>
      <c r="AO882" s="39">
        <v>65.209048699999997</v>
      </c>
      <c r="AP882" s="39">
        <v>12.633811400000001</v>
      </c>
      <c r="AQ882" s="39">
        <v>1.0502929000000001</v>
      </c>
      <c r="AR882" s="40"/>
      <c r="AS882" s="40"/>
    </row>
    <row r="883" spans="2:45" ht="15" customHeight="1" x14ac:dyDescent="0.25">
      <c r="B883" s="41">
        <v>877</v>
      </c>
      <c r="C883" s="42" t="s">
        <v>31</v>
      </c>
      <c r="D883" s="51" t="s">
        <v>272</v>
      </c>
      <c r="E883" s="51" t="s">
        <v>294</v>
      </c>
      <c r="F883" s="51" t="s">
        <v>296</v>
      </c>
      <c r="G883" s="52" t="s">
        <v>296</v>
      </c>
      <c r="H883" s="43">
        <v>3124</v>
      </c>
      <c r="I883" s="43">
        <v>107</v>
      </c>
      <c r="J883" s="43">
        <v>107</v>
      </c>
      <c r="K883" s="43">
        <v>664</v>
      </c>
      <c r="L883" s="43">
        <v>528</v>
      </c>
      <c r="M883" s="43">
        <v>1461</v>
      </c>
      <c r="N883" s="43">
        <v>188</v>
      </c>
      <c r="O883" s="43">
        <v>69</v>
      </c>
      <c r="P883" s="44">
        <f>K883+L883+M883+N883+O883</f>
        <v>2910</v>
      </c>
      <c r="Q883" s="44">
        <f>I883+J883</f>
        <v>214</v>
      </c>
      <c r="R883" s="43">
        <v>3880</v>
      </c>
      <c r="S883" s="43">
        <v>92</v>
      </c>
      <c r="T883" s="43">
        <v>298</v>
      </c>
      <c r="U883" s="43">
        <v>99</v>
      </c>
      <c r="V883" s="43">
        <v>98</v>
      </c>
      <c r="W883" s="43">
        <v>3108</v>
      </c>
      <c r="X883" s="43">
        <v>149</v>
      </c>
      <c r="Y883" s="43">
        <v>36</v>
      </c>
      <c r="Z883" s="45">
        <f>U883+V883+W883+X883+Y883</f>
        <v>3490</v>
      </c>
      <c r="AA883" s="45">
        <f>S883+T883</f>
        <v>390</v>
      </c>
      <c r="AB883" s="46">
        <v>3.4250959999999999</v>
      </c>
      <c r="AC883" s="46">
        <v>3.4250959999999999</v>
      </c>
      <c r="AD883" s="46">
        <v>21.254801499999999</v>
      </c>
      <c r="AE883" s="46">
        <v>16.901408499999999</v>
      </c>
      <c r="AF883" s="46">
        <v>46.766965399999997</v>
      </c>
      <c r="AG883" s="46">
        <v>6.0179257000000002</v>
      </c>
      <c r="AH883" s="46">
        <v>2.2087067999999999</v>
      </c>
      <c r="AI883" s="47">
        <f>AB883+AC883</f>
        <v>6.8501919999999998</v>
      </c>
      <c r="AJ883" s="47">
        <f>AD883+AE883+AF883+AG883+AH883</f>
        <v>93.149807899999999</v>
      </c>
      <c r="AK883" s="46">
        <v>2.3711340000000001</v>
      </c>
      <c r="AL883" s="46">
        <v>7.6804123999999998</v>
      </c>
      <c r="AM883" s="46">
        <v>2.5515463999999999</v>
      </c>
      <c r="AN883" s="46">
        <v>2.5257732000000002</v>
      </c>
      <c r="AO883" s="46">
        <v>80.103092799999999</v>
      </c>
      <c r="AP883" s="46">
        <v>3.8402061999999999</v>
      </c>
      <c r="AQ883" s="46">
        <v>0.92783510000000002</v>
      </c>
      <c r="AR883" s="48">
        <f>AK883+AL883</f>
        <v>10.051546399999999</v>
      </c>
      <c r="AS883" s="48">
        <f>AM883+AN883+AO883+AP883+AQ883</f>
        <v>89.948453699999988</v>
      </c>
    </row>
    <row r="884" spans="2:45" ht="15" hidden="1" customHeight="1" x14ac:dyDescent="0.25">
      <c r="B884" s="35">
        <v>878</v>
      </c>
      <c r="C884" s="36" t="s">
        <v>31</v>
      </c>
      <c r="D884" s="36" t="s">
        <v>272</v>
      </c>
      <c r="E884" s="36" t="s">
        <v>294</v>
      </c>
      <c r="F884" s="36" t="s">
        <v>296</v>
      </c>
      <c r="G884" s="37" t="s">
        <v>25</v>
      </c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40"/>
      <c r="AS884" s="40"/>
    </row>
    <row r="885" spans="2:45" ht="15" hidden="1" customHeight="1" x14ac:dyDescent="0.25">
      <c r="B885" s="35">
        <v>879</v>
      </c>
      <c r="C885" s="36" t="s">
        <v>31</v>
      </c>
      <c r="D885" s="36" t="s">
        <v>272</v>
      </c>
      <c r="E885" s="36" t="s">
        <v>294</v>
      </c>
      <c r="F885" s="36" t="s">
        <v>296</v>
      </c>
      <c r="G885" s="37" t="s">
        <v>26</v>
      </c>
      <c r="H885" s="38">
        <v>3124</v>
      </c>
      <c r="I885" s="38">
        <v>107</v>
      </c>
      <c r="J885" s="38">
        <v>107</v>
      </c>
      <c r="K885" s="38">
        <v>664</v>
      </c>
      <c r="L885" s="38">
        <v>528</v>
      </c>
      <c r="M885" s="38">
        <v>1461</v>
      </c>
      <c r="N885" s="38">
        <v>188</v>
      </c>
      <c r="O885" s="38">
        <v>69</v>
      </c>
      <c r="P885" s="38"/>
      <c r="Q885" s="38"/>
      <c r="R885" s="38">
        <v>3880</v>
      </c>
      <c r="S885" s="38">
        <v>92</v>
      </c>
      <c r="T885" s="38">
        <v>298</v>
      </c>
      <c r="U885" s="38">
        <v>99</v>
      </c>
      <c r="V885" s="38">
        <v>98</v>
      </c>
      <c r="W885" s="38">
        <v>3108</v>
      </c>
      <c r="X885" s="38">
        <v>149</v>
      </c>
      <c r="Y885" s="38">
        <v>36</v>
      </c>
      <c r="Z885" s="38"/>
      <c r="AA885" s="38"/>
      <c r="AB885" s="39">
        <v>3.4250959999999999</v>
      </c>
      <c r="AC885" s="39">
        <v>3.4250959999999999</v>
      </c>
      <c r="AD885" s="39">
        <v>21.254801499999999</v>
      </c>
      <c r="AE885" s="39">
        <v>16.901408499999999</v>
      </c>
      <c r="AF885" s="39">
        <v>46.766965399999997</v>
      </c>
      <c r="AG885" s="39">
        <v>6.0179257000000002</v>
      </c>
      <c r="AH885" s="39">
        <v>2.2087067999999999</v>
      </c>
      <c r="AI885" s="39"/>
      <c r="AJ885" s="39"/>
      <c r="AK885" s="39">
        <v>2.3711340000000001</v>
      </c>
      <c r="AL885" s="39">
        <v>7.6804123999999998</v>
      </c>
      <c r="AM885" s="39">
        <v>2.5515463999999999</v>
      </c>
      <c r="AN885" s="39">
        <v>2.5257732000000002</v>
      </c>
      <c r="AO885" s="39">
        <v>80.103092799999999</v>
      </c>
      <c r="AP885" s="39">
        <v>3.8402061999999999</v>
      </c>
      <c r="AQ885" s="39">
        <v>0.92783510000000002</v>
      </c>
      <c r="AR885" s="40"/>
      <c r="AS885" s="40"/>
    </row>
    <row r="886" spans="2:45" ht="15" hidden="1" customHeight="1" x14ac:dyDescent="0.25">
      <c r="B886" s="30">
        <v>880</v>
      </c>
      <c r="C886" s="31" t="s">
        <v>29</v>
      </c>
      <c r="D886" s="50" t="s">
        <v>272</v>
      </c>
      <c r="E886" s="50" t="s">
        <v>297</v>
      </c>
      <c r="F886" s="50"/>
      <c r="G886" s="31" t="s">
        <v>297</v>
      </c>
      <c r="H886" s="32">
        <v>8359</v>
      </c>
      <c r="I886" s="32">
        <v>85</v>
      </c>
      <c r="J886" s="32">
        <v>852</v>
      </c>
      <c r="K886" s="32">
        <v>1541</v>
      </c>
      <c r="L886" s="32">
        <v>2744</v>
      </c>
      <c r="M886" s="32">
        <v>2204</v>
      </c>
      <c r="N886" s="32">
        <v>733</v>
      </c>
      <c r="O886" s="32">
        <v>200</v>
      </c>
      <c r="P886" s="32"/>
      <c r="Q886" s="32"/>
      <c r="R886" s="32">
        <v>10296</v>
      </c>
      <c r="S886" s="32">
        <v>262</v>
      </c>
      <c r="T886" s="32">
        <v>995</v>
      </c>
      <c r="U886" s="32">
        <v>281</v>
      </c>
      <c r="V886" s="32">
        <v>1011</v>
      </c>
      <c r="W886" s="32">
        <v>6949</v>
      </c>
      <c r="X886" s="32">
        <v>716</v>
      </c>
      <c r="Y886" s="32">
        <v>82</v>
      </c>
      <c r="Z886" s="32"/>
      <c r="AA886" s="32"/>
      <c r="AB886" s="33">
        <v>1.0168680000000001</v>
      </c>
      <c r="AC886" s="33">
        <v>10.1926068</v>
      </c>
      <c r="AD886" s="33">
        <v>18.435219499999999</v>
      </c>
      <c r="AE886" s="33">
        <v>32.826893200000001</v>
      </c>
      <c r="AF886" s="33">
        <v>26.366790300000002</v>
      </c>
      <c r="AG886" s="33">
        <v>8.7689915000000003</v>
      </c>
      <c r="AH886" s="33">
        <v>2.3926307000000002</v>
      </c>
      <c r="AI886" s="33"/>
      <c r="AJ886" s="33"/>
      <c r="AK886" s="33">
        <v>2.5446775000000001</v>
      </c>
      <c r="AL886" s="33">
        <v>9.6639472000000008</v>
      </c>
      <c r="AM886" s="33">
        <v>2.7292152000000001</v>
      </c>
      <c r="AN886" s="33">
        <v>9.8193473000000004</v>
      </c>
      <c r="AO886" s="33">
        <v>67.492230000000006</v>
      </c>
      <c r="AP886" s="33">
        <v>6.9541570000000004</v>
      </c>
      <c r="AQ886" s="33">
        <v>0.79642579999999996</v>
      </c>
      <c r="AR886" s="34"/>
      <c r="AS886" s="34"/>
    </row>
    <row r="887" spans="2:45" ht="15" hidden="1" customHeight="1" x14ac:dyDescent="0.25">
      <c r="B887" s="35">
        <v>881</v>
      </c>
      <c r="C887" s="36" t="s">
        <v>29</v>
      </c>
      <c r="D887" s="36" t="s">
        <v>272</v>
      </c>
      <c r="E887" s="36" t="s">
        <v>297</v>
      </c>
      <c r="F887" s="36"/>
      <c r="G887" s="37" t="s">
        <v>25</v>
      </c>
      <c r="H887" s="38">
        <v>914</v>
      </c>
      <c r="I887" s="38">
        <v>67</v>
      </c>
      <c r="J887" s="38">
        <v>694</v>
      </c>
      <c r="K887" s="38">
        <v>36</v>
      </c>
      <c r="L887" s="38">
        <v>68</v>
      </c>
      <c r="M887" s="38">
        <v>19</v>
      </c>
      <c r="N887" s="38">
        <v>25</v>
      </c>
      <c r="O887" s="38">
        <v>5</v>
      </c>
      <c r="P887" s="38"/>
      <c r="Q887" s="38"/>
      <c r="R887" s="38">
        <v>1026</v>
      </c>
      <c r="S887" s="38">
        <v>168</v>
      </c>
      <c r="T887" s="38">
        <v>776</v>
      </c>
      <c r="U887" s="38">
        <v>3</v>
      </c>
      <c r="V887" s="38">
        <v>17</v>
      </c>
      <c r="W887" s="38">
        <v>53</v>
      </c>
      <c r="X887" s="38">
        <v>5</v>
      </c>
      <c r="Y887" s="38">
        <v>4</v>
      </c>
      <c r="Z887" s="38"/>
      <c r="AA887" s="38"/>
      <c r="AB887" s="39">
        <v>7.3304157999999999</v>
      </c>
      <c r="AC887" s="39">
        <v>75.9299781</v>
      </c>
      <c r="AD887" s="39">
        <v>3.9387308999999999</v>
      </c>
      <c r="AE887" s="39">
        <v>7.4398248999999996</v>
      </c>
      <c r="AF887" s="39">
        <v>2.0787746</v>
      </c>
      <c r="AG887" s="39">
        <v>2.7352297999999999</v>
      </c>
      <c r="AH887" s="39">
        <v>0.54704600000000003</v>
      </c>
      <c r="AI887" s="39"/>
      <c r="AJ887" s="39"/>
      <c r="AK887" s="39">
        <v>16.374269000000002</v>
      </c>
      <c r="AL887" s="39">
        <v>75.633528299999995</v>
      </c>
      <c r="AM887" s="39">
        <v>0.29239769999999998</v>
      </c>
      <c r="AN887" s="39">
        <v>1.6569201</v>
      </c>
      <c r="AO887" s="39">
        <v>5.165692</v>
      </c>
      <c r="AP887" s="39">
        <v>0.48732940000000002</v>
      </c>
      <c r="AQ887" s="39">
        <v>0.38986349999999997</v>
      </c>
      <c r="AR887" s="40"/>
      <c r="AS887" s="40"/>
    </row>
    <row r="888" spans="2:45" ht="15" hidden="1" customHeight="1" x14ac:dyDescent="0.25">
      <c r="B888" s="35">
        <v>882</v>
      </c>
      <c r="C888" s="36" t="s">
        <v>29</v>
      </c>
      <c r="D888" s="36" t="s">
        <v>272</v>
      </c>
      <c r="E888" s="36" t="s">
        <v>297</v>
      </c>
      <c r="F888" s="36"/>
      <c r="G888" s="37" t="s">
        <v>26</v>
      </c>
      <c r="H888" s="38">
        <v>7445</v>
      </c>
      <c r="I888" s="38">
        <v>18</v>
      </c>
      <c r="J888" s="38">
        <v>158</v>
      </c>
      <c r="K888" s="38">
        <v>1505</v>
      </c>
      <c r="L888" s="38">
        <v>2676</v>
      </c>
      <c r="M888" s="38">
        <v>2185</v>
      </c>
      <c r="N888" s="38">
        <v>708</v>
      </c>
      <c r="O888" s="38">
        <v>195</v>
      </c>
      <c r="P888" s="38"/>
      <c r="Q888" s="38"/>
      <c r="R888" s="38">
        <v>9270</v>
      </c>
      <c r="S888" s="38">
        <v>94</v>
      </c>
      <c r="T888" s="38">
        <v>219</v>
      </c>
      <c r="U888" s="38">
        <v>278</v>
      </c>
      <c r="V888" s="38">
        <v>994</v>
      </c>
      <c r="W888" s="38">
        <v>6896</v>
      </c>
      <c r="X888" s="38">
        <v>711</v>
      </c>
      <c r="Y888" s="38">
        <v>78</v>
      </c>
      <c r="Z888" s="38"/>
      <c r="AA888" s="38"/>
      <c r="AB888" s="39">
        <v>0.24177299999999999</v>
      </c>
      <c r="AC888" s="39">
        <v>2.1222297000000001</v>
      </c>
      <c r="AD888" s="39">
        <v>20.214909299999999</v>
      </c>
      <c r="AE888" s="39">
        <v>35.9435863</v>
      </c>
      <c r="AF888" s="39">
        <v>29.3485561</v>
      </c>
      <c r="AG888" s="39">
        <v>9.5097380999999999</v>
      </c>
      <c r="AH888" s="39">
        <v>2.6192074999999999</v>
      </c>
      <c r="AI888" s="39"/>
      <c r="AJ888" s="39"/>
      <c r="AK888" s="39">
        <v>1.0140237000000001</v>
      </c>
      <c r="AL888" s="39">
        <v>2.3624594999999999</v>
      </c>
      <c r="AM888" s="39">
        <v>2.9989213000000001</v>
      </c>
      <c r="AN888" s="39">
        <v>10.7227616</v>
      </c>
      <c r="AO888" s="39">
        <v>74.390506999999999</v>
      </c>
      <c r="AP888" s="39">
        <v>7.6699029000000003</v>
      </c>
      <c r="AQ888" s="39">
        <v>0.8414239</v>
      </c>
      <c r="AR888" s="40"/>
      <c r="AS888" s="40"/>
    </row>
    <row r="889" spans="2:45" ht="15" customHeight="1" x14ac:dyDescent="0.25">
      <c r="B889" s="41">
        <v>883</v>
      </c>
      <c r="C889" s="42" t="s">
        <v>31</v>
      </c>
      <c r="D889" s="51" t="s">
        <v>272</v>
      </c>
      <c r="E889" s="51" t="s">
        <v>297</v>
      </c>
      <c r="F889" s="51" t="s">
        <v>298</v>
      </c>
      <c r="G889" s="52" t="s">
        <v>298</v>
      </c>
      <c r="H889" s="43">
        <v>5618</v>
      </c>
      <c r="I889" s="43">
        <v>69</v>
      </c>
      <c r="J889" s="43">
        <v>703</v>
      </c>
      <c r="K889" s="43">
        <v>1155</v>
      </c>
      <c r="L889" s="43">
        <v>1961</v>
      </c>
      <c r="M889" s="43">
        <v>1116</v>
      </c>
      <c r="N889" s="43">
        <v>472</v>
      </c>
      <c r="O889" s="43">
        <v>142</v>
      </c>
      <c r="P889" s="44">
        <f>K889+L889+M889+N889+O889</f>
        <v>4846</v>
      </c>
      <c r="Q889" s="44">
        <f>I889+J889</f>
        <v>772</v>
      </c>
      <c r="R889" s="43">
        <v>6779</v>
      </c>
      <c r="S889" s="43">
        <v>231</v>
      </c>
      <c r="T889" s="43">
        <v>806</v>
      </c>
      <c r="U889" s="43">
        <v>164</v>
      </c>
      <c r="V889" s="43">
        <v>826</v>
      </c>
      <c r="W889" s="43">
        <v>4211</v>
      </c>
      <c r="X889" s="43">
        <v>482</v>
      </c>
      <c r="Y889" s="43">
        <v>59</v>
      </c>
      <c r="Z889" s="45">
        <f>U889+V889+W889+X889+Y889</f>
        <v>5742</v>
      </c>
      <c r="AA889" s="45">
        <f>S889+T889</f>
        <v>1037</v>
      </c>
      <c r="AB889" s="46">
        <v>1.2281951</v>
      </c>
      <c r="AC889" s="46">
        <v>12.5133499</v>
      </c>
      <c r="AD889" s="46">
        <v>20.5589178</v>
      </c>
      <c r="AE889" s="46">
        <v>34.905660400000002</v>
      </c>
      <c r="AF889" s="46">
        <v>19.864720500000001</v>
      </c>
      <c r="AG889" s="46">
        <v>8.4015664000000001</v>
      </c>
      <c r="AH889" s="46">
        <v>2.5275899000000002</v>
      </c>
      <c r="AI889" s="47">
        <f>AB889+AC889</f>
        <v>13.741545</v>
      </c>
      <c r="AJ889" s="47">
        <f>AD889+AE889+AF889+AG889+AH889</f>
        <v>86.258455000000012</v>
      </c>
      <c r="AK889" s="46">
        <v>3.4075821999999998</v>
      </c>
      <c r="AL889" s="46">
        <v>11.889659200000001</v>
      </c>
      <c r="AM889" s="46">
        <v>2.4192358999999999</v>
      </c>
      <c r="AN889" s="46">
        <v>12.184688</v>
      </c>
      <c r="AO889" s="46">
        <v>62.118306500000003</v>
      </c>
      <c r="AP889" s="46">
        <v>7.1101932000000003</v>
      </c>
      <c r="AQ889" s="46">
        <v>0.87033490000000002</v>
      </c>
      <c r="AR889" s="48">
        <f>AK889+AL889</f>
        <v>15.297241400000001</v>
      </c>
      <c r="AS889" s="48">
        <f>AM889+AN889+AO889+AP889+AQ889</f>
        <v>84.702758500000002</v>
      </c>
    </row>
    <row r="890" spans="2:45" ht="15" hidden="1" customHeight="1" x14ac:dyDescent="0.25">
      <c r="B890" s="35">
        <v>884</v>
      </c>
      <c r="C890" s="36" t="s">
        <v>31</v>
      </c>
      <c r="D890" s="36" t="s">
        <v>272</v>
      </c>
      <c r="E890" s="36" t="s">
        <v>297</v>
      </c>
      <c r="F890" s="36" t="s">
        <v>298</v>
      </c>
      <c r="G890" s="37" t="s">
        <v>25</v>
      </c>
      <c r="H890" s="38">
        <v>914</v>
      </c>
      <c r="I890" s="38">
        <v>67</v>
      </c>
      <c r="J890" s="38">
        <v>694</v>
      </c>
      <c r="K890" s="38">
        <v>36</v>
      </c>
      <c r="L890" s="38">
        <v>68</v>
      </c>
      <c r="M890" s="38">
        <v>19</v>
      </c>
      <c r="N890" s="38">
        <v>25</v>
      </c>
      <c r="O890" s="38">
        <v>5</v>
      </c>
      <c r="P890" s="38"/>
      <c r="Q890" s="38"/>
      <c r="R890" s="38">
        <v>1026</v>
      </c>
      <c r="S890" s="38">
        <v>168</v>
      </c>
      <c r="T890" s="38">
        <v>776</v>
      </c>
      <c r="U890" s="38">
        <v>3</v>
      </c>
      <c r="V890" s="38">
        <v>17</v>
      </c>
      <c r="W890" s="38">
        <v>53</v>
      </c>
      <c r="X890" s="38">
        <v>5</v>
      </c>
      <c r="Y890" s="38">
        <v>4</v>
      </c>
      <c r="Z890" s="38"/>
      <c r="AA890" s="38"/>
      <c r="AB890" s="39">
        <v>7.3304157999999999</v>
      </c>
      <c r="AC890" s="39">
        <v>75.9299781</v>
      </c>
      <c r="AD890" s="39">
        <v>3.9387308999999999</v>
      </c>
      <c r="AE890" s="39">
        <v>7.4398248999999996</v>
      </c>
      <c r="AF890" s="39">
        <v>2.0787746</v>
      </c>
      <c r="AG890" s="39">
        <v>2.7352297999999999</v>
      </c>
      <c r="AH890" s="39">
        <v>0.54704600000000003</v>
      </c>
      <c r="AI890" s="39"/>
      <c r="AJ890" s="39"/>
      <c r="AK890" s="39">
        <v>16.374269000000002</v>
      </c>
      <c r="AL890" s="39">
        <v>75.633528299999995</v>
      </c>
      <c r="AM890" s="39">
        <v>0.29239769999999998</v>
      </c>
      <c r="AN890" s="39">
        <v>1.6569201</v>
      </c>
      <c r="AO890" s="39">
        <v>5.165692</v>
      </c>
      <c r="AP890" s="39">
        <v>0.48732940000000002</v>
      </c>
      <c r="AQ890" s="39">
        <v>0.38986349999999997</v>
      </c>
      <c r="AR890" s="40"/>
      <c r="AS890" s="40"/>
    </row>
    <row r="891" spans="2:45" ht="15" hidden="1" customHeight="1" x14ac:dyDescent="0.25">
      <c r="B891" s="35">
        <v>885</v>
      </c>
      <c r="C891" s="36" t="s">
        <v>31</v>
      </c>
      <c r="D891" s="36" t="s">
        <v>272</v>
      </c>
      <c r="E891" s="36" t="s">
        <v>297</v>
      </c>
      <c r="F891" s="36" t="s">
        <v>298</v>
      </c>
      <c r="G891" s="37" t="s">
        <v>26</v>
      </c>
      <c r="H891" s="38">
        <v>4704</v>
      </c>
      <c r="I891" s="38">
        <v>2</v>
      </c>
      <c r="J891" s="38">
        <v>9</v>
      </c>
      <c r="K891" s="38">
        <v>1119</v>
      </c>
      <c r="L891" s="38">
        <v>1893</v>
      </c>
      <c r="M891" s="38">
        <v>1097</v>
      </c>
      <c r="N891" s="38">
        <v>447</v>
      </c>
      <c r="O891" s="38">
        <v>137</v>
      </c>
      <c r="P891" s="38"/>
      <c r="Q891" s="38"/>
      <c r="R891" s="38">
        <v>5753</v>
      </c>
      <c r="S891" s="38">
        <v>63</v>
      </c>
      <c r="T891" s="38">
        <v>30</v>
      </c>
      <c r="U891" s="38">
        <v>161</v>
      </c>
      <c r="V891" s="38">
        <v>809</v>
      </c>
      <c r="W891" s="38">
        <v>4158</v>
      </c>
      <c r="X891" s="38">
        <v>477</v>
      </c>
      <c r="Y891" s="38">
        <v>55</v>
      </c>
      <c r="Z891" s="38"/>
      <c r="AA891" s="38"/>
      <c r="AB891" s="39">
        <v>4.2516999999999999E-2</v>
      </c>
      <c r="AC891" s="39">
        <v>0.19132650000000001</v>
      </c>
      <c r="AD891" s="39">
        <v>23.788265299999999</v>
      </c>
      <c r="AE891" s="39">
        <v>40.242346900000001</v>
      </c>
      <c r="AF891" s="39">
        <v>23.3205782</v>
      </c>
      <c r="AG891" s="39">
        <v>9.5025510000000004</v>
      </c>
      <c r="AH891" s="39">
        <v>2.9124150000000002</v>
      </c>
      <c r="AI891" s="39"/>
      <c r="AJ891" s="39"/>
      <c r="AK891" s="39">
        <v>1.0950808000000001</v>
      </c>
      <c r="AL891" s="39">
        <v>0.52146709999999996</v>
      </c>
      <c r="AM891" s="39">
        <v>2.7985399000000002</v>
      </c>
      <c r="AN891" s="39">
        <v>14.0622284</v>
      </c>
      <c r="AO891" s="39">
        <v>72.275334599999994</v>
      </c>
      <c r="AP891" s="39">
        <v>8.2913262999999997</v>
      </c>
      <c r="AQ891" s="39">
        <v>0.95602290000000001</v>
      </c>
      <c r="AR891" s="40"/>
      <c r="AS891" s="40"/>
    </row>
    <row r="892" spans="2:45" ht="15" customHeight="1" x14ac:dyDescent="0.25">
      <c r="B892" s="41">
        <v>886</v>
      </c>
      <c r="C892" s="42" t="s">
        <v>31</v>
      </c>
      <c r="D892" s="51" t="s">
        <v>272</v>
      </c>
      <c r="E892" s="51" t="s">
        <v>297</v>
      </c>
      <c r="F892" s="51" t="s">
        <v>299</v>
      </c>
      <c r="G892" s="52" t="s">
        <v>299</v>
      </c>
      <c r="H892" s="43">
        <v>2741</v>
      </c>
      <c r="I892" s="43">
        <v>16</v>
      </c>
      <c r="J892" s="43">
        <v>149</v>
      </c>
      <c r="K892" s="43">
        <v>386</v>
      </c>
      <c r="L892" s="43">
        <v>783</v>
      </c>
      <c r="M892" s="43">
        <v>1088</v>
      </c>
      <c r="N892" s="43">
        <v>261</v>
      </c>
      <c r="O892" s="43">
        <v>58</v>
      </c>
      <c r="P892" s="44">
        <f>K892+L892+M892+N892+O892</f>
        <v>2576</v>
      </c>
      <c r="Q892" s="44">
        <f>I892+J892</f>
        <v>165</v>
      </c>
      <c r="R892" s="43">
        <v>3517</v>
      </c>
      <c r="S892" s="43">
        <v>31</v>
      </c>
      <c r="T892" s="43">
        <v>189</v>
      </c>
      <c r="U892" s="43">
        <v>117</v>
      </c>
      <c r="V892" s="43">
        <v>185</v>
      </c>
      <c r="W892" s="43">
        <v>2738</v>
      </c>
      <c r="X892" s="43">
        <v>234</v>
      </c>
      <c r="Y892" s="43">
        <v>23</v>
      </c>
      <c r="Z892" s="45">
        <f>U892+V892+W892+X892+Y892</f>
        <v>3297</v>
      </c>
      <c r="AA892" s="45">
        <f>S892+T892</f>
        <v>220</v>
      </c>
      <c r="AB892" s="46">
        <v>0.58372860000000004</v>
      </c>
      <c r="AC892" s="46">
        <v>5.4359723000000004</v>
      </c>
      <c r="AD892" s="46">
        <v>14.0824517</v>
      </c>
      <c r="AE892" s="46">
        <v>28.566216699999998</v>
      </c>
      <c r="AF892" s="46">
        <v>39.6935425</v>
      </c>
      <c r="AG892" s="46">
        <v>9.5220722000000002</v>
      </c>
      <c r="AH892" s="46">
        <v>2.1160161</v>
      </c>
      <c r="AI892" s="47">
        <f>AB892+AC892</f>
        <v>6.0197009000000001</v>
      </c>
      <c r="AJ892" s="47">
        <f>AD892+AE892+AF892+AG892+AH892</f>
        <v>93.98029919999999</v>
      </c>
      <c r="AK892" s="46">
        <v>0.88143300000000002</v>
      </c>
      <c r="AL892" s="46">
        <v>5.3738982000000002</v>
      </c>
      <c r="AM892" s="46">
        <v>3.3266988999999998</v>
      </c>
      <c r="AN892" s="46">
        <v>5.2601649000000004</v>
      </c>
      <c r="AO892" s="46">
        <v>77.850440699999993</v>
      </c>
      <c r="AP892" s="46">
        <v>6.6533977999999996</v>
      </c>
      <c r="AQ892" s="46">
        <v>0.65396639999999995</v>
      </c>
      <c r="AR892" s="48">
        <f>AK892+AL892</f>
        <v>6.2553312000000005</v>
      </c>
      <c r="AS892" s="48">
        <f>AM892+AN892+AO892+AP892+AQ892</f>
        <v>93.744668699999991</v>
      </c>
    </row>
    <row r="893" spans="2:45" ht="15" hidden="1" customHeight="1" x14ac:dyDescent="0.25">
      <c r="B893" s="35">
        <v>887</v>
      </c>
      <c r="C893" s="36" t="s">
        <v>31</v>
      </c>
      <c r="D893" s="36" t="s">
        <v>272</v>
      </c>
      <c r="E893" s="36" t="s">
        <v>297</v>
      </c>
      <c r="F893" s="36" t="s">
        <v>299</v>
      </c>
      <c r="G893" s="37" t="s">
        <v>25</v>
      </c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40"/>
      <c r="AS893" s="40"/>
    </row>
    <row r="894" spans="2:45" ht="15" hidden="1" customHeight="1" x14ac:dyDescent="0.25">
      <c r="B894" s="35">
        <v>888</v>
      </c>
      <c r="C894" s="36" t="s">
        <v>31</v>
      </c>
      <c r="D894" s="36" t="s">
        <v>272</v>
      </c>
      <c r="E894" s="36" t="s">
        <v>297</v>
      </c>
      <c r="F894" s="36" t="s">
        <v>299</v>
      </c>
      <c r="G894" s="37" t="s">
        <v>26</v>
      </c>
      <c r="H894" s="38">
        <v>2741</v>
      </c>
      <c r="I894" s="38">
        <v>16</v>
      </c>
      <c r="J894" s="38">
        <v>149</v>
      </c>
      <c r="K894" s="38">
        <v>386</v>
      </c>
      <c r="L894" s="38">
        <v>783</v>
      </c>
      <c r="M894" s="38">
        <v>1088</v>
      </c>
      <c r="N894" s="38">
        <v>261</v>
      </c>
      <c r="O894" s="38">
        <v>58</v>
      </c>
      <c r="P894" s="38"/>
      <c r="Q894" s="38"/>
      <c r="R894" s="38">
        <v>3517</v>
      </c>
      <c r="S894" s="38">
        <v>31</v>
      </c>
      <c r="T894" s="38">
        <v>189</v>
      </c>
      <c r="U894" s="38">
        <v>117</v>
      </c>
      <c r="V894" s="38">
        <v>185</v>
      </c>
      <c r="W894" s="38">
        <v>2738</v>
      </c>
      <c r="X894" s="38">
        <v>234</v>
      </c>
      <c r="Y894" s="38">
        <v>23</v>
      </c>
      <c r="Z894" s="38"/>
      <c r="AA894" s="38"/>
      <c r="AB894" s="39">
        <v>0.58372860000000004</v>
      </c>
      <c r="AC894" s="39">
        <v>5.4359723000000004</v>
      </c>
      <c r="AD894" s="39">
        <v>14.0824517</v>
      </c>
      <c r="AE894" s="39">
        <v>28.566216699999998</v>
      </c>
      <c r="AF894" s="39">
        <v>39.6935425</v>
      </c>
      <c r="AG894" s="39">
        <v>9.5220722000000002</v>
      </c>
      <c r="AH894" s="39">
        <v>2.1160161</v>
      </c>
      <c r="AI894" s="39"/>
      <c r="AJ894" s="39"/>
      <c r="AK894" s="39">
        <v>0.88143300000000002</v>
      </c>
      <c r="AL894" s="39">
        <v>5.3738982000000002</v>
      </c>
      <c r="AM894" s="39">
        <v>3.3266988999999998</v>
      </c>
      <c r="AN894" s="39">
        <v>5.2601649000000004</v>
      </c>
      <c r="AO894" s="39">
        <v>77.850440699999993</v>
      </c>
      <c r="AP894" s="39">
        <v>6.6533977999999996</v>
      </c>
      <c r="AQ894" s="39">
        <v>0.65396639999999995</v>
      </c>
      <c r="AR894" s="40"/>
      <c r="AS894" s="40"/>
    </row>
    <row r="895" spans="2:45" ht="15" hidden="1" customHeight="1" x14ac:dyDescent="0.25">
      <c r="B895" s="30">
        <v>889</v>
      </c>
      <c r="C895" s="31" t="s">
        <v>29</v>
      </c>
      <c r="D895" s="50" t="s">
        <v>272</v>
      </c>
      <c r="E895" s="50" t="s">
        <v>300</v>
      </c>
      <c r="F895" s="50"/>
      <c r="G895" s="31" t="s">
        <v>300</v>
      </c>
      <c r="H895" s="32">
        <v>16895</v>
      </c>
      <c r="I895" s="32">
        <v>1071</v>
      </c>
      <c r="J895" s="32">
        <v>8783</v>
      </c>
      <c r="K895" s="32">
        <v>668</v>
      </c>
      <c r="L895" s="32">
        <v>2204</v>
      </c>
      <c r="M895" s="32">
        <v>3058</v>
      </c>
      <c r="N895" s="32">
        <v>956</v>
      </c>
      <c r="O895" s="32">
        <v>155</v>
      </c>
      <c r="P895" s="32"/>
      <c r="Q895" s="32"/>
      <c r="R895" s="32">
        <v>19627</v>
      </c>
      <c r="S895" s="32">
        <v>1952</v>
      </c>
      <c r="T895" s="32">
        <v>10774</v>
      </c>
      <c r="U895" s="32">
        <v>134</v>
      </c>
      <c r="V895" s="32">
        <v>317</v>
      </c>
      <c r="W895" s="32">
        <v>5035</v>
      </c>
      <c r="X895" s="32">
        <v>1203</v>
      </c>
      <c r="Y895" s="32">
        <v>212</v>
      </c>
      <c r="Z895" s="32"/>
      <c r="AA895" s="32"/>
      <c r="AB895" s="33">
        <v>6.3391536000000004</v>
      </c>
      <c r="AC895" s="33">
        <v>51.985794599999998</v>
      </c>
      <c r="AD895" s="33">
        <v>3.9538324999999999</v>
      </c>
      <c r="AE895" s="33">
        <v>13.0452797</v>
      </c>
      <c r="AF895" s="33">
        <v>18.100029599999999</v>
      </c>
      <c r="AG895" s="33">
        <v>5.6584788000000001</v>
      </c>
      <c r="AH895" s="33">
        <v>0.9174312</v>
      </c>
      <c r="AI895" s="33"/>
      <c r="AJ895" s="33"/>
      <c r="AK895" s="33">
        <v>9.9454832999999994</v>
      </c>
      <c r="AL895" s="33">
        <v>54.893768799999997</v>
      </c>
      <c r="AM895" s="33">
        <v>0.68273300000000003</v>
      </c>
      <c r="AN895" s="33">
        <v>1.6151219999999999</v>
      </c>
      <c r="AO895" s="33">
        <v>25.653436599999999</v>
      </c>
      <c r="AP895" s="33">
        <v>6.1293116999999997</v>
      </c>
      <c r="AQ895" s="33">
        <v>1.0801447</v>
      </c>
      <c r="AR895" s="34"/>
      <c r="AS895" s="34"/>
    </row>
    <row r="896" spans="2:45" ht="15" hidden="1" customHeight="1" x14ac:dyDescent="0.25">
      <c r="B896" s="35">
        <v>890</v>
      </c>
      <c r="C896" s="36" t="s">
        <v>29</v>
      </c>
      <c r="D896" s="36" t="s">
        <v>272</v>
      </c>
      <c r="E896" s="36" t="s">
        <v>300</v>
      </c>
      <c r="F896" s="36"/>
      <c r="G896" s="37" t="s">
        <v>25</v>
      </c>
      <c r="H896" s="38">
        <v>9081</v>
      </c>
      <c r="I896" s="38">
        <v>724</v>
      </c>
      <c r="J896" s="38">
        <v>7893</v>
      </c>
      <c r="K896" s="38">
        <v>72</v>
      </c>
      <c r="L896" s="38">
        <v>190</v>
      </c>
      <c r="M896" s="38">
        <v>151</v>
      </c>
      <c r="N896" s="38">
        <v>36</v>
      </c>
      <c r="O896" s="38">
        <v>15</v>
      </c>
      <c r="P896" s="38"/>
      <c r="Q896" s="38"/>
      <c r="R896" s="38">
        <v>9327</v>
      </c>
      <c r="S896" s="38">
        <v>845</v>
      </c>
      <c r="T896" s="38">
        <v>8345</v>
      </c>
      <c r="U896" s="38">
        <v>9</v>
      </c>
      <c r="V896" s="38">
        <v>6</v>
      </c>
      <c r="W896" s="38">
        <v>97</v>
      </c>
      <c r="X896" s="38">
        <v>14</v>
      </c>
      <c r="Y896" s="38">
        <v>11</v>
      </c>
      <c r="Z896" s="38"/>
      <c r="AA896" s="38"/>
      <c r="AB896" s="39">
        <v>7.9726901999999997</v>
      </c>
      <c r="AC896" s="39">
        <v>86.917740300000006</v>
      </c>
      <c r="AD896" s="39">
        <v>0.79286420000000002</v>
      </c>
      <c r="AE896" s="39">
        <v>2.0922806</v>
      </c>
      <c r="AF896" s="39">
        <v>1.6628125</v>
      </c>
      <c r="AG896" s="39">
        <v>0.39643210000000001</v>
      </c>
      <c r="AH896" s="39">
        <v>0.16517999999999999</v>
      </c>
      <c r="AI896" s="39"/>
      <c r="AJ896" s="39"/>
      <c r="AK896" s="39">
        <v>9.0597191000000006</v>
      </c>
      <c r="AL896" s="39">
        <v>89.471427000000006</v>
      </c>
      <c r="AM896" s="39">
        <v>9.6493999999999996E-2</v>
      </c>
      <c r="AN896" s="39">
        <v>6.4329399999999995E-2</v>
      </c>
      <c r="AO896" s="39">
        <v>1.0399913999999999</v>
      </c>
      <c r="AP896" s="39">
        <v>0.15010190000000001</v>
      </c>
      <c r="AQ896" s="39">
        <v>0.11793720000000001</v>
      </c>
      <c r="AR896" s="40"/>
      <c r="AS896" s="40"/>
    </row>
    <row r="897" spans="2:45" ht="15" hidden="1" customHeight="1" x14ac:dyDescent="0.25">
      <c r="B897" s="35">
        <v>891</v>
      </c>
      <c r="C897" s="36" t="s">
        <v>29</v>
      </c>
      <c r="D897" s="36" t="s">
        <v>272</v>
      </c>
      <c r="E897" s="36" t="s">
        <v>300</v>
      </c>
      <c r="F897" s="36"/>
      <c r="G897" s="37" t="s">
        <v>26</v>
      </c>
      <c r="H897" s="38">
        <v>7814</v>
      </c>
      <c r="I897" s="38">
        <v>347</v>
      </c>
      <c r="J897" s="38">
        <v>890</v>
      </c>
      <c r="K897" s="38">
        <v>596</v>
      </c>
      <c r="L897" s="38">
        <v>2014</v>
      </c>
      <c r="M897" s="38">
        <v>2907</v>
      </c>
      <c r="N897" s="38">
        <v>920</v>
      </c>
      <c r="O897" s="38">
        <v>140</v>
      </c>
      <c r="P897" s="38"/>
      <c r="Q897" s="38"/>
      <c r="R897" s="38">
        <v>10300</v>
      </c>
      <c r="S897" s="38">
        <v>1107</v>
      </c>
      <c r="T897" s="38">
        <v>2429</v>
      </c>
      <c r="U897" s="38">
        <v>125</v>
      </c>
      <c r="V897" s="38">
        <v>311</v>
      </c>
      <c r="W897" s="38">
        <v>4938</v>
      </c>
      <c r="X897" s="38">
        <v>1189</v>
      </c>
      <c r="Y897" s="38">
        <v>201</v>
      </c>
      <c r="Z897" s="38"/>
      <c r="AA897" s="38"/>
      <c r="AB897" s="39">
        <v>4.4407474000000002</v>
      </c>
      <c r="AC897" s="39">
        <v>11.389813200000001</v>
      </c>
      <c r="AD897" s="39">
        <v>7.6273356000000003</v>
      </c>
      <c r="AE897" s="39">
        <v>25.7742513</v>
      </c>
      <c r="AF897" s="39">
        <v>37.202457099999997</v>
      </c>
      <c r="AG897" s="39">
        <v>11.7737394</v>
      </c>
      <c r="AH897" s="39">
        <v>1.7916559999999999</v>
      </c>
      <c r="AI897" s="39"/>
      <c r="AJ897" s="39"/>
      <c r="AK897" s="39">
        <v>10.7475728</v>
      </c>
      <c r="AL897" s="39">
        <v>23.582524299999999</v>
      </c>
      <c r="AM897" s="39">
        <v>1.2135921999999999</v>
      </c>
      <c r="AN897" s="39">
        <v>3.0194174999999999</v>
      </c>
      <c r="AO897" s="39">
        <v>47.941747599999999</v>
      </c>
      <c r="AP897" s="39">
        <v>11.5436893</v>
      </c>
      <c r="AQ897" s="39">
        <v>1.9514563</v>
      </c>
      <c r="AR897" s="40"/>
      <c r="AS897" s="40"/>
    </row>
    <row r="898" spans="2:45" ht="15" customHeight="1" x14ac:dyDescent="0.25">
      <c r="B898" s="41">
        <v>892</v>
      </c>
      <c r="C898" s="42" t="s">
        <v>31</v>
      </c>
      <c r="D898" s="51" t="s">
        <v>272</v>
      </c>
      <c r="E898" s="51" t="s">
        <v>300</v>
      </c>
      <c r="F898" s="51" t="s">
        <v>301</v>
      </c>
      <c r="G898" s="52" t="s">
        <v>301</v>
      </c>
      <c r="H898" s="43">
        <v>13319</v>
      </c>
      <c r="I898" s="43">
        <v>902</v>
      </c>
      <c r="J898" s="43">
        <v>6699</v>
      </c>
      <c r="K898" s="43">
        <v>588</v>
      </c>
      <c r="L898" s="43">
        <v>1383</v>
      </c>
      <c r="M898" s="43">
        <v>2721</v>
      </c>
      <c r="N898" s="43">
        <v>895</v>
      </c>
      <c r="O898" s="43">
        <v>131</v>
      </c>
      <c r="P898" s="44">
        <f>K898+L898+M898+N898+O898</f>
        <v>5718</v>
      </c>
      <c r="Q898" s="44">
        <f>I898+J898</f>
        <v>7601</v>
      </c>
      <c r="R898" s="43">
        <v>15876</v>
      </c>
      <c r="S898" s="43">
        <v>1013</v>
      </c>
      <c r="T898" s="43">
        <v>8530</v>
      </c>
      <c r="U898" s="43">
        <v>117</v>
      </c>
      <c r="V898" s="43">
        <v>209</v>
      </c>
      <c r="W898" s="43">
        <v>4750</v>
      </c>
      <c r="X898" s="43">
        <v>1084</v>
      </c>
      <c r="Y898" s="43">
        <v>173</v>
      </c>
      <c r="Z898" s="45">
        <f>U898+V898+W898+X898+Y898</f>
        <v>6333</v>
      </c>
      <c r="AA898" s="45">
        <f>S898+T898</f>
        <v>9543</v>
      </c>
      <c r="AB898" s="46">
        <v>6.7722802</v>
      </c>
      <c r="AC898" s="46">
        <v>50.296568800000003</v>
      </c>
      <c r="AD898" s="46">
        <v>4.4147458999999998</v>
      </c>
      <c r="AE898" s="46">
        <v>10.3836624</v>
      </c>
      <c r="AF898" s="46">
        <v>20.429461700000001</v>
      </c>
      <c r="AG898" s="46">
        <v>6.7197237000000003</v>
      </c>
      <c r="AH898" s="46">
        <v>0.98355729999999997</v>
      </c>
      <c r="AI898" s="47">
        <f>AB898+AC898</f>
        <v>57.068849</v>
      </c>
      <c r="AJ898" s="47">
        <f>AD898+AE898+AF898+AG898+AH898</f>
        <v>42.931151000000007</v>
      </c>
      <c r="AK898" s="46">
        <v>6.3807004000000003</v>
      </c>
      <c r="AL898" s="46">
        <v>53.728898999999998</v>
      </c>
      <c r="AM898" s="46">
        <v>0.73696150000000005</v>
      </c>
      <c r="AN898" s="46">
        <v>1.3164525</v>
      </c>
      <c r="AO898" s="46">
        <v>29.919375200000001</v>
      </c>
      <c r="AP898" s="46">
        <v>6.8279164000000003</v>
      </c>
      <c r="AQ898" s="46">
        <v>1.0896950999999999</v>
      </c>
      <c r="AR898" s="48">
        <f>AK898+AL898</f>
        <v>60.1095994</v>
      </c>
      <c r="AS898" s="48">
        <f>AM898+AN898+AO898+AP898+AQ898</f>
        <v>39.890400700000001</v>
      </c>
    </row>
    <row r="899" spans="2:45" ht="15" hidden="1" customHeight="1" x14ac:dyDescent="0.25">
      <c r="B899" s="35">
        <v>893</v>
      </c>
      <c r="C899" s="36" t="s">
        <v>31</v>
      </c>
      <c r="D899" s="36" t="s">
        <v>272</v>
      </c>
      <c r="E899" s="36" t="s">
        <v>300</v>
      </c>
      <c r="F899" s="36" t="s">
        <v>301</v>
      </c>
      <c r="G899" s="37" t="s">
        <v>25</v>
      </c>
      <c r="H899" s="38">
        <v>7534</v>
      </c>
      <c r="I899" s="38">
        <v>659</v>
      </c>
      <c r="J899" s="38">
        <v>6656</v>
      </c>
      <c r="K899" s="38">
        <v>38</v>
      </c>
      <c r="L899" s="38">
        <v>46</v>
      </c>
      <c r="M899" s="38">
        <v>96</v>
      </c>
      <c r="N899" s="38">
        <v>32</v>
      </c>
      <c r="O899" s="38">
        <v>7</v>
      </c>
      <c r="P899" s="38"/>
      <c r="Q899" s="38"/>
      <c r="R899" s="38">
        <v>9327</v>
      </c>
      <c r="S899" s="38">
        <v>845</v>
      </c>
      <c r="T899" s="38">
        <v>8345</v>
      </c>
      <c r="U899" s="38">
        <v>9</v>
      </c>
      <c r="V899" s="38">
        <v>6</v>
      </c>
      <c r="W899" s="38">
        <v>97</v>
      </c>
      <c r="X899" s="38">
        <v>14</v>
      </c>
      <c r="Y899" s="38">
        <v>11</v>
      </c>
      <c r="Z899" s="38"/>
      <c r="AA899" s="38"/>
      <c r="AB899" s="39">
        <v>8.7470134999999996</v>
      </c>
      <c r="AC899" s="39">
        <v>88.346164099999996</v>
      </c>
      <c r="AD899" s="39">
        <v>0.5043801</v>
      </c>
      <c r="AE899" s="39">
        <v>0.61056540000000004</v>
      </c>
      <c r="AF899" s="39">
        <v>1.2742235</v>
      </c>
      <c r="AG899" s="39">
        <v>0.42474119999999999</v>
      </c>
      <c r="AH899" s="39">
        <v>9.2912099999999997E-2</v>
      </c>
      <c r="AI899" s="39"/>
      <c r="AJ899" s="39"/>
      <c r="AK899" s="39">
        <v>9.0597191000000006</v>
      </c>
      <c r="AL899" s="39">
        <v>89.471427000000006</v>
      </c>
      <c r="AM899" s="39">
        <v>9.6493999999999996E-2</v>
      </c>
      <c r="AN899" s="39">
        <v>6.4329399999999995E-2</v>
      </c>
      <c r="AO899" s="39">
        <v>1.0399913999999999</v>
      </c>
      <c r="AP899" s="39">
        <v>0.15010190000000001</v>
      </c>
      <c r="AQ899" s="39">
        <v>0.11793720000000001</v>
      </c>
      <c r="AR899" s="40"/>
      <c r="AS899" s="40"/>
    </row>
    <row r="900" spans="2:45" ht="15" hidden="1" customHeight="1" x14ac:dyDescent="0.25">
      <c r="B900" s="35">
        <v>894</v>
      </c>
      <c r="C900" s="36" t="s">
        <v>31</v>
      </c>
      <c r="D900" s="36" t="s">
        <v>272</v>
      </c>
      <c r="E900" s="36" t="s">
        <v>300</v>
      </c>
      <c r="F900" s="36" t="s">
        <v>301</v>
      </c>
      <c r="G900" s="37" t="s">
        <v>26</v>
      </c>
      <c r="H900" s="38">
        <v>5785</v>
      </c>
      <c r="I900" s="38">
        <v>243</v>
      </c>
      <c r="J900" s="38">
        <v>43</v>
      </c>
      <c r="K900" s="38">
        <v>550</v>
      </c>
      <c r="L900" s="38">
        <v>1337</v>
      </c>
      <c r="M900" s="38">
        <v>2625</v>
      </c>
      <c r="N900" s="38">
        <v>863</v>
      </c>
      <c r="O900" s="38">
        <v>124</v>
      </c>
      <c r="P900" s="38"/>
      <c r="Q900" s="38"/>
      <c r="R900" s="38">
        <v>6549</v>
      </c>
      <c r="S900" s="38">
        <v>168</v>
      </c>
      <c r="T900" s="38">
        <v>185</v>
      </c>
      <c r="U900" s="38">
        <v>108</v>
      </c>
      <c r="V900" s="38">
        <v>203</v>
      </c>
      <c r="W900" s="38">
        <v>4653</v>
      </c>
      <c r="X900" s="38">
        <v>1070</v>
      </c>
      <c r="Y900" s="38">
        <v>162</v>
      </c>
      <c r="Z900" s="38"/>
      <c r="AA900" s="38"/>
      <c r="AB900" s="39">
        <v>4.2005185999999997</v>
      </c>
      <c r="AC900" s="39">
        <v>0.74330160000000001</v>
      </c>
      <c r="AD900" s="39">
        <v>9.5073466</v>
      </c>
      <c r="AE900" s="39">
        <v>23.1114952</v>
      </c>
      <c r="AF900" s="39">
        <v>45.375972300000001</v>
      </c>
      <c r="AG900" s="39">
        <v>14.9178911</v>
      </c>
      <c r="AH900" s="39">
        <v>2.1434744999999999</v>
      </c>
      <c r="AI900" s="39"/>
      <c r="AJ900" s="39"/>
      <c r="AK900" s="39">
        <v>2.5652770999999999</v>
      </c>
      <c r="AL900" s="39">
        <v>2.8248587999999999</v>
      </c>
      <c r="AM900" s="39">
        <v>1.6491066999999999</v>
      </c>
      <c r="AN900" s="39">
        <v>3.0997099000000001</v>
      </c>
      <c r="AO900" s="39">
        <v>71.049015100000005</v>
      </c>
      <c r="AP900" s="39">
        <v>16.3383723</v>
      </c>
      <c r="AQ900" s="39">
        <v>2.4736601</v>
      </c>
      <c r="AR900" s="40"/>
      <c r="AS900" s="40"/>
    </row>
    <row r="901" spans="2:45" ht="15" customHeight="1" x14ac:dyDescent="0.25">
      <c r="B901" s="41">
        <v>895</v>
      </c>
      <c r="C901" s="42" t="s">
        <v>31</v>
      </c>
      <c r="D901" s="51" t="s">
        <v>272</v>
      </c>
      <c r="E901" s="51" t="s">
        <v>300</v>
      </c>
      <c r="F901" s="51" t="s">
        <v>302</v>
      </c>
      <c r="G901" s="52" t="s">
        <v>302</v>
      </c>
      <c r="H901" s="43">
        <v>3576</v>
      </c>
      <c r="I901" s="43">
        <v>169</v>
      </c>
      <c r="J901" s="43">
        <v>2084</v>
      </c>
      <c r="K901" s="43">
        <v>80</v>
      </c>
      <c r="L901" s="43">
        <v>821</v>
      </c>
      <c r="M901" s="43">
        <v>337</v>
      </c>
      <c r="N901" s="43">
        <v>61</v>
      </c>
      <c r="O901" s="43">
        <v>24</v>
      </c>
      <c r="P901" s="44">
        <f>K901+L901+M901+N901+O901</f>
        <v>1323</v>
      </c>
      <c r="Q901" s="44">
        <f>I901+J901</f>
        <v>2253</v>
      </c>
      <c r="R901" s="43">
        <v>3751</v>
      </c>
      <c r="S901" s="43">
        <v>939</v>
      </c>
      <c r="T901" s="43">
        <v>2244</v>
      </c>
      <c r="U901" s="43">
        <v>17</v>
      </c>
      <c r="V901" s="43">
        <v>108</v>
      </c>
      <c r="W901" s="43">
        <v>285</v>
      </c>
      <c r="X901" s="43">
        <v>119</v>
      </c>
      <c r="Y901" s="43">
        <v>39</v>
      </c>
      <c r="Z901" s="45">
        <f>U901+V901+W901+X901+Y901</f>
        <v>568</v>
      </c>
      <c r="AA901" s="45">
        <f>S901+T901</f>
        <v>3183</v>
      </c>
      <c r="AB901" s="46">
        <v>4.7259507999999997</v>
      </c>
      <c r="AC901" s="46">
        <v>58.277404900000001</v>
      </c>
      <c r="AD901" s="46">
        <v>2.2371365000000001</v>
      </c>
      <c r="AE901" s="46">
        <v>22.958613</v>
      </c>
      <c r="AF901" s="46">
        <v>9.4239373999999998</v>
      </c>
      <c r="AG901" s="46">
        <v>1.7058165999999999</v>
      </c>
      <c r="AH901" s="46">
        <v>0.67114090000000004</v>
      </c>
      <c r="AI901" s="47">
        <f>AB901+AC901</f>
        <v>63.0033557</v>
      </c>
      <c r="AJ901" s="47">
        <f>AD901+AE901+AF901+AG901+AH901</f>
        <v>36.996644399999994</v>
      </c>
      <c r="AK901" s="46">
        <v>25.033324400000001</v>
      </c>
      <c r="AL901" s="46">
        <v>59.824046899999999</v>
      </c>
      <c r="AM901" s="46">
        <v>0.45321250000000002</v>
      </c>
      <c r="AN901" s="46">
        <v>2.8792322000000001</v>
      </c>
      <c r="AO901" s="46">
        <v>7.5979739000000004</v>
      </c>
      <c r="AP901" s="46">
        <v>3.1724872999999998</v>
      </c>
      <c r="AQ901" s="46">
        <v>1.0397227</v>
      </c>
      <c r="AR901" s="48">
        <f>AK901+AL901</f>
        <v>84.857371299999997</v>
      </c>
      <c r="AS901" s="48">
        <f>AM901+AN901+AO901+AP901+AQ901</f>
        <v>15.1426286</v>
      </c>
    </row>
    <row r="902" spans="2:45" ht="15" hidden="1" customHeight="1" x14ac:dyDescent="0.25">
      <c r="B902" s="35">
        <v>896</v>
      </c>
      <c r="C902" s="36" t="s">
        <v>31</v>
      </c>
      <c r="D902" s="36" t="s">
        <v>272</v>
      </c>
      <c r="E902" s="36" t="s">
        <v>300</v>
      </c>
      <c r="F902" s="36" t="s">
        <v>302</v>
      </c>
      <c r="G902" s="37" t="s">
        <v>25</v>
      </c>
      <c r="H902" s="38">
        <v>1547</v>
      </c>
      <c r="I902" s="38">
        <v>65</v>
      </c>
      <c r="J902" s="38">
        <v>1237</v>
      </c>
      <c r="K902" s="38">
        <v>34</v>
      </c>
      <c r="L902" s="38">
        <v>144</v>
      </c>
      <c r="M902" s="38">
        <v>55</v>
      </c>
      <c r="N902" s="38">
        <v>4</v>
      </c>
      <c r="O902" s="38">
        <v>8</v>
      </c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9">
        <v>4.2016806999999998</v>
      </c>
      <c r="AC902" s="39">
        <v>79.961215300000006</v>
      </c>
      <c r="AD902" s="39">
        <v>2.1978021999999999</v>
      </c>
      <c r="AE902" s="39">
        <v>9.3083387000000002</v>
      </c>
      <c r="AF902" s="39">
        <v>3.5552682999999998</v>
      </c>
      <c r="AG902" s="39">
        <v>0.25856499999999999</v>
      </c>
      <c r="AH902" s="39">
        <v>0.51712990000000003</v>
      </c>
      <c r="AI902" s="39"/>
      <c r="AJ902" s="39"/>
      <c r="AK902" s="39"/>
      <c r="AL902" s="39"/>
      <c r="AM902" s="39"/>
      <c r="AN902" s="39"/>
      <c r="AO902" s="39"/>
      <c r="AP902" s="39"/>
      <c r="AQ902" s="39"/>
      <c r="AR902" s="40"/>
      <c r="AS902" s="40"/>
    </row>
    <row r="903" spans="2:45" ht="15" hidden="1" customHeight="1" x14ac:dyDescent="0.25">
      <c r="B903" s="35">
        <v>897</v>
      </c>
      <c r="C903" s="36" t="s">
        <v>31</v>
      </c>
      <c r="D903" s="36" t="s">
        <v>272</v>
      </c>
      <c r="E903" s="36" t="s">
        <v>300</v>
      </c>
      <c r="F903" s="36" t="s">
        <v>302</v>
      </c>
      <c r="G903" s="37" t="s">
        <v>26</v>
      </c>
      <c r="H903" s="38">
        <v>2029</v>
      </c>
      <c r="I903" s="38">
        <v>104</v>
      </c>
      <c r="J903" s="38">
        <v>847</v>
      </c>
      <c r="K903" s="38">
        <v>46</v>
      </c>
      <c r="L903" s="38">
        <v>677</v>
      </c>
      <c r="M903" s="38">
        <v>282</v>
      </c>
      <c r="N903" s="38">
        <v>57</v>
      </c>
      <c r="O903" s="38">
        <v>16</v>
      </c>
      <c r="P903" s="38"/>
      <c r="Q903" s="38"/>
      <c r="R903" s="38">
        <v>3751</v>
      </c>
      <c r="S903" s="38">
        <v>939</v>
      </c>
      <c r="T903" s="38">
        <v>2244</v>
      </c>
      <c r="U903" s="38">
        <v>17</v>
      </c>
      <c r="V903" s="38">
        <v>108</v>
      </c>
      <c r="W903" s="38">
        <v>285</v>
      </c>
      <c r="X903" s="38">
        <v>119</v>
      </c>
      <c r="Y903" s="38">
        <v>39</v>
      </c>
      <c r="Z903" s="38"/>
      <c r="AA903" s="38"/>
      <c r="AB903" s="39">
        <v>5.1256776999999998</v>
      </c>
      <c r="AC903" s="39">
        <v>41.744701800000001</v>
      </c>
      <c r="AD903" s="39">
        <v>2.2671266999999999</v>
      </c>
      <c r="AE903" s="39">
        <v>33.366190199999998</v>
      </c>
      <c r="AF903" s="39">
        <v>13.8984722</v>
      </c>
      <c r="AG903" s="39">
        <v>2.8092655999999998</v>
      </c>
      <c r="AH903" s="39">
        <v>0.78856579999999998</v>
      </c>
      <c r="AI903" s="39"/>
      <c r="AJ903" s="39"/>
      <c r="AK903" s="39">
        <v>25.033324400000001</v>
      </c>
      <c r="AL903" s="39">
        <v>59.824046899999999</v>
      </c>
      <c r="AM903" s="39">
        <v>0.45321250000000002</v>
      </c>
      <c r="AN903" s="39">
        <v>2.8792322000000001</v>
      </c>
      <c r="AO903" s="39">
        <v>7.5979739000000004</v>
      </c>
      <c r="AP903" s="39">
        <v>3.1724872999999998</v>
      </c>
      <c r="AQ903" s="39">
        <v>1.0397227</v>
      </c>
      <c r="AR903" s="40"/>
      <c r="AS903" s="40"/>
    </row>
    <row r="904" spans="2:45" ht="15" hidden="1" customHeight="1" x14ac:dyDescent="0.25">
      <c r="B904" s="30">
        <v>898</v>
      </c>
      <c r="C904" s="31" t="s">
        <v>29</v>
      </c>
      <c r="D904" s="50" t="s">
        <v>272</v>
      </c>
      <c r="E904" s="50" t="s">
        <v>303</v>
      </c>
      <c r="F904" s="50"/>
      <c r="G904" s="31" t="s">
        <v>303</v>
      </c>
      <c r="H904" s="32">
        <v>3679</v>
      </c>
      <c r="I904" s="32">
        <v>126</v>
      </c>
      <c r="J904" s="32">
        <v>1046</v>
      </c>
      <c r="K904" s="32">
        <v>180</v>
      </c>
      <c r="L904" s="32">
        <v>535</v>
      </c>
      <c r="M904" s="32">
        <v>804</v>
      </c>
      <c r="N904" s="32">
        <v>806</v>
      </c>
      <c r="O904" s="32">
        <v>182</v>
      </c>
      <c r="P904" s="32"/>
      <c r="Q904" s="32"/>
      <c r="R904" s="32">
        <v>4822</v>
      </c>
      <c r="S904" s="32">
        <v>941</v>
      </c>
      <c r="T904" s="32">
        <v>1861</v>
      </c>
      <c r="U904" s="32">
        <v>103</v>
      </c>
      <c r="V904" s="32">
        <v>73</v>
      </c>
      <c r="W904" s="32">
        <v>1186</v>
      </c>
      <c r="X904" s="32">
        <v>538</v>
      </c>
      <c r="Y904" s="32">
        <v>120</v>
      </c>
      <c r="Z904" s="32"/>
      <c r="AA904" s="32"/>
      <c r="AB904" s="33">
        <v>3.4248436999999998</v>
      </c>
      <c r="AC904" s="33">
        <v>28.431639000000001</v>
      </c>
      <c r="AD904" s="33">
        <v>4.8926338999999999</v>
      </c>
      <c r="AE904" s="33">
        <v>14.541995099999999</v>
      </c>
      <c r="AF904" s="33">
        <v>21.853764600000002</v>
      </c>
      <c r="AG904" s="33">
        <v>21.908127199999999</v>
      </c>
      <c r="AH904" s="33">
        <v>4.9469965</v>
      </c>
      <c r="AI904" s="33"/>
      <c r="AJ904" s="33"/>
      <c r="AK904" s="33">
        <v>19.5147242</v>
      </c>
      <c r="AL904" s="33">
        <v>38.593944399999998</v>
      </c>
      <c r="AM904" s="33">
        <v>2.1360431000000002</v>
      </c>
      <c r="AN904" s="33">
        <v>1.5138946</v>
      </c>
      <c r="AO904" s="33">
        <v>24.595603499999999</v>
      </c>
      <c r="AP904" s="33">
        <v>11.1571962</v>
      </c>
      <c r="AQ904" s="33">
        <v>2.4885939000000001</v>
      </c>
      <c r="AR904" s="34"/>
      <c r="AS904" s="34"/>
    </row>
    <row r="905" spans="2:45" ht="15" hidden="1" customHeight="1" x14ac:dyDescent="0.25">
      <c r="B905" s="35">
        <v>899</v>
      </c>
      <c r="C905" s="36" t="s">
        <v>29</v>
      </c>
      <c r="D905" s="36" t="s">
        <v>272</v>
      </c>
      <c r="E905" s="36" t="s">
        <v>303</v>
      </c>
      <c r="F905" s="36"/>
      <c r="G905" s="37" t="s">
        <v>25</v>
      </c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>
        <v>711</v>
      </c>
      <c r="S905" s="38">
        <v>79</v>
      </c>
      <c r="T905" s="38">
        <v>608</v>
      </c>
      <c r="U905" s="38">
        <v>0</v>
      </c>
      <c r="V905" s="38">
        <v>2</v>
      </c>
      <c r="W905" s="38">
        <v>18</v>
      </c>
      <c r="X905" s="38">
        <v>3</v>
      </c>
      <c r="Y905" s="38">
        <v>1</v>
      </c>
      <c r="Z905" s="38"/>
      <c r="AA905" s="38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>
        <v>11.1111111</v>
      </c>
      <c r="AL905" s="39">
        <v>85.513361500000002</v>
      </c>
      <c r="AM905" s="39">
        <v>0</v>
      </c>
      <c r="AN905" s="39">
        <v>0.28129399999999999</v>
      </c>
      <c r="AO905" s="39">
        <v>2.5316456000000001</v>
      </c>
      <c r="AP905" s="39">
        <v>0.42194090000000001</v>
      </c>
      <c r="AQ905" s="39">
        <v>0.14064699999999999</v>
      </c>
      <c r="AR905" s="40"/>
      <c r="AS905" s="40"/>
    </row>
    <row r="906" spans="2:45" ht="15" hidden="1" customHeight="1" x14ac:dyDescent="0.25">
      <c r="B906" s="35">
        <v>900</v>
      </c>
      <c r="C906" s="36" t="s">
        <v>29</v>
      </c>
      <c r="D906" s="36" t="s">
        <v>272</v>
      </c>
      <c r="E906" s="36" t="s">
        <v>303</v>
      </c>
      <c r="F906" s="36"/>
      <c r="G906" s="37" t="s">
        <v>26</v>
      </c>
      <c r="H906" s="38">
        <v>3679</v>
      </c>
      <c r="I906" s="38">
        <v>126</v>
      </c>
      <c r="J906" s="38">
        <v>1046</v>
      </c>
      <c r="K906" s="38">
        <v>180</v>
      </c>
      <c r="L906" s="38">
        <v>535</v>
      </c>
      <c r="M906" s="38">
        <v>804</v>
      </c>
      <c r="N906" s="38">
        <v>806</v>
      </c>
      <c r="O906" s="38">
        <v>182</v>
      </c>
      <c r="P906" s="38"/>
      <c r="Q906" s="38"/>
      <c r="R906" s="38">
        <v>4111</v>
      </c>
      <c r="S906" s="38">
        <v>862</v>
      </c>
      <c r="T906" s="38">
        <v>1253</v>
      </c>
      <c r="U906" s="38">
        <v>103</v>
      </c>
      <c r="V906" s="38">
        <v>71</v>
      </c>
      <c r="W906" s="38">
        <v>1168</v>
      </c>
      <c r="X906" s="38">
        <v>535</v>
      </c>
      <c r="Y906" s="38">
        <v>119</v>
      </c>
      <c r="Z906" s="38"/>
      <c r="AA906" s="38"/>
      <c r="AB906" s="39">
        <v>3.4248436999999998</v>
      </c>
      <c r="AC906" s="39">
        <v>28.431639000000001</v>
      </c>
      <c r="AD906" s="39">
        <v>4.8926338999999999</v>
      </c>
      <c r="AE906" s="39">
        <v>14.541995099999999</v>
      </c>
      <c r="AF906" s="39">
        <v>21.853764600000002</v>
      </c>
      <c r="AG906" s="39">
        <v>21.908127199999999</v>
      </c>
      <c r="AH906" s="39">
        <v>4.9469965</v>
      </c>
      <c r="AI906" s="39"/>
      <c r="AJ906" s="39"/>
      <c r="AK906" s="39">
        <v>20.968134299999999</v>
      </c>
      <c r="AL906" s="39">
        <v>30.479202099999998</v>
      </c>
      <c r="AM906" s="39">
        <v>2.5054731000000001</v>
      </c>
      <c r="AN906" s="39">
        <v>1.7270737</v>
      </c>
      <c r="AO906" s="39">
        <v>28.4115787</v>
      </c>
      <c r="AP906" s="39">
        <v>13.0138652</v>
      </c>
      <c r="AQ906" s="39">
        <v>2.8946727999999999</v>
      </c>
      <c r="AR906" s="40"/>
      <c r="AS906" s="40"/>
    </row>
    <row r="907" spans="2:45" ht="15" customHeight="1" x14ac:dyDescent="0.25">
      <c r="B907" s="41">
        <v>901</v>
      </c>
      <c r="C907" s="42" t="s">
        <v>31</v>
      </c>
      <c r="D907" s="51" t="s">
        <v>272</v>
      </c>
      <c r="E907" s="51" t="s">
        <v>303</v>
      </c>
      <c r="F907" s="51" t="s">
        <v>304</v>
      </c>
      <c r="G907" s="52" t="s">
        <v>304</v>
      </c>
      <c r="H907" s="43">
        <v>3307</v>
      </c>
      <c r="I907" s="43">
        <v>113</v>
      </c>
      <c r="J907" s="43">
        <v>1041</v>
      </c>
      <c r="K907" s="43">
        <v>113</v>
      </c>
      <c r="L907" s="43">
        <v>511</v>
      </c>
      <c r="M907" s="43">
        <v>664</v>
      </c>
      <c r="N907" s="43">
        <v>690</v>
      </c>
      <c r="O907" s="43">
        <v>175</v>
      </c>
      <c r="P907" s="44">
        <f>K907+L907+M907+N907+O907</f>
        <v>2153</v>
      </c>
      <c r="Q907" s="44">
        <f>I907+J907</f>
        <v>1154</v>
      </c>
      <c r="R907" s="43">
        <v>4165</v>
      </c>
      <c r="S907" s="43">
        <v>798</v>
      </c>
      <c r="T907" s="43">
        <v>1840</v>
      </c>
      <c r="U907" s="43">
        <v>63</v>
      </c>
      <c r="V907" s="43">
        <v>71</v>
      </c>
      <c r="W907" s="43">
        <v>869</v>
      </c>
      <c r="X907" s="43">
        <v>426</v>
      </c>
      <c r="Y907" s="43">
        <v>98</v>
      </c>
      <c r="Z907" s="45">
        <f>U907+V907+W907+X907+Y907</f>
        <v>1527</v>
      </c>
      <c r="AA907" s="45">
        <f>S907+T907</f>
        <v>2638</v>
      </c>
      <c r="AB907" s="46">
        <v>3.4169942999999998</v>
      </c>
      <c r="AC907" s="46">
        <v>31.478681600000002</v>
      </c>
      <c r="AD907" s="46">
        <v>3.4169942999999998</v>
      </c>
      <c r="AE907" s="46">
        <v>15.452071399999999</v>
      </c>
      <c r="AF907" s="46">
        <v>20.078621099999999</v>
      </c>
      <c r="AG907" s="46">
        <v>20.864832199999999</v>
      </c>
      <c r="AH907" s="46">
        <v>5.2918053</v>
      </c>
      <c r="AI907" s="47">
        <f>AB907+AC907</f>
        <v>34.895675900000001</v>
      </c>
      <c r="AJ907" s="47">
        <f>AD907+AE907+AF907+AG907+AH907</f>
        <v>65.104324300000002</v>
      </c>
      <c r="AK907" s="46">
        <v>19.159663900000002</v>
      </c>
      <c r="AL907" s="46">
        <v>44.177671099999998</v>
      </c>
      <c r="AM907" s="46">
        <v>1.512605</v>
      </c>
      <c r="AN907" s="46">
        <v>1.7046819</v>
      </c>
      <c r="AO907" s="46">
        <v>20.864345700000001</v>
      </c>
      <c r="AP907" s="46">
        <v>10.2280912</v>
      </c>
      <c r="AQ907" s="46">
        <v>2.3529412000000001</v>
      </c>
      <c r="AR907" s="48">
        <f>AK907+AL907</f>
        <v>63.337334999999996</v>
      </c>
      <c r="AS907" s="48">
        <f>AM907+AN907+AO907+AP907+AQ907</f>
        <v>36.662665000000004</v>
      </c>
    </row>
    <row r="908" spans="2:45" ht="15" hidden="1" customHeight="1" x14ac:dyDescent="0.25">
      <c r="B908" s="35">
        <v>902</v>
      </c>
      <c r="C908" s="36" t="s">
        <v>31</v>
      </c>
      <c r="D908" s="36" t="s">
        <v>272</v>
      </c>
      <c r="E908" s="36" t="s">
        <v>303</v>
      </c>
      <c r="F908" s="36" t="s">
        <v>304</v>
      </c>
      <c r="G908" s="37" t="s">
        <v>25</v>
      </c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>
        <v>711</v>
      </c>
      <c r="S908" s="38">
        <v>79</v>
      </c>
      <c r="T908" s="38">
        <v>608</v>
      </c>
      <c r="U908" s="38">
        <v>0</v>
      </c>
      <c r="V908" s="38">
        <v>2</v>
      </c>
      <c r="W908" s="38">
        <v>18</v>
      </c>
      <c r="X908" s="38">
        <v>3</v>
      </c>
      <c r="Y908" s="38">
        <v>1</v>
      </c>
      <c r="Z908" s="38"/>
      <c r="AA908" s="38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>
        <v>11.1111111</v>
      </c>
      <c r="AL908" s="39">
        <v>85.513361500000002</v>
      </c>
      <c r="AM908" s="39">
        <v>0</v>
      </c>
      <c r="AN908" s="39">
        <v>0.28129399999999999</v>
      </c>
      <c r="AO908" s="39">
        <v>2.5316456000000001</v>
      </c>
      <c r="AP908" s="39">
        <v>0.42194090000000001</v>
      </c>
      <c r="AQ908" s="39">
        <v>0.14064699999999999</v>
      </c>
      <c r="AR908" s="40"/>
      <c r="AS908" s="40"/>
    </row>
    <row r="909" spans="2:45" ht="15" hidden="1" customHeight="1" x14ac:dyDescent="0.25">
      <c r="B909" s="35">
        <v>903</v>
      </c>
      <c r="C909" s="36" t="s">
        <v>31</v>
      </c>
      <c r="D909" s="36" t="s">
        <v>272</v>
      </c>
      <c r="E909" s="36" t="s">
        <v>303</v>
      </c>
      <c r="F909" s="36" t="s">
        <v>304</v>
      </c>
      <c r="G909" s="37" t="s">
        <v>26</v>
      </c>
      <c r="H909" s="38">
        <v>3307</v>
      </c>
      <c r="I909" s="38">
        <v>113</v>
      </c>
      <c r="J909" s="38">
        <v>1041</v>
      </c>
      <c r="K909" s="38">
        <v>113</v>
      </c>
      <c r="L909" s="38">
        <v>511</v>
      </c>
      <c r="M909" s="38">
        <v>664</v>
      </c>
      <c r="N909" s="38">
        <v>690</v>
      </c>
      <c r="O909" s="38">
        <v>175</v>
      </c>
      <c r="P909" s="38"/>
      <c r="Q909" s="38"/>
      <c r="R909" s="38">
        <v>3454</v>
      </c>
      <c r="S909" s="38">
        <v>719</v>
      </c>
      <c r="T909" s="38">
        <v>1232</v>
      </c>
      <c r="U909" s="38">
        <v>63</v>
      </c>
      <c r="V909" s="38">
        <v>69</v>
      </c>
      <c r="W909" s="38">
        <v>851</v>
      </c>
      <c r="X909" s="38">
        <v>423</v>
      </c>
      <c r="Y909" s="38">
        <v>97</v>
      </c>
      <c r="Z909" s="38"/>
      <c r="AA909" s="38"/>
      <c r="AB909" s="39">
        <v>3.4169942999999998</v>
      </c>
      <c r="AC909" s="39">
        <v>31.478681600000002</v>
      </c>
      <c r="AD909" s="39">
        <v>3.4169942999999998</v>
      </c>
      <c r="AE909" s="39">
        <v>15.452071399999999</v>
      </c>
      <c r="AF909" s="39">
        <v>20.078621099999999</v>
      </c>
      <c r="AG909" s="39">
        <v>20.864832199999999</v>
      </c>
      <c r="AH909" s="39">
        <v>5.2918053</v>
      </c>
      <c r="AI909" s="39"/>
      <c r="AJ909" s="39"/>
      <c r="AK909" s="39">
        <v>20.816444700000002</v>
      </c>
      <c r="AL909" s="39">
        <v>35.668789799999999</v>
      </c>
      <c r="AM909" s="39">
        <v>1.8239722</v>
      </c>
      <c r="AN909" s="39">
        <v>1.9976837999999999</v>
      </c>
      <c r="AO909" s="39">
        <v>24.6381008</v>
      </c>
      <c r="AP909" s="39">
        <v>12.2466705</v>
      </c>
      <c r="AQ909" s="39">
        <v>2.8083382000000001</v>
      </c>
      <c r="AR909" s="40"/>
      <c r="AS909" s="40"/>
    </row>
    <row r="910" spans="2:45" ht="15" customHeight="1" x14ac:dyDescent="0.25">
      <c r="B910" s="41">
        <v>904</v>
      </c>
      <c r="C910" s="42" t="s">
        <v>31</v>
      </c>
      <c r="D910" s="51" t="s">
        <v>272</v>
      </c>
      <c r="E910" s="51" t="s">
        <v>303</v>
      </c>
      <c r="F910" s="51" t="s">
        <v>305</v>
      </c>
      <c r="G910" s="52" t="s">
        <v>305</v>
      </c>
      <c r="H910" s="43">
        <v>372</v>
      </c>
      <c r="I910" s="43">
        <v>13</v>
      </c>
      <c r="J910" s="43">
        <v>5</v>
      </c>
      <c r="K910" s="43">
        <v>67</v>
      </c>
      <c r="L910" s="43">
        <v>24</v>
      </c>
      <c r="M910" s="43">
        <v>140</v>
      </c>
      <c r="N910" s="43">
        <v>116</v>
      </c>
      <c r="O910" s="43">
        <v>7</v>
      </c>
      <c r="P910" s="44">
        <f>K910+L910+M910+N910+O910</f>
        <v>354</v>
      </c>
      <c r="Q910" s="44">
        <f>I910+J910</f>
        <v>18</v>
      </c>
      <c r="R910" s="43">
        <v>657</v>
      </c>
      <c r="S910" s="43">
        <v>143</v>
      </c>
      <c r="T910" s="43">
        <v>21</v>
      </c>
      <c r="U910" s="43">
        <v>40</v>
      </c>
      <c r="V910" s="43">
        <v>2</v>
      </c>
      <c r="W910" s="43">
        <v>317</v>
      </c>
      <c r="X910" s="43">
        <v>112</v>
      </c>
      <c r="Y910" s="43">
        <v>22</v>
      </c>
      <c r="Z910" s="45">
        <f>U910+V910+W910+X910+Y910</f>
        <v>493</v>
      </c>
      <c r="AA910" s="45">
        <f>S910+T910</f>
        <v>164</v>
      </c>
      <c r="AB910" s="46">
        <v>3.4946237</v>
      </c>
      <c r="AC910" s="46">
        <v>1.3440859999999999</v>
      </c>
      <c r="AD910" s="46">
        <v>18.010752700000001</v>
      </c>
      <c r="AE910" s="46">
        <v>6.4516128999999998</v>
      </c>
      <c r="AF910" s="46">
        <v>37.6344086</v>
      </c>
      <c r="AG910" s="46">
        <v>31.1827957</v>
      </c>
      <c r="AH910" s="46">
        <v>1.8817204000000001</v>
      </c>
      <c r="AI910" s="47">
        <f>AB910+AC910</f>
        <v>4.8387096999999999</v>
      </c>
      <c r="AJ910" s="47">
        <f>AD910+AE910+AF910+AG910+AH910</f>
        <v>95.161290300000005</v>
      </c>
      <c r="AK910" s="46">
        <v>21.765601199999999</v>
      </c>
      <c r="AL910" s="46">
        <v>3.1963469999999998</v>
      </c>
      <c r="AM910" s="46">
        <v>6.0882801000000004</v>
      </c>
      <c r="AN910" s="46">
        <v>0.30441400000000002</v>
      </c>
      <c r="AO910" s="46">
        <v>48.249619500000001</v>
      </c>
      <c r="AP910" s="46">
        <v>17.0471842</v>
      </c>
      <c r="AQ910" s="46">
        <v>3.348554</v>
      </c>
      <c r="AR910" s="48">
        <f>AK910+AL910</f>
        <v>24.961948199999998</v>
      </c>
      <c r="AS910" s="48">
        <f>AM910+AN910+AO910+AP910+AQ910</f>
        <v>75.038051800000005</v>
      </c>
    </row>
    <row r="911" spans="2:45" ht="15" hidden="1" customHeight="1" x14ac:dyDescent="0.25">
      <c r="B911" s="35">
        <v>905</v>
      </c>
      <c r="C911" s="36" t="s">
        <v>31</v>
      </c>
      <c r="D911" s="36" t="s">
        <v>272</v>
      </c>
      <c r="E911" s="36" t="s">
        <v>303</v>
      </c>
      <c r="F911" s="36" t="s">
        <v>305</v>
      </c>
      <c r="G911" s="37" t="s">
        <v>25</v>
      </c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40"/>
      <c r="AS911" s="40"/>
    </row>
    <row r="912" spans="2:45" ht="15" hidden="1" customHeight="1" x14ac:dyDescent="0.25">
      <c r="B912" s="35">
        <v>906</v>
      </c>
      <c r="C912" s="36" t="s">
        <v>31</v>
      </c>
      <c r="D912" s="36" t="s">
        <v>272</v>
      </c>
      <c r="E912" s="36" t="s">
        <v>303</v>
      </c>
      <c r="F912" s="36" t="s">
        <v>305</v>
      </c>
      <c r="G912" s="37" t="s">
        <v>26</v>
      </c>
      <c r="H912" s="38">
        <v>372</v>
      </c>
      <c r="I912" s="38">
        <v>13</v>
      </c>
      <c r="J912" s="38">
        <v>5</v>
      </c>
      <c r="K912" s="38">
        <v>67</v>
      </c>
      <c r="L912" s="38">
        <v>24</v>
      </c>
      <c r="M912" s="38">
        <v>140</v>
      </c>
      <c r="N912" s="38">
        <v>116</v>
      </c>
      <c r="O912" s="38">
        <v>7</v>
      </c>
      <c r="P912" s="38"/>
      <c r="Q912" s="38"/>
      <c r="R912" s="38">
        <v>657</v>
      </c>
      <c r="S912" s="38">
        <v>143</v>
      </c>
      <c r="T912" s="38">
        <v>21</v>
      </c>
      <c r="U912" s="38">
        <v>40</v>
      </c>
      <c r="V912" s="38">
        <v>2</v>
      </c>
      <c r="W912" s="38">
        <v>317</v>
      </c>
      <c r="X912" s="38">
        <v>112</v>
      </c>
      <c r="Y912" s="38">
        <v>22</v>
      </c>
      <c r="Z912" s="38"/>
      <c r="AA912" s="38"/>
      <c r="AB912" s="39">
        <v>3.4946237</v>
      </c>
      <c r="AC912" s="39">
        <v>1.3440859999999999</v>
      </c>
      <c r="AD912" s="39">
        <v>18.010752700000001</v>
      </c>
      <c r="AE912" s="39">
        <v>6.4516128999999998</v>
      </c>
      <c r="AF912" s="39">
        <v>37.6344086</v>
      </c>
      <c r="AG912" s="39">
        <v>31.1827957</v>
      </c>
      <c r="AH912" s="39">
        <v>1.8817204000000001</v>
      </c>
      <c r="AI912" s="39"/>
      <c r="AJ912" s="39"/>
      <c r="AK912" s="39">
        <v>21.765601199999999</v>
      </c>
      <c r="AL912" s="39">
        <v>3.1963469999999998</v>
      </c>
      <c r="AM912" s="39">
        <v>6.0882801000000004</v>
      </c>
      <c r="AN912" s="39">
        <v>0.30441400000000002</v>
      </c>
      <c r="AO912" s="39">
        <v>48.249619500000001</v>
      </c>
      <c r="AP912" s="39">
        <v>17.0471842</v>
      </c>
      <c r="AQ912" s="39">
        <v>3.348554</v>
      </c>
      <c r="AR912" s="40"/>
      <c r="AS912" s="40"/>
    </row>
    <row r="913" spans="2:45" ht="15" hidden="1" customHeight="1" x14ac:dyDescent="0.25">
      <c r="B913" s="30">
        <v>907</v>
      </c>
      <c r="C913" s="31" t="s">
        <v>29</v>
      </c>
      <c r="D913" s="50" t="s">
        <v>272</v>
      </c>
      <c r="E913" s="50" t="s">
        <v>306</v>
      </c>
      <c r="F913" s="50"/>
      <c r="G913" s="31" t="s">
        <v>306</v>
      </c>
      <c r="H913" s="32">
        <v>1944</v>
      </c>
      <c r="I913" s="32">
        <v>83</v>
      </c>
      <c r="J913" s="32">
        <v>63</v>
      </c>
      <c r="K913" s="32">
        <v>450</v>
      </c>
      <c r="L913" s="32">
        <v>471</v>
      </c>
      <c r="M913" s="32">
        <v>416</v>
      </c>
      <c r="N913" s="32">
        <v>359</v>
      </c>
      <c r="O913" s="32">
        <v>102</v>
      </c>
      <c r="P913" s="32"/>
      <c r="Q913" s="32"/>
      <c r="R913" s="32">
        <v>2125</v>
      </c>
      <c r="S913" s="32">
        <v>246</v>
      </c>
      <c r="T913" s="32">
        <v>221</v>
      </c>
      <c r="U913" s="32">
        <v>77</v>
      </c>
      <c r="V913" s="32">
        <v>46</v>
      </c>
      <c r="W913" s="32">
        <v>967</v>
      </c>
      <c r="X913" s="32">
        <v>490</v>
      </c>
      <c r="Y913" s="32">
        <v>78</v>
      </c>
      <c r="Z913" s="32"/>
      <c r="AA913" s="32"/>
      <c r="AB913" s="33">
        <v>4.2695473000000002</v>
      </c>
      <c r="AC913" s="33">
        <v>3.2407406999999999</v>
      </c>
      <c r="AD913" s="33">
        <v>23.1481481</v>
      </c>
      <c r="AE913" s="33">
        <v>24.2283951</v>
      </c>
      <c r="AF913" s="33">
        <v>21.399177000000002</v>
      </c>
      <c r="AG913" s="33">
        <v>18.4670782</v>
      </c>
      <c r="AH913" s="33">
        <v>5.2469136000000001</v>
      </c>
      <c r="AI913" s="33"/>
      <c r="AJ913" s="33"/>
      <c r="AK913" s="33">
        <v>11.5764706</v>
      </c>
      <c r="AL913" s="33">
        <v>10.4</v>
      </c>
      <c r="AM913" s="33">
        <v>3.6235293999999998</v>
      </c>
      <c r="AN913" s="33">
        <v>2.1647059</v>
      </c>
      <c r="AO913" s="33">
        <v>45.505882399999997</v>
      </c>
      <c r="AP913" s="33">
        <v>23.058823499999999</v>
      </c>
      <c r="AQ913" s="33">
        <v>3.6705882000000001</v>
      </c>
      <c r="AR913" s="34"/>
      <c r="AS913" s="34"/>
    </row>
    <row r="914" spans="2:45" ht="15" hidden="1" customHeight="1" x14ac:dyDescent="0.25">
      <c r="B914" s="35">
        <v>908</v>
      </c>
      <c r="C914" s="36" t="s">
        <v>29</v>
      </c>
      <c r="D914" s="36" t="s">
        <v>272</v>
      </c>
      <c r="E914" s="36" t="s">
        <v>306</v>
      </c>
      <c r="F914" s="36"/>
      <c r="G914" s="37" t="s">
        <v>25</v>
      </c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40"/>
      <c r="AS914" s="40"/>
    </row>
    <row r="915" spans="2:45" ht="15" hidden="1" customHeight="1" x14ac:dyDescent="0.25">
      <c r="B915" s="35">
        <v>909</v>
      </c>
      <c r="C915" s="36" t="s">
        <v>29</v>
      </c>
      <c r="D915" s="36" t="s">
        <v>272</v>
      </c>
      <c r="E915" s="36" t="s">
        <v>306</v>
      </c>
      <c r="F915" s="36"/>
      <c r="G915" s="37" t="s">
        <v>26</v>
      </c>
      <c r="H915" s="38">
        <v>1944</v>
      </c>
      <c r="I915" s="38">
        <v>83</v>
      </c>
      <c r="J915" s="38">
        <v>63</v>
      </c>
      <c r="K915" s="38">
        <v>450</v>
      </c>
      <c r="L915" s="38">
        <v>471</v>
      </c>
      <c r="M915" s="38">
        <v>416</v>
      </c>
      <c r="N915" s="38">
        <v>359</v>
      </c>
      <c r="O915" s="38">
        <v>102</v>
      </c>
      <c r="P915" s="38"/>
      <c r="Q915" s="38"/>
      <c r="R915" s="38">
        <v>2125</v>
      </c>
      <c r="S915" s="38">
        <v>246</v>
      </c>
      <c r="T915" s="38">
        <v>221</v>
      </c>
      <c r="U915" s="38">
        <v>77</v>
      </c>
      <c r="V915" s="38">
        <v>46</v>
      </c>
      <c r="W915" s="38">
        <v>967</v>
      </c>
      <c r="X915" s="38">
        <v>490</v>
      </c>
      <c r="Y915" s="38">
        <v>78</v>
      </c>
      <c r="Z915" s="38"/>
      <c r="AA915" s="38"/>
      <c r="AB915" s="39">
        <v>4.2695473000000002</v>
      </c>
      <c r="AC915" s="39">
        <v>3.2407406999999999</v>
      </c>
      <c r="AD915" s="39">
        <v>23.1481481</v>
      </c>
      <c r="AE915" s="39">
        <v>24.2283951</v>
      </c>
      <c r="AF915" s="39">
        <v>21.399177000000002</v>
      </c>
      <c r="AG915" s="39">
        <v>18.4670782</v>
      </c>
      <c r="AH915" s="39">
        <v>5.2469136000000001</v>
      </c>
      <c r="AI915" s="39"/>
      <c r="AJ915" s="39"/>
      <c r="AK915" s="39">
        <v>11.5764706</v>
      </c>
      <c r="AL915" s="39">
        <v>10.4</v>
      </c>
      <c r="AM915" s="39">
        <v>3.6235293999999998</v>
      </c>
      <c r="AN915" s="39">
        <v>2.1647059</v>
      </c>
      <c r="AO915" s="39">
        <v>45.505882399999997</v>
      </c>
      <c r="AP915" s="39">
        <v>23.058823499999999</v>
      </c>
      <c r="AQ915" s="39">
        <v>3.6705882000000001</v>
      </c>
      <c r="AR915" s="40"/>
      <c r="AS915" s="40"/>
    </row>
    <row r="916" spans="2:45" ht="15" customHeight="1" x14ac:dyDescent="0.25">
      <c r="B916" s="41">
        <v>910</v>
      </c>
      <c r="C916" s="42" t="s">
        <v>31</v>
      </c>
      <c r="D916" s="51" t="s">
        <v>272</v>
      </c>
      <c r="E916" s="51" t="s">
        <v>306</v>
      </c>
      <c r="F916" s="51" t="s">
        <v>307</v>
      </c>
      <c r="G916" s="52" t="s">
        <v>307</v>
      </c>
      <c r="H916" s="43">
        <v>871</v>
      </c>
      <c r="I916" s="43">
        <v>31</v>
      </c>
      <c r="J916" s="43">
        <v>56</v>
      </c>
      <c r="K916" s="43">
        <v>165</v>
      </c>
      <c r="L916" s="43">
        <v>218</v>
      </c>
      <c r="M916" s="43">
        <v>134</v>
      </c>
      <c r="N916" s="43">
        <v>215</v>
      </c>
      <c r="O916" s="43">
        <v>52</v>
      </c>
      <c r="P916" s="44">
        <f>K916+L916+M916+N916+O916</f>
        <v>784</v>
      </c>
      <c r="Q916" s="44">
        <f>I916+J916</f>
        <v>87</v>
      </c>
      <c r="R916" s="43">
        <v>1111</v>
      </c>
      <c r="S916" s="43">
        <v>66</v>
      </c>
      <c r="T916" s="43">
        <v>160</v>
      </c>
      <c r="U916" s="43">
        <v>33</v>
      </c>
      <c r="V916" s="43">
        <v>33</v>
      </c>
      <c r="W916" s="43">
        <v>448</v>
      </c>
      <c r="X916" s="43">
        <v>307</v>
      </c>
      <c r="Y916" s="43">
        <v>64</v>
      </c>
      <c r="Z916" s="45">
        <f>U916+V916+W916+X916+Y916</f>
        <v>885</v>
      </c>
      <c r="AA916" s="45">
        <f>S916+T916</f>
        <v>226</v>
      </c>
      <c r="AB916" s="46">
        <v>3.5591273999999999</v>
      </c>
      <c r="AC916" s="46">
        <v>6.4293915000000004</v>
      </c>
      <c r="AD916" s="46">
        <v>18.943742799999999</v>
      </c>
      <c r="AE916" s="46">
        <v>25.028702599999999</v>
      </c>
      <c r="AF916" s="46">
        <v>15.384615399999999</v>
      </c>
      <c r="AG916" s="46">
        <v>24.684270999999999</v>
      </c>
      <c r="AH916" s="46">
        <v>5.9701493000000001</v>
      </c>
      <c r="AI916" s="47">
        <f>AB916+AC916</f>
        <v>9.9885189000000008</v>
      </c>
      <c r="AJ916" s="47">
        <f>AD916+AE916+AF916+AG916+AH916</f>
        <v>90.011481099999997</v>
      </c>
      <c r="AK916" s="46">
        <v>5.9405941000000002</v>
      </c>
      <c r="AL916" s="46">
        <v>14.4014401</v>
      </c>
      <c r="AM916" s="46">
        <v>2.970297</v>
      </c>
      <c r="AN916" s="46">
        <v>2.970297</v>
      </c>
      <c r="AO916" s="46">
        <v>40.3240324</v>
      </c>
      <c r="AP916" s="46">
        <v>27.632763300000001</v>
      </c>
      <c r="AQ916" s="46">
        <v>5.7605760999999998</v>
      </c>
      <c r="AR916" s="48">
        <f>AK916+AL916</f>
        <v>20.342034200000001</v>
      </c>
      <c r="AS916" s="48">
        <f>AM916+AN916+AO916+AP916+AQ916</f>
        <v>79.657965799999985</v>
      </c>
    </row>
    <row r="917" spans="2:45" ht="15" hidden="1" customHeight="1" x14ac:dyDescent="0.25">
      <c r="B917" s="35">
        <v>911</v>
      </c>
      <c r="C917" s="36" t="s">
        <v>31</v>
      </c>
      <c r="D917" s="36" t="s">
        <v>272</v>
      </c>
      <c r="E917" s="36" t="s">
        <v>306</v>
      </c>
      <c r="F917" s="36" t="s">
        <v>307</v>
      </c>
      <c r="G917" s="37" t="s">
        <v>25</v>
      </c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40"/>
      <c r="AS917" s="40"/>
    </row>
    <row r="918" spans="2:45" ht="15" hidden="1" customHeight="1" x14ac:dyDescent="0.25">
      <c r="B918" s="35">
        <v>912</v>
      </c>
      <c r="C918" s="36" t="s">
        <v>31</v>
      </c>
      <c r="D918" s="36" t="s">
        <v>272</v>
      </c>
      <c r="E918" s="36" t="s">
        <v>306</v>
      </c>
      <c r="F918" s="36" t="s">
        <v>307</v>
      </c>
      <c r="G918" s="37" t="s">
        <v>26</v>
      </c>
      <c r="H918" s="38">
        <v>871</v>
      </c>
      <c r="I918" s="38">
        <v>31</v>
      </c>
      <c r="J918" s="38">
        <v>56</v>
      </c>
      <c r="K918" s="38">
        <v>165</v>
      </c>
      <c r="L918" s="38">
        <v>218</v>
      </c>
      <c r="M918" s="38">
        <v>134</v>
      </c>
      <c r="N918" s="38">
        <v>215</v>
      </c>
      <c r="O918" s="38">
        <v>52</v>
      </c>
      <c r="P918" s="38"/>
      <c r="Q918" s="38"/>
      <c r="R918" s="38">
        <v>1111</v>
      </c>
      <c r="S918" s="38">
        <v>66</v>
      </c>
      <c r="T918" s="38">
        <v>160</v>
      </c>
      <c r="U918" s="38">
        <v>33</v>
      </c>
      <c r="V918" s="38">
        <v>33</v>
      </c>
      <c r="W918" s="38">
        <v>448</v>
      </c>
      <c r="X918" s="38">
        <v>307</v>
      </c>
      <c r="Y918" s="38">
        <v>64</v>
      </c>
      <c r="Z918" s="38"/>
      <c r="AA918" s="38"/>
      <c r="AB918" s="39">
        <v>3.5591273999999999</v>
      </c>
      <c r="AC918" s="39">
        <v>6.4293915000000004</v>
      </c>
      <c r="AD918" s="39">
        <v>18.943742799999999</v>
      </c>
      <c r="AE918" s="39">
        <v>25.028702599999999</v>
      </c>
      <c r="AF918" s="39">
        <v>15.384615399999999</v>
      </c>
      <c r="AG918" s="39">
        <v>24.684270999999999</v>
      </c>
      <c r="AH918" s="39">
        <v>5.9701493000000001</v>
      </c>
      <c r="AI918" s="39"/>
      <c r="AJ918" s="39"/>
      <c r="AK918" s="39">
        <v>5.9405941000000002</v>
      </c>
      <c r="AL918" s="39">
        <v>14.4014401</v>
      </c>
      <c r="AM918" s="39">
        <v>2.970297</v>
      </c>
      <c r="AN918" s="39">
        <v>2.970297</v>
      </c>
      <c r="AO918" s="39">
        <v>40.3240324</v>
      </c>
      <c r="AP918" s="39">
        <v>27.632763300000001</v>
      </c>
      <c r="AQ918" s="39">
        <v>5.7605760999999998</v>
      </c>
      <c r="AR918" s="40"/>
      <c r="AS918" s="40"/>
    </row>
    <row r="919" spans="2:45" ht="15" customHeight="1" x14ac:dyDescent="0.25">
      <c r="B919" s="41">
        <v>913</v>
      </c>
      <c r="C919" s="42" t="s">
        <v>31</v>
      </c>
      <c r="D919" s="51" t="s">
        <v>272</v>
      </c>
      <c r="E919" s="51" t="s">
        <v>306</v>
      </c>
      <c r="F919" s="51" t="s">
        <v>308</v>
      </c>
      <c r="G919" s="52" t="s">
        <v>308</v>
      </c>
      <c r="H919" s="43">
        <v>358</v>
      </c>
      <c r="I919" s="43">
        <v>10</v>
      </c>
      <c r="J919" s="43">
        <v>1</v>
      </c>
      <c r="K919" s="43">
        <v>20</v>
      </c>
      <c r="L919" s="43">
        <v>75</v>
      </c>
      <c r="M919" s="43">
        <v>146</v>
      </c>
      <c r="N919" s="43">
        <v>79</v>
      </c>
      <c r="O919" s="43">
        <v>27</v>
      </c>
      <c r="P919" s="44">
        <f>K919+L919+M919+N919+O919</f>
        <v>347</v>
      </c>
      <c r="Q919" s="44">
        <f>I919+J919</f>
        <v>11</v>
      </c>
      <c r="R919" s="43">
        <v>324</v>
      </c>
      <c r="S919" s="43">
        <v>24</v>
      </c>
      <c r="T919" s="43">
        <v>60</v>
      </c>
      <c r="U919" s="43">
        <v>34</v>
      </c>
      <c r="V919" s="43">
        <v>2</v>
      </c>
      <c r="W919" s="43">
        <v>124</v>
      </c>
      <c r="X919" s="43">
        <v>70</v>
      </c>
      <c r="Y919" s="43">
        <v>10</v>
      </c>
      <c r="Z919" s="45">
        <f>U919+V919+W919+X919+Y919</f>
        <v>240</v>
      </c>
      <c r="AA919" s="45">
        <f>S919+T919</f>
        <v>84</v>
      </c>
      <c r="AB919" s="46">
        <v>2.7932961000000001</v>
      </c>
      <c r="AC919" s="46">
        <v>0.27932960000000001</v>
      </c>
      <c r="AD919" s="46">
        <v>5.5865922000000001</v>
      </c>
      <c r="AE919" s="46">
        <v>20.9497207</v>
      </c>
      <c r="AF919" s="46">
        <v>40.782122899999997</v>
      </c>
      <c r="AG919" s="46">
        <v>22.067039099999999</v>
      </c>
      <c r="AH919" s="46">
        <v>7.5418994000000001</v>
      </c>
      <c r="AI919" s="47">
        <f>AB919+AC919</f>
        <v>3.0726257000000001</v>
      </c>
      <c r="AJ919" s="47">
        <f>AD919+AE919+AF919+AG919+AH919</f>
        <v>96.927374300000011</v>
      </c>
      <c r="AK919" s="46">
        <v>7.4074074000000003</v>
      </c>
      <c r="AL919" s="46">
        <v>18.518518499999999</v>
      </c>
      <c r="AM919" s="46">
        <v>10.4938272</v>
      </c>
      <c r="AN919" s="46">
        <v>0.61728400000000005</v>
      </c>
      <c r="AO919" s="46">
        <v>38.2716049</v>
      </c>
      <c r="AP919" s="46">
        <v>21.604938300000001</v>
      </c>
      <c r="AQ919" s="46">
        <v>3.0864197999999998</v>
      </c>
      <c r="AR919" s="48">
        <f>AK919+AL919</f>
        <v>25.925925899999999</v>
      </c>
      <c r="AS919" s="48">
        <f>AM919+AN919+AO919+AP919+AQ919</f>
        <v>74.074074199999998</v>
      </c>
    </row>
    <row r="920" spans="2:45" ht="15" hidden="1" customHeight="1" x14ac:dyDescent="0.25">
      <c r="B920" s="35">
        <v>914</v>
      </c>
      <c r="C920" s="36" t="s">
        <v>31</v>
      </c>
      <c r="D920" s="36" t="s">
        <v>272</v>
      </c>
      <c r="E920" s="36" t="s">
        <v>306</v>
      </c>
      <c r="F920" s="36" t="s">
        <v>308</v>
      </c>
      <c r="G920" s="37" t="s">
        <v>25</v>
      </c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40"/>
      <c r="AS920" s="40"/>
    </row>
    <row r="921" spans="2:45" ht="15" hidden="1" customHeight="1" x14ac:dyDescent="0.25">
      <c r="B921" s="35">
        <v>915</v>
      </c>
      <c r="C921" s="36" t="s">
        <v>31</v>
      </c>
      <c r="D921" s="36" t="s">
        <v>272</v>
      </c>
      <c r="E921" s="36" t="s">
        <v>306</v>
      </c>
      <c r="F921" s="36" t="s">
        <v>308</v>
      </c>
      <c r="G921" s="37" t="s">
        <v>26</v>
      </c>
      <c r="H921" s="38">
        <v>358</v>
      </c>
      <c r="I921" s="38">
        <v>10</v>
      </c>
      <c r="J921" s="38">
        <v>1</v>
      </c>
      <c r="K921" s="38">
        <v>20</v>
      </c>
      <c r="L921" s="38">
        <v>75</v>
      </c>
      <c r="M921" s="38">
        <v>146</v>
      </c>
      <c r="N921" s="38">
        <v>79</v>
      </c>
      <c r="O921" s="38">
        <v>27</v>
      </c>
      <c r="P921" s="38"/>
      <c r="Q921" s="38"/>
      <c r="R921" s="38">
        <v>324</v>
      </c>
      <c r="S921" s="38">
        <v>24</v>
      </c>
      <c r="T921" s="38">
        <v>60</v>
      </c>
      <c r="U921" s="38">
        <v>34</v>
      </c>
      <c r="V921" s="38">
        <v>2</v>
      </c>
      <c r="W921" s="38">
        <v>124</v>
      </c>
      <c r="X921" s="38">
        <v>70</v>
      </c>
      <c r="Y921" s="38">
        <v>10</v>
      </c>
      <c r="Z921" s="38"/>
      <c r="AA921" s="38"/>
      <c r="AB921" s="39">
        <v>2.7932961000000001</v>
      </c>
      <c r="AC921" s="39">
        <v>0.27932960000000001</v>
      </c>
      <c r="AD921" s="39">
        <v>5.5865922000000001</v>
      </c>
      <c r="AE921" s="39">
        <v>20.9497207</v>
      </c>
      <c r="AF921" s="39">
        <v>40.782122899999997</v>
      </c>
      <c r="AG921" s="39">
        <v>22.067039099999999</v>
      </c>
      <c r="AH921" s="39">
        <v>7.5418994000000001</v>
      </c>
      <c r="AI921" s="39"/>
      <c r="AJ921" s="39"/>
      <c r="AK921" s="39">
        <v>7.4074074000000003</v>
      </c>
      <c r="AL921" s="39">
        <v>18.518518499999999</v>
      </c>
      <c r="AM921" s="39">
        <v>10.4938272</v>
      </c>
      <c r="AN921" s="39">
        <v>0.61728400000000005</v>
      </c>
      <c r="AO921" s="39">
        <v>38.2716049</v>
      </c>
      <c r="AP921" s="39">
        <v>21.604938300000001</v>
      </c>
      <c r="AQ921" s="39">
        <v>3.0864197999999998</v>
      </c>
      <c r="AR921" s="40"/>
      <c r="AS921" s="40"/>
    </row>
    <row r="922" spans="2:45" ht="15" customHeight="1" x14ac:dyDescent="0.25">
      <c r="B922" s="41">
        <v>916</v>
      </c>
      <c r="C922" s="42" t="s">
        <v>31</v>
      </c>
      <c r="D922" s="51" t="s">
        <v>272</v>
      </c>
      <c r="E922" s="51" t="s">
        <v>306</v>
      </c>
      <c r="F922" s="51" t="s">
        <v>309</v>
      </c>
      <c r="G922" s="52" t="s">
        <v>309</v>
      </c>
      <c r="H922" s="43">
        <v>715</v>
      </c>
      <c r="I922" s="43">
        <v>42</v>
      </c>
      <c r="J922" s="43">
        <v>6</v>
      </c>
      <c r="K922" s="43">
        <v>265</v>
      </c>
      <c r="L922" s="43">
        <v>178</v>
      </c>
      <c r="M922" s="43">
        <v>136</v>
      </c>
      <c r="N922" s="43">
        <v>65</v>
      </c>
      <c r="O922" s="43">
        <v>23</v>
      </c>
      <c r="P922" s="44">
        <f>K922+L922+M922+N922+O922</f>
        <v>667</v>
      </c>
      <c r="Q922" s="44">
        <f>I922+J922</f>
        <v>48</v>
      </c>
      <c r="R922" s="43">
        <v>690</v>
      </c>
      <c r="S922" s="43">
        <v>156</v>
      </c>
      <c r="T922" s="43">
        <v>1</v>
      </c>
      <c r="U922" s="43">
        <v>10</v>
      </c>
      <c r="V922" s="43">
        <v>11</v>
      </c>
      <c r="W922" s="43">
        <v>395</v>
      </c>
      <c r="X922" s="43">
        <v>113</v>
      </c>
      <c r="Y922" s="43">
        <v>4</v>
      </c>
      <c r="Z922" s="45">
        <f>U922+V922+W922+X922+Y922</f>
        <v>533</v>
      </c>
      <c r="AA922" s="45">
        <f>S922+T922</f>
        <v>157</v>
      </c>
      <c r="AB922" s="46">
        <v>5.8741259000000001</v>
      </c>
      <c r="AC922" s="46">
        <v>0.83916080000000004</v>
      </c>
      <c r="AD922" s="46">
        <v>37.062937099999999</v>
      </c>
      <c r="AE922" s="46">
        <v>24.8951049</v>
      </c>
      <c r="AF922" s="46">
        <v>19.020979000000001</v>
      </c>
      <c r="AG922" s="46">
        <v>9.0909090999999993</v>
      </c>
      <c r="AH922" s="46">
        <v>3.2167832000000001</v>
      </c>
      <c r="AI922" s="47">
        <f>AB922+AC922</f>
        <v>6.7132867000000003</v>
      </c>
      <c r="AJ922" s="47">
        <f>AD922+AE922+AF922+AG922+AH922</f>
        <v>93.286713300000002</v>
      </c>
      <c r="AK922" s="46">
        <v>22.608695699999998</v>
      </c>
      <c r="AL922" s="46">
        <v>0.14492749999999999</v>
      </c>
      <c r="AM922" s="46">
        <v>1.4492754000000001</v>
      </c>
      <c r="AN922" s="46">
        <v>1.5942029</v>
      </c>
      <c r="AO922" s="46">
        <v>57.2463768</v>
      </c>
      <c r="AP922" s="46">
        <v>16.3768116</v>
      </c>
      <c r="AQ922" s="46">
        <v>0.57971010000000001</v>
      </c>
      <c r="AR922" s="48">
        <f>AK922+AL922</f>
        <v>22.7536232</v>
      </c>
      <c r="AS922" s="48">
        <f>AM922+AN922+AO922+AP922+AQ922</f>
        <v>77.246376799999993</v>
      </c>
    </row>
    <row r="923" spans="2:45" ht="15" hidden="1" customHeight="1" x14ac:dyDescent="0.25">
      <c r="B923" s="35">
        <v>917</v>
      </c>
      <c r="C923" s="36" t="s">
        <v>31</v>
      </c>
      <c r="D923" s="36" t="s">
        <v>272</v>
      </c>
      <c r="E923" s="36" t="s">
        <v>306</v>
      </c>
      <c r="F923" s="36" t="s">
        <v>309</v>
      </c>
      <c r="G923" s="37" t="s">
        <v>25</v>
      </c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40"/>
      <c r="AS923" s="40"/>
    </row>
    <row r="924" spans="2:45" ht="15" hidden="1" customHeight="1" x14ac:dyDescent="0.25">
      <c r="B924" s="35">
        <v>918</v>
      </c>
      <c r="C924" s="36" t="s">
        <v>31</v>
      </c>
      <c r="D924" s="36" t="s">
        <v>272</v>
      </c>
      <c r="E924" s="36" t="s">
        <v>306</v>
      </c>
      <c r="F924" s="36" t="s">
        <v>309</v>
      </c>
      <c r="G924" s="37" t="s">
        <v>26</v>
      </c>
      <c r="H924" s="38">
        <v>715</v>
      </c>
      <c r="I924" s="38">
        <v>42</v>
      </c>
      <c r="J924" s="38">
        <v>6</v>
      </c>
      <c r="K924" s="38">
        <v>265</v>
      </c>
      <c r="L924" s="38">
        <v>178</v>
      </c>
      <c r="M924" s="38">
        <v>136</v>
      </c>
      <c r="N924" s="38">
        <v>65</v>
      </c>
      <c r="O924" s="38">
        <v>23</v>
      </c>
      <c r="P924" s="38"/>
      <c r="Q924" s="38"/>
      <c r="R924" s="38">
        <v>690</v>
      </c>
      <c r="S924" s="38">
        <v>156</v>
      </c>
      <c r="T924" s="38">
        <v>1</v>
      </c>
      <c r="U924" s="38">
        <v>10</v>
      </c>
      <c r="V924" s="38">
        <v>11</v>
      </c>
      <c r="W924" s="38">
        <v>395</v>
      </c>
      <c r="X924" s="38">
        <v>113</v>
      </c>
      <c r="Y924" s="38">
        <v>4</v>
      </c>
      <c r="Z924" s="38"/>
      <c r="AA924" s="38"/>
      <c r="AB924" s="39">
        <v>5.8741259000000001</v>
      </c>
      <c r="AC924" s="39">
        <v>0.83916080000000004</v>
      </c>
      <c r="AD924" s="39">
        <v>37.062937099999999</v>
      </c>
      <c r="AE924" s="39">
        <v>24.8951049</v>
      </c>
      <c r="AF924" s="39">
        <v>19.020979000000001</v>
      </c>
      <c r="AG924" s="39">
        <v>9.0909090999999993</v>
      </c>
      <c r="AH924" s="39">
        <v>3.2167832000000001</v>
      </c>
      <c r="AI924" s="39"/>
      <c r="AJ924" s="39"/>
      <c r="AK924" s="39">
        <v>22.608695699999998</v>
      </c>
      <c r="AL924" s="39">
        <v>0.14492749999999999</v>
      </c>
      <c r="AM924" s="39">
        <v>1.4492754000000001</v>
      </c>
      <c r="AN924" s="39">
        <v>1.5942029</v>
      </c>
      <c r="AO924" s="39">
        <v>57.2463768</v>
      </c>
      <c r="AP924" s="39">
        <v>16.3768116</v>
      </c>
      <c r="AQ924" s="39">
        <v>0.57971010000000001</v>
      </c>
      <c r="AR924" s="40"/>
      <c r="AS924" s="40"/>
    </row>
    <row r="925" spans="2:45" ht="15" hidden="1" customHeight="1" x14ac:dyDescent="0.25">
      <c r="B925" s="30">
        <v>919</v>
      </c>
      <c r="C925" s="31" t="s">
        <v>29</v>
      </c>
      <c r="D925" s="50" t="s">
        <v>272</v>
      </c>
      <c r="E925" s="50" t="s">
        <v>310</v>
      </c>
      <c r="F925" s="50"/>
      <c r="G925" s="31" t="s">
        <v>310</v>
      </c>
      <c r="H925" s="32">
        <v>14472</v>
      </c>
      <c r="I925" s="32">
        <v>194</v>
      </c>
      <c r="J925" s="32">
        <v>1267</v>
      </c>
      <c r="K925" s="32">
        <v>3338</v>
      </c>
      <c r="L925" s="32">
        <v>3310</v>
      </c>
      <c r="M925" s="32">
        <v>5108</v>
      </c>
      <c r="N925" s="32">
        <v>833</v>
      </c>
      <c r="O925" s="32">
        <v>422</v>
      </c>
      <c r="P925" s="32"/>
      <c r="Q925" s="32"/>
      <c r="R925" s="32">
        <v>15097</v>
      </c>
      <c r="S925" s="32">
        <v>560</v>
      </c>
      <c r="T925" s="32">
        <v>2625</v>
      </c>
      <c r="U925" s="32">
        <v>800</v>
      </c>
      <c r="V925" s="32">
        <v>1295</v>
      </c>
      <c r="W925" s="32">
        <v>8597</v>
      </c>
      <c r="X925" s="32">
        <v>1012</v>
      </c>
      <c r="Y925" s="32">
        <v>208</v>
      </c>
      <c r="Z925" s="32"/>
      <c r="AA925" s="32"/>
      <c r="AB925" s="33">
        <v>1.3405195999999999</v>
      </c>
      <c r="AC925" s="33">
        <v>8.7548369000000008</v>
      </c>
      <c r="AD925" s="33">
        <v>23.0652294</v>
      </c>
      <c r="AE925" s="33">
        <v>22.871752300000001</v>
      </c>
      <c r="AF925" s="33">
        <v>35.2957435</v>
      </c>
      <c r="AG925" s="33">
        <v>5.7559424999999997</v>
      </c>
      <c r="AH925" s="33">
        <v>2.9159757000000002</v>
      </c>
      <c r="AI925" s="33"/>
      <c r="AJ925" s="33"/>
      <c r="AK925" s="33">
        <v>3.7093462000000001</v>
      </c>
      <c r="AL925" s="33">
        <v>17.387560400000002</v>
      </c>
      <c r="AM925" s="33">
        <v>5.2990659999999998</v>
      </c>
      <c r="AN925" s="33">
        <v>8.5778631999999995</v>
      </c>
      <c r="AO925" s="33">
        <v>56.945088400000003</v>
      </c>
      <c r="AP925" s="33">
        <v>6.7033185</v>
      </c>
      <c r="AQ925" s="33">
        <v>1.3777572</v>
      </c>
      <c r="AR925" s="34"/>
      <c r="AS925" s="34"/>
    </row>
    <row r="926" spans="2:45" ht="15" hidden="1" customHeight="1" x14ac:dyDescent="0.25">
      <c r="B926" s="35">
        <v>920</v>
      </c>
      <c r="C926" s="36" t="s">
        <v>29</v>
      </c>
      <c r="D926" s="36" t="s">
        <v>272</v>
      </c>
      <c r="E926" s="36" t="s">
        <v>310</v>
      </c>
      <c r="F926" s="36"/>
      <c r="G926" s="37" t="s">
        <v>25</v>
      </c>
      <c r="H926" s="38">
        <v>722</v>
      </c>
      <c r="I926" s="38">
        <v>88</v>
      </c>
      <c r="J926" s="38">
        <v>391</v>
      </c>
      <c r="K926" s="38">
        <v>69</v>
      </c>
      <c r="L926" s="38">
        <v>21</v>
      </c>
      <c r="M926" s="38">
        <v>142</v>
      </c>
      <c r="N926" s="38">
        <v>8</v>
      </c>
      <c r="O926" s="38">
        <v>3</v>
      </c>
      <c r="P926" s="38"/>
      <c r="Q926" s="38"/>
      <c r="R926" s="38">
        <v>1230</v>
      </c>
      <c r="S926" s="38">
        <v>101</v>
      </c>
      <c r="T926" s="38">
        <v>966</v>
      </c>
      <c r="U926" s="38">
        <v>4</v>
      </c>
      <c r="V926" s="38">
        <v>5</v>
      </c>
      <c r="W926" s="38">
        <v>132</v>
      </c>
      <c r="X926" s="38">
        <v>2</v>
      </c>
      <c r="Y926" s="38">
        <v>20</v>
      </c>
      <c r="Z926" s="38"/>
      <c r="AA926" s="38"/>
      <c r="AB926" s="39">
        <v>12.1883657</v>
      </c>
      <c r="AC926" s="39">
        <v>54.155124700000002</v>
      </c>
      <c r="AD926" s="39">
        <v>9.5567867</v>
      </c>
      <c r="AE926" s="39">
        <v>2.9085873000000002</v>
      </c>
      <c r="AF926" s="39">
        <v>19.667590000000001</v>
      </c>
      <c r="AG926" s="39">
        <v>1.1080331999999999</v>
      </c>
      <c r="AH926" s="39">
        <v>0.41551250000000001</v>
      </c>
      <c r="AI926" s="39"/>
      <c r="AJ926" s="39"/>
      <c r="AK926" s="39">
        <v>8.2113820999999998</v>
      </c>
      <c r="AL926" s="39">
        <v>78.536585400000007</v>
      </c>
      <c r="AM926" s="39">
        <v>0.32520329999999997</v>
      </c>
      <c r="AN926" s="39">
        <v>0.40650409999999998</v>
      </c>
      <c r="AO926" s="39">
        <v>10.7317073</v>
      </c>
      <c r="AP926" s="39">
        <v>0.16260160000000001</v>
      </c>
      <c r="AQ926" s="39">
        <v>1.6260163000000001</v>
      </c>
      <c r="AR926" s="40"/>
      <c r="AS926" s="40"/>
    </row>
    <row r="927" spans="2:45" ht="15" hidden="1" customHeight="1" x14ac:dyDescent="0.25">
      <c r="B927" s="35">
        <v>921</v>
      </c>
      <c r="C927" s="36" t="s">
        <v>29</v>
      </c>
      <c r="D927" s="36" t="s">
        <v>272</v>
      </c>
      <c r="E927" s="36" t="s">
        <v>310</v>
      </c>
      <c r="F927" s="36"/>
      <c r="G927" s="37" t="s">
        <v>26</v>
      </c>
      <c r="H927" s="38">
        <v>13750</v>
      </c>
      <c r="I927" s="38">
        <v>106</v>
      </c>
      <c r="J927" s="38">
        <v>876</v>
      </c>
      <c r="K927" s="38">
        <v>3269</v>
      </c>
      <c r="L927" s="38">
        <v>3289</v>
      </c>
      <c r="M927" s="38">
        <v>4966</v>
      </c>
      <c r="N927" s="38">
        <v>825</v>
      </c>
      <c r="O927" s="38">
        <v>419</v>
      </c>
      <c r="P927" s="38"/>
      <c r="Q927" s="38"/>
      <c r="R927" s="38">
        <v>13867</v>
      </c>
      <c r="S927" s="38">
        <v>459</v>
      </c>
      <c r="T927" s="38">
        <v>1659</v>
      </c>
      <c r="U927" s="38">
        <v>796</v>
      </c>
      <c r="V927" s="38">
        <v>1290</v>
      </c>
      <c r="W927" s="38">
        <v>8465</v>
      </c>
      <c r="X927" s="38">
        <v>1010</v>
      </c>
      <c r="Y927" s="38">
        <v>188</v>
      </c>
      <c r="Z927" s="38"/>
      <c r="AA927" s="38"/>
      <c r="AB927" s="39">
        <v>0.77090910000000001</v>
      </c>
      <c r="AC927" s="39">
        <v>6.3709091000000004</v>
      </c>
      <c r="AD927" s="39">
        <v>23.774545499999999</v>
      </c>
      <c r="AE927" s="39">
        <v>23.92</v>
      </c>
      <c r="AF927" s="39">
        <v>36.1163636</v>
      </c>
      <c r="AG927" s="39">
        <v>6</v>
      </c>
      <c r="AH927" s="39">
        <v>3.0472727000000002</v>
      </c>
      <c r="AI927" s="39"/>
      <c r="AJ927" s="39"/>
      <c r="AK927" s="39">
        <v>3.3100166</v>
      </c>
      <c r="AL927" s="39">
        <v>11.963654699999999</v>
      </c>
      <c r="AM927" s="39">
        <v>5.7402465999999999</v>
      </c>
      <c r="AN927" s="39">
        <v>9.3026610000000005</v>
      </c>
      <c r="AO927" s="39">
        <v>61.044205699999999</v>
      </c>
      <c r="AP927" s="39">
        <v>7.2834788000000001</v>
      </c>
      <c r="AQ927" s="39">
        <v>1.3557366</v>
      </c>
      <c r="AR927" s="40"/>
      <c r="AS927" s="40"/>
    </row>
    <row r="928" spans="2:45" ht="15" customHeight="1" x14ac:dyDescent="0.25">
      <c r="B928" s="41">
        <v>922</v>
      </c>
      <c r="C928" s="42" t="s">
        <v>31</v>
      </c>
      <c r="D928" s="51" t="s">
        <v>272</v>
      </c>
      <c r="E928" s="51" t="s">
        <v>310</v>
      </c>
      <c r="F928" s="51" t="s">
        <v>311</v>
      </c>
      <c r="G928" s="52" t="s">
        <v>311</v>
      </c>
      <c r="H928" s="43">
        <v>7103</v>
      </c>
      <c r="I928" s="43">
        <v>73</v>
      </c>
      <c r="J928" s="43">
        <v>498</v>
      </c>
      <c r="K928" s="43">
        <v>1467</v>
      </c>
      <c r="L928" s="43">
        <v>1368</v>
      </c>
      <c r="M928" s="43">
        <v>3023</v>
      </c>
      <c r="N928" s="43">
        <v>487</v>
      </c>
      <c r="O928" s="43">
        <v>187</v>
      </c>
      <c r="P928" s="44">
        <f>K928+L928+M928+N928+O928</f>
        <v>6532</v>
      </c>
      <c r="Q928" s="44">
        <f>I928+J928</f>
        <v>571</v>
      </c>
      <c r="R928" s="43">
        <v>6251</v>
      </c>
      <c r="S928" s="43">
        <v>276</v>
      </c>
      <c r="T928" s="43">
        <v>839</v>
      </c>
      <c r="U928" s="43">
        <v>248</v>
      </c>
      <c r="V928" s="43">
        <v>254</v>
      </c>
      <c r="W928" s="43">
        <v>4106</v>
      </c>
      <c r="X928" s="43">
        <v>459</v>
      </c>
      <c r="Y928" s="43">
        <v>69</v>
      </c>
      <c r="Z928" s="45">
        <f>U928+V928+W928+X928+Y928</f>
        <v>5136</v>
      </c>
      <c r="AA928" s="45">
        <f>S928+T928</f>
        <v>1115</v>
      </c>
      <c r="AB928" s="46">
        <v>1.0277347999999999</v>
      </c>
      <c r="AC928" s="46">
        <v>7.0111220999999997</v>
      </c>
      <c r="AD928" s="46">
        <v>20.653245099999999</v>
      </c>
      <c r="AE928" s="46">
        <v>19.259467799999999</v>
      </c>
      <c r="AF928" s="46">
        <v>42.559481900000002</v>
      </c>
      <c r="AG928" s="46">
        <v>6.8562579000000001</v>
      </c>
      <c r="AH928" s="46">
        <v>2.6326904</v>
      </c>
      <c r="AI928" s="47">
        <f>AB928+AC928</f>
        <v>8.038856899999999</v>
      </c>
      <c r="AJ928" s="47">
        <f>AD928+AE928+AF928+AG928+AH928</f>
        <v>91.961143100000015</v>
      </c>
      <c r="AK928" s="46">
        <v>4.4152936</v>
      </c>
      <c r="AL928" s="46">
        <v>13.4218525</v>
      </c>
      <c r="AM928" s="46">
        <v>3.9673652000000001</v>
      </c>
      <c r="AN928" s="46">
        <v>4.0633499000000004</v>
      </c>
      <c r="AO928" s="46">
        <v>65.685490299999998</v>
      </c>
      <c r="AP928" s="46">
        <v>7.3428250999999998</v>
      </c>
      <c r="AQ928" s="46">
        <v>1.1038234</v>
      </c>
      <c r="AR928" s="48">
        <f>AK928+AL928</f>
        <v>17.837146099999998</v>
      </c>
      <c r="AS928" s="48">
        <f>AM928+AN928+AO928+AP928+AQ928</f>
        <v>82.162853899999988</v>
      </c>
    </row>
    <row r="929" spans="2:45" ht="15" hidden="1" customHeight="1" x14ac:dyDescent="0.25">
      <c r="B929" s="35">
        <v>923</v>
      </c>
      <c r="C929" s="36" t="s">
        <v>31</v>
      </c>
      <c r="D929" s="36" t="s">
        <v>272</v>
      </c>
      <c r="E929" s="36" t="s">
        <v>310</v>
      </c>
      <c r="F929" s="36" t="s">
        <v>311</v>
      </c>
      <c r="G929" s="37" t="s">
        <v>25</v>
      </c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40"/>
      <c r="AS929" s="40"/>
    </row>
    <row r="930" spans="2:45" ht="15" hidden="1" customHeight="1" x14ac:dyDescent="0.25">
      <c r="B930" s="35">
        <v>924</v>
      </c>
      <c r="C930" s="36" t="s">
        <v>31</v>
      </c>
      <c r="D930" s="36" t="s">
        <v>272</v>
      </c>
      <c r="E930" s="36" t="s">
        <v>310</v>
      </c>
      <c r="F930" s="36" t="s">
        <v>311</v>
      </c>
      <c r="G930" s="37" t="s">
        <v>26</v>
      </c>
      <c r="H930" s="38">
        <v>7103</v>
      </c>
      <c r="I930" s="38">
        <v>73</v>
      </c>
      <c r="J930" s="38">
        <v>498</v>
      </c>
      <c r="K930" s="38">
        <v>1467</v>
      </c>
      <c r="L930" s="38">
        <v>1368</v>
      </c>
      <c r="M930" s="38">
        <v>3023</v>
      </c>
      <c r="N930" s="38">
        <v>487</v>
      </c>
      <c r="O930" s="38">
        <v>187</v>
      </c>
      <c r="P930" s="38"/>
      <c r="Q930" s="38"/>
      <c r="R930" s="38">
        <v>6251</v>
      </c>
      <c r="S930" s="38">
        <v>276</v>
      </c>
      <c r="T930" s="38">
        <v>839</v>
      </c>
      <c r="U930" s="38">
        <v>248</v>
      </c>
      <c r="V930" s="38">
        <v>254</v>
      </c>
      <c r="W930" s="38">
        <v>4106</v>
      </c>
      <c r="X930" s="38">
        <v>459</v>
      </c>
      <c r="Y930" s="38">
        <v>69</v>
      </c>
      <c r="Z930" s="38"/>
      <c r="AA930" s="38"/>
      <c r="AB930" s="39">
        <v>1.0277347999999999</v>
      </c>
      <c r="AC930" s="39">
        <v>7.0111220999999997</v>
      </c>
      <c r="AD930" s="39">
        <v>20.653245099999999</v>
      </c>
      <c r="AE930" s="39">
        <v>19.259467799999999</v>
      </c>
      <c r="AF930" s="39">
        <v>42.559481900000002</v>
      </c>
      <c r="AG930" s="39">
        <v>6.8562579000000001</v>
      </c>
      <c r="AH930" s="39">
        <v>2.6326904</v>
      </c>
      <c r="AI930" s="39"/>
      <c r="AJ930" s="39"/>
      <c r="AK930" s="39">
        <v>4.4152936</v>
      </c>
      <c r="AL930" s="39">
        <v>13.4218525</v>
      </c>
      <c r="AM930" s="39">
        <v>3.9673652000000001</v>
      </c>
      <c r="AN930" s="39">
        <v>4.0633499000000004</v>
      </c>
      <c r="AO930" s="39">
        <v>65.685490299999998</v>
      </c>
      <c r="AP930" s="39">
        <v>7.3428250999999998</v>
      </c>
      <c r="AQ930" s="39">
        <v>1.1038234</v>
      </c>
      <c r="AR930" s="40"/>
      <c r="AS930" s="40"/>
    </row>
    <row r="931" spans="2:45" ht="15" customHeight="1" x14ac:dyDescent="0.25">
      <c r="B931" s="41">
        <v>925</v>
      </c>
      <c r="C931" s="42" t="s">
        <v>31</v>
      </c>
      <c r="D931" s="51" t="s">
        <v>272</v>
      </c>
      <c r="E931" s="51" t="s">
        <v>310</v>
      </c>
      <c r="F931" s="51" t="s">
        <v>312</v>
      </c>
      <c r="G931" s="52" t="s">
        <v>312</v>
      </c>
      <c r="H931" s="43">
        <v>3543</v>
      </c>
      <c r="I931" s="43">
        <v>111</v>
      </c>
      <c r="J931" s="43">
        <v>675</v>
      </c>
      <c r="K931" s="43">
        <v>535</v>
      </c>
      <c r="L931" s="43">
        <v>711</v>
      </c>
      <c r="M931" s="43">
        <v>1316</v>
      </c>
      <c r="N931" s="43">
        <v>135</v>
      </c>
      <c r="O931" s="43">
        <v>60</v>
      </c>
      <c r="P931" s="44">
        <f>K931+L931+M931+N931+O931</f>
        <v>2757</v>
      </c>
      <c r="Q931" s="44">
        <f>I931+J931</f>
        <v>786</v>
      </c>
      <c r="R931" s="43">
        <v>4643</v>
      </c>
      <c r="S931" s="43">
        <v>236</v>
      </c>
      <c r="T931" s="43">
        <v>1631</v>
      </c>
      <c r="U931" s="43">
        <v>141</v>
      </c>
      <c r="V931" s="43">
        <v>171</v>
      </c>
      <c r="W931" s="43">
        <v>2172</v>
      </c>
      <c r="X931" s="43">
        <v>227</v>
      </c>
      <c r="Y931" s="43">
        <v>65</v>
      </c>
      <c r="Z931" s="45">
        <f>U931+V931+W931+X931+Y931</f>
        <v>2776</v>
      </c>
      <c r="AA931" s="45">
        <f>S931+T931</f>
        <v>1867</v>
      </c>
      <c r="AB931" s="46">
        <v>3.1329381999999999</v>
      </c>
      <c r="AC931" s="46">
        <v>19.051651100000001</v>
      </c>
      <c r="AD931" s="46">
        <v>15.1001976</v>
      </c>
      <c r="AE931" s="46">
        <v>20.067739199999998</v>
      </c>
      <c r="AF931" s="46">
        <v>37.143663599999996</v>
      </c>
      <c r="AG931" s="46">
        <v>3.8103302000000001</v>
      </c>
      <c r="AH931" s="46">
        <v>1.6934800999999999</v>
      </c>
      <c r="AI931" s="47">
        <f>AB931+AC931</f>
        <v>22.184589299999999</v>
      </c>
      <c r="AJ931" s="47">
        <f>AD931+AE931+AF931+AG931+AH931</f>
        <v>77.815410700000001</v>
      </c>
      <c r="AK931" s="46">
        <v>5.0829205000000002</v>
      </c>
      <c r="AL931" s="46">
        <v>35.128149899999997</v>
      </c>
      <c r="AM931" s="46">
        <v>3.0368295999999999</v>
      </c>
      <c r="AN931" s="46">
        <v>3.6829635999999999</v>
      </c>
      <c r="AO931" s="46">
        <v>46.780099100000001</v>
      </c>
      <c r="AP931" s="46">
        <v>4.8890802999999998</v>
      </c>
      <c r="AQ931" s="46">
        <v>1.3999569000000001</v>
      </c>
      <c r="AR931" s="48">
        <f>AK931+AL931</f>
        <v>40.211070399999997</v>
      </c>
      <c r="AS931" s="48">
        <f>AM931+AN931+AO931+AP931+AQ931</f>
        <v>59.788929500000002</v>
      </c>
    </row>
    <row r="932" spans="2:45" ht="15" hidden="1" customHeight="1" x14ac:dyDescent="0.25">
      <c r="B932" s="35">
        <v>926</v>
      </c>
      <c r="C932" s="36" t="s">
        <v>31</v>
      </c>
      <c r="D932" s="36" t="s">
        <v>272</v>
      </c>
      <c r="E932" s="36" t="s">
        <v>310</v>
      </c>
      <c r="F932" s="36" t="s">
        <v>312</v>
      </c>
      <c r="G932" s="37" t="s">
        <v>25</v>
      </c>
      <c r="H932" s="38">
        <v>722</v>
      </c>
      <c r="I932" s="38">
        <v>88</v>
      </c>
      <c r="J932" s="38">
        <v>391</v>
      </c>
      <c r="K932" s="38">
        <v>69</v>
      </c>
      <c r="L932" s="38">
        <v>21</v>
      </c>
      <c r="M932" s="38">
        <v>142</v>
      </c>
      <c r="N932" s="38">
        <v>8</v>
      </c>
      <c r="O932" s="38">
        <v>3</v>
      </c>
      <c r="P932" s="38"/>
      <c r="Q932" s="38"/>
      <c r="R932" s="38">
        <v>1230</v>
      </c>
      <c r="S932" s="38">
        <v>101</v>
      </c>
      <c r="T932" s="38">
        <v>966</v>
      </c>
      <c r="U932" s="38">
        <v>4</v>
      </c>
      <c r="V932" s="38">
        <v>5</v>
      </c>
      <c r="W932" s="38">
        <v>132</v>
      </c>
      <c r="X932" s="38">
        <v>2</v>
      </c>
      <c r="Y932" s="38">
        <v>20</v>
      </c>
      <c r="Z932" s="38"/>
      <c r="AA932" s="38"/>
      <c r="AB932" s="39">
        <v>12.1883657</v>
      </c>
      <c r="AC932" s="39">
        <v>54.155124700000002</v>
      </c>
      <c r="AD932" s="39">
        <v>9.5567867</v>
      </c>
      <c r="AE932" s="39">
        <v>2.9085873000000002</v>
      </c>
      <c r="AF932" s="39">
        <v>19.667590000000001</v>
      </c>
      <c r="AG932" s="39">
        <v>1.1080331999999999</v>
      </c>
      <c r="AH932" s="39">
        <v>0.41551250000000001</v>
      </c>
      <c r="AI932" s="39"/>
      <c r="AJ932" s="39"/>
      <c r="AK932" s="39">
        <v>8.2113820999999998</v>
      </c>
      <c r="AL932" s="39">
        <v>78.536585400000007</v>
      </c>
      <c r="AM932" s="39">
        <v>0.32520329999999997</v>
      </c>
      <c r="AN932" s="39">
        <v>0.40650409999999998</v>
      </c>
      <c r="AO932" s="39">
        <v>10.7317073</v>
      </c>
      <c r="AP932" s="39">
        <v>0.16260160000000001</v>
      </c>
      <c r="AQ932" s="39">
        <v>1.6260163000000001</v>
      </c>
      <c r="AR932" s="40"/>
      <c r="AS932" s="40"/>
    </row>
    <row r="933" spans="2:45" ht="15" hidden="1" customHeight="1" x14ac:dyDescent="0.25">
      <c r="B933" s="35">
        <v>927</v>
      </c>
      <c r="C933" s="36" t="s">
        <v>31</v>
      </c>
      <c r="D933" s="36" t="s">
        <v>272</v>
      </c>
      <c r="E933" s="36" t="s">
        <v>310</v>
      </c>
      <c r="F933" s="36" t="s">
        <v>312</v>
      </c>
      <c r="G933" s="37" t="s">
        <v>26</v>
      </c>
      <c r="H933" s="38">
        <v>2821</v>
      </c>
      <c r="I933" s="38">
        <v>23</v>
      </c>
      <c r="J933" s="38">
        <v>284</v>
      </c>
      <c r="K933" s="38">
        <v>466</v>
      </c>
      <c r="L933" s="38">
        <v>690</v>
      </c>
      <c r="M933" s="38">
        <v>1174</v>
      </c>
      <c r="N933" s="38">
        <v>127</v>
      </c>
      <c r="O933" s="38">
        <v>57</v>
      </c>
      <c r="P933" s="38"/>
      <c r="Q933" s="38"/>
      <c r="R933" s="38">
        <v>3413</v>
      </c>
      <c r="S933" s="38">
        <v>135</v>
      </c>
      <c r="T933" s="38">
        <v>665</v>
      </c>
      <c r="U933" s="38">
        <v>137</v>
      </c>
      <c r="V933" s="38">
        <v>166</v>
      </c>
      <c r="W933" s="38">
        <v>2040</v>
      </c>
      <c r="X933" s="38">
        <v>225</v>
      </c>
      <c r="Y933" s="38">
        <v>45</v>
      </c>
      <c r="Z933" s="38"/>
      <c r="AA933" s="38"/>
      <c r="AB933" s="39">
        <v>0.81531370000000003</v>
      </c>
      <c r="AC933" s="39">
        <v>10.067352</v>
      </c>
      <c r="AD933" s="39">
        <v>16.5189649</v>
      </c>
      <c r="AE933" s="39">
        <v>24.459411599999999</v>
      </c>
      <c r="AF933" s="39">
        <v>41.616448099999999</v>
      </c>
      <c r="AG933" s="39">
        <v>4.5019496999999999</v>
      </c>
      <c r="AH933" s="39">
        <v>2.0205601</v>
      </c>
      <c r="AI933" s="39"/>
      <c r="AJ933" s="39"/>
      <c r="AK933" s="39">
        <v>3.9554643999999999</v>
      </c>
      <c r="AL933" s="39">
        <v>19.484324600000001</v>
      </c>
      <c r="AM933" s="39">
        <v>4.0140639</v>
      </c>
      <c r="AN933" s="39">
        <v>4.8637562000000001</v>
      </c>
      <c r="AO933" s="39">
        <v>59.771462100000001</v>
      </c>
      <c r="AP933" s="39">
        <v>6.5924407</v>
      </c>
      <c r="AQ933" s="39">
        <v>1.3184880999999999</v>
      </c>
      <c r="AR933" s="40"/>
      <c r="AS933" s="40"/>
    </row>
    <row r="934" spans="2:45" ht="15" customHeight="1" x14ac:dyDescent="0.25">
      <c r="B934" s="41">
        <v>928</v>
      </c>
      <c r="C934" s="42" t="s">
        <v>31</v>
      </c>
      <c r="D934" s="51" t="s">
        <v>272</v>
      </c>
      <c r="E934" s="51" t="s">
        <v>310</v>
      </c>
      <c r="F934" s="51" t="s">
        <v>313</v>
      </c>
      <c r="G934" s="52" t="s">
        <v>313</v>
      </c>
      <c r="H934" s="43">
        <v>3826</v>
      </c>
      <c r="I934" s="43">
        <v>10</v>
      </c>
      <c r="J934" s="43">
        <v>94</v>
      </c>
      <c r="K934" s="43">
        <v>1336</v>
      </c>
      <c r="L934" s="43">
        <v>1231</v>
      </c>
      <c r="M934" s="43">
        <v>769</v>
      </c>
      <c r="N934" s="43">
        <v>211</v>
      </c>
      <c r="O934" s="43">
        <v>175</v>
      </c>
      <c r="P934" s="44">
        <f>K934+L934+M934+N934+O934</f>
        <v>3722</v>
      </c>
      <c r="Q934" s="44">
        <f>I934+J934</f>
        <v>104</v>
      </c>
      <c r="R934" s="43">
        <v>4203</v>
      </c>
      <c r="S934" s="43">
        <v>48</v>
      </c>
      <c r="T934" s="43">
        <v>155</v>
      </c>
      <c r="U934" s="43">
        <v>411</v>
      </c>
      <c r="V934" s="43">
        <v>870</v>
      </c>
      <c r="W934" s="43">
        <v>2319</v>
      </c>
      <c r="X934" s="43">
        <v>326</v>
      </c>
      <c r="Y934" s="43">
        <v>74</v>
      </c>
      <c r="Z934" s="45">
        <f>U934+V934+W934+X934+Y934</f>
        <v>4000</v>
      </c>
      <c r="AA934" s="45">
        <f>S934+T934</f>
        <v>203</v>
      </c>
      <c r="AB934" s="46">
        <v>0.26136959999999998</v>
      </c>
      <c r="AC934" s="46">
        <v>2.456874</v>
      </c>
      <c r="AD934" s="46">
        <v>34.918975400000001</v>
      </c>
      <c r="AE934" s="46">
        <v>32.174594900000002</v>
      </c>
      <c r="AF934" s="46">
        <v>20.0993204</v>
      </c>
      <c r="AG934" s="46">
        <v>5.5148980999999999</v>
      </c>
      <c r="AH934" s="46">
        <v>4.5739675999999996</v>
      </c>
      <c r="AI934" s="47">
        <f>AB934+AC934</f>
        <v>2.7182436000000001</v>
      </c>
      <c r="AJ934" s="47">
        <f>AD934+AE934+AF934+AG934+AH934</f>
        <v>97.281756400000006</v>
      </c>
      <c r="AK934" s="46">
        <v>1.1420414000000001</v>
      </c>
      <c r="AL934" s="46">
        <v>3.6878419999999998</v>
      </c>
      <c r="AM934" s="46">
        <v>9.7787295000000007</v>
      </c>
      <c r="AN934" s="46">
        <v>20.699500400000002</v>
      </c>
      <c r="AO934" s="46">
        <v>55.174875100000001</v>
      </c>
      <c r="AP934" s="46">
        <v>7.7563645000000001</v>
      </c>
      <c r="AQ934" s="46">
        <v>1.7606472</v>
      </c>
      <c r="AR934" s="48">
        <f>AK934+AL934</f>
        <v>4.8298833999999999</v>
      </c>
      <c r="AS934" s="48">
        <f>AM934+AN934+AO934+AP934+AQ934</f>
        <v>95.170116700000008</v>
      </c>
    </row>
    <row r="935" spans="2:45" ht="15" hidden="1" customHeight="1" x14ac:dyDescent="0.25">
      <c r="B935" s="35">
        <v>929</v>
      </c>
      <c r="C935" s="36" t="s">
        <v>31</v>
      </c>
      <c r="D935" s="36" t="s">
        <v>272</v>
      </c>
      <c r="E935" s="36" t="s">
        <v>310</v>
      </c>
      <c r="F935" s="36" t="s">
        <v>313</v>
      </c>
      <c r="G935" s="37" t="s">
        <v>25</v>
      </c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40"/>
      <c r="AS935" s="40"/>
    </row>
    <row r="936" spans="2:45" ht="15" hidden="1" customHeight="1" x14ac:dyDescent="0.25">
      <c r="B936" s="35">
        <v>930</v>
      </c>
      <c r="C936" s="36" t="s">
        <v>31</v>
      </c>
      <c r="D936" s="36" t="s">
        <v>272</v>
      </c>
      <c r="E936" s="36" t="s">
        <v>310</v>
      </c>
      <c r="F936" s="36" t="s">
        <v>313</v>
      </c>
      <c r="G936" s="37" t="s">
        <v>26</v>
      </c>
      <c r="H936" s="38">
        <v>3826</v>
      </c>
      <c r="I936" s="38">
        <v>10</v>
      </c>
      <c r="J936" s="38">
        <v>94</v>
      </c>
      <c r="K936" s="38">
        <v>1336</v>
      </c>
      <c r="L936" s="38">
        <v>1231</v>
      </c>
      <c r="M936" s="38">
        <v>769</v>
      </c>
      <c r="N936" s="38">
        <v>211</v>
      </c>
      <c r="O936" s="38">
        <v>175</v>
      </c>
      <c r="P936" s="38"/>
      <c r="Q936" s="38"/>
      <c r="R936" s="38">
        <v>4203</v>
      </c>
      <c r="S936" s="38">
        <v>48</v>
      </c>
      <c r="T936" s="38">
        <v>155</v>
      </c>
      <c r="U936" s="38">
        <v>411</v>
      </c>
      <c r="V936" s="38">
        <v>870</v>
      </c>
      <c r="W936" s="38">
        <v>2319</v>
      </c>
      <c r="X936" s="38">
        <v>326</v>
      </c>
      <c r="Y936" s="38">
        <v>74</v>
      </c>
      <c r="Z936" s="38"/>
      <c r="AA936" s="38"/>
      <c r="AB936" s="39">
        <v>0.26136959999999998</v>
      </c>
      <c r="AC936" s="39">
        <v>2.456874</v>
      </c>
      <c r="AD936" s="39">
        <v>34.918975400000001</v>
      </c>
      <c r="AE936" s="39">
        <v>32.174594900000002</v>
      </c>
      <c r="AF936" s="39">
        <v>20.0993204</v>
      </c>
      <c r="AG936" s="39">
        <v>5.5148980999999999</v>
      </c>
      <c r="AH936" s="39">
        <v>4.5739675999999996</v>
      </c>
      <c r="AI936" s="39"/>
      <c r="AJ936" s="39"/>
      <c r="AK936" s="39">
        <v>1.1420414000000001</v>
      </c>
      <c r="AL936" s="39">
        <v>3.6878419999999998</v>
      </c>
      <c r="AM936" s="39">
        <v>9.7787295000000007</v>
      </c>
      <c r="AN936" s="39">
        <v>20.699500400000002</v>
      </c>
      <c r="AO936" s="39">
        <v>55.174875100000001</v>
      </c>
      <c r="AP936" s="39">
        <v>7.7563645000000001</v>
      </c>
      <c r="AQ936" s="39">
        <v>1.7606472</v>
      </c>
      <c r="AR936" s="40"/>
      <c r="AS936" s="40"/>
    </row>
    <row r="937" spans="2:45" ht="15" hidden="1" customHeight="1" x14ac:dyDescent="0.25">
      <c r="B937" s="30">
        <v>931</v>
      </c>
      <c r="C937" s="31" t="s">
        <v>29</v>
      </c>
      <c r="D937" s="50" t="s">
        <v>272</v>
      </c>
      <c r="E937" s="50" t="s">
        <v>314</v>
      </c>
      <c r="F937" s="50"/>
      <c r="G937" s="31" t="s">
        <v>314</v>
      </c>
      <c r="H937" s="32">
        <v>17969</v>
      </c>
      <c r="I937" s="32">
        <v>1462</v>
      </c>
      <c r="J937" s="32">
        <v>6368</v>
      </c>
      <c r="K937" s="32">
        <v>1666</v>
      </c>
      <c r="L937" s="32">
        <v>2379</v>
      </c>
      <c r="M937" s="32">
        <v>4029</v>
      </c>
      <c r="N937" s="32">
        <v>1578</v>
      </c>
      <c r="O937" s="32">
        <v>487</v>
      </c>
      <c r="P937" s="32"/>
      <c r="Q937" s="32"/>
      <c r="R937" s="32">
        <v>24344</v>
      </c>
      <c r="S937" s="32">
        <v>3681</v>
      </c>
      <c r="T937" s="32">
        <v>9993</v>
      </c>
      <c r="U937" s="32">
        <v>705</v>
      </c>
      <c r="V937" s="32">
        <v>457</v>
      </c>
      <c r="W937" s="32">
        <v>7503</v>
      </c>
      <c r="X937" s="32">
        <v>1698</v>
      </c>
      <c r="Y937" s="32">
        <v>307</v>
      </c>
      <c r="Z937" s="32"/>
      <c r="AA937" s="32"/>
      <c r="AB937" s="33">
        <v>8.1362345999999999</v>
      </c>
      <c r="AC937" s="33">
        <v>35.438811299999998</v>
      </c>
      <c r="AD937" s="33">
        <v>9.2715232000000007</v>
      </c>
      <c r="AE937" s="33">
        <v>13.239468</v>
      </c>
      <c r="AF937" s="33">
        <v>22.4219489</v>
      </c>
      <c r="AG937" s="33">
        <v>8.7817909000000007</v>
      </c>
      <c r="AH937" s="33">
        <v>2.7102232000000002</v>
      </c>
      <c r="AI937" s="33"/>
      <c r="AJ937" s="33"/>
      <c r="AK937" s="33">
        <v>15.120768999999999</v>
      </c>
      <c r="AL937" s="33">
        <v>41.049129100000002</v>
      </c>
      <c r="AM937" s="33">
        <v>2.8959907999999999</v>
      </c>
      <c r="AN937" s="33">
        <v>1.8772593</v>
      </c>
      <c r="AO937" s="33">
        <v>30.820736100000001</v>
      </c>
      <c r="AP937" s="33">
        <v>6.9750246000000002</v>
      </c>
      <c r="AQ937" s="33">
        <v>1.261091</v>
      </c>
      <c r="AR937" s="34"/>
      <c r="AS937" s="34"/>
    </row>
    <row r="938" spans="2:45" ht="15" hidden="1" customHeight="1" x14ac:dyDescent="0.25">
      <c r="B938" s="35">
        <v>932</v>
      </c>
      <c r="C938" s="36" t="s">
        <v>29</v>
      </c>
      <c r="D938" s="36" t="s">
        <v>272</v>
      </c>
      <c r="E938" s="36" t="s">
        <v>314</v>
      </c>
      <c r="F938" s="36"/>
      <c r="G938" s="37" t="s">
        <v>25</v>
      </c>
      <c r="H938" s="38">
        <v>8008</v>
      </c>
      <c r="I938" s="38">
        <v>922</v>
      </c>
      <c r="J938" s="38">
        <v>5812</v>
      </c>
      <c r="K938" s="38">
        <v>485</v>
      </c>
      <c r="L938" s="38">
        <v>44</v>
      </c>
      <c r="M938" s="38">
        <v>528</v>
      </c>
      <c r="N938" s="38">
        <v>60</v>
      </c>
      <c r="O938" s="38">
        <v>157</v>
      </c>
      <c r="P938" s="38"/>
      <c r="Q938" s="38"/>
      <c r="R938" s="38">
        <v>13151</v>
      </c>
      <c r="S938" s="38">
        <v>2845</v>
      </c>
      <c r="T938" s="38">
        <v>9094</v>
      </c>
      <c r="U938" s="38">
        <v>183</v>
      </c>
      <c r="V938" s="38">
        <v>14</v>
      </c>
      <c r="W938" s="38">
        <v>817</v>
      </c>
      <c r="X938" s="38">
        <v>93</v>
      </c>
      <c r="Y938" s="38">
        <v>105</v>
      </c>
      <c r="Z938" s="38"/>
      <c r="AA938" s="38"/>
      <c r="AB938" s="39">
        <v>11.513486500000001</v>
      </c>
      <c r="AC938" s="39">
        <v>72.577422600000006</v>
      </c>
      <c r="AD938" s="39">
        <v>6.0564435999999997</v>
      </c>
      <c r="AE938" s="39">
        <v>0.54945049999999995</v>
      </c>
      <c r="AF938" s="39">
        <v>6.5934065999999998</v>
      </c>
      <c r="AG938" s="39">
        <v>0.74925070000000005</v>
      </c>
      <c r="AH938" s="39">
        <v>1.9605395000000001</v>
      </c>
      <c r="AI938" s="39"/>
      <c r="AJ938" s="39"/>
      <c r="AK938" s="39">
        <v>21.633335899999999</v>
      </c>
      <c r="AL938" s="39">
        <v>69.1506349</v>
      </c>
      <c r="AM938" s="39">
        <v>1.3915291999999999</v>
      </c>
      <c r="AN938" s="39">
        <v>0.1064558</v>
      </c>
      <c r="AO938" s="39">
        <v>6.2124553000000002</v>
      </c>
      <c r="AP938" s="39">
        <v>0.70717059999999998</v>
      </c>
      <c r="AQ938" s="39">
        <v>0.79841839999999997</v>
      </c>
      <c r="AR938" s="40"/>
      <c r="AS938" s="40"/>
    </row>
    <row r="939" spans="2:45" ht="15" hidden="1" customHeight="1" x14ac:dyDescent="0.25">
      <c r="B939" s="35">
        <v>933</v>
      </c>
      <c r="C939" s="36" t="s">
        <v>29</v>
      </c>
      <c r="D939" s="36" t="s">
        <v>272</v>
      </c>
      <c r="E939" s="36" t="s">
        <v>314</v>
      </c>
      <c r="F939" s="36"/>
      <c r="G939" s="37" t="s">
        <v>26</v>
      </c>
      <c r="H939" s="38">
        <v>9961</v>
      </c>
      <c r="I939" s="38">
        <v>540</v>
      </c>
      <c r="J939" s="38">
        <v>556</v>
      </c>
      <c r="K939" s="38">
        <v>1181</v>
      </c>
      <c r="L939" s="38">
        <v>2335</v>
      </c>
      <c r="M939" s="38">
        <v>3501</v>
      </c>
      <c r="N939" s="38">
        <v>1518</v>
      </c>
      <c r="O939" s="38">
        <v>330</v>
      </c>
      <c r="P939" s="38"/>
      <c r="Q939" s="38"/>
      <c r="R939" s="38">
        <v>11193</v>
      </c>
      <c r="S939" s="38">
        <v>836</v>
      </c>
      <c r="T939" s="38">
        <v>899</v>
      </c>
      <c r="U939" s="38">
        <v>522</v>
      </c>
      <c r="V939" s="38">
        <v>443</v>
      </c>
      <c r="W939" s="38">
        <v>6686</v>
      </c>
      <c r="X939" s="38">
        <v>1605</v>
      </c>
      <c r="Y939" s="38">
        <v>202</v>
      </c>
      <c r="Z939" s="38"/>
      <c r="AA939" s="38"/>
      <c r="AB939" s="39">
        <v>5.4211425000000002</v>
      </c>
      <c r="AC939" s="39">
        <v>5.5817689000000001</v>
      </c>
      <c r="AD939" s="39">
        <v>11.8562393</v>
      </c>
      <c r="AE939" s="39">
        <v>23.441421500000001</v>
      </c>
      <c r="AF939" s="39">
        <v>35.147073599999999</v>
      </c>
      <c r="AG939" s="39">
        <v>15.2394338</v>
      </c>
      <c r="AH939" s="39">
        <v>3.3129203999999999</v>
      </c>
      <c r="AI939" s="39"/>
      <c r="AJ939" s="39"/>
      <c r="AK939" s="39">
        <v>7.4689538000000004</v>
      </c>
      <c r="AL939" s="39">
        <v>8.0318056000000002</v>
      </c>
      <c r="AM939" s="39">
        <v>4.6636290999999996</v>
      </c>
      <c r="AN939" s="39">
        <v>3.9578308</v>
      </c>
      <c r="AO939" s="39">
        <v>59.733762200000001</v>
      </c>
      <c r="AP939" s="39">
        <v>14.3393192</v>
      </c>
      <c r="AQ939" s="39">
        <v>1.8046994000000001</v>
      </c>
      <c r="AR939" s="40"/>
      <c r="AS939" s="40"/>
    </row>
    <row r="940" spans="2:45" ht="15" customHeight="1" x14ac:dyDescent="0.25">
      <c r="B940" s="41">
        <v>934</v>
      </c>
      <c r="C940" s="42" t="s">
        <v>31</v>
      </c>
      <c r="D940" s="51" t="s">
        <v>272</v>
      </c>
      <c r="E940" s="51" t="s">
        <v>314</v>
      </c>
      <c r="F940" s="51" t="s">
        <v>315</v>
      </c>
      <c r="G940" s="52" t="s">
        <v>315</v>
      </c>
      <c r="H940" s="43">
        <v>9597</v>
      </c>
      <c r="I940" s="43">
        <v>952</v>
      </c>
      <c r="J940" s="43">
        <v>3903</v>
      </c>
      <c r="K940" s="43">
        <v>756</v>
      </c>
      <c r="L940" s="43">
        <v>989</v>
      </c>
      <c r="M940" s="43">
        <v>1748</v>
      </c>
      <c r="N940" s="43">
        <v>971</v>
      </c>
      <c r="O940" s="43">
        <v>278</v>
      </c>
      <c r="P940" s="44">
        <f>K940+L940+M940+N940+O940</f>
        <v>4742</v>
      </c>
      <c r="Q940" s="44">
        <f>I940+J940</f>
        <v>4855</v>
      </c>
      <c r="R940" s="43">
        <v>13134</v>
      </c>
      <c r="S940" s="43">
        <v>2702</v>
      </c>
      <c r="T940" s="43">
        <v>5742</v>
      </c>
      <c r="U940" s="43">
        <v>373</v>
      </c>
      <c r="V940" s="43">
        <v>178</v>
      </c>
      <c r="W940" s="43">
        <v>3015</v>
      </c>
      <c r="X940" s="43">
        <v>906</v>
      </c>
      <c r="Y940" s="43">
        <v>218</v>
      </c>
      <c r="Z940" s="45">
        <f>U940+V940+W940+X940+Y940</f>
        <v>4690</v>
      </c>
      <c r="AA940" s="45">
        <f>S940+T940</f>
        <v>8444</v>
      </c>
      <c r="AB940" s="46">
        <v>9.9197666000000009</v>
      </c>
      <c r="AC940" s="46">
        <v>40.668959000000001</v>
      </c>
      <c r="AD940" s="46">
        <v>7.8774616999999996</v>
      </c>
      <c r="AE940" s="46">
        <v>10.3053037</v>
      </c>
      <c r="AF940" s="46">
        <v>18.214025199999998</v>
      </c>
      <c r="AG940" s="46">
        <v>10.1177451</v>
      </c>
      <c r="AH940" s="46">
        <v>2.8967385999999999</v>
      </c>
      <c r="AI940" s="47">
        <f>AB940+AC940</f>
        <v>50.588725600000004</v>
      </c>
      <c r="AJ940" s="47">
        <f>AD940+AE940+AF940+AG940+AH940</f>
        <v>49.411274300000002</v>
      </c>
      <c r="AK940" s="46">
        <v>20.572559800000001</v>
      </c>
      <c r="AL940" s="46">
        <v>43.718592999999998</v>
      </c>
      <c r="AM940" s="46">
        <v>2.8399573999999999</v>
      </c>
      <c r="AN940" s="46">
        <v>1.3552611999999999</v>
      </c>
      <c r="AO940" s="46">
        <v>22.9556875</v>
      </c>
      <c r="AP940" s="46">
        <v>6.8981269999999997</v>
      </c>
      <c r="AQ940" s="46">
        <v>1.6598142</v>
      </c>
      <c r="AR940" s="48">
        <f>AK940+AL940</f>
        <v>64.291152799999992</v>
      </c>
      <c r="AS940" s="48">
        <f>AM940+AN940+AO940+AP940+AQ940</f>
        <v>35.708847300000002</v>
      </c>
    </row>
    <row r="941" spans="2:45" ht="15" hidden="1" customHeight="1" x14ac:dyDescent="0.25">
      <c r="B941" s="35">
        <v>935</v>
      </c>
      <c r="C941" s="36" t="s">
        <v>31</v>
      </c>
      <c r="D941" s="36" t="s">
        <v>272</v>
      </c>
      <c r="E941" s="36" t="s">
        <v>314</v>
      </c>
      <c r="F941" s="36" t="s">
        <v>315</v>
      </c>
      <c r="G941" s="37" t="s">
        <v>25</v>
      </c>
      <c r="H941" s="38">
        <v>5768</v>
      </c>
      <c r="I941" s="38">
        <v>749</v>
      </c>
      <c r="J941" s="38">
        <v>3813</v>
      </c>
      <c r="K941" s="38">
        <v>475</v>
      </c>
      <c r="L941" s="38">
        <v>17</v>
      </c>
      <c r="M941" s="38">
        <v>499</v>
      </c>
      <c r="N941" s="38">
        <v>60</v>
      </c>
      <c r="O941" s="38">
        <v>155</v>
      </c>
      <c r="P941" s="38"/>
      <c r="Q941" s="38"/>
      <c r="R941" s="38">
        <v>9037</v>
      </c>
      <c r="S941" s="38">
        <v>2362</v>
      </c>
      <c r="T941" s="38">
        <v>5561</v>
      </c>
      <c r="U941" s="38">
        <v>179</v>
      </c>
      <c r="V941" s="38">
        <v>5</v>
      </c>
      <c r="W941" s="38">
        <v>756</v>
      </c>
      <c r="X941" s="38">
        <v>78</v>
      </c>
      <c r="Y941" s="38">
        <v>96</v>
      </c>
      <c r="Z941" s="38"/>
      <c r="AA941" s="38"/>
      <c r="AB941" s="39">
        <v>12.9854369</v>
      </c>
      <c r="AC941" s="39">
        <v>66.1061026</v>
      </c>
      <c r="AD941" s="39">
        <v>8.2350902000000001</v>
      </c>
      <c r="AE941" s="39">
        <v>0.29472949999999998</v>
      </c>
      <c r="AF941" s="39">
        <v>8.6511788999999997</v>
      </c>
      <c r="AG941" s="39">
        <v>1.0402218999999999</v>
      </c>
      <c r="AH941" s="39">
        <v>2.6872398999999998</v>
      </c>
      <c r="AI941" s="39"/>
      <c r="AJ941" s="39"/>
      <c r="AK941" s="39">
        <v>26.1369924</v>
      </c>
      <c r="AL941" s="39">
        <v>61.535907899999998</v>
      </c>
      <c r="AM941" s="39">
        <v>1.9807458</v>
      </c>
      <c r="AN941" s="39">
        <v>5.5328099999999998E-2</v>
      </c>
      <c r="AO941" s="39">
        <v>8.3656080999999993</v>
      </c>
      <c r="AP941" s="39">
        <v>0.8631183</v>
      </c>
      <c r="AQ941" s="39">
        <v>1.0622993999999999</v>
      </c>
      <c r="AR941" s="40"/>
      <c r="AS941" s="40"/>
    </row>
    <row r="942" spans="2:45" ht="15" hidden="1" customHeight="1" x14ac:dyDescent="0.25">
      <c r="B942" s="35">
        <v>936</v>
      </c>
      <c r="C942" s="36" t="s">
        <v>31</v>
      </c>
      <c r="D942" s="36" t="s">
        <v>272</v>
      </c>
      <c r="E942" s="36" t="s">
        <v>314</v>
      </c>
      <c r="F942" s="36" t="s">
        <v>315</v>
      </c>
      <c r="G942" s="37" t="s">
        <v>26</v>
      </c>
      <c r="H942" s="38">
        <v>3829</v>
      </c>
      <c r="I942" s="38">
        <v>203</v>
      </c>
      <c r="J942" s="38">
        <v>90</v>
      </c>
      <c r="K942" s="38">
        <v>281</v>
      </c>
      <c r="L942" s="38">
        <v>972</v>
      </c>
      <c r="M942" s="38">
        <v>1249</v>
      </c>
      <c r="N942" s="38">
        <v>911</v>
      </c>
      <c r="O942" s="38">
        <v>123</v>
      </c>
      <c r="P942" s="38"/>
      <c r="Q942" s="38"/>
      <c r="R942" s="38">
        <v>4097</v>
      </c>
      <c r="S942" s="38">
        <v>340</v>
      </c>
      <c r="T942" s="38">
        <v>181</v>
      </c>
      <c r="U942" s="38">
        <v>194</v>
      </c>
      <c r="V942" s="38">
        <v>173</v>
      </c>
      <c r="W942" s="38">
        <v>2259</v>
      </c>
      <c r="X942" s="38">
        <v>828</v>
      </c>
      <c r="Y942" s="38">
        <v>122</v>
      </c>
      <c r="Z942" s="38"/>
      <c r="AA942" s="38"/>
      <c r="AB942" s="39">
        <v>5.3016452999999997</v>
      </c>
      <c r="AC942" s="39">
        <v>2.3504832000000002</v>
      </c>
      <c r="AD942" s="39">
        <v>7.3387307000000002</v>
      </c>
      <c r="AE942" s="39">
        <v>25.385218099999999</v>
      </c>
      <c r="AF942" s="39">
        <v>32.619482900000001</v>
      </c>
      <c r="AG942" s="39">
        <v>23.792112800000002</v>
      </c>
      <c r="AH942" s="39">
        <v>3.2123270000000002</v>
      </c>
      <c r="AI942" s="39"/>
      <c r="AJ942" s="39"/>
      <c r="AK942" s="39">
        <v>8.2987552000000004</v>
      </c>
      <c r="AL942" s="39">
        <v>4.4178667000000003</v>
      </c>
      <c r="AM942" s="39">
        <v>4.7351720999999998</v>
      </c>
      <c r="AN942" s="39">
        <v>4.2226018999999999</v>
      </c>
      <c r="AO942" s="39">
        <v>55.137905799999999</v>
      </c>
      <c r="AP942" s="39">
        <v>20.209909700000001</v>
      </c>
      <c r="AQ942" s="39">
        <v>2.9777885999999998</v>
      </c>
      <c r="AR942" s="40"/>
      <c r="AS942" s="40"/>
    </row>
    <row r="943" spans="2:45" ht="15" customHeight="1" x14ac:dyDescent="0.25">
      <c r="B943" s="41">
        <v>937</v>
      </c>
      <c r="C943" s="42" t="s">
        <v>31</v>
      </c>
      <c r="D943" s="51" t="s">
        <v>272</v>
      </c>
      <c r="E943" s="51" t="s">
        <v>314</v>
      </c>
      <c r="F943" s="51" t="s">
        <v>316</v>
      </c>
      <c r="G943" s="52" t="s">
        <v>316</v>
      </c>
      <c r="H943" s="43">
        <v>3077</v>
      </c>
      <c r="I943" s="43">
        <v>189</v>
      </c>
      <c r="J943" s="43">
        <v>250</v>
      </c>
      <c r="K943" s="43">
        <v>474</v>
      </c>
      <c r="L943" s="43">
        <v>611</v>
      </c>
      <c r="M943" s="43">
        <v>1125</v>
      </c>
      <c r="N943" s="43">
        <v>342</v>
      </c>
      <c r="O943" s="43">
        <v>86</v>
      </c>
      <c r="P943" s="44">
        <f>K943+L943+M943+N943+O943</f>
        <v>2638</v>
      </c>
      <c r="Q943" s="44">
        <f>I943+J943</f>
        <v>439</v>
      </c>
      <c r="R943" s="43">
        <v>3317</v>
      </c>
      <c r="S943" s="43">
        <v>343</v>
      </c>
      <c r="T943" s="43">
        <v>333</v>
      </c>
      <c r="U943" s="43">
        <v>146</v>
      </c>
      <c r="V943" s="43">
        <v>119</v>
      </c>
      <c r="W943" s="43">
        <v>1910</v>
      </c>
      <c r="X943" s="43">
        <v>433</v>
      </c>
      <c r="Y943" s="43">
        <v>33</v>
      </c>
      <c r="Z943" s="45">
        <f>U943+V943+W943+X943+Y943</f>
        <v>2641</v>
      </c>
      <c r="AA943" s="45">
        <f>S943+T943</f>
        <v>676</v>
      </c>
      <c r="AB943" s="46">
        <v>6.1423464000000001</v>
      </c>
      <c r="AC943" s="46">
        <v>8.1247968999999998</v>
      </c>
      <c r="AD943" s="46">
        <v>15.4046149</v>
      </c>
      <c r="AE943" s="46">
        <v>19.857003599999999</v>
      </c>
      <c r="AF943" s="46">
        <v>36.561585999999998</v>
      </c>
      <c r="AG943" s="46">
        <v>11.1147221</v>
      </c>
      <c r="AH943" s="46">
        <v>2.7949301000000002</v>
      </c>
      <c r="AI943" s="47">
        <f>AB943+AC943</f>
        <v>14.267143300000001</v>
      </c>
      <c r="AJ943" s="47">
        <f>AD943+AE943+AF943+AG943+AH943</f>
        <v>85.732856699999999</v>
      </c>
      <c r="AK943" s="46">
        <v>10.3406693</v>
      </c>
      <c r="AL943" s="46">
        <v>10.039192</v>
      </c>
      <c r="AM943" s="46">
        <v>4.4015677000000002</v>
      </c>
      <c r="AN943" s="46">
        <v>3.5875791000000001</v>
      </c>
      <c r="AO943" s="46">
        <v>57.582152499999999</v>
      </c>
      <c r="AP943" s="46">
        <v>13.0539644</v>
      </c>
      <c r="AQ943" s="46">
        <v>0.99487490000000001</v>
      </c>
      <c r="AR943" s="48">
        <f>AK943+AL943</f>
        <v>20.379861300000002</v>
      </c>
      <c r="AS943" s="48">
        <f>AM943+AN943+AO943+AP943+AQ943</f>
        <v>79.62013859999999</v>
      </c>
    </row>
    <row r="944" spans="2:45" ht="15" hidden="1" customHeight="1" x14ac:dyDescent="0.25">
      <c r="B944" s="35">
        <v>938</v>
      </c>
      <c r="C944" s="36" t="s">
        <v>31</v>
      </c>
      <c r="D944" s="36" t="s">
        <v>272</v>
      </c>
      <c r="E944" s="36" t="s">
        <v>314</v>
      </c>
      <c r="F944" s="36" t="s">
        <v>316</v>
      </c>
      <c r="G944" s="37" t="s">
        <v>25</v>
      </c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40"/>
      <c r="AS944" s="40"/>
    </row>
    <row r="945" spans="2:45" ht="15" hidden="1" customHeight="1" x14ac:dyDescent="0.25">
      <c r="B945" s="35">
        <v>939</v>
      </c>
      <c r="C945" s="36" t="s">
        <v>31</v>
      </c>
      <c r="D945" s="36" t="s">
        <v>272</v>
      </c>
      <c r="E945" s="36" t="s">
        <v>314</v>
      </c>
      <c r="F945" s="36" t="s">
        <v>316</v>
      </c>
      <c r="G945" s="37" t="s">
        <v>26</v>
      </c>
      <c r="H945" s="38">
        <v>3077</v>
      </c>
      <c r="I945" s="38">
        <v>189</v>
      </c>
      <c r="J945" s="38">
        <v>250</v>
      </c>
      <c r="K945" s="38">
        <v>474</v>
      </c>
      <c r="L945" s="38">
        <v>611</v>
      </c>
      <c r="M945" s="38">
        <v>1125</v>
      </c>
      <c r="N945" s="38">
        <v>342</v>
      </c>
      <c r="O945" s="38">
        <v>86</v>
      </c>
      <c r="P945" s="38"/>
      <c r="Q945" s="38"/>
      <c r="R945" s="38">
        <v>3317</v>
      </c>
      <c r="S945" s="38">
        <v>343</v>
      </c>
      <c r="T945" s="38">
        <v>333</v>
      </c>
      <c r="U945" s="38">
        <v>146</v>
      </c>
      <c r="V945" s="38">
        <v>119</v>
      </c>
      <c r="W945" s="38">
        <v>1910</v>
      </c>
      <c r="X945" s="38">
        <v>433</v>
      </c>
      <c r="Y945" s="38">
        <v>33</v>
      </c>
      <c r="Z945" s="38"/>
      <c r="AA945" s="38"/>
      <c r="AB945" s="39">
        <v>6.1423464000000001</v>
      </c>
      <c r="AC945" s="39">
        <v>8.1247968999999998</v>
      </c>
      <c r="AD945" s="39">
        <v>15.4046149</v>
      </c>
      <c r="AE945" s="39">
        <v>19.857003599999999</v>
      </c>
      <c r="AF945" s="39">
        <v>36.561585999999998</v>
      </c>
      <c r="AG945" s="39">
        <v>11.1147221</v>
      </c>
      <c r="AH945" s="39">
        <v>2.7949301000000002</v>
      </c>
      <c r="AI945" s="39"/>
      <c r="AJ945" s="39"/>
      <c r="AK945" s="39">
        <v>10.3406693</v>
      </c>
      <c r="AL945" s="39">
        <v>10.039192</v>
      </c>
      <c r="AM945" s="39">
        <v>4.4015677000000002</v>
      </c>
      <c r="AN945" s="39">
        <v>3.5875791000000001</v>
      </c>
      <c r="AO945" s="39">
        <v>57.582152499999999</v>
      </c>
      <c r="AP945" s="39">
        <v>13.0539644</v>
      </c>
      <c r="AQ945" s="39">
        <v>0.99487490000000001</v>
      </c>
      <c r="AR945" s="40"/>
      <c r="AS945" s="40"/>
    </row>
    <row r="946" spans="2:45" ht="15" customHeight="1" x14ac:dyDescent="0.25">
      <c r="B946" s="41">
        <v>940</v>
      </c>
      <c r="C946" s="42" t="s">
        <v>31</v>
      </c>
      <c r="D946" s="51" t="s">
        <v>272</v>
      </c>
      <c r="E946" s="51" t="s">
        <v>314</v>
      </c>
      <c r="F946" s="51" t="s">
        <v>317</v>
      </c>
      <c r="G946" s="52" t="s">
        <v>317</v>
      </c>
      <c r="H946" s="43">
        <v>3156</v>
      </c>
      <c r="I946" s="43">
        <v>192</v>
      </c>
      <c r="J946" s="43">
        <v>2015</v>
      </c>
      <c r="K946" s="43">
        <v>68</v>
      </c>
      <c r="L946" s="43">
        <v>277</v>
      </c>
      <c r="M946" s="43">
        <v>326</v>
      </c>
      <c r="N946" s="43">
        <v>186</v>
      </c>
      <c r="O946" s="43">
        <v>92</v>
      </c>
      <c r="P946" s="44">
        <f>K946+L946+M946+N946+O946</f>
        <v>949</v>
      </c>
      <c r="Q946" s="44">
        <f>I946+J946</f>
        <v>2207</v>
      </c>
      <c r="R946" s="43">
        <v>5286</v>
      </c>
      <c r="S946" s="43">
        <v>516</v>
      </c>
      <c r="T946" s="43">
        <v>3566</v>
      </c>
      <c r="U946" s="43">
        <v>74</v>
      </c>
      <c r="V946" s="43">
        <v>62</v>
      </c>
      <c r="W946" s="43">
        <v>834</v>
      </c>
      <c r="X946" s="43">
        <v>208</v>
      </c>
      <c r="Y946" s="43">
        <v>26</v>
      </c>
      <c r="Z946" s="45">
        <f>U946+V946+W946+X946+Y946</f>
        <v>1204</v>
      </c>
      <c r="AA946" s="45">
        <f>S946+T946</f>
        <v>4082</v>
      </c>
      <c r="AB946" s="46">
        <v>6.0836502000000001</v>
      </c>
      <c r="AC946" s="46">
        <v>63.846641300000002</v>
      </c>
      <c r="AD946" s="46">
        <v>2.1546261000000002</v>
      </c>
      <c r="AE946" s="46">
        <v>8.7769328000000009</v>
      </c>
      <c r="AF946" s="46">
        <v>10.329531100000001</v>
      </c>
      <c r="AG946" s="46">
        <v>5.8935361000000004</v>
      </c>
      <c r="AH946" s="46">
        <v>2.9150824000000002</v>
      </c>
      <c r="AI946" s="47">
        <f>AB946+AC946</f>
        <v>69.930291499999996</v>
      </c>
      <c r="AJ946" s="47">
        <f>AD946+AE946+AF946+AG946+AH946</f>
        <v>30.069708500000001</v>
      </c>
      <c r="AK946" s="46">
        <v>9.7616344999999995</v>
      </c>
      <c r="AL946" s="46">
        <v>67.461218299999999</v>
      </c>
      <c r="AM946" s="46">
        <v>1.3999242999999999</v>
      </c>
      <c r="AN946" s="46">
        <v>1.1729096000000001</v>
      </c>
      <c r="AO946" s="46">
        <v>15.777525499999999</v>
      </c>
      <c r="AP946" s="46">
        <v>3.9349224</v>
      </c>
      <c r="AQ946" s="46">
        <v>0.49186530000000001</v>
      </c>
      <c r="AR946" s="48">
        <f>AK946+AL946</f>
        <v>77.222852799999998</v>
      </c>
      <c r="AS946" s="48">
        <f>AM946+AN946+AO946+AP946+AQ946</f>
        <v>22.777147100000001</v>
      </c>
    </row>
    <row r="947" spans="2:45" ht="15" hidden="1" customHeight="1" x14ac:dyDescent="0.25">
      <c r="B947" s="35">
        <v>941</v>
      </c>
      <c r="C947" s="36" t="s">
        <v>31</v>
      </c>
      <c r="D947" s="36" t="s">
        <v>272</v>
      </c>
      <c r="E947" s="36" t="s">
        <v>314</v>
      </c>
      <c r="F947" s="36" t="s">
        <v>317</v>
      </c>
      <c r="G947" s="37" t="s">
        <v>25</v>
      </c>
      <c r="H947" s="38">
        <v>2240</v>
      </c>
      <c r="I947" s="38">
        <v>173</v>
      </c>
      <c r="J947" s="38">
        <v>1999</v>
      </c>
      <c r="K947" s="38">
        <v>10</v>
      </c>
      <c r="L947" s="38">
        <v>27</v>
      </c>
      <c r="M947" s="38">
        <v>29</v>
      </c>
      <c r="N947" s="38">
        <v>0</v>
      </c>
      <c r="O947" s="38">
        <v>2</v>
      </c>
      <c r="P947" s="38"/>
      <c r="Q947" s="38"/>
      <c r="R947" s="38">
        <v>4114</v>
      </c>
      <c r="S947" s="38">
        <v>483</v>
      </c>
      <c r="T947" s="38">
        <v>3533</v>
      </c>
      <c r="U947" s="38">
        <v>4</v>
      </c>
      <c r="V947" s="38">
        <v>9</v>
      </c>
      <c r="W947" s="38">
        <v>61</v>
      </c>
      <c r="X947" s="38">
        <v>15</v>
      </c>
      <c r="Y947" s="38">
        <v>9</v>
      </c>
      <c r="Z947" s="38"/>
      <c r="AA947" s="38"/>
      <c r="AB947" s="39">
        <v>7.7232143000000004</v>
      </c>
      <c r="AC947" s="39">
        <v>89.241071399999996</v>
      </c>
      <c r="AD947" s="39">
        <v>0.44642860000000001</v>
      </c>
      <c r="AE947" s="39">
        <v>1.2053571000000001</v>
      </c>
      <c r="AF947" s="39">
        <v>1.2946428999999999</v>
      </c>
      <c r="AG947" s="39">
        <v>0</v>
      </c>
      <c r="AH947" s="39">
        <v>8.9285699999999996E-2</v>
      </c>
      <c r="AI947" s="39"/>
      <c r="AJ947" s="39"/>
      <c r="AK947" s="39">
        <v>11.740398600000001</v>
      </c>
      <c r="AL947" s="39">
        <v>85.877491500000005</v>
      </c>
      <c r="AM947" s="39">
        <v>9.7228999999999996E-2</v>
      </c>
      <c r="AN947" s="39">
        <v>0.21876519999999999</v>
      </c>
      <c r="AO947" s="39">
        <v>1.4827418999999999</v>
      </c>
      <c r="AP947" s="39">
        <v>0.36460870000000001</v>
      </c>
      <c r="AQ947" s="39">
        <v>0.21876519999999999</v>
      </c>
      <c r="AR947" s="40"/>
      <c r="AS947" s="40"/>
    </row>
    <row r="948" spans="2:45" ht="15" hidden="1" customHeight="1" x14ac:dyDescent="0.25">
      <c r="B948" s="35">
        <v>942</v>
      </c>
      <c r="C948" s="36" t="s">
        <v>31</v>
      </c>
      <c r="D948" s="36" t="s">
        <v>272</v>
      </c>
      <c r="E948" s="36" t="s">
        <v>314</v>
      </c>
      <c r="F948" s="36" t="s">
        <v>317</v>
      </c>
      <c r="G948" s="37" t="s">
        <v>26</v>
      </c>
      <c r="H948" s="38">
        <v>916</v>
      </c>
      <c r="I948" s="38">
        <v>19</v>
      </c>
      <c r="J948" s="38">
        <v>16</v>
      </c>
      <c r="K948" s="38">
        <v>58</v>
      </c>
      <c r="L948" s="38">
        <v>250</v>
      </c>
      <c r="M948" s="38">
        <v>297</v>
      </c>
      <c r="N948" s="38">
        <v>186</v>
      </c>
      <c r="O948" s="38">
        <v>90</v>
      </c>
      <c r="P948" s="38"/>
      <c r="Q948" s="38"/>
      <c r="R948" s="38">
        <v>1172</v>
      </c>
      <c r="S948" s="38">
        <v>33</v>
      </c>
      <c r="T948" s="38">
        <v>33</v>
      </c>
      <c r="U948" s="38">
        <v>70</v>
      </c>
      <c r="V948" s="38">
        <v>53</v>
      </c>
      <c r="W948" s="38">
        <v>773</v>
      </c>
      <c r="X948" s="38">
        <v>193</v>
      </c>
      <c r="Y948" s="38">
        <v>17</v>
      </c>
      <c r="Z948" s="38"/>
      <c r="AA948" s="38"/>
      <c r="AB948" s="39">
        <v>2.0742357999999999</v>
      </c>
      <c r="AC948" s="39">
        <v>1.7467249</v>
      </c>
      <c r="AD948" s="39">
        <v>6.3318776999999997</v>
      </c>
      <c r="AE948" s="39">
        <v>27.292576400000002</v>
      </c>
      <c r="AF948" s="39">
        <v>32.423580800000003</v>
      </c>
      <c r="AG948" s="39">
        <v>20.305676900000002</v>
      </c>
      <c r="AH948" s="39">
        <v>9.8253275000000002</v>
      </c>
      <c r="AI948" s="39"/>
      <c r="AJ948" s="39"/>
      <c r="AK948" s="39">
        <v>2.8156997000000001</v>
      </c>
      <c r="AL948" s="39">
        <v>2.8156997000000001</v>
      </c>
      <c r="AM948" s="39">
        <v>5.9726961999999997</v>
      </c>
      <c r="AN948" s="39">
        <v>4.5221843000000002</v>
      </c>
      <c r="AO948" s="39">
        <v>65.955631400000001</v>
      </c>
      <c r="AP948" s="39">
        <v>16.4675768</v>
      </c>
      <c r="AQ948" s="39">
        <v>1.4505119</v>
      </c>
      <c r="AR948" s="40"/>
      <c r="AS948" s="40"/>
    </row>
    <row r="949" spans="2:45" ht="15" customHeight="1" x14ac:dyDescent="0.25">
      <c r="B949" s="41">
        <v>943</v>
      </c>
      <c r="C949" s="42" t="s">
        <v>31</v>
      </c>
      <c r="D949" s="51" t="s">
        <v>272</v>
      </c>
      <c r="E949" s="51" t="s">
        <v>314</v>
      </c>
      <c r="F949" s="51" t="s">
        <v>318</v>
      </c>
      <c r="G949" s="52" t="s">
        <v>318</v>
      </c>
      <c r="H949" s="43">
        <v>2139</v>
      </c>
      <c r="I949" s="43">
        <v>129</v>
      </c>
      <c r="J949" s="43">
        <v>200</v>
      </c>
      <c r="K949" s="43">
        <v>368</v>
      </c>
      <c r="L949" s="43">
        <v>502</v>
      </c>
      <c r="M949" s="43">
        <v>830</v>
      </c>
      <c r="N949" s="43">
        <v>79</v>
      </c>
      <c r="O949" s="43">
        <v>31</v>
      </c>
      <c r="P949" s="44">
        <f>K949+L949+M949+N949+O949</f>
        <v>1810</v>
      </c>
      <c r="Q949" s="44">
        <f>I949+J949</f>
        <v>329</v>
      </c>
      <c r="R949" s="43">
        <v>2607</v>
      </c>
      <c r="S949" s="43">
        <v>120</v>
      </c>
      <c r="T949" s="43">
        <v>352</v>
      </c>
      <c r="U949" s="43">
        <v>112</v>
      </c>
      <c r="V949" s="43">
        <v>98</v>
      </c>
      <c r="W949" s="43">
        <v>1744</v>
      </c>
      <c r="X949" s="43">
        <v>151</v>
      </c>
      <c r="Y949" s="43">
        <v>30</v>
      </c>
      <c r="Z949" s="45">
        <f>U949+V949+W949+X949+Y949</f>
        <v>2135</v>
      </c>
      <c r="AA949" s="45">
        <f>S949+T949</f>
        <v>472</v>
      </c>
      <c r="AB949" s="46">
        <v>6.0308555000000004</v>
      </c>
      <c r="AC949" s="46">
        <v>9.3501636000000001</v>
      </c>
      <c r="AD949" s="46">
        <v>17.204301099999999</v>
      </c>
      <c r="AE949" s="46">
        <v>23.468910699999999</v>
      </c>
      <c r="AF949" s="46">
        <v>38.803179100000001</v>
      </c>
      <c r="AG949" s="46">
        <v>3.6933145999999999</v>
      </c>
      <c r="AH949" s="46">
        <v>1.4492754000000001</v>
      </c>
      <c r="AI949" s="47">
        <f>AB949+AC949</f>
        <v>15.3810191</v>
      </c>
      <c r="AJ949" s="47">
        <f>AD949+AE949+AF949+AG949+AH949</f>
        <v>84.618980899999997</v>
      </c>
      <c r="AK949" s="46">
        <v>4.6029919000000001</v>
      </c>
      <c r="AL949" s="46">
        <v>13.5021097</v>
      </c>
      <c r="AM949" s="46">
        <v>4.2961258000000004</v>
      </c>
      <c r="AN949" s="46">
        <v>3.7591101</v>
      </c>
      <c r="AO949" s="46">
        <v>66.896816299999998</v>
      </c>
      <c r="AP949" s="46">
        <v>5.7920981999999999</v>
      </c>
      <c r="AQ949" s="46">
        <v>1.1507480000000001</v>
      </c>
      <c r="AR949" s="48">
        <f>AK949+AL949</f>
        <v>18.105101600000001</v>
      </c>
      <c r="AS949" s="48">
        <f>AM949+AN949+AO949+AP949+AQ949</f>
        <v>81.894898399999988</v>
      </c>
    </row>
    <row r="950" spans="2:45" ht="15" hidden="1" customHeight="1" x14ac:dyDescent="0.25">
      <c r="B950" s="35">
        <v>944</v>
      </c>
      <c r="C950" s="36" t="s">
        <v>31</v>
      </c>
      <c r="D950" s="36" t="s">
        <v>272</v>
      </c>
      <c r="E950" s="36" t="s">
        <v>314</v>
      </c>
      <c r="F950" s="36" t="s">
        <v>318</v>
      </c>
      <c r="G950" s="37" t="s">
        <v>25</v>
      </c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40"/>
      <c r="AS950" s="40"/>
    </row>
    <row r="951" spans="2:45" ht="15" hidden="1" customHeight="1" x14ac:dyDescent="0.25">
      <c r="B951" s="35">
        <v>945</v>
      </c>
      <c r="C951" s="36" t="s">
        <v>31</v>
      </c>
      <c r="D951" s="36" t="s">
        <v>272</v>
      </c>
      <c r="E951" s="36" t="s">
        <v>314</v>
      </c>
      <c r="F951" s="36" t="s">
        <v>318</v>
      </c>
      <c r="G951" s="37" t="s">
        <v>26</v>
      </c>
      <c r="H951" s="38">
        <v>2139</v>
      </c>
      <c r="I951" s="38">
        <v>129</v>
      </c>
      <c r="J951" s="38">
        <v>200</v>
      </c>
      <c r="K951" s="38">
        <v>368</v>
      </c>
      <c r="L951" s="38">
        <v>502</v>
      </c>
      <c r="M951" s="38">
        <v>830</v>
      </c>
      <c r="N951" s="38">
        <v>79</v>
      </c>
      <c r="O951" s="38">
        <v>31</v>
      </c>
      <c r="P951" s="38"/>
      <c r="Q951" s="38"/>
      <c r="R951" s="38">
        <v>2607</v>
      </c>
      <c r="S951" s="38">
        <v>120</v>
      </c>
      <c r="T951" s="38">
        <v>352</v>
      </c>
      <c r="U951" s="38">
        <v>112</v>
      </c>
      <c r="V951" s="38">
        <v>98</v>
      </c>
      <c r="W951" s="38">
        <v>1744</v>
      </c>
      <c r="X951" s="38">
        <v>151</v>
      </c>
      <c r="Y951" s="38">
        <v>30</v>
      </c>
      <c r="Z951" s="38"/>
      <c r="AA951" s="38"/>
      <c r="AB951" s="39">
        <v>6.0308555000000004</v>
      </c>
      <c r="AC951" s="39">
        <v>9.3501636000000001</v>
      </c>
      <c r="AD951" s="39">
        <v>17.204301099999999</v>
      </c>
      <c r="AE951" s="39">
        <v>23.468910699999999</v>
      </c>
      <c r="AF951" s="39">
        <v>38.803179100000001</v>
      </c>
      <c r="AG951" s="39">
        <v>3.6933145999999999</v>
      </c>
      <c r="AH951" s="39">
        <v>1.4492754000000001</v>
      </c>
      <c r="AI951" s="39"/>
      <c r="AJ951" s="39"/>
      <c r="AK951" s="39">
        <v>4.6029919000000001</v>
      </c>
      <c r="AL951" s="39">
        <v>13.5021097</v>
      </c>
      <c r="AM951" s="39">
        <v>4.2961258000000004</v>
      </c>
      <c r="AN951" s="39">
        <v>3.7591101</v>
      </c>
      <c r="AO951" s="39">
        <v>66.896816299999998</v>
      </c>
      <c r="AP951" s="39">
        <v>5.7920981999999999</v>
      </c>
      <c r="AQ951" s="39">
        <v>1.1507480000000001</v>
      </c>
      <c r="AR951" s="40"/>
      <c r="AS951" s="40"/>
    </row>
    <row r="952" spans="2:45" ht="15" hidden="1" customHeight="1" x14ac:dyDescent="0.25">
      <c r="B952" s="30">
        <v>946</v>
      </c>
      <c r="C952" s="31" t="s">
        <v>29</v>
      </c>
      <c r="D952" s="50" t="s">
        <v>272</v>
      </c>
      <c r="E952" s="50" t="s">
        <v>319</v>
      </c>
      <c r="F952" s="50"/>
      <c r="G952" s="31" t="s">
        <v>319</v>
      </c>
      <c r="H952" s="32">
        <v>3017</v>
      </c>
      <c r="I952" s="32">
        <v>25</v>
      </c>
      <c r="J952" s="32">
        <v>198</v>
      </c>
      <c r="K952" s="32">
        <v>838</v>
      </c>
      <c r="L952" s="32">
        <v>946</v>
      </c>
      <c r="M952" s="32">
        <v>732</v>
      </c>
      <c r="N952" s="32">
        <v>221</v>
      </c>
      <c r="O952" s="32">
        <v>57</v>
      </c>
      <c r="P952" s="32"/>
      <c r="Q952" s="32"/>
      <c r="R952" s="32">
        <v>3288</v>
      </c>
      <c r="S952" s="32">
        <v>41</v>
      </c>
      <c r="T952" s="32">
        <v>233</v>
      </c>
      <c r="U952" s="32">
        <v>222</v>
      </c>
      <c r="V952" s="32">
        <v>316</v>
      </c>
      <c r="W952" s="32">
        <v>2243</v>
      </c>
      <c r="X952" s="32">
        <v>190</v>
      </c>
      <c r="Y952" s="32">
        <v>43</v>
      </c>
      <c r="Z952" s="32"/>
      <c r="AA952" s="32"/>
      <c r="AB952" s="33">
        <v>0.82863770000000003</v>
      </c>
      <c r="AC952" s="33">
        <v>6.5628107</v>
      </c>
      <c r="AD952" s="33">
        <v>27.775936399999999</v>
      </c>
      <c r="AE952" s="33">
        <v>31.355651300000002</v>
      </c>
      <c r="AF952" s="33">
        <v>24.262512399999999</v>
      </c>
      <c r="AG952" s="33">
        <v>7.3251574000000002</v>
      </c>
      <c r="AH952" s="33">
        <v>1.889294</v>
      </c>
      <c r="AI952" s="33"/>
      <c r="AJ952" s="33"/>
      <c r="AK952" s="33">
        <v>1.2469585999999999</v>
      </c>
      <c r="AL952" s="33">
        <v>7.0863747000000004</v>
      </c>
      <c r="AM952" s="33">
        <v>6.7518247999999996</v>
      </c>
      <c r="AN952" s="33">
        <v>9.6107055999999993</v>
      </c>
      <c r="AO952" s="33">
        <v>68.217761600000003</v>
      </c>
      <c r="AP952" s="33">
        <v>5.7785887999999996</v>
      </c>
      <c r="AQ952" s="33">
        <v>1.3077859000000001</v>
      </c>
      <c r="AR952" s="34"/>
      <c r="AS952" s="34"/>
    </row>
    <row r="953" spans="2:45" ht="15" hidden="1" customHeight="1" x14ac:dyDescent="0.25">
      <c r="B953" s="35">
        <v>947</v>
      </c>
      <c r="C953" s="36" t="s">
        <v>29</v>
      </c>
      <c r="D953" s="36" t="s">
        <v>272</v>
      </c>
      <c r="E953" s="36" t="s">
        <v>319</v>
      </c>
      <c r="F953" s="36"/>
      <c r="G953" s="37" t="s">
        <v>25</v>
      </c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40"/>
      <c r="AS953" s="40"/>
    </row>
    <row r="954" spans="2:45" ht="15" hidden="1" customHeight="1" x14ac:dyDescent="0.25">
      <c r="B954" s="35">
        <v>948</v>
      </c>
      <c r="C954" s="36" t="s">
        <v>29</v>
      </c>
      <c r="D954" s="36" t="s">
        <v>272</v>
      </c>
      <c r="E954" s="36" t="s">
        <v>319</v>
      </c>
      <c r="F954" s="36"/>
      <c r="G954" s="37" t="s">
        <v>26</v>
      </c>
      <c r="H954" s="38">
        <v>3017</v>
      </c>
      <c r="I954" s="38">
        <v>25</v>
      </c>
      <c r="J954" s="38">
        <v>198</v>
      </c>
      <c r="K954" s="38">
        <v>838</v>
      </c>
      <c r="L954" s="38">
        <v>946</v>
      </c>
      <c r="M954" s="38">
        <v>732</v>
      </c>
      <c r="N954" s="38">
        <v>221</v>
      </c>
      <c r="O954" s="38">
        <v>57</v>
      </c>
      <c r="P954" s="38"/>
      <c r="Q954" s="38"/>
      <c r="R954" s="38">
        <v>3288</v>
      </c>
      <c r="S954" s="38">
        <v>41</v>
      </c>
      <c r="T954" s="38">
        <v>233</v>
      </c>
      <c r="U954" s="38">
        <v>222</v>
      </c>
      <c r="V954" s="38">
        <v>316</v>
      </c>
      <c r="W954" s="38">
        <v>2243</v>
      </c>
      <c r="X954" s="38">
        <v>190</v>
      </c>
      <c r="Y954" s="38">
        <v>43</v>
      </c>
      <c r="Z954" s="38"/>
      <c r="AA954" s="38"/>
      <c r="AB954" s="39">
        <v>0.82863770000000003</v>
      </c>
      <c r="AC954" s="39">
        <v>6.5628107</v>
      </c>
      <c r="AD954" s="39">
        <v>27.775936399999999</v>
      </c>
      <c r="AE954" s="39">
        <v>31.355651300000002</v>
      </c>
      <c r="AF954" s="39">
        <v>24.262512399999999</v>
      </c>
      <c r="AG954" s="39">
        <v>7.3251574000000002</v>
      </c>
      <c r="AH954" s="39">
        <v>1.889294</v>
      </c>
      <c r="AI954" s="39"/>
      <c r="AJ954" s="39"/>
      <c r="AK954" s="39">
        <v>1.2469585999999999</v>
      </c>
      <c r="AL954" s="39">
        <v>7.0863747000000004</v>
      </c>
      <c r="AM954" s="39">
        <v>6.7518247999999996</v>
      </c>
      <c r="AN954" s="39">
        <v>9.6107055999999993</v>
      </c>
      <c r="AO954" s="39">
        <v>68.217761600000003</v>
      </c>
      <c r="AP954" s="39">
        <v>5.7785887999999996</v>
      </c>
      <c r="AQ954" s="39">
        <v>1.3077859000000001</v>
      </c>
      <c r="AR954" s="40"/>
      <c r="AS954" s="40"/>
    </row>
    <row r="955" spans="2:45" ht="15" customHeight="1" x14ac:dyDescent="0.25">
      <c r="B955" s="41">
        <v>949</v>
      </c>
      <c r="C955" s="42" t="s">
        <v>31</v>
      </c>
      <c r="D955" s="51" t="s">
        <v>272</v>
      </c>
      <c r="E955" s="51" t="s">
        <v>319</v>
      </c>
      <c r="F955" s="51" t="s">
        <v>320</v>
      </c>
      <c r="G955" s="52" t="s">
        <v>320</v>
      </c>
      <c r="H955" s="43">
        <v>1298</v>
      </c>
      <c r="I955" s="43">
        <v>1</v>
      </c>
      <c r="J955" s="43">
        <v>4</v>
      </c>
      <c r="K955" s="43">
        <v>409</v>
      </c>
      <c r="L955" s="43">
        <v>426</v>
      </c>
      <c r="M955" s="43">
        <v>366</v>
      </c>
      <c r="N955" s="43">
        <v>83</v>
      </c>
      <c r="O955" s="43">
        <v>9</v>
      </c>
      <c r="P955" s="44">
        <f>K955+L955+M955+N955+O955</f>
        <v>1293</v>
      </c>
      <c r="Q955" s="44">
        <f>I955+J955</f>
        <v>5</v>
      </c>
      <c r="R955" s="43">
        <v>1457</v>
      </c>
      <c r="S955" s="43">
        <v>8</v>
      </c>
      <c r="T955" s="43">
        <v>4</v>
      </c>
      <c r="U955" s="43">
        <v>52</v>
      </c>
      <c r="V955" s="43">
        <v>183</v>
      </c>
      <c r="W955" s="43">
        <v>1085</v>
      </c>
      <c r="X955" s="43">
        <v>110</v>
      </c>
      <c r="Y955" s="43">
        <v>15</v>
      </c>
      <c r="Z955" s="45">
        <f>U955+V955+W955+X955+Y955</f>
        <v>1445</v>
      </c>
      <c r="AA955" s="45">
        <f>S955+T955</f>
        <v>12</v>
      </c>
      <c r="AB955" s="46">
        <v>7.7041600000000002E-2</v>
      </c>
      <c r="AC955" s="46">
        <v>0.30816640000000001</v>
      </c>
      <c r="AD955" s="46">
        <v>31.5100154</v>
      </c>
      <c r="AE955" s="46">
        <v>32.8197227</v>
      </c>
      <c r="AF955" s="46">
        <v>28.197226499999999</v>
      </c>
      <c r="AG955" s="46">
        <v>6.3944530000000004</v>
      </c>
      <c r="AH955" s="46">
        <v>0.69337439999999995</v>
      </c>
      <c r="AI955" s="47">
        <f>AB955+AC955</f>
        <v>0.38520799999999999</v>
      </c>
      <c r="AJ955" s="47">
        <f>AD955+AE955+AF955+AG955+AH955</f>
        <v>99.614791999999994</v>
      </c>
      <c r="AK955" s="46">
        <v>0.54907340000000004</v>
      </c>
      <c r="AL955" s="46">
        <v>0.27453670000000002</v>
      </c>
      <c r="AM955" s="46">
        <v>3.5689774000000001</v>
      </c>
      <c r="AN955" s="46">
        <v>12.560054900000001</v>
      </c>
      <c r="AO955" s="46">
        <v>74.468085099999996</v>
      </c>
      <c r="AP955" s="46">
        <v>7.5497598000000004</v>
      </c>
      <c r="AQ955" s="46">
        <v>1.0295126999999999</v>
      </c>
      <c r="AR955" s="48">
        <f>AK955+AL955</f>
        <v>0.82361010000000001</v>
      </c>
      <c r="AS955" s="48">
        <f>AM955+AN955+AO955+AP955+AQ955</f>
        <v>99.176389900000004</v>
      </c>
    </row>
    <row r="956" spans="2:45" ht="15" hidden="1" customHeight="1" x14ac:dyDescent="0.25">
      <c r="B956" s="35">
        <v>950</v>
      </c>
      <c r="C956" s="36" t="s">
        <v>31</v>
      </c>
      <c r="D956" s="36" t="s">
        <v>272</v>
      </c>
      <c r="E956" s="36" t="s">
        <v>319</v>
      </c>
      <c r="F956" s="36" t="s">
        <v>320</v>
      </c>
      <c r="G956" s="37" t="s">
        <v>25</v>
      </c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40"/>
      <c r="AS956" s="40"/>
    </row>
    <row r="957" spans="2:45" ht="15" hidden="1" customHeight="1" x14ac:dyDescent="0.25">
      <c r="B957" s="35">
        <v>951</v>
      </c>
      <c r="C957" s="36" t="s">
        <v>31</v>
      </c>
      <c r="D957" s="36" t="s">
        <v>272</v>
      </c>
      <c r="E957" s="36" t="s">
        <v>319</v>
      </c>
      <c r="F957" s="36" t="s">
        <v>320</v>
      </c>
      <c r="G957" s="37" t="s">
        <v>26</v>
      </c>
      <c r="H957" s="38">
        <v>1298</v>
      </c>
      <c r="I957" s="38">
        <v>1</v>
      </c>
      <c r="J957" s="38">
        <v>4</v>
      </c>
      <c r="K957" s="38">
        <v>409</v>
      </c>
      <c r="L957" s="38">
        <v>426</v>
      </c>
      <c r="M957" s="38">
        <v>366</v>
      </c>
      <c r="N957" s="38">
        <v>83</v>
      </c>
      <c r="O957" s="38">
        <v>9</v>
      </c>
      <c r="P957" s="38"/>
      <c r="Q957" s="38"/>
      <c r="R957" s="38">
        <v>1457</v>
      </c>
      <c r="S957" s="38">
        <v>8</v>
      </c>
      <c r="T957" s="38">
        <v>4</v>
      </c>
      <c r="U957" s="38">
        <v>52</v>
      </c>
      <c r="V957" s="38">
        <v>183</v>
      </c>
      <c r="W957" s="38">
        <v>1085</v>
      </c>
      <c r="X957" s="38">
        <v>110</v>
      </c>
      <c r="Y957" s="38">
        <v>15</v>
      </c>
      <c r="Z957" s="38"/>
      <c r="AA957" s="38"/>
      <c r="AB957" s="39">
        <v>7.7041600000000002E-2</v>
      </c>
      <c r="AC957" s="39">
        <v>0.30816640000000001</v>
      </c>
      <c r="AD957" s="39">
        <v>31.5100154</v>
      </c>
      <c r="AE957" s="39">
        <v>32.8197227</v>
      </c>
      <c r="AF957" s="39">
        <v>28.197226499999999</v>
      </c>
      <c r="AG957" s="39">
        <v>6.3944530000000004</v>
      </c>
      <c r="AH957" s="39">
        <v>0.69337439999999995</v>
      </c>
      <c r="AI957" s="39"/>
      <c r="AJ957" s="39"/>
      <c r="AK957" s="39">
        <v>0.54907340000000004</v>
      </c>
      <c r="AL957" s="39">
        <v>0.27453670000000002</v>
      </c>
      <c r="AM957" s="39">
        <v>3.5689774000000001</v>
      </c>
      <c r="AN957" s="39">
        <v>12.560054900000001</v>
      </c>
      <c r="AO957" s="39">
        <v>74.468085099999996</v>
      </c>
      <c r="AP957" s="39">
        <v>7.5497598000000004</v>
      </c>
      <c r="AQ957" s="39">
        <v>1.0295126999999999</v>
      </c>
      <c r="AR957" s="40"/>
      <c r="AS957" s="40"/>
    </row>
    <row r="958" spans="2:45" ht="15" customHeight="1" x14ac:dyDescent="0.25">
      <c r="B958" s="41">
        <v>952</v>
      </c>
      <c r="C958" s="42" t="s">
        <v>31</v>
      </c>
      <c r="D958" s="51" t="s">
        <v>272</v>
      </c>
      <c r="E958" s="51" t="s">
        <v>319</v>
      </c>
      <c r="F958" s="51" t="s">
        <v>321</v>
      </c>
      <c r="G958" s="52" t="s">
        <v>321</v>
      </c>
      <c r="H958" s="43">
        <v>1719</v>
      </c>
      <c r="I958" s="43">
        <v>24</v>
      </c>
      <c r="J958" s="43">
        <v>194</v>
      </c>
      <c r="K958" s="43">
        <v>429</v>
      </c>
      <c r="L958" s="43">
        <v>520</v>
      </c>
      <c r="M958" s="43">
        <v>366</v>
      </c>
      <c r="N958" s="43">
        <v>138</v>
      </c>
      <c r="O958" s="43">
        <v>48</v>
      </c>
      <c r="P958" s="44">
        <f>K958+L958+M958+N958+O958</f>
        <v>1501</v>
      </c>
      <c r="Q958" s="44">
        <f>I958+J958</f>
        <v>218</v>
      </c>
      <c r="R958" s="43">
        <v>1831</v>
      </c>
      <c r="S958" s="43">
        <v>33</v>
      </c>
      <c r="T958" s="43">
        <v>229</v>
      </c>
      <c r="U958" s="43">
        <v>170</v>
      </c>
      <c r="V958" s="43">
        <v>133</v>
      </c>
      <c r="W958" s="43">
        <v>1158</v>
      </c>
      <c r="X958" s="43">
        <v>80</v>
      </c>
      <c r="Y958" s="43">
        <v>28</v>
      </c>
      <c r="Z958" s="45">
        <f>U958+V958+W958+X958+Y958</f>
        <v>1569</v>
      </c>
      <c r="AA958" s="45">
        <f>S958+T958</f>
        <v>262</v>
      </c>
      <c r="AB958" s="46">
        <v>1.3961606</v>
      </c>
      <c r="AC958" s="46">
        <v>11.285631199999999</v>
      </c>
      <c r="AD958" s="46">
        <v>24.95637</v>
      </c>
      <c r="AE958" s="46">
        <v>30.250145400000001</v>
      </c>
      <c r="AF958" s="46">
        <v>21.291448500000001</v>
      </c>
      <c r="AG958" s="46">
        <v>8.0279232</v>
      </c>
      <c r="AH958" s="46">
        <v>2.7923211000000001</v>
      </c>
      <c r="AI958" s="47">
        <f>AB958+AC958</f>
        <v>12.681791799999999</v>
      </c>
      <c r="AJ958" s="47">
        <f>AD958+AE958+AF958+AG958+AH958</f>
        <v>87.318208200000001</v>
      </c>
      <c r="AK958" s="46">
        <v>1.8022937999999999</v>
      </c>
      <c r="AL958" s="46">
        <v>12.5068269</v>
      </c>
      <c r="AM958" s="46">
        <v>9.2845440000000004</v>
      </c>
      <c r="AN958" s="46">
        <v>7.2637903000000001</v>
      </c>
      <c r="AO958" s="46">
        <v>63.2441289</v>
      </c>
      <c r="AP958" s="46">
        <v>4.3691972000000003</v>
      </c>
      <c r="AQ958" s="46">
        <v>1.5292190000000001</v>
      </c>
      <c r="AR958" s="48">
        <f>AK958+AL958</f>
        <v>14.309120699999999</v>
      </c>
      <c r="AS958" s="48">
        <f>AM958+AN958+AO958+AP958+AQ958</f>
        <v>85.6908794</v>
      </c>
    </row>
    <row r="959" spans="2:45" ht="15" hidden="1" customHeight="1" x14ac:dyDescent="0.25">
      <c r="B959" s="35">
        <v>953</v>
      </c>
      <c r="C959" s="36" t="s">
        <v>31</v>
      </c>
      <c r="D959" s="36" t="s">
        <v>272</v>
      </c>
      <c r="E959" s="36" t="s">
        <v>319</v>
      </c>
      <c r="F959" s="36" t="s">
        <v>321</v>
      </c>
      <c r="G959" s="37" t="s">
        <v>25</v>
      </c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40"/>
      <c r="AS959" s="40"/>
    </row>
    <row r="960" spans="2:45" ht="15" hidden="1" customHeight="1" x14ac:dyDescent="0.25">
      <c r="B960" s="35">
        <v>954</v>
      </c>
      <c r="C960" s="36" t="s">
        <v>31</v>
      </c>
      <c r="D960" s="36" t="s">
        <v>272</v>
      </c>
      <c r="E960" s="36" t="s">
        <v>319</v>
      </c>
      <c r="F960" s="36" t="s">
        <v>321</v>
      </c>
      <c r="G960" s="37" t="s">
        <v>26</v>
      </c>
      <c r="H960" s="38">
        <v>1719</v>
      </c>
      <c r="I960" s="38">
        <v>24</v>
      </c>
      <c r="J960" s="38">
        <v>194</v>
      </c>
      <c r="K960" s="38">
        <v>429</v>
      </c>
      <c r="L960" s="38">
        <v>520</v>
      </c>
      <c r="M960" s="38">
        <v>366</v>
      </c>
      <c r="N960" s="38">
        <v>138</v>
      </c>
      <c r="O960" s="38">
        <v>48</v>
      </c>
      <c r="P960" s="38"/>
      <c r="Q960" s="38"/>
      <c r="R960" s="38">
        <v>1831</v>
      </c>
      <c r="S960" s="38">
        <v>33</v>
      </c>
      <c r="T960" s="38">
        <v>229</v>
      </c>
      <c r="U960" s="38">
        <v>170</v>
      </c>
      <c r="V960" s="38">
        <v>133</v>
      </c>
      <c r="W960" s="38">
        <v>1158</v>
      </c>
      <c r="X960" s="38">
        <v>80</v>
      </c>
      <c r="Y960" s="38">
        <v>28</v>
      </c>
      <c r="Z960" s="38"/>
      <c r="AA960" s="38"/>
      <c r="AB960" s="39">
        <v>1.3961606</v>
      </c>
      <c r="AC960" s="39">
        <v>11.285631199999999</v>
      </c>
      <c r="AD960" s="39">
        <v>24.95637</v>
      </c>
      <c r="AE960" s="39">
        <v>30.250145400000001</v>
      </c>
      <c r="AF960" s="39">
        <v>21.291448500000001</v>
      </c>
      <c r="AG960" s="39">
        <v>8.0279232</v>
      </c>
      <c r="AH960" s="39">
        <v>2.7923211000000001</v>
      </c>
      <c r="AI960" s="39"/>
      <c r="AJ960" s="39"/>
      <c r="AK960" s="39">
        <v>1.8022937999999999</v>
      </c>
      <c r="AL960" s="39">
        <v>12.5068269</v>
      </c>
      <c r="AM960" s="39">
        <v>9.2845440000000004</v>
      </c>
      <c r="AN960" s="39">
        <v>7.2637903000000001</v>
      </c>
      <c r="AO960" s="39">
        <v>63.2441289</v>
      </c>
      <c r="AP960" s="39">
        <v>4.3691972000000003</v>
      </c>
      <c r="AQ960" s="39">
        <v>1.5292190000000001</v>
      </c>
      <c r="AR960" s="40"/>
      <c r="AS960" s="40"/>
    </row>
    <row r="961" spans="2:45" ht="15" hidden="1" customHeight="1" x14ac:dyDescent="0.25">
      <c r="B961" s="30">
        <v>955</v>
      </c>
      <c r="C961" s="31" t="s">
        <v>29</v>
      </c>
      <c r="D961" s="50" t="s">
        <v>272</v>
      </c>
      <c r="E961" s="50" t="s">
        <v>322</v>
      </c>
      <c r="F961" s="50"/>
      <c r="G961" s="31" t="s">
        <v>322</v>
      </c>
      <c r="H961" s="32">
        <v>2183</v>
      </c>
      <c r="I961" s="32">
        <v>179</v>
      </c>
      <c r="J961" s="32">
        <v>259</v>
      </c>
      <c r="K961" s="32">
        <v>174</v>
      </c>
      <c r="L961" s="32">
        <v>252</v>
      </c>
      <c r="M961" s="32">
        <v>846</v>
      </c>
      <c r="N961" s="32">
        <v>437</v>
      </c>
      <c r="O961" s="32">
        <v>36</v>
      </c>
      <c r="P961" s="32"/>
      <c r="Q961" s="32"/>
      <c r="R961" s="32">
        <v>2598</v>
      </c>
      <c r="S961" s="32">
        <v>324</v>
      </c>
      <c r="T961" s="32">
        <v>554</v>
      </c>
      <c r="U961" s="32">
        <v>111</v>
      </c>
      <c r="V961" s="32">
        <v>56</v>
      </c>
      <c r="W961" s="32">
        <v>1090</v>
      </c>
      <c r="X961" s="32">
        <v>407</v>
      </c>
      <c r="Y961" s="32">
        <v>56</v>
      </c>
      <c r="Z961" s="32"/>
      <c r="AA961" s="32"/>
      <c r="AB961" s="33">
        <v>8.1997251000000002</v>
      </c>
      <c r="AC961" s="33">
        <v>11.864406799999999</v>
      </c>
      <c r="AD961" s="33">
        <v>7.9706824999999997</v>
      </c>
      <c r="AE961" s="33">
        <v>11.543747099999999</v>
      </c>
      <c r="AF961" s="33">
        <v>38.754008200000001</v>
      </c>
      <c r="AG961" s="33">
        <v>20.0183234</v>
      </c>
      <c r="AH961" s="33">
        <v>1.6491066999999999</v>
      </c>
      <c r="AI961" s="33"/>
      <c r="AJ961" s="33"/>
      <c r="AK961" s="33">
        <v>12.4711316</v>
      </c>
      <c r="AL961" s="33">
        <v>21.324095499999999</v>
      </c>
      <c r="AM961" s="33">
        <v>4.2725172999999996</v>
      </c>
      <c r="AN961" s="33">
        <v>2.1555042000000002</v>
      </c>
      <c r="AO961" s="33">
        <v>41.955350299999999</v>
      </c>
      <c r="AP961" s="33">
        <v>15.665896800000001</v>
      </c>
      <c r="AQ961" s="33">
        <v>2.1555042000000002</v>
      </c>
      <c r="AR961" s="34"/>
      <c r="AS961" s="34"/>
    </row>
    <row r="962" spans="2:45" ht="15" hidden="1" customHeight="1" x14ac:dyDescent="0.25">
      <c r="B962" s="35">
        <v>956</v>
      </c>
      <c r="C962" s="36" t="s">
        <v>29</v>
      </c>
      <c r="D962" s="36" t="s">
        <v>272</v>
      </c>
      <c r="E962" s="36" t="s">
        <v>322</v>
      </c>
      <c r="F962" s="36"/>
      <c r="G962" s="37" t="s">
        <v>25</v>
      </c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40"/>
      <c r="AS962" s="40"/>
    </row>
    <row r="963" spans="2:45" ht="15" hidden="1" customHeight="1" x14ac:dyDescent="0.25">
      <c r="B963" s="35">
        <v>957</v>
      </c>
      <c r="C963" s="36" t="s">
        <v>29</v>
      </c>
      <c r="D963" s="36" t="s">
        <v>272</v>
      </c>
      <c r="E963" s="36" t="s">
        <v>322</v>
      </c>
      <c r="F963" s="36"/>
      <c r="G963" s="37" t="s">
        <v>26</v>
      </c>
      <c r="H963" s="38">
        <v>2183</v>
      </c>
      <c r="I963" s="38">
        <v>179</v>
      </c>
      <c r="J963" s="38">
        <v>259</v>
      </c>
      <c r="K963" s="38">
        <v>174</v>
      </c>
      <c r="L963" s="38">
        <v>252</v>
      </c>
      <c r="M963" s="38">
        <v>846</v>
      </c>
      <c r="N963" s="38">
        <v>437</v>
      </c>
      <c r="O963" s="38">
        <v>36</v>
      </c>
      <c r="P963" s="38"/>
      <c r="Q963" s="38"/>
      <c r="R963" s="38">
        <v>2598</v>
      </c>
      <c r="S963" s="38">
        <v>324</v>
      </c>
      <c r="T963" s="38">
        <v>554</v>
      </c>
      <c r="U963" s="38">
        <v>111</v>
      </c>
      <c r="V963" s="38">
        <v>56</v>
      </c>
      <c r="W963" s="38">
        <v>1090</v>
      </c>
      <c r="X963" s="38">
        <v>407</v>
      </c>
      <c r="Y963" s="38">
        <v>56</v>
      </c>
      <c r="Z963" s="38"/>
      <c r="AA963" s="38"/>
      <c r="AB963" s="39">
        <v>8.1997251000000002</v>
      </c>
      <c r="AC963" s="39">
        <v>11.864406799999999</v>
      </c>
      <c r="AD963" s="39">
        <v>7.9706824999999997</v>
      </c>
      <c r="AE963" s="39">
        <v>11.543747099999999</v>
      </c>
      <c r="AF963" s="39">
        <v>38.754008200000001</v>
      </c>
      <c r="AG963" s="39">
        <v>20.0183234</v>
      </c>
      <c r="AH963" s="39">
        <v>1.6491066999999999</v>
      </c>
      <c r="AI963" s="39"/>
      <c r="AJ963" s="39"/>
      <c r="AK963" s="39">
        <v>12.4711316</v>
      </c>
      <c r="AL963" s="39">
        <v>21.324095499999999</v>
      </c>
      <c r="AM963" s="39">
        <v>4.2725172999999996</v>
      </c>
      <c r="AN963" s="39">
        <v>2.1555042000000002</v>
      </c>
      <c r="AO963" s="39">
        <v>41.955350299999999</v>
      </c>
      <c r="AP963" s="39">
        <v>15.665896800000001</v>
      </c>
      <c r="AQ963" s="39">
        <v>2.1555042000000002</v>
      </c>
      <c r="AR963" s="40"/>
      <c r="AS963" s="40"/>
    </row>
    <row r="964" spans="2:45" ht="15" customHeight="1" x14ac:dyDescent="0.25">
      <c r="B964" s="41">
        <v>958</v>
      </c>
      <c r="C964" s="42" t="s">
        <v>31</v>
      </c>
      <c r="D964" s="51" t="s">
        <v>272</v>
      </c>
      <c r="E964" s="51" t="s">
        <v>322</v>
      </c>
      <c r="F964" s="51" t="s">
        <v>323</v>
      </c>
      <c r="G964" s="52" t="s">
        <v>323</v>
      </c>
      <c r="H964" s="43">
        <v>1504</v>
      </c>
      <c r="I964" s="43">
        <v>142</v>
      </c>
      <c r="J964" s="43">
        <v>225</v>
      </c>
      <c r="K964" s="43">
        <v>128</v>
      </c>
      <c r="L964" s="43">
        <v>95</v>
      </c>
      <c r="M964" s="43">
        <v>501</v>
      </c>
      <c r="N964" s="43">
        <v>381</v>
      </c>
      <c r="O964" s="43">
        <v>32</v>
      </c>
      <c r="P964" s="44">
        <f>K964+L964+M964+N964+O964</f>
        <v>1137</v>
      </c>
      <c r="Q964" s="44">
        <f>I964+J964</f>
        <v>367</v>
      </c>
      <c r="R964" s="43">
        <v>1856</v>
      </c>
      <c r="S964" s="43">
        <v>246</v>
      </c>
      <c r="T964" s="43">
        <v>454</v>
      </c>
      <c r="U964" s="43">
        <v>95</v>
      </c>
      <c r="V964" s="43">
        <v>16</v>
      </c>
      <c r="W964" s="43">
        <v>666</v>
      </c>
      <c r="X964" s="43">
        <v>333</v>
      </c>
      <c r="Y964" s="43">
        <v>46</v>
      </c>
      <c r="Z964" s="45">
        <f>U964+V964+W964+X964+Y964</f>
        <v>1156</v>
      </c>
      <c r="AA964" s="45">
        <f>S964+T964</f>
        <v>700</v>
      </c>
      <c r="AB964" s="46">
        <v>9.4414894</v>
      </c>
      <c r="AC964" s="46">
        <v>14.960106400000001</v>
      </c>
      <c r="AD964" s="46">
        <v>8.5106383000000001</v>
      </c>
      <c r="AE964" s="46">
        <v>6.3164894</v>
      </c>
      <c r="AF964" s="46">
        <v>33.311170199999999</v>
      </c>
      <c r="AG964" s="46">
        <v>25.3324468</v>
      </c>
      <c r="AH964" s="46">
        <v>2.1276595999999999</v>
      </c>
      <c r="AI964" s="47">
        <f>AB964+AC964</f>
        <v>24.401595800000003</v>
      </c>
      <c r="AJ964" s="47">
        <f>AD964+AE964+AF964+AG964+AH964</f>
        <v>75.598404299999999</v>
      </c>
      <c r="AK964" s="46">
        <v>13.2543103</v>
      </c>
      <c r="AL964" s="46">
        <v>24.461206900000001</v>
      </c>
      <c r="AM964" s="46">
        <v>5.1185345</v>
      </c>
      <c r="AN964" s="46">
        <v>0.86206899999999997</v>
      </c>
      <c r="AO964" s="46">
        <v>35.883620700000002</v>
      </c>
      <c r="AP964" s="46">
        <v>17.9418103</v>
      </c>
      <c r="AQ964" s="46">
        <v>2.4784483000000002</v>
      </c>
      <c r="AR964" s="48">
        <f>AK964+AL964</f>
        <v>37.715517200000001</v>
      </c>
      <c r="AS964" s="48">
        <f>AM964+AN964+AO964+AP964+AQ964</f>
        <v>62.284482800000006</v>
      </c>
    </row>
    <row r="965" spans="2:45" ht="15" hidden="1" customHeight="1" x14ac:dyDescent="0.25">
      <c r="B965" s="35">
        <v>959</v>
      </c>
      <c r="C965" s="36" t="s">
        <v>31</v>
      </c>
      <c r="D965" s="36" t="s">
        <v>272</v>
      </c>
      <c r="E965" s="36" t="s">
        <v>322</v>
      </c>
      <c r="F965" s="36" t="s">
        <v>323</v>
      </c>
      <c r="G965" s="37" t="s">
        <v>25</v>
      </c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40"/>
      <c r="AS965" s="40"/>
    </row>
    <row r="966" spans="2:45" ht="15" hidden="1" customHeight="1" x14ac:dyDescent="0.25">
      <c r="B966" s="35">
        <v>960</v>
      </c>
      <c r="C966" s="36" t="s">
        <v>31</v>
      </c>
      <c r="D966" s="36" t="s">
        <v>272</v>
      </c>
      <c r="E966" s="36" t="s">
        <v>322</v>
      </c>
      <c r="F966" s="36" t="s">
        <v>323</v>
      </c>
      <c r="G966" s="37" t="s">
        <v>26</v>
      </c>
      <c r="H966" s="38">
        <v>1504</v>
      </c>
      <c r="I966" s="38">
        <v>142</v>
      </c>
      <c r="J966" s="38">
        <v>225</v>
      </c>
      <c r="K966" s="38">
        <v>128</v>
      </c>
      <c r="L966" s="38">
        <v>95</v>
      </c>
      <c r="M966" s="38">
        <v>501</v>
      </c>
      <c r="N966" s="38">
        <v>381</v>
      </c>
      <c r="O966" s="38">
        <v>32</v>
      </c>
      <c r="P966" s="38"/>
      <c r="Q966" s="38"/>
      <c r="R966" s="38">
        <v>1856</v>
      </c>
      <c r="S966" s="38">
        <v>246</v>
      </c>
      <c r="T966" s="38">
        <v>454</v>
      </c>
      <c r="U966" s="38">
        <v>95</v>
      </c>
      <c r="V966" s="38">
        <v>16</v>
      </c>
      <c r="W966" s="38">
        <v>666</v>
      </c>
      <c r="X966" s="38">
        <v>333</v>
      </c>
      <c r="Y966" s="38">
        <v>46</v>
      </c>
      <c r="Z966" s="38"/>
      <c r="AA966" s="38"/>
      <c r="AB966" s="39">
        <v>9.4414894</v>
      </c>
      <c r="AC966" s="39">
        <v>14.960106400000001</v>
      </c>
      <c r="AD966" s="39">
        <v>8.5106383000000001</v>
      </c>
      <c r="AE966" s="39">
        <v>6.3164894</v>
      </c>
      <c r="AF966" s="39">
        <v>33.311170199999999</v>
      </c>
      <c r="AG966" s="39">
        <v>25.3324468</v>
      </c>
      <c r="AH966" s="39">
        <v>2.1276595999999999</v>
      </c>
      <c r="AI966" s="39"/>
      <c r="AJ966" s="39"/>
      <c r="AK966" s="39">
        <v>13.2543103</v>
      </c>
      <c r="AL966" s="39">
        <v>24.461206900000001</v>
      </c>
      <c r="AM966" s="39">
        <v>5.1185345</v>
      </c>
      <c r="AN966" s="39">
        <v>0.86206899999999997</v>
      </c>
      <c r="AO966" s="39">
        <v>35.883620700000002</v>
      </c>
      <c r="AP966" s="39">
        <v>17.9418103</v>
      </c>
      <c r="AQ966" s="39">
        <v>2.4784483000000002</v>
      </c>
      <c r="AR966" s="40"/>
      <c r="AS966" s="40"/>
    </row>
    <row r="967" spans="2:45" ht="15" customHeight="1" x14ac:dyDescent="0.25">
      <c r="B967" s="41">
        <v>961</v>
      </c>
      <c r="C967" s="42" t="s">
        <v>31</v>
      </c>
      <c r="D967" s="51" t="s">
        <v>272</v>
      </c>
      <c r="E967" s="51" t="s">
        <v>322</v>
      </c>
      <c r="F967" s="51" t="s">
        <v>324</v>
      </c>
      <c r="G967" s="52" t="s">
        <v>324</v>
      </c>
      <c r="H967" s="43">
        <v>679</v>
      </c>
      <c r="I967" s="43">
        <v>37</v>
      </c>
      <c r="J967" s="43">
        <v>34</v>
      </c>
      <c r="K967" s="43">
        <v>46</v>
      </c>
      <c r="L967" s="43">
        <v>157</v>
      </c>
      <c r="M967" s="43">
        <v>345</v>
      </c>
      <c r="N967" s="43">
        <v>56</v>
      </c>
      <c r="O967" s="43">
        <v>4</v>
      </c>
      <c r="P967" s="44">
        <f>K967+L967+M967+N967+O967</f>
        <v>608</v>
      </c>
      <c r="Q967" s="44">
        <f>I967+J967</f>
        <v>71</v>
      </c>
      <c r="R967" s="43">
        <v>742</v>
      </c>
      <c r="S967" s="43">
        <v>78</v>
      </c>
      <c r="T967" s="43">
        <v>100</v>
      </c>
      <c r="U967" s="43">
        <v>16</v>
      </c>
      <c r="V967" s="43">
        <v>40</v>
      </c>
      <c r="W967" s="43">
        <v>424</v>
      </c>
      <c r="X967" s="43">
        <v>74</v>
      </c>
      <c r="Y967" s="43">
        <v>10</v>
      </c>
      <c r="Z967" s="45">
        <f>U967+V967+W967+X967+Y967</f>
        <v>564</v>
      </c>
      <c r="AA967" s="45">
        <f>S967+T967</f>
        <v>178</v>
      </c>
      <c r="AB967" s="46">
        <v>5.4491899999999998</v>
      </c>
      <c r="AC967" s="46">
        <v>5.0073638000000003</v>
      </c>
      <c r="AD967" s="46">
        <v>6.7746686</v>
      </c>
      <c r="AE967" s="46">
        <v>23.122238599999999</v>
      </c>
      <c r="AF967" s="46">
        <v>50.810014700000004</v>
      </c>
      <c r="AG967" s="46">
        <v>8.2474226999999996</v>
      </c>
      <c r="AH967" s="46">
        <v>0.5891016</v>
      </c>
      <c r="AI967" s="47">
        <f>AB967+AC967</f>
        <v>10.4565538</v>
      </c>
      <c r="AJ967" s="47">
        <f>AD967+AE967+AF967+AG967+AH967</f>
        <v>89.543446200000005</v>
      </c>
      <c r="AK967" s="46">
        <v>10.512129399999999</v>
      </c>
      <c r="AL967" s="46">
        <v>13.4770889</v>
      </c>
      <c r="AM967" s="46">
        <v>2.1563341999999999</v>
      </c>
      <c r="AN967" s="46">
        <v>5.3908355999999999</v>
      </c>
      <c r="AO967" s="46">
        <v>57.142857100000001</v>
      </c>
      <c r="AP967" s="46">
        <v>9.9730457999999995</v>
      </c>
      <c r="AQ967" s="46">
        <v>1.3477089</v>
      </c>
      <c r="AR967" s="48">
        <f>AK967+AL967</f>
        <v>23.989218299999997</v>
      </c>
      <c r="AS967" s="48">
        <f>AM967+AN967+AO967+AP967+AQ967</f>
        <v>76.010781600000001</v>
      </c>
    </row>
    <row r="968" spans="2:45" ht="15" hidden="1" customHeight="1" x14ac:dyDescent="0.25">
      <c r="B968" s="35">
        <v>962</v>
      </c>
      <c r="C968" s="36" t="s">
        <v>31</v>
      </c>
      <c r="D968" s="36" t="s">
        <v>272</v>
      </c>
      <c r="E968" s="36" t="s">
        <v>322</v>
      </c>
      <c r="F968" s="36" t="s">
        <v>324</v>
      </c>
      <c r="G968" s="37" t="s">
        <v>25</v>
      </c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40"/>
      <c r="AS968" s="40"/>
    </row>
    <row r="969" spans="2:45" ht="15" hidden="1" customHeight="1" x14ac:dyDescent="0.25">
      <c r="B969" s="35">
        <v>963</v>
      </c>
      <c r="C969" s="36" t="s">
        <v>31</v>
      </c>
      <c r="D969" s="36" t="s">
        <v>272</v>
      </c>
      <c r="E969" s="36" t="s">
        <v>322</v>
      </c>
      <c r="F969" s="36" t="s">
        <v>324</v>
      </c>
      <c r="G969" s="37" t="s">
        <v>26</v>
      </c>
      <c r="H969" s="38">
        <v>679</v>
      </c>
      <c r="I969" s="38">
        <v>37</v>
      </c>
      <c r="J969" s="38">
        <v>34</v>
      </c>
      <c r="K969" s="38">
        <v>46</v>
      </c>
      <c r="L969" s="38">
        <v>157</v>
      </c>
      <c r="M969" s="38">
        <v>345</v>
      </c>
      <c r="N969" s="38">
        <v>56</v>
      </c>
      <c r="O969" s="38">
        <v>4</v>
      </c>
      <c r="P969" s="38"/>
      <c r="Q969" s="38"/>
      <c r="R969" s="38">
        <v>742</v>
      </c>
      <c r="S969" s="38">
        <v>78</v>
      </c>
      <c r="T969" s="38">
        <v>100</v>
      </c>
      <c r="U969" s="38">
        <v>16</v>
      </c>
      <c r="V969" s="38">
        <v>40</v>
      </c>
      <c r="W969" s="38">
        <v>424</v>
      </c>
      <c r="X969" s="38">
        <v>74</v>
      </c>
      <c r="Y969" s="38">
        <v>10</v>
      </c>
      <c r="Z969" s="38"/>
      <c r="AA969" s="38"/>
      <c r="AB969" s="39">
        <v>5.4491899999999998</v>
      </c>
      <c r="AC969" s="39">
        <v>5.0073638000000003</v>
      </c>
      <c r="AD969" s="39">
        <v>6.7746686</v>
      </c>
      <c r="AE969" s="39">
        <v>23.122238599999999</v>
      </c>
      <c r="AF969" s="39">
        <v>50.810014700000004</v>
      </c>
      <c r="AG969" s="39">
        <v>8.2474226999999996</v>
      </c>
      <c r="AH969" s="39">
        <v>0.5891016</v>
      </c>
      <c r="AI969" s="39"/>
      <c r="AJ969" s="39"/>
      <c r="AK969" s="39">
        <v>10.512129399999999</v>
      </c>
      <c r="AL969" s="39">
        <v>13.4770889</v>
      </c>
      <c r="AM969" s="39">
        <v>2.1563341999999999</v>
      </c>
      <c r="AN969" s="39">
        <v>5.3908355999999999</v>
      </c>
      <c r="AO969" s="39">
        <v>57.142857100000001</v>
      </c>
      <c r="AP969" s="39">
        <v>9.9730457999999995</v>
      </c>
      <c r="AQ969" s="39">
        <v>1.3477089</v>
      </c>
      <c r="AR969" s="40"/>
      <c r="AS969" s="40"/>
    </row>
    <row r="970" spans="2:45" ht="15" hidden="1" customHeight="1" x14ac:dyDescent="0.25">
      <c r="B970" s="30">
        <v>964</v>
      </c>
      <c r="C970" s="31" t="s">
        <v>29</v>
      </c>
      <c r="D970" s="50" t="s">
        <v>272</v>
      </c>
      <c r="E970" s="50" t="s">
        <v>325</v>
      </c>
      <c r="F970" s="50"/>
      <c r="G970" s="31" t="s">
        <v>325</v>
      </c>
      <c r="H970" s="32">
        <v>12074</v>
      </c>
      <c r="I970" s="32">
        <v>1449</v>
      </c>
      <c r="J970" s="32">
        <v>7697</v>
      </c>
      <c r="K970" s="32">
        <v>289</v>
      </c>
      <c r="L970" s="32">
        <v>610</v>
      </c>
      <c r="M970" s="32">
        <v>1572</v>
      </c>
      <c r="N970" s="32">
        <v>400</v>
      </c>
      <c r="O970" s="32">
        <v>57</v>
      </c>
      <c r="P970" s="32"/>
      <c r="Q970" s="32"/>
      <c r="R970" s="32">
        <v>14433</v>
      </c>
      <c r="S970" s="32">
        <v>1835</v>
      </c>
      <c r="T970" s="32">
        <v>9639</v>
      </c>
      <c r="U970" s="32">
        <v>79</v>
      </c>
      <c r="V970" s="32">
        <v>59</v>
      </c>
      <c r="W970" s="32">
        <v>2172</v>
      </c>
      <c r="X970" s="32">
        <v>574</v>
      </c>
      <c r="Y970" s="32">
        <v>75</v>
      </c>
      <c r="Z970" s="32"/>
      <c r="AA970" s="32"/>
      <c r="AB970" s="33">
        <v>12.000993899999999</v>
      </c>
      <c r="AC970" s="33">
        <v>63.748550600000002</v>
      </c>
      <c r="AD970" s="33">
        <v>2.393573</v>
      </c>
      <c r="AE970" s="33">
        <v>5.0521782000000002</v>
      </c>
      <c r="AF970" s="33">
        <v>13.0197118</v>
      </c>
      <c r="AG970" s="33">
        <v>3.3129038</v>
      </c>
      <c r="AH970" s="33">
        <v>0.47208879999999998</v>
      </c>
      <c r="AI970" s="33"/>
      <c r="AJ970" s="33"/>
      <c r="AK970" s="33">
        <v>12.713919499999999</v>
      </c>
      <c r="AL970" s="33">
        <v>66.784452299999998</v>
      </c>
      <c r="AM970" s="33">
        <v>0.54735679999999998</v>
      </c>
      <c r="AN970" s="33">
        <v>0.40878540000000002</v>
      </c>
      <c r="AO970" s="33">
        <v>15.0488464</v>
      </c>
      <c r="AP970" s="33">
        <v>3.9769972</v>
      </c>
      <c r="AQ970" s="33">
        <v>0.51964250000000001</v>
      </c>
      <c r="AR970" s="34"/>
      <c r="AS970" s="34"/>
    </row>
    <row r="971" spans="2:45" ht="15" hidden="1" customHeight="1" x14ac:dyDescent="0.25">
      <c r="B971" s="35">
        <v>965</v>
      </c>
      <c r="C971" s="36" t="s">
        <v>29</v>
      </c>
      <c r="D971" s="36" t="s">
        <v>272</v>
      </c>
      <c r="E971" s="36" t="s">
        <v>325</v>
      </c>
      <c r="F971" s="36"/>
      <c r="G971" s="37" t="s">
        <v>25</v>
      </c>
      <c r="H971" s="38">
        <v>9384</v>
      </c>
      <c r="I971" s="38">
        <v>1382</v>
      </c>
      <c r="J971" s="38">
        <v>7602</v>
      </c>
      <c r="K971" s="38">
        <v>89</v>
      </c>
      <c r="L971" s="38">
        <v>97</v>
      </c>
      <c r="M971" s="38">
        <v>187</v>
      </c>
      <c r="N971" s="38">
        <v>7</v>
      </c>
      <c r="O971" s="38">
        <v>20</v>
      </c>
      <c r="P971" s="38"/>
      <c r="Q971" s="38"/>
      <c r="R971" s="38">
        <v>11445</v>
      </c>
      <c r="S971" s="38">
        <v>1697</v>
      </c>
      <c r="T971" s="38">
        <v>9382</v>
      </c>
      <c r="U971" s="38">
        <v>28</v>
      </c>
      <c r="V971" s="38">
        <v>21</v>
      </c>
      <c r="W971" s="38">
        <v>264</v>
      </c>
      <c r="X971" s="38">
        <v>28</v>
      </c>
      <c r="Y971" s="38">
        <v>25</v>
      </c>
      <c r="Z971" s="38"/>
      <c r="AA971" s="38"/>
      <c r="AB971" s="39">
        <v>14.727195200000001</v>
      </c>
      <c r="AC971" s="39">
        <v>81.010230199999995</v>
      </c>
      <c r="AD971" s="39">
        <v>0.94842280000000001</v>
      </c>
      <c r="AE971" s="39">
        <v>1.0336742999999999</v>
      </c>
      <c r="AF971" s="39">
        <v>1.9927535999999999</v>
      </c>
      <c r="AG971" s="39">
        <v>7.4595099999999998E-2</v>
      </c>
      <c r="AH971" s="39">
        <v>0.2131287</v>
      </c>
      <c r="AI971" s="39"/>
      <c r="AJ971" s="39"/>
      <c r="AK971" s="39">
        <v>14.827435599999999</v>
      </c>
      <c r="AL971" s="39">
        <v>81.974661400000002</v>
      </c>
      <c r="AM971" s="39">
        <v>0.24464830000000001</v>
      </c>
      <c r="AN971" s="39">
        <v>0.18348619999999999</v>
      </c>
      <c r="AO971" s="39">
        <v>2.3066841</v>
      </c>
      <c r="AP971" s="39">
        <v>0.24464830000000001</v>
      </c>
      <c r="AQ971" s="39">
        <v>0.21843599999999999</v>
      </c>
      <c r="AR971" s="40"/>
      <c r="AS971" s="40"/>
    </row>
    <row r="972" spans="2:45" ht="15" hidden="1" customHeight="1" x14ac:dyDescent="0.25">
      <c r="B972" s="35">
        <v>966</v>
      </c>
      <c r="C972" s="36" t="s">
        <v>29</v>
      </c>
      <c r="D972" s="36" t="s">
        <v>272</v>
      </c>
      <c r="E972" s="36" t="s">
        <v>325</v>
      </c>
      <c r="F972" s="36"/>
      <c r="G972" s="37" t="s">
        <v>26</v>
      </c>
      <c r="H972" s="38">
        <v>2690</v>
      </c>
      <c r="I972" s="38">
        <v>67</v>
      </c>
      <c r="J972" s="38">
        <v>95</v>
      </c>
      <c r="K972" s="38">
        <v>200</v>
      </c>
      <c r="L972" s="38">
        <v>513</v>
      </c>
      <c r="M972" s="38">
        <v>1385</v>
      </c>
      <c r="N972" s="38">
        <v>393</v>
      </c>
      <c r="O972" s="38">
        <v>37</v>
      </c>
      <c r="P972" s="38"/>
      <c r="Q972" s="38"/>
      <c r="R972" s="38">
        <v>2988</v>
      </c>
      <c r="S972" s="38">
        <v>138</v>
      </c>
      <c r="T972" s="38">
        <v>257</v>
      </c>
      <c r="U972" s="38">
        <v>51</v>
      </c>
      <c r="V972" s="38">
        <v>38</v>
      </c>
      <c r="W972" s="38">
        <v>1908</v>
      </c>
      <c r="X972" s="38">
        <v>546</v>
      </c>
      <c r="Y972" s="38">
        <v>50</v>
      </c>
      <c r="Z972" s="38"/>
      <c r="AA972" s="38"/>
      <c r="AB972" s="39">
        <v>2.4907062999999998</v>
      </c>
      <c r="AC972" s="39">
        <v>3.5315984999999999</v>
      </c>
      <c r="AD972" s="39">
        <v>7.4349442000000003</v>
      </c>
      <c r="AE972" s="39">
        <v>19.070632</v>
      </c>
      <c r="AF972" s="39">
        <v>51.486988799999999</v>
      </c>
      <c r="AG972" s="39">
        <v>14.609665400000001</v>
      </c>
      <c r="AH972" s="39">
        <v>1.3754647</v>
      </c>
      <c r="AI972" s="39"/>
      <c r="AJ972" s="39"/>
      <c r="AK972" s="39">
        <v>4.6184738999999997</v>
      </c>
      <c r="AL972" s="39">
        <v>8.6010709999999992</v>
      </c>
      <c r="AM972" s="39">
        <v>1.7068273</v>
      </c>
      <c r="AN972" s="39">
        <v>1.2717537000000001</v>
      </c>
      <c r="AO972" s="39">
        <v>63.855421700000001</v>
      </c>
      <c r="AP972" s="39">
        <v>18.273092399999999</v>
      </c>
      <c r="AQ972" s="39">
        <v>1.6733601</v>
      </c>
      <c r="AR972" s="40"/>
      <c r="AS972" s="40"/>
    </row>
    <row r="973" spans="2:45" ht="15" customHeight="1" x14ac:dyDescent="0.25">
      <c r="B973" s="41">
        <v>967</v>
      </c>
      <c r="C973" s="42" t="s">
        <v>31</v>
      </c>
      <c r="D973" s="51" t="s">
        <v>272</v>
      </c>
      <c r="E973" s="51" t="s">
        <v>325</v>
      </c>
      <c r="F973" s="51" t="s">
        <v>326</v>
      </c>
      <c r="G973" s="52" t="s">
        <v>326</v>
      </c>
      <c r="H973" s="43">
        <v>12074</v>
      </c>
      <c r="I973" s="43">
        <v>1449</v>
      </c>
      <c r="J973" s="43">
        <v>7697</v>
      </c>
      <c r="K973" s="43">
        <v>289</v>
      </c>
      <c r="L973" s="43">
        <v>610</v>
      </c>
      <c r="M973" s="43">
        <v>1572</v>
      </c>
      <c r="N973" s="43">
        <v>400</v>
      </c>
      <c r="O973" s="43">
        <v>57</v>
      </c>
      <c r="P973" s="44">
        <f>K973+L973+M973+N973+O973</f>
        <v>2928</v>
      </c>
      <c r="Q973" s="44">
        <f>I973+J973</f>
        <v>9146</v>
      </c>
      <c r="R973" s="43">
        <v>14433</v>
      </c>
      <c r="S973" s="43">
        <v>1835</v>
      </c>
      <c r="T973" s="43">
        <v>9639</v>
      </c>
      <c r="U973" s="43">
        <v>79</v>
      </c>
      <c r="V973" s="43">
        <v>59</v>
      </c>
      <c r="W973" s="43">
        <v>2172</v>
      </c>
      <c r="X973" s="43">
        <v>574</v>
      </c>
      <c r="Y973" s="43">
        <v>75</v>
      </c>
      <c r="Z973" s="45">
        <f>U973+V973+W973+X973+Y973</f>
        <v>2959</v>
      </c>
      <c r="AA973" s="45">
        <f>S973+T973</f>
        <v>11474</v>
      </c>
      <c r="AB973" s="46">
        <v>12.000993899999999</v>
      </c>
      <c r="AC973" s="46">
        <v>63.748550600000002</v>
      </c>
      <c r="AD973" s="46">
        <v>2.393573</v>
      </c>
      <c r="AE973" s="46">
        <v>5.0521782000000002</v>
      </c>
      <c r="AF973" s="46">
        <v>13.0197118</v>
      </c>
      <c r="AG973" s="46">
        <v>3.3129038</v>
      </c>
      <c r="AH973" s="46">
        <v>0.47208879999999998</v>
      </c>
      <c r="AI973" s="47">
        <f>AB973+AC973</f>
        <v>75.749544499999999</v>
      </c>
      <c r="AJ973" s="47">
        <f>AD973+AE973+AF973+AG973+AH973</f>
        <v>24.250455600000002</v>
      </c>
      <c r="AK973" s="46">
        <v>12.713919499999999</v>
      </c>
      <c r="AL973" s="46">
        <v>66.784452299999998</v>
      </c>
      <c r="AM973" s="46">
        <v>0.54735679999999998</v>
      </c>
      <c r="AN973" s="46">
        <v>0.40878540000000002</v>
      </c>
      <c r="AO973" s="46">
        <v>15.0488464</v>
      </c>
      <c r="AP973" s="46">
        <v>3.9769972</v>
      </c>
      <c r="AQ973" s="46">
        <v>0.51964250000000001</v>
      </c>
      <c r="AR973" s="48">
        <f>AK973+AL973</f>
        <v>79.498371800000001</v>
      </c>
      <c r="AS973" s="48">
        <f>AM973+AN973+AO973+AP973+AQ973</f>
        <v>20.5016283</v>
      </c>
    </row>
    <row r="974" spans="2:45" ht="15" hidden="1" customHeight="1" x14ac:dyDescent="0.25">
      <c r="B974" s="35">
        <v>968</v>
      </c>
      <c r="C974" s="36" t="s">
        <v>31</v>
      </c>
      <c r="D974" s="36" t="s">
        <v>272</v>
      </c>
      <c r="E974" s="36" t="s">
        <v>325</v>
      </c>
      <c r="F974" s="36" t="s">
        <v>326</v>
      </c>
      <c r="G974" s="37" t="s">
        <v>25</v>
      </c>
      <c r="H974" s="38">
        <v>9384</v>
      </c>
      <c r="I974" s="38">
        <v>1382</v>
      </c>
      <c r="J974" s="38">
        <v>7602</v>
      </c>
      <c r="K974" s="38">
        <v>89</v>
      </c>
      <c r="L974" s="38">
        <v>97</v>
      </c>
      <c r="M974" s="38">
        <v>187</v>
      </c>
      <c r="N974" s="38">
        <v>7</v>
      </c>
      <c r="O974" s="38">
        <v>20</v>
      </c>
      <c r="P974" s="38"/>
      <c r="Q974" s="38"/>
      <c r="R974" s="38">
        <v>11445</v>
      </c>
      <c r="S974" s="38">
        <v>1697</v>
      </c>
      <c r="T974" s="38">
        <v>9382</v>
      </c>
      <c r="U974" s="38">
        <v>28</v>
      </c>
      <c r="V974" s="38">
        <v>21</v>
      </c>
      <c r="W974" s="38">
        <v>264</v>
      </c>
      <c r="X974" s="38">
        <v>28</v>
      </c>
      <c r="Y974" s="38">
        <v>25</v>
      </c>
      <c r="Z974" s="38"/>
      <c r="AA974" s="38"/>
      <c r="AB974" s="39">
        <v>14.727195200000001</v>
      </c>
      <c r="AC974" s="39">
        <v>81.010230199999995</v>
      </c>
      <c r="AD974" s="39">
        <v>0.94842280000000001</v>
      </c>
      <c r="AE974" s="39">
        <v>1.0336742999999999</v>
      </c>
      <c r="AF974" s="39">
        <v>1.9927535999999999</v>
      </c>
      <c r="AG974" s="39">
        <v>7.4595099999999998E-2</v>
      </c>
      <c r="AH974" s="39">
        <v>0.2131287</v>
      </c>
      <c r="AI974" s="39"/>
      <c r="AJ974" s="39"/>
      <c r="AK974" s="39">
        <v>14.827435599999999</v>
      </c>
      <c r="AL974" s="39">
        <v>81.974661400000002</v>
      </c>
      <c r="AM974" s="39">
        <v>0.24464830000000001</v>
      </c>
      <c r="AN974" s="39">
        <v>0.18348619999999999</v>
      </c>
      <c r="AO974" s="39">
        <v>2.3066841</v>
      </c>
      <c r="AP974" s="39">
        <v>0.24464830000000001</v>
      </c>
      <c r="AQ974" s="39">
        <v>0.21843599999999999</v>
      </c>
      <c r="AR974" s="40"/>
      <c r="AS974" s="40"/>
    </row>
    <row r="975" spans="2:45" ht="15" hidden="1" customHeight="1" x14ac:dyDescent="0.25">
      <c r="B975" s="35">
        <v>969</v>
      </c>
      <c r="C975" s="36" t="s">
        <v>31</v>
      </c>
      <c r="D975" s="36" t="s">
        <v>272</v>
      </c>
      <c r="E975" s="36" t="s">
        <v>325</v>
      </c>
      <c r="F975" s="36" t="s">
        <v>326</v>
      </c>
      <c r="G975" s="37" t="s">
        <v>26</v>
      </c>
      <c r="H975" s="38">
        <v>2690</v>
      </c>
      <c r="I975" s="38">
        <v>67</v>
      </c>
      <c r="J975" s="38">
        <v>95</v>
      </c>
      <c r="K975" s="38">
        <v>200</v>
      </c>
      <c r="L975" s="38">
        <v>513</v>
      </c>
      <c r="M975" s="38">
        <v>1385</v>
      </c>
      <c r="N975" s="38">
        <v>393</v>
      </c>
      <c r="O975" s="38">
        <v>37</v>
      </c>
      <c r="P975" s="38"/>
      <c r="Q975" s="38"/>
      <c r="R975" s="38">
        <v>2988</v>
      </c>
      <c r="S975" s="38">
        <v>138</v>
      </c>
      <c r="T975" s="38">
        <v>257</v>
      </c>
      <c r="U975" s="38">
        <v>51</v>
      </c>
      <c r="V975" s="38">
        <v>38</v>
      </c>
      <c r="W975" s="38">
        <v>1908</v>
      </c>
      <c r="X975" s="38">
        <v>546</v>
      </c>
      <c r="Y975" s="38">
        <v>50</v>
      </c>
      <c r="Z975" s="38"/>
      <c r="AA975" s="38"/>
      <c r="AB975" s="39">
        <v>2.4907062999999998</v>
      </c>
      <c r="AC975" s="39">
        <v>3.5315984999999999</v>
      </c>
      <c r="AD975" s="39">
        <v>7.4349442000000003</v>
      </c>
      <c r="AE975" s="39">
        <v>19.070632</v>
      </c>
      <c r="AF975" s="39">
        <v>51.486988799999999</v>
      </c>
      <c r="AG975" s="39">
        <v>14.609665400000001</v>
      </c>
      <c r="AH975" s="39">
        <v>1.3754647</v>
      </c>
      <c r="AI975" s="39"/>
      <c r="AJ975" s="39"/>
      <c r="AK975" s="39">
        <v>4.6184738999999997</v>
      </c>
      <c r="AL975" s="39">
        <v>8.6010709999999992</v>
      </c>
      <c r="AM975" s="39">
        <v>1.7068273</v>
      </c>
      <c r="AN975" s="39">
        <v>1.2717537000000001</v>
      </c>
      <c r="AO975" s="39">
        <v>63.855421700000001</v>
      </c>
      <c r="AP975" s="39">
        <v>18.273092399999999</v>
      </c>
      <c r="AQ975" s="39">
        <v>1.6733601</v>
      </c>
      <c r="AR975" s="40"/>
      <c r="AS975" s="40"/>
    </row>
    <row r="976" spans="2:45" ht="15" hidden="1" customHeight="1" x14ac:dyDescent="0.25">
      <c r="B976" s="30">
        <v>970</v>
      </c>
      <c r="C976" s="31" t="s">
        <v>29</v>
      </c>
      <c r="D976" s="50" t="s">
        <v>272</v>
      </c>
      <c r="E976" s="50" t="s">
        <v>327</v>
      </c>
      <c r="F976" s="50"/>
      <c r="G976" s="31" t="s">
        <v>327</v>
      </c>
      <c r="H976" s="32">
        <v>489</v>
      </c>
      <c r="I976" s="32">
        <v>32</v>
      </c>
      <c r="J976" s="32">
        <v>0</v>
      </c>
      <c r="K976" s="32">
        <v>65</v>
      </c>
      <c r="L976" s="32">
        <v>140</v>
      </c>
      <c r="M976" s="32">
        <v>77</v>
      </c>
      <c r="N976" s="32">
        <v>167</v>
      </c>
      <c r="O976" s="32">
        <v>8</v>
      </c>
      <c r="P976" s="32"/>
      <c r="Q976" s="32"/>
      <c r="R976" s="32">
        <v>667</v>
      </c>
      <c r="S976" s="32">
        <v>264</v>
      </c>
      <c r="T976" s="32">
        <v>86</v>
      </c>
      <c r="U976" s="32">
        <v>16</v>
      </c>
      <c r="V976" s="32">
        <v>5</v>
      </c>
      <c r="W976" s="32">
        <v>202</v>
      </c>
      <c r="X976" s="32">
        <v>80</v>
      </c>
      <c r="Y976" s="32">
        <v>14</v>
      </c>
      <c r="Z976" s="32"/>
      <c r="AA976" s="32"/>
      <c r="AB976" s="33">
        <v>6.5439673000000003</v>
      </c>
      <c r="AC976" s="33">
        <v>0</v>
      </c>
      <c r="AD976" s="33">
        <v>13.2924335</v>
      </c>
      <c r="AE976" s="33">
        <v>28.6298569</v>
      </c>
      <c r="AF976" s="33">
        <v>15.7464213</v>
      </c>
      <c r="AG976" s="33">
        <v>34.151329199999999</v>
      </c>
      <c r="AH976" s="33">
        <v>1.6359918</v>
      </c>
      <c r="AI976" s="33"/>
      <c r="AJ976" s="33"/>
      <c r="AK976" s="33">
        <v>39.5802099</v>
      </c>
      <c r="AL976" s="33">
        <v>12.893553199999999</v>
      </c>
      <c r="AM976" s="33">
        <v>2.3988005999999999</v>
      </c>
      <c r="AN976" s="33">
        <v>0.74962519999999999</v>
      </c>
      <c r="AO976" s="33">
        <v>30.284857599999999</v>
      </c>
      <c r="AP976" s="33">
        <v>11.994002999999999</v>
      </c>
      <c r="AQ976" s="33">
        <v>2.0989504999999999</v>
      </c>
      <c r="AR976" s="34"/>
      <c r="AS976" s="34"/>
    </row>
    <row r="977" spans="2:45" ht="15" hidden="1" customHeight="1" x14ac:dyDescent="0.25">
      <c r="B977" s="35">
        <v>971</v>
      </c>
      <c r="C977" s="36" t="s">
        <v>29</v>
      </c>
      <c r="D977" s="36" t="s">
        <v>272</v>
      </c>
      <c r="E977" s="36" t="s">
        <v>327</v>
      </c>
      <c r="F977" s="36"/>
      <c r="G977" s="37" t="s">
        <v>25</v>
      </c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40"/>
      <c r="AS977" s="40"/>
    </row>
    <row r="978" spans="2:45" ht="15" hidden="1" customHeight="1" x14ac:dyDescent="0.25">
      <c r="B978" s="35">
        <v>972</v>
      </c>
      <c r="C978" s="36" t="s">
        <v>29</v>
      </c>
      <c r="D978" s="36" t="s">
        <v>272</v>
      </c>
      <c r="E978" s="36" t="s">
        <v>327</v>
      </c>
      <c r="F978" s="36"/>
      <c r="G978" s="37" t="s">
        <v>26</v>
      </c>
      <c r="H978" s="38">
        <v>489</v>
      </c>
      <c r="I978" s="38">
        <v>32</v>
      </c>
      <c r="J978" s="38">
        <v>0</v>
      </c>
      <c r="K978" s="38">
        <v>65</v>
      </c>
      <c r="L978" s="38">
        <v>140</v>
      </c>
      <c r="M978" s="38">
        <v>77</v>
      </c>
      <c r="N978" s="38">
        <v>167</v>
      </c>
      <c r="O978" s="38">
        <v>8</v>
      </c>
      <c r="P978" s="38"/>
      <c r="Q978" s="38"/>
      <c r="R978" s="38">
        <v>667</v>
      </c>
      <c r="S978" s="38">
        <v>264</v>
      </c>
      <c r="T978" s="38">
        <v>86</v>
      </c>
      <c r="U978" s="38">
        <v>16</v>
      </c>
      <c r="V978" s="38">
        <v>5</v>
      </c>
      <c r="W978" s="38">
        <v>202</v>
      </c>
      <c r="X978" s="38">
        <v>80</v>
      </c>
      <c r="Y978" s="38">
        <v>14</v>
      </c>
      <c r="Z978" s="38"/>
      <c r="AA978" s="38"/>
      <c r="AB978" s="39">
        <v>6.5439673000000003</v>
      </c>
      <c r="AC978" s="39">
        <v>0</v>
      </c>
      <c r="AD978" s="39">
        <v>13.2924335</v>
      </c>
      <c r="AE978" s="39">
        <v>28.6298569</v>
      </c>
      <c r="AF978" s="39">
        <v>15.7464213</v>
      </c>
      <c r="AG978" s="39">
        <v>34.151329199999999</v>
      </c>
      <c r="AH978" s="39">
        <v>1.6359918</v>
      </c>
      <c r="AI978" s="39"/>
      <c r="AJ978" s="39"/>
      <c r="AK978" s="39">
        <v>39.5802099</v>
      </c>
      <c r="AL978" s="39">
        <v>12.893553199999999</v>
      </c>
      <c r="AM978" s="39">
        <v>2.3988005999999999</v>
      </c>
      <c r="AN978" s="39">
        <v>0.74962519999999999</v>
      </c>
      <c r="AO978" s="39">
        <v>30.284857599999999</v>
      </c>
      <c r="AP978" s="39">
        <v>11.994002999999999</v>
      </c>
      <c r="AQ978" s="39">
        <v>2.0989504999999999</v>
      </c>
      <c r="AR978" s="40"/>
      <c r="AS978" s="40"/>
    </row>
    <row r="979" spans="2:45" ht="15" customHeight="1" x14ac:dyDescent="0.25">
      <c r="B979" s="41">
        <v>973</v>
      </c>
      <c r="C979" s="42" t="s">
        <v>31</v>
      </c>
      <c r="D979" s="51" t="s">
        <v>272</v>
      </c>
      <c r="E979" s="51" t="s">
        <v>327</v>
      </c>
      <c r="F979" s="51" t="s">
        <v>328</v>
      </c>
      <c r="G979" s="52" t="s">
        <v>328</v>
      </c>
      <c r="H979" s="43">
        <v>489</v>
      </c>
      <c r="I979" s="43">
        <v>32</v>
      </c>
      <c r="J979" s="43">
        <v>0</v>
      </c>
      <c r="K979" s="43">
        <v>65</v>
      </c>
      <c r="L979" s="43">
        <v>140</v>
      </c>
      <c r="M979" s="43">
        <v>77</v>
      </c>
      <c r="N979" s="43">
        <v>167</v>
      </c>
      <c r="O979" s="43">
        <v>8</v>
      </c>
      <c r="P979" s="44">
        <f>K979+L979+M979+N979+O979</f>
        <v>457</v>
      </c>
      <c r="Q979" s="44">
        <f>I979+J979</f>
        <v>32</v>
      </c>
      <c r="R979" s="43">
        <v>667</v>
      </c>
      <c r="S979" s="43">
        <v>264</v>
      </c>
      <c r="T979" s="43">
        <v>86</v>
      </c>
      <c r="U979" s="43">
        <v>16</v>
      </c>
      <c r="V979" s="43">
        <v>5</v>
      </c>
      <c r="W979" s="43">
        <v>202</v>
      </c>
      <c r="X979" s="43">
        <v>80</v>
      </c>
      <c r="Y979" s="43">
        <v>14</v>
      </c>
      <c r="Z979" s="45">
        <f>U979+V979+W979+X979+Y979</f>
        <v>317</v>
      </c>
      <c r="AA979" s="45">
        <f>S979+T979</f>
        <v>350</v>
      </c>
      <c r="AB979" s="46">
        <v>6.5439673000000003</v>
      </c>
      <c r="AC979" s="46">
        <v>0</v>
      </c>
      <c r="AD979" s="46">
        <v>13.2924335</v>
      </c>
      <c r="AE979" s="46">
        <v>28.6298569</v>
      </c>
      <c r="AF979" s="46">
        <v>15.7464213</v>
      </c>
      <c r="AG979" s="46">
        <v>34.151329199999999</v>
      </c>
      <c r="AH979" s="46">
        <v>1.6359918</v>
      </c>
      <c r="AI979" s="47">
        <f>AB979+AC979</f>
        <v>6.5439673000000003</v>
      </c>
      <c r="AJ979" s="47">
        <f>AD979+AE979+AF979+AG979+AH979</f>
        <v>93.456032700000009</v>
      </c>
      <c r="AK979" s="46">
        <v>39.5802099</v>
      </c>
      <c r="AL979" s="46">
        <v>12.893553199999999</v>
      </c>
      <c r="AM979" s="46">
        <v>2.3988005999999999</v>
      </c>
      <c r="AN979" s="46">
        <v>0.74962519999999999</v>
      </c>
      <c r="AO979" s="46">
        <v>30.284857599999999</v>
      </c>
      <c r="AP979" s="46">
        <v>11.994002999999999</v>
      </c>
      <c r="AQ979" s="46">
        <v>2.0989504999999999</v>
      </c>
      <c r="AR979" s="48">
        <f>AK979+AL979</f>
        <v>52.473763099999999</v>
      </c>
      <c r="AS979" s="48">
        <f>AM979+AN979+AO979+AP979+AQ979</f>
        <v>47.526236900000001</v>
      </c>
    </row>
    <row r="980" spans="2:45" ht="15" hidden="1" customHeight="1" x14ac:dyDescent="0.25">
      <c r="B980" s="35">
        <v>974</v>
      </c>
      <c r="C980" s="36" t="s">
        <v>31</v>
      </c>
      <c r="D980" s="36" t="s">
        <v>272</v>
      </c>
      <c r="E980" s="36" t="s">
        <v>327</v>
      </c>
      <c r="F980" s="36" t="s">
        <v>328</v>
      </c>
      <c r="G980" s="37" t="s">
        <v>25</v>
      </c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40"/>
      <c r="AS980" s="40"/>
    </row>
    <row r="981" spans="2:45" ht="15" hidden="1" customHeight="1" x14ac:dyDescent="0.25">
      <c r="B981" s="35">
        <v>975</v>
      </c>
      <c r="C981" s="36" t="s">
        <v>31</v>
      </c>
      <c r="D981" s="36" t="s">
        <v>272</v>
      </c>
      <c r="E981" s="36" t="s">
        <v>327</v>
      </c>
      <c r="F981" s="36" t="s">
        <v>328</v>
      </c>
      <c r="G981" s="37" t="s">
        <v>26</v>
      </c>
      <c r="H981" s="38">
        <v>489</v>
      </c>
      <c r="I981" s="38">
        <v>32</v>
      </c>
      <c r="J981" s="38">
        <v>0</v>
      </c>
      <c r="K981" s="38">
        <v>65</v>
      </c>
      <c r="L981" s="38">
        <v>140</v>
      </c>
      <c r="M981" s="38">
        <v>77</v>
      </c>
      <c r="N981" s="38">
        <v>167</v>
      </c>
      <c r="O981" s="38">
        <v>8</v>
      </c>
      <c r="P981" s="38"/>
      <c r="Q981" s="38"/>
      <c r="R981" s="38">
        <v>667</v>
      </c>
      <c r="S981" s="38">
        <v>264</v>
      </c>
      <c r="T981" s="38">
        <v>86</v>
      </c>
      <c r="U981" s="38">
        <v>16</v>
      </c>
      <c r="V981" s="38">
        <v>5</v>
      </c>
      <c r="W981" s="38">
        <v>202</v>
      </c>
      <c r="X981" s="38">
        <v>80</v>
      </c>
      <c r="Y981" s="38">
        <v>14</v>
      </c>
      <c r="Z981" s="38"/>
      <c r="AA981" s="38"/>
      <c r="AB981" s="39">
        <v>6.5439673000000003</v>
      </c>
      <c r="AC981" s="39">
        <v>0</v>
      </c>
      <c r="AD981" s="39">
        <v>13.2924335</v>
      </c>
      <c r="AE981" s="39">
        <v>28.6298569</v>
      </c>
      <c r="AF981" s="39">
        <v>15.7464213</v>
      </c>
      <c r="AG981" s="39">
        <v>34.151329199999999</v>
      </c>
      <c r="AH981" s="39">
        <v>1.6359918</v>
      </c>
      <c r="AI981" s="39"/>
      <c r="AJ981" s="39"/>
      <c r="AK981" s="39">
        <v>39.5802099</v>
      </c>
      <c r="AL981" s="39">
        <v>12.893553199999999</v>
      </c>
      <c r="AM981" s="39">
        <v>2.3988005999999999</v>
      </c>
      <c r="AN981" s="39">
        <v>0.74962519999999999</v>
      </c>
      <c r="AO981" s="39">
        <v>30.284857599999999</v>
      </c>
      <c r="AP981" s="39">
        <v>11.994002999999999</v>
      </c>
      <c r="AQ981" s="39">
        <v>2.0989504999999999</v>
      </c>
      <c r="AR981" s="40"/>
      <c r="AS981" s="40"/>
    </row>
    <row r="982" spans="2:45" ht="15" hidden="1" customHeight="1" x14ac:dyDescent="0.25">
      <c r="B982" s="20">
        <v>976</v>
      </c>
      <c r="C982" s="21" t="s">
        <v>27</v>
      </c>
      <c r="D982" s="21" t="s">
        <v>329</v>
      </c>
      <c r="E982" s="21"/>
      <c r="F982" s="21"/>
      <c r="G982" s="21" t="s">
        <v>329</v>
      </c>
      <c r="H982" s="22">
        <v>126248</v>
      </c>
      <c r="I982" s="22">
        <v>16096</v>
      </c>
      <c r="J982" s="22">
        <v>66348</v>
      </c>
      <c r="K982" s="22">
        <v>7165</v>
      </c>
      <c r="L982" s="22">
        <v>1411</v>
      </c>
      <c r="M982" s="22">
        <v>28560</v>
      </c>
      <c r="N982" s="22">
        <v>5460</v>
      </c>
      <c r="O982" s="22">
        <v>1208</v>
      </c>
      <c r="P982" s="22">
        <f>K982+L982+M982+N982+O982</f>
        <v>43804</v>
      </c>
      <c r="Q982" s="22">
        <f>I982+J982</f>
        <v>82444</v>
      </c>
      <c r="R982" s="22">
        <v>160254</v>
      </c>
      <c r="S982" s="22">
        <v>17183</v>
      </c>
      <c r="T982" s="22">
        <v>102237</v>
      </c>
      <c r="U982" s="22">
        <v>2344</v>
      </c>
      <c r="V982" s="22">
        <v>379</v>
      </c>
      <c r="W982" s="22">
        <v>33175</v>
      </c>
      <c r="X982" s="22">
        <v>4191</v>
      </c>
      <c r="Y982" s="22">
        <v>745</v>
      </c>
      <c r="Z982" s="22">
        <f>U982+V982+W982+X982+Y982</f>
        <v>40834</v>
      </c>
      <c r="AA982" s="22">
        <f>S982+T982</f>
        <v>119420</v>
      </c>
      <c r="AB982" s="23">
        <v>12.7495089</v>
      </c>
      <c r="AC982" s="23">
        <v>52.553703800000001</v>
      </c>
      <c r="AD982" s="23">
        <v>5.6753374000000001</v>
      </c>
      <c r="AE982" s="23">
        <v>1.1176415</v>
      </c>
      <c r="AF982" s="23">
        <v>22.6221405</v>
      </c>
      <c r="AG982" s="23">
        <v>4.324821</v>
      </c>
      <c r="AH982" s="23">
        <v>0.9568468</v>
      </c>
      <c r="AI982" s="23">
        <f>AB982+AC982</f>
        <v>65.303212700000003</v>
      </c>
      <c r="AJ982" s="23"/>
      <c r="AK982" s="23">
        <v>10.7223533</v>
      </c>
      <c r="AL982" s="23">
        <v>63.796847499999998</v>
      </c>
      <c r="AM982" s="23">
        <v>1.4626779999999999</v>
      </c>
      <c r="AN982" s="23">
        <v>0.2364996</v>
      </c>
      <c r="AO982" s="23">
        <v>20.701511400000001</v>
      </c>
      <c r="AP982" s="23">
        <v>2.6152232999999998</v>
      </c>
      <c r="AQ982" s="23">
        <v>0.46488699999999999</v>
      </c>
      <c r="AR982" s="24">
        <f>AK982+AL982</f>
        <v>74.519200799999993</v>
      </c>
      <c r="AS982" s="24"/>
    </row>
    <row r="983" spans="2:45" ht="15" hidden="1" customHeight="1" x14ac:dyDescent="0.25">
      <c r="B983" s="25">
        <v>977</v>
      </c>
      <c r="C983" s="26" t="s">
        <v>27</v>
      </c>
      <c r="D983" s="49" t="s">
        <v>329</v>
      </c>
      <c r="E983" s="49"/>
      <c r="F983" s="49"/>
      <c r="G983" s="26" t="s">
        <v>25</v>
      </c>
      <c r="H983" s="27">
        <v>81982</v>
      </c>
      <c r="I983" s="27">
        <v>14938</v>
      </c>
      <c r="J983" s="27">
        <v>61620</v>
      </c>
      <c r="K983" s="27">
        <v>782</v>
      </c>
      <c r="L983" s="27">
        <v>291</v>
      </c>
      <c r="M983" s="27">
        <v>3341</v>
      </c>
      <c r="N983" s="27">
        <v>768</v>
      </c>
      <c r="O983" s="27">
        <v>242</v>
      </c>
      <c r="P983" s="27"/>
      <c r="Q983" s="27"/>
      <c r="R983" s="27">
        <v>110632</v>
      </c>
      <c r="S983" s="27">
        <v>14775</v>
      </c>
      <c r="T983" s="27">
        <v>91297</v>
      </c>
      <c r="U983" s="27">
        <v>427</v>
      </c>
      <c r="V983" s="27">
        <v>88</v>
      </c>
      <c r="W983" s="27">
        <v>3455</v>
      </c>
      <c r="X983" s="27">
        <v>360</v>
      </c>
      <c r="Y983" s="27">
        <v>230</v>
      </c>
      <c r="Z983" s="27"/>
      <c r="AA983" s="27"/>
      <c r="AB983" s="28">
        <v>18.221072899999999</v>
      </c>
      <c r="AC983" s="28">
        <v>75.162840599999996</v>
      </c>
      <c r="AD983" s="28">
        <v>0.95386789999999999</v>
      </c>
      <c r="AE983" s="28">
        <v>0.35495599999999999</v>
      </c>
      <c r="AF983" s="28">
        <v>4.0752848000000004</v>
      </c>
      <c r="AG983" s="28">
        <v>0.93679100000000004</v>
      </c>
      <c r="AH983" s="28">
        <v>0.29518670000000002</v>
      </c>
      <c r="AI983" s="28"/>
      <c r="AJ983" s="28"/>
      <c r="AK983" s="28">
        <v>13.3550871</v>
      </c>
      <c r="AL983" s="28">
        <v>82.523139799999996</v>
      </c>
      <c r="AM983" s="28">
        <v>0.38596429999999998</v>
      </c>
      <c r="AN983" s="28">
        <v>7.9543000000000003E-2</v>
      </c>
      <c r="AO983" s="28">
        <v>3.1229662</v>
      </c>
      <c r="AP983" s="28">
        <v>0.3254031</v>
      </c>
      <c r="AQ983" s="28">
        <v>0.20789640000000001</v>
      </c>
      <c r="AR983" s="29"/>
      <c r="AS983" s="29"/>
    </row>
    <row r="984" spans="2:45" ht="15" hidden="1" customHeight="1" x14ac:dyDescent="0.25">
      <c r="B984" s="25">
        <v>978</v>
      </c>
      <c r="C984" s="26" t="s">
        <v>27</v>
      </c>
      <c r="D984" s="49" t="s">
        <v>329</v>
      </c>
      <c r="E984" s="49"/>
      <c r="F984" s="49"/>
      <c r="G984" s="26" t="s">
        <v>26</v>
      </c>
      <c r="H984" s="27">
        <v>44266</v>
      </c>
      <c r="I984" s="27">
        <v>1158</v>
      </c>
      <c r="J984" s="27">
        <v>4728</v>
      </c>
      <c r="K984" s="27">
        <v>6383</v>
      </c>
      <c r="L984" s="27">
        <v>1120</v>
      </c>
      <c r="M984" s="27">
        <v>25219</v>
      </c>
      <c r="N984" s="27">
        <v>4692</v>
      </c>
      <c r="O984" s="27">
        <v>966</v>
      </c>
      <c r="P984" s="27"/>
      <c r="Q984" s="27"/>
      <c r="R984" s="27">
        <v>49622</v>
      </c>
      <c r="S984" s="27">
        <v>2408</v>
      </c>
      <c r="T984" s="27">
        <v>10940</v>
      </c>
      <c r="U984" s="27">
        <v>1917</v>
      </c>
      <c r="V984" s="27">
        <v>291</v>
      </c>
      <c r="W984" s="27">
        <v>29720</v>
      </c>
      <c r="X984" s="27">
        <v>3831</v>
      </c>
      <c r="Y984" s="27">
        <v>515</v>
      </c>
      <c r="Z984" s="27"/>
      <c r="AA984" s="27"/>
      <c r="AB984" s="28">
        <v>2.6160033</v>
      </c>
      <c r="AC984" s="28">
        <v>10.680883700000001</v>
      </c>
      <c r="AD984" s="28">
        <v>14.4196449</v>
      </c>
      <c r="AE984" s="28">
        <v>2.5301586</v>
      </c>
      <c r="AF984" s="28">
        <v>56.971490500000002</v>
      </c>
      <c r="AG984" s="28">
        <v>10.5995572</v>
      </c>
      <c r="AH984" s="28">
        <v>2.1822618</v>
      </c>
      <c r="AI984" s="28"/>
      <c r="AJ984" s="28"/>
      <c r="AK984" s="28">
        <v>4.8526863000000002</v>
      </c>
      <c r="AL984" s="28">
        <v>22.0466728</v>
      </c>
      <c r="AM984" s="28">
        <v>3.8632057999999998</v>
      </c>
      <c r="AN984" s="28">
        <v>0.58643339999999999</v>
      </c>
      <c r="AO984" s="28">
        <v>59.892789499999999</v>
      </c>
      <c r="AP984" s="28">
        <v>7.7203660000000003</v>
      </c>
      <c r="AQ984" s="28">
        <v>1.0378461000000001</v>
      </c>
      <c r="AR984" s="29"/>
      <c r="AS984" s="29"/>
    </row>
    <row r="985" spans="2:45" ht="15" hidden="1" customHeight="1" x14ac:dyDescent="0.25">
      <c r="B985" s="30">
        <v>979</v>
      </c>
      <c r="C985" s="31" t="s">
        <v>29</v>
      </c>
      <c r="D985" s="50" t="s">
        <v>329</v>
      </c>
      <c r="E985" s="50" t="s">
        <v>173</v>
      </c>
      <c r="F985" s="50"/>
      <c r="G985" s="31" t="s">
        <v>173</v>
      </c>
      <c r="H985" s="32">
        <v>54926</v>
      </c>
      <c r="I985" s="32">
        <v>8528</v>
      </c>
      <c r="J985" s="32">
        <v>38375</v>
      </c>
      <c r="K985" s="32">
        <v>1496</v>
      </c>
      <c r="L985" s="32">
        <v>305</v>
      </c>
      <c r="M985" s="32">
        <v>4671</v>
      </c>
      <c r="N985" s="32">
        <v>1266</v>
      </c>
      <c r="O985" s="32">
        <v>285</v>
      </c>
      <c r="P985" s="32"/>
      <c r="Q985" s="32"/>
      <c r="R985" s="32">
        <v>72709</v>
      </c>
      <c r="S985" s="32">
        <v>8634</v>
      </c>
      <c r="T985" s="32">
        <v>57146</v>
      </c>
      <c r="U985" s="32">
        <v>502</v>
      </c>
      <c r="V985" s="32">
        <v>76</v>
      </c>
      <c r="W985" s="32">
        <v>5390</v>
      </c>
      <c r="X985" s="32">
        <v>738</v>
      </c>
      <c r="Y985" s="32">
        <v>223</v>
      </c>
      <c r="Z985" s="32"/>
      <c r="AA985" s="32"/>
      <c r="AB985" s="33">
        <v>15.5263445</v>
      </c>
      <c r="AC985" s="33">
        <v>69.866729800000002</v>
      </c>
      <c r="AD985" s="33">
        <v>2.7236646000000002</v>
      </c>
      <c r="AE985" s="33">
        <v>0.55529260000000003</v>
      </c>
      <c r="AF985" s="33">
        <v>8.5041691999999998</v>
      </c>
      <c r="AG985" s="33">
        <v>2.3049192999999999</v>
      </c>
      <c r="AH985" s="33">
        <v>0.51887989999999995</v>
      </c>
      <c r="AI985" s="33"/>
      <c r="AJ985" s="33"/>
      <c r="AK985" s="33">
        <v>11.8747335</v>
      </c>
      <c r="AL985" s="33">
        <v>78.595497100000003</v>
      </c>
      <c r="AM985" s="33">
        <v>0.69042349999999997</v>
      </c>
      <c r="AN985" s="33">
        <v>0.1045263</v>
      </c>
      <c r="AO985" s="33">
        <v>7.4131125000000004</v>
      </c>
      <c r="AP985" s="33">
        <v>1.0150049999999999</v>
      </c>
      <c r="AQ985" s="33">
        <v>0.30670209999999998</v>
      </c>
      <c r="AR985" s="34"/>
      <c r="AS985" s="34"/>
    </row>
    <row r="986" spans="2:45" ht="15" hidden="1" customHeight="1" x14ac:dyDescent="0.25">
      <c r="B986" s="35">
        <v>980</v>
      </c>
      <c r="C986" s="36" t="s">
        <v>29</v>
      </c>
      <c r="D986" s="36" t="s">
        <v>329</v>
      </c>
      <c r="E986" s="36" t="s">
        <v>173</v>
      </c>
      <c r="F986" s="36"/>
      <c r="G986" s="37" t="s">
        <v>25</v>
      </c>
      <c r="H986" s="38">
        <v>47826</v>
      </c>
      <c r="I986" s="38">
        <v>8304</v>
      </c>
      <c r="J986" s="38">
        <v>37498</v>
      </c>
      <c r="K986" s="38">
        <v>467</v>
      </c>
      <c r="L986" s="38">
        <v>124</v>
      </c>
      <c r="M986" s="38">
        <v>894</v>
      </c>
      <c r="N986" s="38">
        <v>380</v>
      </c>
      <c r="O986" s="38">
        <v>159</v>
      </c>
      <c r="P986" s="38"/>
      <c r="Q986" s="38"/>
      <c r="R986" s="38">
        <v>65296</v>
      </c>
      <c r="S986" s="38">
        <v>8143</v>
      </c>
      <c r="T986" s="38">
        <v>55338</v>
      </c>
      <c r="U986" s="38">
        <v>222</v>
      </c>
      <c r="V986" s="38">
        <v>38</v>
      </c>
      <c r="W986" s="38">
        <v>1227</v>
      </c>
      <c r="X986" s="38">
        <v>194</v>
      </c>
      <c r="Y986" s="38">
        <v>134</v>
      </c>
      <c r="Z986" s="38"/>
      <c r="AA986" s="38"/>
      <c r="AB986" s="39">
        <v>17.362940699999999</v>
      </c>
      <c r="AC986" s="39">
        <v>78.405051599999993</v>
      </c>
      <c r="AD986" s="39">
        <v>0.97645630000000005</v>
      </c>
      <c r="AE986" s="39">
        <v>0.25927319999999998</v>
      </c>
      <c r="AF986" s="39">
        <v>1.8692761</v>
      </c>
      <c r="AG986" s="39">
        <v>0.79454689999999994</v>
      </c>
      <c r="AH986" s="39">
        <v>0.3324551</v>
      </c>
      <c r="AI986" s="39"/>
      <c r="AJ986" s="39"/>
      <c r="AK986" s="39">
        <v>12.470901700000001</v>
      </c>
      <c r="AL986" s="39">
        <v>84.749448700000002</v>
      </c>
      <c r="AM986" s="39">
        <v>0.33999020000000002</v>
      </c>
      <c r="AN986" s="39">
        <v>5.8196499999999998E-2</v>
      </c>
      <c r="AO986" s="39">
        <v>1.879135</v>
      </c>
      <c r="AP986" s="39">
        <v>0.2971086</v>
      </c>
      <c r="AQ986" s="39">
        <v>0.20521929999999999</v>
      </c>
      <c r="AR986" s="40"/>
      <c r="AS986" s="40"/>
    </row>
    <row r="987" spans="2:45" ht="15" hidden="1" customHeight="1" x14ac:dyDescent="0.25">
      <c r="B987" s="35">
        <v>981</v>
      </c>
      <c r="C987" s="36" t="s">
        <v>29</v>
      </c>
      <c r="D987" s="36" t="s">
        <v>329</v>
      </c>
      <c r="E987" s="36" t="s">
        <v>173</v>
      </c>
      <c r="F987" s="36"/>
      <c r="G987" s="37" t="s">
        <v>26</v>
      </c>
      <c r="H987" s="38">
        <v>7100</v>
      </c>
      <c r="I987" s="38">
        <v>224</v>
      </c>
      <c r="J987" s="38">
        <v>877</v>
      </c>
      <c r="K987" s="38">
        <v>1029</v>
      </c>
      <c r="L987" s="38">
        <v>181</v>
      </c>
      <c r="M987" s="38">
        <v>3777</v>
      </c>
      <c r="N987" s="38">
        <v>886</v>
      </c>
      <c r="O987" s="38">
        <v>126</v>
      </c>
      <c r="P987" s="38"/>
      <c r="Q987" s="38"/>
      <c r="R987" s="38">
        <v>7413</v>
      </c>
      <c r="S987" s="38">
        <v>491</v>
      </c>
      <c r="T987" s="38">
        <v>1808</v>
      </c>
      <c r="U987" s="38">
        <v>280</v>
      </c>
      <c r="V987" s="38">
        <v>38</v>
      </c>
      <c r="W987" s="38">
        <v>4163</v>
      </c>
      <c r="X987" s="38">
        <v>544</v>
      </c>
      <c r="Y987" s="38">
        <v>89</v>
      </c>
      <c r="Z987" s="38"/>
      <c r="AA987" s="38"/>
      <c r="AB987" s="39">
        <v>3.1549296</v>
      </c>
      <c r="AC987" s="39">
        <v>12.352112699999999</v>
      </c>
      <c r="AD987" s="39">
        <v>14.4929577</v>
      </c>
      <c r="AE987" s="39">
        <v>2.5492957999999999</v>
      </c>
      <c r="AF987" s="39">
        <v>53.197183099999997</v>
      </c>
      <c r="AG987" s="39">
        <v>12.478873200000001</v>
      </c>
      <c r="AH987" s="39">
        <v>1.7746478999999999</v>
      </c>
      <c r="AI987" s="39"/>
      <c r="AJ987" s="39"/>
      <c r="AK987" s="39">
        <v>6.6234992999999998</v>
      </c>
      <c r="AL987" s="39">
        <v>24.3895859</v>
      </c>
      <c r="AM987" s="39">
        <v>3.7771482999999999</v>
      </c>
      <c r="AN987" s="39">
        <v>0.51261299999999999</v>
      </c>
      <c r="AO987" s="39">
        <v>56.158100599999997</v>
      </c>
      <c r="AP987" s="39">
        <v>7.3384594999999999</v>
      </c>
      <c r="AQ987" s="39">
        <v>1.2005935999999999</v>
      </c>
      <c r="AR987" s="40"/>
      <c r="AS987" s="40"/>
    </row>
    <row r="988" spans="2:45" ht="15" customHeight="1" x14ac:dyDescent="0.25">
      <c r="B988" s="41">
        <v>982</v>
      </c>
      <c r="C988" s="42" t="s">
        <v>31</v>
      </c>
      <c r="D988" s="51" t="s">
        <v>329</v>
      </c>
      <c r="E988" s="51" t="s">
        <v>173</v>
      </c>
      <c r="F988" s="51" t="s">
        <v>329</v>
      </c>
      <c r="G988" s="52" t="s">
        <v>329</v>
      </c>
      <c r="H988" s="43">
        <v>54926</v>
      </c>
      <c r="I988" s="43">
        <v>8528</v>
      </c>
      <c r="J988" s="43">
        <v>38375</v>
      </c>
      <c r="K988" s="43">
        <v>1496</v>
      </c>
      <c r="L988" s="43">
        <v>305</v>
      </c>
      <c r="M988" s="43">
        <v>4671</v>
      </c>
      <c r="N988" s="43">
        <v>1266</v>
      </c>
      <c r="O988" s="43">
        <v>285</v>
      </c>
      <c r="P988" s="44">
        <f>K988+L988+M988+N988+O988</f>
        <v>8023</v>
      </c>
      <c r="Q988" s="44">
        <f>I988+J988</f>
        <v>46903</v>
      </c>
      <c r="R988" s="43">
        <v>72709</v>
      </c>
      <c r="S988" s="43">
        <v>8634</v>
      </c>
      <c r="T988" s="43">
        <v>57146</v>
      </c>
      <c r="U988" s="43">
        <v>502</v>
      </c>
      <c r="V988" s="43">
        <v>76</v>
      </c>
      <c r="W988" s="43">
        <v>5390</v>
      </c>
      <c r="X988" s="43">
        <v>738</v>
      </c>
      <c r="Y988" s="43">
        <v>223</v>
      </c>
      <c r="Z988" s="45">
        <f>U988+V988+W988+X988+Y988</f>
        <v>6929</v>
      </c>
      <c r="AA988" s="45">
        <f>S988+T988</f>
        <v>65780</v>
      </c>
      <c r="AB988" s="46">
        <v>15.5263445</v>
      </c>
      <c r="AC988" s="46">
        <v>69.866729800000002</v>
      </c>
      <c r="AD988" s="46">
        <v>2.7236646000000002</v>
      </c>
      <c r="AE988" s="46">
        <v>0.55529260000000003</v>
      </c>
      <c r="AF988" s="46">
        <v>8.5041691999999998</v>
      </c>
      <c r="AG988" s="46">
        <v>2.3049192999999999</v>
      </c>
      <c r="AH988" s="46">
        <v>0.51887989999999995</v>
      </c>
      <c r="AI988" s="47">
        <f>AB988+AC988</f>
        <v>85.393074299999995</v>
      </c>
      <c r="AJ988" s="47">
        <f>AD988+AE988+AF988+AG988+AH988</f>
        <v>14.6069256</v>
      </c>
      <c r="AK988" s="46">
        <v>11.8747335</v>
      </c>
      <c r="AL988" s="46">
        <v>78.595497100000003</v>
      </c>
      <c r="AM988" s="46">
        <v>0.69042349999999997</v>
      </c>
      <c r="AN988" s="46">
        <v>0.1045263</v>
      </c>
      <c r="AO988" s="46">
        <v>7.4131125000000004</v>
      </c>
      <c r="AP988" s="46">
        <v>1.0150049999999999</v>
      </c>
      <c r="AQ988" s="46">
        <v>0.30670209999999998</v>
      </c>
      <c r="AR988" s="48">
        <f>AK988+AL988</f>
        <v>90.470230600000008</v>
      </c>
      <c r="AS988" s="48">
        <f>AM988+AN988+AO988+AP988+AQ988</f>
        <v>9.5297694000000011</v>
      </c>
    </row>
    <row r="989" spans="2:45" ht="15" hidden="1" customHeight="1" x14ac:dyDescent="0.25">
      <c r="B989" s="35">
        <v>983</v>
      </c>
      <c r="C989" s="36" t="s">
        <v>31</v>
      </c>
      <c r="D989" s="36" t="s">
        <v>329</v>
      </c>
      <c r="E989" s="36" t="s">
        <v>173</v>
      </c>
      <c r="F989" s="36" t="s">
        <v>329</v>
      </c>
      <c r="G989" s="37" t="s">
        <v>25</v>
      </c>
      <c r="H989" s="38">
        <v>47826</v>
      </c>
      <c r="I989" s="38">
        <v>8304</v>
      </c>
      <c r="J989" s="38">
        <v>37498</v>
      </c>
      <c r="K989" s="38">
        <v>467</v>
      </c>
      <c r="L989" s="38">
        <v>124</v>
      </c>
      <c r="M989" s="38">
        <v>894</v>
      </c>
      <c r="N989" s="38">
        <v>380</v>
      </c>
      <c r="O989" s="38">
        <v>159</v>
      </c>
      <c r="P989" s="38"/>
      <c r="Q989" s="38"/>
      <c r="R989" s="38">
        <v>65296</v>
      </c>
      <c r="S989" s="38">
        <v>8143</v>
      </c>
      <c r="T989" s="38">
        <v>55338</v>
      </c>
      <c r="U989" s="38">
        <v>222</v>
      </c>
      <c r="V989" s="38">
        <v>38</v>
      </c>
      <c r="W989" s="38">
        <v>1227</v>
      </c>
      <c r="X989" s="38">
        <v>194</v>
      </c>
      <c r="Y989" s="38">
        <v>134</v>
      </c>
      <c r="Z989" s="38"/>
      <c r="AA989" s="38"/>
      <c r="AB989" s="39">
        <v>17.362940699999999</v>
      </c>
      <c r="AC989" s="39">
        <v>78.405051599999993</v>
      </c>
      <c r="AD989" s="39">
        <v>0.97645630000000005</v>
      </c>
      <c r="AE989" s="39">
        <v>0.25927319999999998</v>
      </c>
      <c r="AF989" s="39">
        <v>1.8692761</v>
      </c>
      <c r="AG989" s="39">
        <v>0.79454689999999994</v>
      </c>
      <c r="AH989" s="39">
        <v>0.3324551</v>
      </c>
      <c r="AI989" s="39"/>
      <c r="AJ989" s="39"/>
      <c r="AK989" s="39">
        <v>12.470901700000001</v>
      </c>
      <c r="AL989" s="39">
        <v>84.749448700000002</v>
      </c>
      <c r="AM989" s="39">
        <v>0.33999020000000002</v>
      </c>
      <c r="AN989" s="39">
        <v>5.8196499999999998E-2</v>
      </c>
      <c r="AO989" s="39">
        <v>1.879135</v>
      </c>
      <c r="AP989" s="39">
        <v>0.2971086</v>
      </c>
      <c r="AQ989" s="39">
        <v>0.20521929999999999</v>
      </c>
      <c r="AR989" s="40"/>
      <c r="AS989" s="40"/>
    </row>
    <row r="990" spans="2:45" ht="15" hidden="1" customHeight="1" x14ac:dyDescent="0.25">
      <c r="B990" s="35">
        <v>984</v>
      </c>
      <c r="C990" s="36" t="s">
        <v>31</v>
      </c>
      <c r="D990" s="36" t="s">
        <v>329</v>
      </c>
      <c r="E990" s="36" t="s">
        <v>173</v>
      </c>
      <c r="F990" s="36" t="s">
        <v>329</v>
      </c>
      <c r="G990" s="37" t="s">
        <v>26</v>
      </c>
      <c r="H990" s="38">
        <v>7100</v>
      </c>
      <c r="I990" s="38">
        <v>224</v>
      </c>
      <c r="J990" s="38">
        <v>877</v>
      </c>
      <c r="K990" s="38">
        <v>1029</v>
      </c>
      <c r="L990" s="38">
        <v>181</v>
      </c>
      <c r="M990" s="38">
        <v>3777</v>
      </c>
      <c r="N990" s="38">
        <v>886</v>
      </c>
      <c r="O990" s="38">
        <v>126</v>
      </c>
      <c r="P990" s="38"/>
      <c r="Q990" s="38"/>
      <c r="R990" s="38">
        <v>7413</v>
      </c>
      <c r="S990" s="38">
        <v>491</v>
      </c>
      <c r="T990" s="38">
        <v>1808</v>
      </c>
      <c r="U990" s="38">
        <v>280</v>
      </c>
      <c r="V990" s="38">
        <v>38</v>
      </c>
      <c r="W990" s="38">
        <v>4163</v>
      </c>
      <c r="X990" s="38">
        <v>544</v>
      </c>
      <c r="Y990" s="38">
        <v>89</v>
      </c>
      <c r="Z990" s="38"/>
      <c r="AA990" s="38"/>
      <c r="AB990" s="39">
        <v>3.1549296</v>
      </c>
      <c r="AC990" s="39">
        <v>12.352112699999999</v>
      </c>
      <c r="AD990" s="39">
        <v>14.4929577</v>
      </c>
      <c r="AE990" s="39">
        <v>2.5492957999999999</v>
      </c>
      <c r="AF990" s="39">
        <v>53.197183099999997</v>
      </c>
      <c r="AG990" s="39">
        <v>12.478873200000001</v>
      </c>
      <c r="AH990" s="39">
        <v>1.7746478999999999</v>
      </c>
      <c r="AI990" s="39"/>
      <c r="AJ990" s="39"/>
      <c r="AK990" s="39">
        <v>6.6234992999999998</v>
      </c>
      <c r="AL990" s="39">
        <v>24.3895859</v>
      </c>
      <c r="AM990" s="39">
        <v>3.7771482999999999</v>
      </c>
      <c r="AN990" s="39">
        <v>0.51261299999999999</v>
      </c>
      <c r="AO990" s="39">
        <v>56.158100599999997</v>
      </c>
      <c r="AP990" s="39">
        <v>7.3384594999999999</v>
      </c>
      <c r="AQ990" s="39">
        <v>1.2005935999999999</v>
      </c>
      <c r="AR990" s="40"/>
      <c r="AS990" s="40"/>
    </row>
    <row r="991" spans="2:45" ht="15" hidden="1" customHeight="1" x14ac:dyDescent="0.25">
      <c r="B991" s="30">
        <v>985</v>
      </c>
      <c r="C991" s="31" t="s">
        <v>29</v>
      </c>
      <c r="D991" s="50" t="s">
        <v>329</v>
      </c>
      <c r="E991" s="50" t="s">
        <v>330</v>
      </c>
      <c r="F991" s="50"/>
      <c r="G991" s="31" t="s">
        <v>330</v>
      </c>
      <c r="H991" s="32">
        <v>14102</v>
      </c>
      <c r="I991" s="32">
        <v>2070</v>
      </c>
      <c r="J991" s="32">
        <v>5727</v>
      </c>
      <c r="K991" s="32">
        <v>1296</v>
      </c>
      <c r="L991" s="32">
        <v>131</v>
      </c>
      <c r="M991" s="32">
        <v>3859</v>
      </c>
      <c r="N991" s="32">
        <v>814</v>
      </c>
      <c r="O991" s="32">
        <v>205</v>
      </c>
      <c r="P991" s="32"/>
      <c r="Q991" s="32"/>
      <c r="R991" s="32">
        <v>16275</v>
      </c>
      <c r="S991" s="32">
        <v>1483</v>
      </c>
      <c r="T991" s="32">
        <v>9285</v>
      </c>
      <c r="U991" s="32">
        <v>372</v>
      </c>
      <c r="V991" s="32">
        <v>30</v>
      </c>
      <c r="W991" s="32">
        <v>4440</v>
      </c>
      <c r="X991" s="32">
        <v>592</v>
      </c>
      <c r="Y991" s="32">
        <v>73</v>
      </c>
      <c r="Z991" s="32"/>
      <c r="AA991" s="32"/>
      <c r="AB991" s="33">
        <v>14.678769000000001</v>
      </c>
      <c r="AC991" s="33">
        <v>40.611260799999997</v>
      </c>
      <c r="AD991" s="33">
        <v>9.1901858000000001</v>
      </c>
      <c r="AE991" s="33">
        <v>0.92894620000000006</v>
      </c>
      <c r="AF991" s="33">
        <v>27.364912799999999</v>
      </c>
      <c r="AG991" s="33">
        <v>5.7722309000000003</v>
      </c>
      <c r="AH991" s="33">
        <v>1.4536944999999999</v>
      </c>
      <c r="AI991" s="33"/>
      <c r="AJ991" s="33"/>
      <c r="AK991" s="33">
        <v>9.1121352000000009</v>
      </c>
      <c r="AL991" s="33">
        <v>57.050691200000003</v>
      </c>
      <c r="AM991" s="33">
        <v>2.2857143</v>
      </c>
      <c r="AN991" s="33">
        <v>0.18433179999999999</v>
      </c>
      <c r="AO991" s="33">
        <v>27.281106000000001</v>
      </c>
      <c r="AP991" s="33">
        <v>3.6374808000000001</v>
      </c>
      <c r="AQ991" s="33">
        <v>0.44854070000000001</v>
      </c>
      <c r="AR991" s="34"/>
      <c r="AS991" s="34"/>
    </row>
    <row r="992" spans="2:45" ht="15" hidden="1" customHeight="1" x14ac:dyDescent="0.25">
      <c r="B992" s="35">
        <v>986</v>
      </c>
      <c r="C992" s="36" t="s">
        <v>29</v>
      </c>
      <c r="D992" s="36" t="s">
        <v>329</v>
      </c>
      <c r="E992" s="36" t="s">
        <v>330</v>
      </c>
      <c r="F992" s="36"/>
      <c r="G992" s="37" t="s">
        <v>25</v>
      </c>
      <c r="H992" s="38">
        <v>7600</v>
      </c>
      <c r="I992" s="38">
        <v>1927</v>
      </c>
      <c r="J992" s="38">
        <v>4959</v>
      </c>
      <c r="K992" s="38">
        <v>40</v>
      </c>
      <c r="L992" s="38">
        <v>9</v>
      </c>
      <c r="M992" s="38">
        <v>597</v>
      </c>
      <c r="N992" s="38">
        <v>57</v>
      </c>
      <c r="O992" s="38">
        <v>11</v>
      </c>
      <c r="P992" s="38"/>
      <c r="Q992" s="38"/>
      <c r="R992" s="38">
        <v>9414</v>
      </c>
      <c r="S992" s="38">
        <v>1223</v>
      </c>
      <c r="T992" s="38">
        <v>7632</v>
      </c>
      <c r="U992" s="38">
        <v>25</v>
      </c>
      <c r="V992" s="38">
        <v>1</v>
      </c>
      <c r="W992" s="38">
        <v>478</v>
      </c>
      <c r="X992" s="38">
        <v>34</v>
      </c>
      <c r="Y992" s="38">
        <v>21</v>
      </c>
      <c r="Z992" s="38"/>
      <c r="AA992" s="38"/>
      <c r="AB992" s="39">
        <v>25.3552632</v>
      </c>
      <c r="AC992" s="39">
        <v>65.25</v>
      </c>
      <c r="AD992" s="39">
        <v>0.5263158</v>
      </c>
      <c r="AE992" s="39">
        <v>0.1184211</v>
      </c>
      <c r="AF992" s="39">
        <v>7.8552631999999996</v>
      </c>
      <c r="AG992" s="39">
        <v>0.75</v>
      </c>
      <c r="AH992" s="39">
        <v>0.1447368</v>
      </c>
      <c r="AI992" s="39"/>
      <c r="AJ992" s="39"/>
      <c r="AK992" s="39">
        <v>12.9912896</v>
      </c>
      <c r="AL992" s="39">
        <v>81.070745700000003</v>
      </c>
      <c r="AM992" s="39">
        <v>0.26556190000000002</v>
      </c>
      <c r="AN992" s="39">
        <v>1.06225E-2</v>
      </c>
      <c r="AO992" s="39">
        <v>5.0775440999999999</v>
      </c>
      <c r="AP992" s="39">
        <v>0.36116419999999999</v>
      </c>
      <c r="AQ992" s="39">
        <v>0.22307199999999999</v>
      </c>
      <c r="AR992" s="40"/>
      <c r="AS992" s="40"/>
    </row>
    <row r="993" spans="2:45" ht="15" hidden="1" customHeight="1" x14ac:dyDescent="0.25">
      <c r="B993" s="35">
        <v>987</v>
      </c>
      <c r="C993" s="36" t="s">
        <v>29</v>
      </c>
      <c r="D993" s="36" t="s">
        <v>329</v>
      </c>
      <c r="E993" s="36" t="s">
        <v>330</v>
      </c>
      <c r="F993" s="36"/>
      <c r="G993" s="37" t="s">
        <v>26</v>
      </c>
      <c r="H993" s="38">
        <v>6502</v>
      </c>
      <c r="I993" s="38">
        <v>143</v>
      </c>
      <c r="J993" s="38">
        <v>768</v>
      </c>
      <c r="K993" s="38">
        <v>1256</v>
      </c>
      <c r="L993" s="38">
        <v>122</v>
      </c>
      <c r="M993" s="38">
        <v>3262</v>
      </c>
      <c r="N993" s="38">
        <v>757</v>
      </c>
      <c r="O993" s="38">
        <v>194</v>
      </c>
      <c r="P993" s="38"/>
      <c r="Q993" s="38"/>
      <c r="R993" s="38">
        <v>6861</v>
      </c>
      <c r="S993" s="38">
        <v>260</v>
      </c>
      <c r="T993" s="38">
        <v>1653</v>
      </c>
      <c r="U993" s="38">
        <v>347</v>
      </c>
      <c r="V993" s="38">
        <v>29</v>
      </c>
      <c r="W993" s="38">
        <v>3962</v>
      </c>
      <c r="X993" s="38">
        <v>558</v>
      </c>
      <c r="Y993" s="38">
        <v>52</v>
      </c>
      <c r="Z993" s="38"/>
      <c r="AA993" s="38"/>
      <c r="AB993" s="39">
        <v>2.1993233000000001</v>
      </c>
      <c r="AC993" s="39">
        <v>11.811750200000001</v>
      </c>
      <c r="AD993" s="39">
        <v>19.317133200000001</v>
      </c>
      <c r="AE993" s="39">
        <v>1.8763456999999999</v>
      </c>
      <c r="AF993" s="39">
        <v>50.169178700000003</v>
      </c>
      <c r="AG993" s="39">
        <v>11.642571500000001</v>
      </c>
      <c r="AH993" s="39">
        <v>2.9836973000000002</v>
      </c>
      <c r="AI993" s="39"/>
      <c r="AJ993" s="39"/>
      <c r="AK993" s="39">
        <v>3.7895351000000002</v>
      </c>
      <c r="AL993" s="39">
        <v>24.092697900000001</v>
      </c>
      <c r="AM993" s="39">
        <v>5.0575717999999998</v>
      </c>
      <c r="AN993" s="39">
        <v>0.42267890000000002</v>
      </c>
      <c r="AO993" s="39">
        <v>57.746684199999997</v>
      </c>
      <c r="AP993" s="39">
        <v>8.1329252000000007</v>
      </c>
      <c r="AQ993" s="39">
        <v>0.757907</v>
      </c>
      <c r="AR993" s="40"/>
      <c r="AS993" s="40"/>
    </row>
    <row r="994" spans="2:45" ht="15" customHeight="1" x14ac:dyDescent="0.25">
      <c r="B994" s="41">
        <v>988</v>
      </c>
      <c r="C994" s="42" t="s">
        <v>31</v>
      </c>
      <c r="D994" s="51" t="s">
        <v>329</v>
      </c>
      <c r="E994" s="51" t="s">
        <v>330</v>
      </c>
      <c r="F994" s="51" t="s">
        <v>331</v>
      </c>
      <c r="G994" s="52" t="s">
        <v>331</v>
      </c>
      <c r="H994" s="43">
        <v>5090</v>
      </c>
      <c r="I994" s="43">
        <v>138</v>
      </c>
      <c r="J994" s="43">
        <v>764</v>
      </c>
      <c r="K994" s="43">
        <v>1086</v>
      </c>
      <c r="L994" s="43">
        <v>82</v>
      </c>
      <c r="M994" s="43">
        <v>2244</v>
      </c>
      <c r="N994" s="43">
        <v>612</v>
      </c>
      <c r="O994" s="43">
        <v>164</v>
      </c>
      <c r="P994" s="44">
        <f>K994+L994+M994+N994+O994</f>
        <v>4188</v>
      </c>
      <c r="Q994" s="44">
        <f>I994+J994</f>
        <v>902</v>
      </c>
      <c r="R994" s="43">
        <v>5649</v>
      </c>
      <c r="S994" s="43">
        <v>226</v>
      </c>
      <c r="T994" s="43">
        <v>1420</v>
      </c>
      <c r="U994" s="43">
        <v>305</v>
      </c>
      <c r="V994" s="43">
        <v>27</v>
      </c>
      <c r="W994" s="43">
        <v>3161</v>
      </c>
      <c r="X994" s="43">
        <v>467</v>
      </c>
      <c r="Y994" s="43">
        <v>43</v>
      </c>
      <c r="Z994" s="45">
        <f>U994+V994+W994+X994+Y994</f>
        <v>4003</v>
      </c>
      <c r="AA994" s="45">
        <f>S994+T994</f>
        <v>1646</v>
      </c>
      <c r="AB994" s="46">
        <v>2.7111983999999998</v>
      </c>
      <c r="AC994" s="46">
        <v>15.0098232</v>
      </c>
      <c r="AD994" s="46">
        <v>21.335952800000001</v>
      </c>
      <c r="AE994" s="46">
        <v>1.611002</v>
      </c>
      <c r="AF994" s="46">
        <v>44.086444</v>
      </c>
      <c r="AG994" s="46">
        <v>12.023575599999999</v>
      </c>
      <c r="AH994" s="46">
        <v>3.2220038999999998</v>
      </c>
      <c r="AI994" s="47">
        <f>AB994+AC994</f>
        <v>17.7210216</v>
      </c>
      <c r="AJ994" s="47">
        <f>AD994+AE994+AF994+AG994+AH994</f>
        <v>82.278978300000006</v>
      </c>
      <c r="AK994" s="46">
        <v>4.0007080999999998</v>
      </c>
      <c r="AL994" s="46">
        <v>25.1371924</v>
      </c>
      <c r="AM994" s="46">
        <v>5.3991857000000003</v>
      </c>
      <c r="AN994" s="46">
        <v>0.47796070000000002</v>
      </c>
      <c r="AO994" s="46">
        <v>55.956806499999999</v>
      </c>
      <c r="AP994" s="46">
        <v>8.2669499000000002</v>
      </c>
      <c r="AQ994" s="46">
        <v>0.76119669999999995</v>
      </c>
      <c r="AR994" s="48">
        <f>AK994+AL994</f>
        <v>29.137900500000001</v>
      </c>
      <c r="AS994" s="48">
        <f>AM994+AN994+AO994+AP994+AQ994</f>
        <v>70.862099499999999</v>
      </c>
    </row>
    <row r="995" spans="2:45" ht="15" hidden="1" customHeight="1" x14ac:dyDescent="0.25">
      <c r="B995" s="35">
        <v>989</v>
      </c>
      <c r="C995" s="36" t="s">
        <v>31</v>
      </c>
      <c r="D995" s="36" t="s">
        <v>329</v>
      </c>
      <c r="E995" s="36" t="s">
        <v>330</v>
      </c>
      <c r="F995" s="36" t="s">
        <v>331</v>
      </c>
      <c r="G995" s="37" t="s">
        <v>25</v>
      </c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40"/>
      <c r="AS995" s="40"/>
    </row>
    <row r="996" spans="2:45" ht="15" hidden="1" customHeight="1" x14ac:dyDescent="0.25">
      <c r="B996" s="35">
        <v>990</v>
      </c>
      <c r="C996" s="36" t="s">
        <v>31</v>
      </c>
      <c r="D996" s="36" t="s">
        <v>329</v>
      </c>
      <c r="E996" s="36" t="s">
        <v>330</v>
      </c>
      <c r="F996" s="36" t="s">
        <v>331</v>
      </c>
      <c r="G996" s="37" t="s">
        <v>26</v>
      </c>
      <c r="H996" s="38">
        <v>5090</v>
      </c>
      <c r="I996" s="38">
        <v>138</v>
      </c>
      <c r="J996" s="38">
        <v>764</v>
      </c>
      <c r="K996" s="38">
        <v>1086</v>
      </c>
      <c r="L996" s="38">
        <v>82</v>
      </c>
      <c r="M996" s="38">
        <v>2244</v>
      </c>
      <c r="N996" s="38">
        <v>612</v>
      </c>
      <c r="O996" s="38">
        <v>164</v>
      </c>
      <c r="P996" s="38"/>
      <c r="Q996" s="38"/>
      <c r="R996" s="38">
        <v>5649</v>
      </c>
      <c r="S996" s="38">
        <v>226</v>
      </c>
      <c r="T996" s="38">
        <v>1420</v>
      </c>
      <c r="U996" s="38">
        <v>305</v>
      </c>
      <c r="V996" s="38">
        <v>27</v>
      </c>
      <c r="W996" s="38">
        <v>3161</v>
      </c>
      <c r="X996" s="38">
        <v>467</v>
      </c>
      <c r="Y996" s="38">
        <v>43</v>
      </c>
      <c r="Z996" s="38"/>
      <c r="AA996" s="38"/>
      <c r="AB996" s="39">
        <v>2.7111983999999998</v>
      </c>
      <c r="AC996" s="39">
        <v>15.0098232</v>
      </c>
      <c r="AD996" s="39">
        <v>21.335952800000001</v>
      </c>
      <c r="AE996" s="39">
        <v>1.611002</v>
      </c>
      <c r="AF996" s="39">
        <v>44.086444</v>
      </c>
      <c r="AG996" s="39">
        <v>12.023575599999999</v>
      </c>
      <c r="AH996" s="39">
        <v>3.2220038999999998</v>
      </c>
      <c r="AI996" s="39"/>
      <c r="AJ996" s="39"/>
      <c r="AK996" s="39">
        <v>4.0007080999999998</v>
      </c>
      <c r="AL996" s="39">
        <v>25.1371924</v>
      </c>
      <c r="AM996" s="39">
        <v>5.3991857000000003</v>
      </c>
      <c r="AN996" s="39">
        <v>0.47796070000000002</v>
      </c>
      <c r="AO996" s="39">
        <v>55.956806499999999</v>
      </c>
      <c r="AP996" s="39">
        <v>8.2669499000000002</v>
      </c>
      <c r="AQ996" s="39">
        <v>0.76119669999999995</v>
      </c>
      <c r="AR996" s="40"/>
      <c r="AS996" s="40"/>
    </row>
    <row r="997" spans="2:45" ht="15" customHeight="1" x14ac:dyDescent="0.25">
      <c r="B997" s="41">
        <v>991</v>
      </c>
      <c r="C997" s="42" t="s">
        <v>31</v>
      </c>
      <c r="D997" s="51" t="s">
        <v>329</v>
      </c>
      <c r="E997" s="51" t="s">
        <v>330</v>
      </c>
      <c r="F997" s="51" t="s">
        <v>332</v>
      </c>
      <c r="G997" s="52" t="s">
        <v>332</v>
      </c>
      <c r="H997" s="43">
        <v>9012</v>
      </c>
      <c r="I997" s="43">
        <v>1932</v>
      </c>
      <c r="J997" s="43">
        <v>4963</v>
      </c>
      <c r="K997" s="43">
        <v>210</v>
      </c>
      <c r="L997" s="43">
        <v>49</v>
      </c>
      <c r="M997" s="43">
        <v>1615</v>
      </c>
      <c r="N997" s="43">
        <v>202</v>
      </c>
      <c r="O997" s="43">
        <v>41</v>
      </c>
      <c r="P997" s="44">
        <f>K997+L997+M997+N997+O997</f>
        <v>2117</v>
      </c>
      <c r="Q997" s="44">
        <f>I997+J997</f>
        <v>6895</v>
      </c>
      <c r="R997" s="43">
        <v>10626</v>
      </c>
      <c r="S997" s="43">
        <v>1257</v>
      </c>
      <c r="T997" s="43">
        <v>7865</v>
      </c>
      <c r="U997" s="43">
        <v>67</v>
      </c>
      <c r="V997" s="43">
        <v>3</v>
      </c>
      <c r="W997" s="43">
        <v>1279</v>
      </c>
      <c r="X997" s="43">
        <v>125</v>
      </c>
      <c r="Y997" s="43">
        <v>30</v>
      </c>
      <c r="Z997" s="45">
        <f>U997+V997+W997+X997+Y997</f>
        <v>1504</v>
      </c>
      <c r="AA997" s="45">
        <f>S997+T997</f>
        <v>9122</v>
      </c>
      <c r="AB997" s="46">
        <v>21.438082600000001</v>
      </c>
      <c r="AC997" s="46">
        <v>55.071016399999998</v>
      </c>
      <c r="AD997" s="46">
        <v>2.3302263999999999</v>
      </c>
      <c r="AE997" s="46">
        <v>0.54371950000000002</v>
      </c>
      <c r="AF997" s="46">
        <v>17.9205504</v>
      </c>
      <c r="AG997" s="46">
        <v>2.2414558000000002</v>
      </c>
      <c r="AH997" s="46">
        <v>0.45494899999999999</v>
      </c>
      <c r="AI997" s="47">
        <f>AB997+AC997</f>
        <v>76.509098999999992</v>
      </c>
      <c r="AJ997" s="47">
        <f>AD997+AE997+AF997+AG997+AH997</f>
        <v>23.490901099999999</v>
      </c>
      <c r="AK997" s="46">
        <v>11.829474899999999</v>
      </c>
      <c r="AL997" s="46">
        <v>74.016563099999999</v>
      </c>
      <c r="AM997" s="46">
        <v>0.63052889999999995</v>
      </c>
      <c r="AN997" s="46">
        <v>2.82326E-2</v>
      </c>
      <c r="AO997" s="46">
        <v>12.036514199999999</v>
      </c>
      <c r="AP997" s="46">
        <v>1.1763599</v>
      </c>
      <c r="AQ997" s="46">
        <v>0.28232639999999998</v>
      </c>
      <c r="AR997" s="48">
        <f>AK997+AL997</f>
        <v>85.846037999999993</v>
      </c>
      <c r="AS997" s="48">
        <f>AM997+AN997+AO997+AP997+AQ997</f>
        <v>14.153962</v>
      </c>
    </row>
    <row r="998" spans="2:45" ht="15" hidden="1" customHeight="1" x14ac:dyDescent="0.25">
      <c r="B998" s="35">
        <v>992</v>
      </c>
      <c r="C998" s="36" t="s">
        <v>31</v>
      </c>
      <c r="D998" s="36" t="s">
        <v>329</v>
      </c>
      <c r="E998" s="36" t="s">
        <v>330</v>
      </c>
      <c r="F998" s="36" t="s">
        <v>332</v>
      </c>
      <c r="G998" s="37" t="s">
        <v>25</v>
      </c>
      <c r="H998" s="38">
        <v>7600</v>
      </c>
      <c r="I998" s="38">
        <v>1927</v>
      </c>
      <c r="J998" s="38">
        <v>4959</v>
      </c>
      <c r="K998" s="38">
        <v>40</v>
      </c>
      <c r="L998" s="38">
        <v>9</v>
      </c>
      <c r="M998" s="38">
        <v>597</v>
      </c>
      <c r="N998" s="38">
        <v>57</v>
      </c>
      <c r="O998" s="38">
        <v>11</v>
      </c>
      <c r="P998" s="38"/>
      <c r="Q998" s="38"/>
      <c r="R998" s="38">
        <v>9414</v>
      </c>
      <c r="S998" s="38">
        <v>1223</v>
      </c>
      <c r="T998" s="38">
        <v>7632</v>
      </c>
      <c r="U998" s="38">
        <v>25</v>
      </c>
      <c r="V998" s="38">
        <v>1</v>
      </c>
      <c r="W998" s="38">
        <v>478</v>
      </c>
      <c r="X998" s="38">
        <v>34</v>
      </c>
      <c r="Y998" s="38">
        <v>21</v>
      </c>
      <c r="Z998" s="38"/>
      <c r="AA998" s="38"/>
      <c r="AB998" s="39">
        <v>25.3552632</v>
      </c>
      <c r="AC998" s="39">
        <v>65.25</v>
      </c>
      <c r="AD998" s="39">
        <v>0.5263158</v>
      </c>
      <c r="AE998" s="39">
        <v>0.1184211</v>
      </c>
      <c r="AF998" s="39">
        <v>7.8552631999999996</v>
      </c>
      <c r="AG998" s="39">
        <v>0.75</v>
      </c>
      <c r="AH998" s="39">
        <v>0.1447368</v>
      </c>
      <c r="AI998" s="39"/>
      <c r="AJ998" s="39"/>
      <c r="AK998" s="39">
        <v>12.9912896</v>
      </c>
      <c r="AL998" s="39">
        <v>81.070745700000003</v>
      </c>
      <c r="AM998" s="39">
        <v>0.26556190000000002</v>
      </c>
      <c r="AN998" s="39">
        <v>1.06225E-2</v>
      </c>
      <c r="AO998" s="39">
        <v>5.0775440999999999</v>
      </c>
      <c r="AP998" s="39">
        <v>0.36116419999999999</v>
      </c>
      <c r="AQ998" s="39">
        <v>0.22307199999999999</v>
      </c>
      <c r="AR998" s="40"/>
      <c r="AS998" s="40"/>
    </row>
    <row r="999" spans="2:45" ht="15" hidden="1" customHeight="1" x14ac:dyDescent="0.25">
      <c r="B999" s="35">
        <v>993</v>
      </c>
      <c r="C999" s="36" t="s">
        <v>31</v>
      </c>
      <c r="D999" s="36" t="s">
        <v>329</v>
      </c>
      <c r="E999" s="36" t="s">
        <v>330</v>
      </c>
      <c r="F999" s="36" t="s">
        <v>332</v>
      </c>
      <c r="G999" s="37" t="s">
        <v>26</v>
      </c>
      <c r="H999" s="38">
        <v>1412</v>
      </c>
      <c r="I999" s="38">
        <v>5</v>
      </c>
      <c r="J999" s="38">
        <v>4</v>
      </c>
      <c r="K999" s="38">
        <v>170</v>
      </c>
      <c r="L999" s="38">
        <v>40</v>
      </c>
      <c r="M999" s="38">
        <v>1018</v>
      </c>
      <c r="N999" s="38">
        <v>145</v>
      </c>
      <c r="O999" s="38">
        <v>30</v>
      </c>
      <c r="P999" s="38"/>
      <c r="Q999" s="38"/>
      <c r="R999" s="38">
        <v>1212</v>
      </c>
      <c r="S999" s="38">
        <v>34</v>
      </c>
      <c r="T999" s="38">
        <v>233</v>
      </c>
      <c r="U999" s="38">
        <v>42</v>
      </c>
      <c r="V999" s="38">
        <v>2</v>
      </c>
      <c r="W999" s="38">
        <v>801</v>
      </c>
      <c r="X999" s="38">
        <v>91</v>
      </c>
      <c r="Y999" s="38">
        <v>9</v>
      </c>
      <c r="Z999" s="38"/>
      <c r="AA999" s="38"/>
      <c r="AB999" s="39">
        <v>0.35410760000000002</v>
      </c>
      <c r="AC999" s="39">
        <v>0.28328609999999999</v>
      </c>
      <c r="AD999" s="39">
        <v>12.039660100000001</v>
      </c>
      <c r="AE999" s="39">
        <v>2.8328612</v>
      </c>
      <c r="AF999" s="39">
        <v>72.096317299999995</v>
      </c>
      <c r="AG999" s="39">
        <v>10.269121800000001</v>
      </c>
      <c r="AH999" s="39">
        <v>2.1246459</v>
      </c>
      <c r="AI999" s="39"/>
      <c r="AJ999" s="39"/>
      <c r="AK999" s="39">
        <v>2.8052804999999998</v>
      </c>
      <c r="AL999" s="39">
        <v>19.224422400000002</v>
      </c>
      <c r="AM999" s="39">
        <v>3.4653464999999999</v>
      </c>
      <c r="AN999" s="39">
        <v>0.16501650000000001</v>
      </c>
      <c r="AO999" s="39">
        <v>66.089108899999999</v>
      </c>
      <c r="AP999" s="39">
        <v>7.5082507999999999</v>
      </c>
      <c r="AQ999" s="39">
        <v>0.74257430000000002</v>
      </c>
      <c r="AR999" s="40"/>
      <c r="AS999" s="40"/>
    </row>
    <row r="1000" spans="2:45" ht="15" hidden="1" customHeight="1" x14ac:dyDescent="0.25">
      <c r="B1000" s="30">
        <v>994</v>
      </c>
      <c r="C1000" s="31" t="s">
        <v>29</v>
      </c>
      <c r="D1000" s="50" t="s">
        <v>329</v>
      </c>
      <c r="E1000" s="50" t="s">
        <v>333</v>
      </c>
      <c r="F1000" s="50"/>
      <c r="G1000" s="31" t="s">
        <v>333</v>
      </c>
      <c r="H1000" s="32">
        <v>36422</v>
      </c>
      <c r="I1000" s="32">
        <v>4547</v>
      </c>
      <c r="J1000" s="32">
        <v>18465</v>
      </c>
      <c r="K1000" s="32">
        <v>1093</v>
      </c>
      <c r="L1000" s="32">
        <v>362</v>
      </c>
      <c r="M1000" s="32">
        <v>10559</v>
      </c>
      <c r="N1000" s="32">
        <v>1148</v>
      </c>
      <c r="O1000" s="32">
        <v>248</v>
      </c>
      <c r="P1000" s="32"/>
      <c r="Q1000" s="32"/>
      <c r="R1000" s="32">
        <v>46032</v>
      </c>
      <c r="S1000" s="32">
        <v>5624</v>
      </c>
      <c r="T1000" s="32">
        <v>27576</v>
      </c>
      <c r="U1000" s="32">
        <v>497</v>
      </c>
      <c r="V1000" s="32">
        <v>118</v>
      </c>
      <c r="W1000" s="32">
        <v>10912</v>
      </c>
      <c r="X1000" s="32">
        <v>1114</v>
      </c>
      <c r="Y1000" s="32">
        <v>191</v>
      </c>
      <c r="Z1000" s="32"/>
      <c r="AA1000" s="32"/>
      <c r="AB1000" s="33">
        <v>12.4842128</v>
      </c>
      <c r="AC1000" s="33">
        <v>50.697380699999997</v>
      </c>
      <c r="AD1000" s="33">
        <v>3.0009334999999999</v>
      </c>
      <c r="AE1000" s="33">
        <v>0.99390480000000003</v>
      </c>
      <c r="AF1000" s="33">
        <v>28.990719899999998</v>
      </c>
      <c r="AG1000" s="33">
        <v>3.1519411000000002</v>
      </c>
      <c r="AH1000" s="33">
        <v>0.68090709999999999</v>
      </c>
      <c r="AI1000" s="33"/>
      <c r="AJ1000" s="33"/>
      <c r="AK1000" s="33">
        <v>12.2175878</v>
      </c>
      <c r="AL1000" s="33">
        <v>59.906152200000001</v>
      </c>
      <c r="AM1000" s="33">
        <v>1.0796836999999999</v>
      </c>
      <c r="AN1000" s="33">
        <v>0.2563434</v>
      </c>
      <c r="AO1000" s="33">
        <v>23.7052485</v>
      </c>
      <c r="AP1000" s="33">
        <v>2.4200556</v>
      </c>
      <c r="AQ1000" s="33">
        <v>0.41492869999999998</v>
      </c>
      <c r="AR1000" s="34"/>
      <c r="AS1000" s="34"/>
    </row>
    <row r="1001" spans="2:45" ht="15" hidden="1" customHeight="1" x14ac:dyDescent="0.25">
      <c r="B1001" s="35">
        <v>995</v>
      </c>
      <c r="C1001" s="36" t="s">
        <v>29</v>
      </c>
      <c r="D1001" s="36" t="s">
        <v>329</v>
      </c>
      <c r="E1001" s="36" t="s">
        <v>333</v>
      </c>
      <c r="F1001" s="36"/>
      <c r="G1001" s="37" t="s">
        <v>25</v>
      </c>
      <c r="H1001" s="38">
        <v>24528</v>
      </c>
      <c r="I1001" s="38">
        <v>4338</v>
      </c>
      <c r="J1001" s="38">
        <v>17677</v>
      </c>
      <c r="K1001" s="38">
        <v>250</v>
      </c>
      <c r="L1001" s="38">
        <v>147</v>
      </c>
      <c r="M1001" s="38">
        <v>1727</v>
      </c>
      <c r="N1001" s="38">
        <v>322</v>
      </c>
      <c r="O1001" s="38">
        <v>67</v>
      </c>
      <c r="P1001" s="38"/>
      <c r="Q1001" s="38"/>
      <c r="R1001" s="38">
        <v>32165</v>
      </c>
      <c r="S1001" s="38">
        <v>4925</v>
      </c>
      <c r="T1001" s="38">
        <v>25331</v>
      </c>
      <c r="U1001" s="38">
        <v>151</v>
      </c>
      <c r="V1001" s="38">
        <v>46</v>
      </c>
      <c r="W1001" s="38">
        <v>1534</v>
      </c>
      <c r="X1001" s="38">
        <v>113</v>
      </c>
      <c r="Y1001" s="38">
        <v>65</v>
      </c>
      <c r="Z1001" s="38"/>
      <c r="AA1001" s="38"/>
      <c r="AB1001" s="39">
        <v>17.68591</v>
      </c>
      <c r="AC1001" s="39">
        <v>72.068656200000007</v>
      </c>
      <c r="AD1001" s="39">
        <v>1.0192433000000001</v>
      </c>
      <c r="AE1001" s="39">
        <v>0.59931509999999999</v>
      </c>
      <c r="AF1001" s="39">
        <v>7.0409328000000002</v>
      </c>
      <c r="AG1001" s="39">
        <v>1.3127854000000001</v>
      </c>
      <c r="AH1001" s="39">
        <v>0.27315719999999999</v>
      </c>
      <c r="AI1001" s="39"/>
      <c r="AJ1001" s="39"/>
      <c r="AK1001" s="39">
        <v>15.311674200000001</v>
      </c>
      <c r="AL1001" s="39">
        <v>78.753303299999999</v>
      </c>
      <c r="AM1001" s="39">
        <v>0.46945439999999999</v>
      </c>
      <c r="AN1001" s="39">
        <v>0.14301259999999999</v>
      </c>
      <c r="AO1001" s="39">
        <v>4.7691590000000001</v>
      </c>
      <c r="AP1001" s="39">
        <v>0.3513135</v>
      </c>
      <c r="AQ1001" s="39">
        <v>0.20208300000000001</v>
      </c>
      <c r="AR1001" s="40"/>
      <c r="AS1001" s="40"/>
    </row>
    <row r="1002" spans="2:45" ht="15" hidden="1" customHeight="1" x14ac:dyDescent="0.25">
      <c r="B1002" s="35">
        <v>996</v>
      </c>
      <c r="C1002" s="36" t="s">
        <v>29</v>
      </c>
      <c r="D1002" s="36" t="s">
        <v>329</v>
      </c>
      <c r="E1002" s="36" t="s">
        <v>333</v>
      </c>
      <c r="F1002" s="36"/>
      <c r="G1002" s="37" t="s">
        <v>26</v>
      </c>
      <c r="H1002" s="38">
        <v>11894</v>
      </c>
      <c r="I1002" s="38">
        <v>209</v>
      </c>
      <c r="J1002" s="38">
        <v>788</v>
      </c>
      <c r="K1002" s="38">
        <v>843</v>
      </c>
      <c r="L1002" s="38">
        <v>215</v>
      </c>
      <c r="M1002" s="38">
        <v>8832</v>
      </c>
      <c r="N1002" s="38">
        <v>826</v>
      </c>
      <c r="O1002" s="38">
        <v>181</v>
      </c>
      <c r="P1002" s="38"/>
      <c r="Q1002" s="38"/>
      <c r="R1002" s="38">
        <v>13867</v>
      </c>
      <c r="S1002" s="38">
        <v>699</v>
      </c>
      <c r="T1002" s="38">
        <v>2245</v>
      </c>
      <c r="U1002" s="38">
        <v>346</v>
      </c>
      <c r="V1002" s="38">
        <v>72</v>
      </c>
      <c r="W1002" s="38">
        <v>9378</v>
      </c>
      <c r="X1002" s="38">
        <v>1001</v>
      </c>
      <c r="Y1002" s="38">
        <v>126</v>
      </c>
      <c r="Z1002" s="38"/>
      <c r="AA1002" s="38"/>
      <c r="AB1002" s="39">
        <v>1.7571885</v>
      </c>
      <c r="AC1002" s="39">
        <v>6.6251892000000003</v>
      </c>
      <c r="AD1002" s="39">
        <v>7.0876071999999999</v>
      </c>
      <c r="AE1002" s="39">
        <v>1.8076341</v>
      </c>
      <c r="AF1002" s="39">
        <v>74.255927400000004</v>
      </c>
      <c r="AG1002" s="39">
        <v>6.9446779999999997</v>
      </c>
      <c r="AH1002" s="39">
        <v>1.5217757000000001</v>
      </c>
      <c r="AI1002" s="39"/>
      <c r="AJ1002" s="39"/>
      <c r="AK1002" s="39">
        <v>5.0407441999999998</v>
      </c>
      <c r="AL1002" s="39">
        <v>16.1895147</v>
      </c>
      <c r="AM1002" s="39">
        <v>2.4951322999999999</v>
      </c>
      <c r="AN1002" s="39">
        <v>0.51921830000000002</v>
      </c>
      <c r="AO1002" s="39">
        <v>67.628181999999995</v>
      </c>
      <c r="AP1002" s="39">
        <v>7.2185765000000002</v>
      </c>
      <c r="AQ1002" s="39">
        <v>0.908632</v>
      </c>
      <c r="AR1002" s="40"/>
      <c r="AS1002" s="40"/>
    </row>
    <row r="1003" spans="2:45" ht="15" customHeight="1" x14ac:dyDescent="0.25">
      <c r="B1003" s="41">
        <v>997</v>
      </c>
      <c r="C1003" s="42" t="s">
        <v>31</v>
      </c>
      <c r="D1003" s="51" t="s">
        <v>329</v>
      </c>
      <c r="E1003" s="51" t="s">
        <v>333</v>
      </c>
      <c r="F1003" s="51" t="s">
        <v>334</v>
      </c>
      <c r="G1003" s="52" t="s">
        <v>334</v>
      </c>
      <c r="H1003" s="43">
        <v>22138</v>
      </c>
      <c r="I1003" s="43">
        <v>2985</v>
      </c>
      <c r="J1003" s="43">
        <v>12697</v>
      </c>
      <c r="K1003" s="43">
        <v>504</v>
      </c>
      <c r="L1003" s="43">
        <v>251</v>
      </c>
      <c r="M1003" s="43">
        <v>5322</v>
      </c>
      <c r="N1003" s="43">
        <v>295</v>
      </c>
      <c r="O1003" s="43">
        <v>84</v>
      </c>
      <c r="P1003" s="44">
        <f>K1003+L1003+M1003+N1003+O1003</f>
        <v>6456</v>
      </c>
      <c r="Q1003" s="44">
        <f>I1003+J1003</f>
        <v>15682</v>
      </c>
      <c r="R1003" s="43">
        <v>27308</v>
      </c>
      <c r="S1003" s="43">
        <v>3669</v>
      </c>
      <c r="T1003" s="43">
        <v>17702</v>
      </c>
      <c r="U1003" s="43">
        <v>297</v>
      </c>
      <c r="V1003" s="43">
        <v>95</v>
      </c>
      <c r="W1003" s="43">
        <v>5150</v>
      </c>
      <c r="X1003" s="43">
        <v>311</v>
      </c>
      <c r="Y1003" s="43">
        <v>84</v>
      </c>
      <c r="Z1003" s="45">
        <f>U1003+V1003+W1003+X1003+Y1003</f>
        <v>5937</v>
      </c>
      <c r="AA1003" s="45">
        <f>S1003+T1003</f>
        <v>21371</v>
      </c>
      <c r="AB1003" s="46">
        <v>13.483602899999999</v>
      </c>
      <c r="AC1003" s="46">
        <v>57.3538712</v>
      </c>
      <c r="AD1003" s="46">
        <v>2.2766283999999999</v>
      </c>
      <c r="AE1003" s="46">
        <v>1.1337971</v>
      </c>
      <c r="AF1003" s="46">
        <v>24.040112000000001</v>
      </c>
      <c r="AG1003" s="46">
        <v>1.3325503999999999</v>
      </c>
      <c r="AH1003" s="46">
        <v>0.3794381</v>
      </c>
      <c r="AI1003" s="47">
        <f>AB1003+AC1003</f>
        <v>70.837474099999994</v>
      </c>
      <c r="AJ1003" s="47">
        <f>AD1003+AE1003+AF1003+AG1003+AH1003</f>
        <v>29.162526</v>
      </c>
      <c r="AK1003" s="46">
        <v>13.4356233</v>
      </c>
      <c r="AL1003" s="46">
        <v>64.8234949</v>
      </c>
      <c r="AM1003" s="46">
        <v>1.0875934</v>
      </c>
      <c r="AN1003" s="46">
        <v>0.34788340000000001</v>
      </c>
      <c r="AO1003" s="46">
        <v>18.8589424</v>
      </c>
      <c r="AP1003" s="46">
        <v>1.1388604</v>
      </c>
      <c r="AQ1003" s="46">
        <v>0.30760219999999999</v>
      </c>
      <c r="AR1003" s="48">
        <f>AK1003+AL1003</f>
        <v>78.259118200000003</v>
      </c>
      <c r="AS1003" s="48">
        <f>AM1003+AN1003+AO1003+AP1003+AQ1003</f>
        <v>21.7408818</v>
      </c>
    </row>
    <row r="1004" spans="2:45" ht="15" hidden="1" customHeight="1" x14ac:dyDescent="0.25">
      <c r="B1004" s="35">
        <v>998</v>
      </c>
      <c r="C1004" s="36" t="s">
        <v>31</v>
      </c>
      <c r="D1004" s="36" t="s">
        <v>329</v>
      </c>
      <c r="E1004" s="36" t="s">
        <v>333</v>
      </c>
      <c r="F1004" s="36" t="s">
        <v>334</v>
      </c>
      <c r="G1004" s="37" t="s">
        <v>25</v>
      </c>
      <c r="H1004" s="38">
        <v>15658</v>
      </c>
      <c r="I1004" s="38">
        <v>2799</v>
      </c>
      <c r="J1004" s="38">
        <v>11927</v>
      </c>
      <c r="K1004" s="38">
        <v>143</v>
      </c>
      <c r="L1004" s="38">
        <v>110</v>
      </c>
      <c r="M1004" s="38">
        <v>607</v>
      </c>
      <c r="N1004" s="38">
        <v>44</v>
      </c>
      <c r="O1004" s="38">
        <v>28</v>
      </c>
      <c r="P1004" s="38"/>
      <c r="Q1004" s="38"/>
      <c r="R1004" s="38">
        <v>20574</v>
      </c>
      <c r="S1004" s="38">
        <v>3214</v>
      </c>
      <c r="T1004" s="38">
        <v>16183</v>
      </c>
      <c r="U1004" s="38">
        <v>120</v>
      </c>
      <c r="V1004" s="38">
        <v>42</v>
      </c>
      <c r="W1004" s="38">
        <v>919</v>
      </c>
      <c r="X1004" s="38">
        <v>60</v>
      </c>
      <c r="Y1004" s="38">
        <v>36</v>
      </c>
      <c r="Z1004" s="38"/>
      <c r="AA1004" s="38"/>
      <c r="AB1004" s="39">
        <v>17.875846200000002</v>
      </c>
      <c r="AC1004" s="39">
        <v>76.171924899999993</v>
      </c>
      <c r="AD1004" s="39">
        <v>0.91327119999999995</v>
      </c>
      <c r="AE1004" s="39">
        <v>0.70251629999999998</v>
      </c>
      <c r="AF1004" s="39">
        <v>3.8766126000000001</v>
      </c>
      <c r="AG1004" s="39">
        <v>0.28100649999999999</v>
      </c>
      <c r="AH1004" s="39">
        <v>0.17882229999999999</v>
      </c>
      <c r="AI1004" s="39"/>
      <c r="AJ1004" s="39"/>
      <c r="AK1004" s="39">
        <v>15.621658399999999</v>
      </c>
      <c r="AL1004" s="39">
        <v>78.657528900000003</v>
      </c>
      <c r="AM1004" s="39">
        <v>0.58326040000000001</v>
      </c>
      <c r="AN1004" s="39">
        <v>0.20414109999999999</v>
      </c>
      <c r="AO1004" s="39">
        <v>4.4668028</v>
      </c>
      <c r="AP1004" s="39">
        <v>0.29163020000000001</v>
      </c>
      <c r="AQ1004" s="39">
        <v>0.1749781</v>
      </c>
      <c r="AR1004" s="40"/>
      <c r="AS1004" s="40"/>
    </row>
    <row r="1005" spans="2:45" ht="15" hidden="1" customHeight="1" x14ac:dyDescent="0.25">
      <c r="B1005" s="35">
        <v>999</v>
      </c>
      <c r="C1005" s="36" t="s">
        <v>31</v>
      </c>
      <c r="D1005" s="36" t="s">
        <v>329</v>
      </c>
      <c r="E1005" s="36" t="s">
        <v>333</v>
      </c>
      <c r="F1005" s="36" t="s">
        <v>334</v>
      </c>
      <c r="G1005" s="37" t="s">
        <v>26</v>
      </c>
      <c r="H1005" s="38">
        <v>6480</v>
      </c>
      <c r="I1005" s="38">
        <v>186</v>
      </c>
      <c r="J1005" s="38">
        <v>770</v>
      </c>
      <c r="K1005" s="38">
        <v>361</v>
      </c>
      <c r="L1005" s="38">
        <v>141</v>
      </c>
      <c r="M1005" s="38">
        <v>4715</v>
      </c>
      <c r="N1005" s="38">
        <v>251</v>
      </c>
      <c r="O1005" s="38">
        <v>56</v>
      </c>
      <c r="P1005" s="38"/>
      <c r="Q1005" s="38"/>
      <c r="R1005" s="38">
        <v>6734</v>
      </c>
      <c r="S1005" s="38">
        <v>455</v>
      </c>
      <c r="T1005" s="38">
        <v>1519</v>
      </c>
      <c r="U1005" s="38">
        <v>177</v>
      </c>
      <c r="V1005" s="38">
        <v>53</v>
      </c>
      <c r="W1005" s="38">
        <v>4231</v>
      </c>
      <c r="X1005" s="38">
        <v>251</v>
      </c>
      <c r="Y1005" s="38">
        <v>48</v>
      </c>
      <c r="Z1005" s="38"/>
      <c r="AA1005" s="38"/>
      <c r="AB1005" s="39">
        <v>2.8703704000000001</v>
      </c>
      <c r="AC1005" s="39">
        <v>11.882716</v>
      </c>
      <c r="AD1005" s="39">
        <v>5.5709876999999999</v>
      </c>
      <c r="AE1005" s="39">
        <v>2.1759259000000002</v>
      </c>
      <c r="AF1005" s="39">
        <v>72.762345699999997</v>
      </c>
      <c r="AG1005" s="39">
        <v>3.8734568</v>
      </c>
      <c r="AH1005" s="39">
        <v>0.86419749999999995</v>
      </c>
      <c r="AI1005" s="39"/>
      <c r="AJ1005" s="39"/>
      <c r="AK1005" s="39">
        <v>6.7567567999999998</v>
      </c>
      <c r="AL1005" s="39">
        <v>22.557172600000001</v>
      </c>
      <c r="AM1005" s="39">
        <v>2.6284526000000001</v>
      </c>
      <c r="AN1005" s="39">
        <v>0.78705080000000005</v>
      </c>
      <c r="AO1005" s="39">
        <v>62.830412799999998</v>
      </c>
      <c r="AP1005" s="39">
        <v>3.7273537000000001</v>
      </c>
      <c r="AQ1005" s="39">
        <v>0.71280069999999995</v>
      </c>
      <c r="AR1005" s="40"/>
      <c r="AS1005" s="40"/>
    </row>
    <row r="1006" spans="2:45" ht="15" customHeight="1" x14ac:dyDescent="0.25">
      <c r="B1006" s="41">
        <v>1000</v>
      </c>
      <c r="C1006" s="42" t="s">
        <v>31</v>
      </c>
      <c r="D1006" s="51" t="s">
        <v>329</v>
      </c>
      <c r="E1006" s="51" t="s">
        <v>333</v>
      </c>
      <c r="F1006" s="51" t="s">
        <v>335</v>
      </c>
      <c r="G1006" s="52" t="s">
        <v>335</v>
      </c>
      <c r="H1006" s="43">
        <v>3995</v>
      </c>
      <c r="I1006" s="43">
        <v>230</v>
      </c>
      <c r="J1006" s="43">
        <v>743</v>
      </c>
      <c r="K1006" s="43">
        <v>304</v>
      </c>
      <c r="L1006" s="43">
        <v>28</v>
      </c>
      <c r="M1006" s="43">
        <v>2345</v>
      </c>
      <c r="N1006" s="43">
        <v>276</v>
      </c>
      <c r="O1006" s="43">
        <v>69</v>
      </c>
      <c r="P1006" s="44">
        <f>K1006+L1006+M1006+N1006+O1006</f>
        <v>3022</v>
      </c>
      <c r="Q1006" s="44">
        <f>I1006+J1006</f>
        <v>973</v>
      </c>
      <c r="R1006" s="43">
        <v>4684</v>
      </c>
      <c r="S1006" s="43">
        <v>317</v>
      </c>
      <c r="T1006" s="43">
        <v>1439</v>
      </c>
      <c r="U1006" s="43">
        <v>113</v>
      </c>
      <c r="V1006" s="43">
        <v>6</v>
      </c>
      <c r="W1006" s="43">
        <v>2537</v>
      </c>
      <c r="X1006" s="43">
        <v>227</v>
      </c>
      <c r="Y1006" s="43">
        <v>45</v>
      </c>
      <c r="Z1006" s="45">
        <f>U1006+V1006+W1006+X1006+Y1006</f>
        <v>2928</v>
      </c>
      <c r="AA1006" s="45">
        <f>S1006+T1006</f>
        <v>1756</v>
      </c>
      <c r="AB1006" s="46">
        <v>5.7571965000000001</v>
      </c>
      <c r="AC1006" s="46">
        <v>18.598247799999999</v>
      </c>
      <c r="AD1006" s="46">
        <v>7.6095119000000002</v>
      </c>
      <c r="AE1006" s="46">
        <v>0.7008761</v>
      </c>
      <c r="AF1006" s="46">
        <v>58.698372999999997</v>
      </c>
      <c r="AG1006" s="46">
        <v>6.9086357999999999</v>
      </c>
      <c r="AH1006" s="46">
        <v>1.7271589000000001</v>
      </c>
      <c r="AI1006" s="47">
        <f>AB1006+AC1006</f>
        <v>24.355444299999998</v>
      </c>
      <c r="AJ1006" s="47">
        <f>AD1006+AE1006+AF1006+AG1006+AH1006</f>
        <v>75.644555699999998</v>
      </c>
      <c r="AK1006" s="46">
        <v>6.7677199000000003</v>
      </c>
      <c r="AL1006" s="46">
        <v>30.721605499999999</v>
      </c>
      <c r="AM1006" s="46">
        <v>2.4124680000000001</v>
      </c>
      <c r="AN1006" s="46">
        <v>0.1280956</v>
      </c>
      <c r="AO1006" s="46">
        <v>54.1631085</v>
      </c>
      <c r="AP1006" s="46">
        <v>4.8462851999999996</v>
      </c>
      <c r="AQ1006" s="46">
        <v>0.9607173</v>
      </c>
      <c r="AR1006" s="48">
        <f>AK1006+AL1006</f>
        <v>37.489325399999998</v>
      </c>
      <c r="AS1006" s="48">
        <f>AM1006+AN1006+AO1006+AP1006+AQ1006</f>
        <v>62.510674599999994</v>
      </c>
    </row>
    <row r="1007" spans="2:45" ht="15" hidden="1" customHeight="1" x14ac:dyDescent="0.25">
      <c r="B1007" s="35">
        <v>1001</v>
      </c>
      <c r="C1007" s="36" t="s">
        <v>31</v>
      </c>
      <c r="D1007" s="36" t="s">
        <v>329</v>
      </c>
      <c r="E1007" s="36" t="s">
        <v>333</v>
      </c>
      <c r="F1007" s="36" t="s">
        <v>335</v>
      </c>
      <c r="G1007" s="37" t="s">
        <v>25</v>
      </c>
      <c r="H1007" s="38">
        <v>962</v>
      </c>
      <c r="I1007" s="38">
        <v>215</v>
      </c>
      <c r="J1007" s="38">
        <v>732</v>
      </c>
      <c r="K1007" s="38">
        <v>7</v>
      </c>
      <c r="L1007" s="38">
        <v>0</v>
      </c>
      <c r="M1007" s="38">
        <v>7</v>
      </c>
      <c r="N1007" s="38">
        <v>0</v>
      </c>
      <c r="O1007" s="38">
        <v>1</v>
      </c>
      <c r="P1007" s="38"/>
      <c r="Q1007" s="38"/>
      <c r="R1007" s="38">
        <v>1260</v>
      </c>
      <c r="S1007" s="38">
        <v>175</v>
      </c>
      <c r="T1007" s="38">
        <v>987</v>
      </c>
      <c r="U1007" s="38">
        <v>3</v>
      </c>
      <c r="V1007" s="38">
        <v>0</v>
      </c>
      <c r="W1007" s="38">
        <v>88</v>
      </c>
      <c r="X1007" s="38">
        <v>3</v>
      </c>
      <c r="Y1007" s="38">
        <v>4</v>
      </c>
      <c r="Z1007" s="38"/>
      <c r="AA1007" s="38"/>
      <c r="AB1007" s="39">
        <v>22.349272299999999</v>
      </c>
      <c r="AC1007" s="39">
        <v>76.091476099999994</v>
      </c>
      <c r="AD1007" s="39">
        <v>0.72765069999999998</v>
      </c>
      <c r="AE1007" s="39">
        <v>0</v>
      </c>
      <c r="AF1007" s="39">
        <v>0.72765069999999998</v>
      </c>
      <c r="AG1007" s="39">
        <v>0</v>
      </c>
      <c r="AH1007" s="39">
        <v>0.1039501</v>
      </c>
      <c r="AI1007" s="39"/>
      <c r="AJ1007" s="39"/>
      <c r="AK1007" s="39">
        <v>13.8888889</v>
      </c>
      <c r="AL1007" s="39">
        <v>78.333333300000007</v>
      </c>
      <c r="AM1007" s="39">
        <v>0.23809520000000001</v>
      </c>
      <c r="AN1007" s="39">
        <v>0</v>
      </c>
      <c r="AO1007" s="39">
        <v>6.984127</v>
      </c>
      <c r="AP1007" s="39">
        <v>0.23809520000000001</v>
      </c>
      <c r="AQ1007" s="39">
        <v>0.31746029999999997</v>
      </c>
      <c r="AR1007" s="40"/>
      <c r="AS1007" s="40"/>
    </row>
    <row r="1008" spans="2:45" ht="15" hidden="1" customHeight="1" x14ac:dyDescent="0.25">
      <c r="B1008" s="35">
        <v>1002</v>
      </c>
      <c r="C1008" s="36" t="s">
        <v>31</v>
      </c>
      <c r="D1008" s="36" t="s">
        <v>329</v>
      </c>
      <c r="E1008" s="36" t="s">
        <v>333</v>
      </c>
      <c r="F1008" s="36" t="s">
        <v>335</v>
      </c>
      <c r="G1008" s="37" t="s">
        <v>26</v>
      </c>
      <c r="H1008" s="38">
        <v>3033</v>
      </c>
      <c r="I1008" s="38">
        <v>15</v>
      </c>
      <c r="J1008" s="38">
        <v>11</v>
      </c>
      <c r="K1008" s="38">
        <v>297</v>
      </c>
      <c r="L1008" s="38">
        <v>28</v>
      </c>
      <c r="M1008" s="38">
        <v>2338</v>
      </c>
      <c r="N1008" s="38">
        <v>276</v>
      </c>
      <c r="O1008" s="38">
        <v>68</v>
      </c>
      <c r="P1008" s="38"/>
      <c r="Q1008" s="38"/>
      <c r="R1008" s="38">
        <v>3424</v>
      </c>
      <c r="S1008" s="38">
        <v>142</v>
      </c>
      <c r="T1008" s="38">
        <v>452</v>
      </c>
      <c r="U1008" s="38">
        <v>110</v>
      </c>
      <c r="V1008" s="38">
        <v>6</v>
      </c>
      <c r="W1008" s="38">
        <v>2449</v>
      </c>
      <c r="X1008" s="38">
        <v>224</v>
      </c>
      <c r="Y1008" s="38">
        <v>41</v>
      </c>
      <c r="Z1008" s="38"/>
      <c r="AA1008" s="38"/>
      <c r="AB1008" s="39">
        <v>0.49455979999999999</v>
      </c>
      <c r="AC1008" s="39">
        <v>0.36267719999999998</v>
      </c>
      <c r="AD1008" s="39">
        <v>9.7922849000000003</v>
      </c>
      <c r="AE1008" s="39">
        <v>0.92317839999999995</v>
      </c>
      <c r="AF1008" s="39">
        <v>77.085393999999994</v>
      </c>
      <c r="AG1008" s="39">
        <v>9.0999011000000003</v>
      </c>
      <c r="AH1008" s="39">
        <v>2.2420046</v>
      </c>
      <c r="AI1008" s="39"/>
      <c r="AJ1008" s="39"/>
      <c r="AK1008" s="39">
        <v>4.1471963000000001</v>
      </c>
      <c r="AL1008" s="39">
        <v>13.2009346</v>
      </c>
      <c r="AM1008" s="39">
        <v>3.2126168000000002</v>
      </c>
      <c r="AN1008" s="39">
        <v>0.17523359999999999</v>
      </c>
      <c r="AO1008" s="39">
        <v>71.524532699999995</v>
      </c>
      <c r="AP1008" s="39">
        <v>6.5420560999999999</v>
      </c>
      <c r="AQ1008" s="39">
        <v>1.1974298999999999</v>
      </c>
      <c r="AR1008" s="40"/>
      <c r="AS1008" s="40"/>
    </row>
    <row r="1009" spans="2:45" ht="15" customHeight="1" x14ac:dyDescent="0.25">
      <c r="B1009" s="41">
        <v>1003</v>
      </c>
      <c r="C1009" s="42" t="s">
        <v>31</v>
      </c>
      <c r="D1009" s="51" t="s">
        <v>329</v>
      </c>
      <c r="E1009" s="51" t="s">
        <v>333</v>
      </c>
      <c r="F1009" s="51" t="s">
        <v>336</v>
      </c>
      <c r="G1009" s="52" t="s">
        <v>336</v>
      </c>
      <c r="H1009" s="43">
        <v>10289</v>
      </c>
      <c r="I1009" s="43">
        <v>1332</v>
      </c>
      <c r="J1009" s="43">
        <v>5025</v>
      </c>
      <c r="K1009" s="43">
        <v>285</v>
      </c>
      <c r="L1009" s="43">
        <v>83</v>
      </c>
      <c r="M1009" s="43">
        <v>2892</v>
      </c>
      <c r="N1009" s="43">
        <v>577</v>
      </c>
      <c r="O1009" s="43">
        <v>95</v>
      </c>
      <c r="P1009" s="44">
        <f>K1009+L1009+M1009+N1009+O1009</f>
        <v>3932</v>
      </c>
      <c r="Q1009" s="44">
        <f>I1009+J1009</f>
        <v>6357</v>
      </c>
      <c r="R1009" s="43">
        <v>14040</v>
      </c>
      <c r="S1009" s="43">
        <v>1638</v>
      </c>
      <c r="T1009" s="43">
        <v>8435</v>
      </c>
      <c r="U1009" s="43">
        <v>87</v>
      </c>
      <c r="V1009" s="43">
        <v>17</v>
      </c>
      <c r="W1009" s="43">
        <v>3225</v>
      </c>
      <c r="X1009" s="43">
        <v>576</v>
      </c>
      <c r="Y1009" s="43">
        <v>62</v>
      </c>
      <c r="Z1009" s="45">
        <f>U1009+V1009+W1009+X1009+Y1009</f>
        <v>3967</v>
      </c>
      <c r="AA1009" s="45">
        <f>S1009+T1009</f>
        <v>10073</v>
      </c>
      <c r="AB1009" s="46">
        <v>12.945864500000001</v>
      </c>
      <c r="AC1009" s="46">
        <v>48.838565500000001</v>
      </c>
      <c r="AD1009" s="46">
        <v>2.7699484999999999</v>
      </c>
      <c r="AE1009" s="46">
        <v>0.80668680000000004</v>
      </c>
      <c r="AF1009" s="46">
        <v>28.107687800000001</v>
      </c>
      <c r="AG1009" s="46">
        <v>5.6079308000000001</v>
      </c>
      <c r="AH1009" s="46">
        <v>0.92331620000000003</v>
      </c>
      <c r="AI1009" s="47">
        <f>AB1009+AC1009</f>
        <v>61.78443</v>
      </c>
      <c r="AJ1009" s="47">
        <f>AD1009+AE1009+AF1009+AG1009+AH1009</f>
        <v>38.215570100000001</v>
      </c>
      <c r="AK1009" s="46">
        <v>11.6666667</v>
      </c>
      <c r="AL1009" s="46">
        <v>60.078347600000001</v>
      </c>
      <c r="AM1009" s="46">
        <v>0.61965809999999999</v>
      </c>
      <c r="AN1009" s="46">
        <v>0.1210826</v>
      </c>
      <c r="AO1009" s="46">
        <v>22.9700855</v>
      </c>
      <c r="AP1009" s="46">
        <v>4.1025641000000004</v>
      </c>
      <c r="AQ1009" s="46">
        <v>0.44159540000000003</v>
      </c>
      <c r="AR1009" s="48">
        <f>AK1009+AL1009</f>
        <v>71.745014300000008</v>
      </c>
      <c r="AS1009" s="48">
        <f>AM1009+AN1009+AO1009+AP1009+AQ1009</f>
        <v>28.254985700000002</v>
      </c>
    </row>
    <row r="1010" spans="2:45" ht="15" hidden="1" customHeight="1" x14ac:dyDescent="0.25">
      <c r="B1010" s="35">
        <v>1004</v>
      </c>
      <c r="C1010" s="36" t="s">
        <v>31</v>
      </c>
      <c r="D1010" s="36" t="s">
        <v>329</v>
      </c>
      <c r="E1010" s="36" t="s">
        <v>333</v>
      </c>
      <c r="F1010" s="36" t="s">
        <v>336</v>
      </c>
      <c r="G1010" s="37" t="s">
        <v>25</v>
      </c>
      <c r="H1010" s="38">
        <v>7908</v>
      </c>
      <c r="I1010" s="38">
        <v>1324</v>
      </c>
      <c r="J1010" s="38">
        <v>5018</v>
      </c>
      <c r="K1010" s="38">
        <v>100</v>
      </c>
      <c r="L1010" s="38">
        <v>37</v>
      </c>
      <c r="M1010" s="38">
        <v>1113</v>
      </c>
      <c r="N1010" s="38">
        <v>278</v>
      </c>
      <c r="O1010" s="38">
        <v>38</v>
      </c>
      <c r="P1010" s="38"/>
      <c r="Q1010" s="38"/>
      <c r="R1010" s="38">
        <v>10331</v>
      </c>
      <c r="S1010" s="38">
        <v>1536</v>
      </c>
      <c r="T1010" s="38">
        <v>8161</v>
      </c>
      <c r="U1010" s="38">
        <v>28</v>
      </c>
      <c r="V1010" s="38">
        <v>4</v>
      </c>
      <c r="W1010" s="38">
        <v>527</v>
      </c>
      <c r="X1010" s="38">
        <v>50</v>
      </c>
      <c r="Y1010" s="38">
        <v>25</v>
      </c>
      <c r="Z1010" s="38"/>
      <c r="AA1010" s="38"/>
      <c r="AB1010" s="39">
        <v>16.7425392</v>
      </c>
      <c r="AC1010" s="39">
        <v>63.454729399999998</v>
      </c>
      <c r="AD1010" s="39">
        <v>1.2645421999999999</v>
      </c>
      <c r="AE1010" s="39">
        <v>0.46788059999999998</v>
      </c>
      <c r="AF1010" s="39">
        <v>14.0743551</v>
      </c>
      <c r="AG1010" s="39">
        <v>3.5154274000000001</v>
      </c>
      <c r="AH1010" s="39">
        <v>0.48052600000000001</v>
      </c>
      <c r="AI1010" s="39"/>
      <c r="AJ1010" s="39"/>
      <c r="AK1010" s="39">
        <v>14.867873400000001</v>
      </c>
      <c r="AL1010" s="39">
        <v>78.995256999999995</v>
      </c>
      <c r="AM1010" s="39">
        <v>0.27102890000000002</v>
      </c>
      <c r="AN1010" s="39">
        <v>3.87184E-2</v>
      </c>
      <c r="AO1010" s="39">
        <v>5.1011518999999996</v>
      </c>
      <c r="AP1010" s="39">
        <v>0.48398029999999997</v>
      </c>
      <c r="AQ1010" s="39">
        <v>0.24199010000000001</v>
      </c>
      <c r="AR1010" s="40"/>
      <c r="AS1010" s="40"/>
    </row>
    <row r="1011" spans="2:45" ht="15" hidden="1" customHeight="1" x14ac:dyDescent="0.25">
      <c r="B1011" s="35">
        <v>1005</v>
      </c>
      <c r="C1011" s="36" t="s">
        <v>31</v>
      </c>
      <c r="D1011" s="36" t="s">
        <v>329</v>
      </c>
      <c r="E1011" s="36" t="s">
        <v>333</v>
      </c>
      <c r="F1011" s="36" t="s">
        <v>336</v>
      </c>
      <c r="G1011" s="37" t="s">
        <v>26</v>
      </c>
      <c r="H1011" s="38">
        <v>2381</v>
      </c>
      <c r="I1011" s="38">
        <v>8</v>
      </c>
      <c r="J1011" s="38">
        <v>7</v>
      </c>
      <c r="K1011" s="38">
        <v>185</v>
      </c>
      <c r="L1011" s="38">
        <v>46</v>
      </c>
      <c r="M1011" s="38">
        <v>1779</v>
      </c>
      <c r="N1011" s="38">
        <v>299</v>
      </c>
      <c r="O1011" s="38">
        <v>57</v>
      </c>
      <c r="P1011" s="38"/>
      <c r="Q1011" s="38"/>
      <c r="R1011" s="38">
        <v>3709</v>
      </c>
      <c r="S1011" s="38">
        <v>102</v>
      </c>
      <c r="T1011" s="38">
        <v>274</v>
      </c>
      <c r="U1011" s="38">
        <v>59</v>
      </c>
      <c r="V1011" s="38">
        <v>13</v>
      </c>
      <c r="W1011" s="38">
        <v>2698</v>
      </c>
      <c r="X1011" s="38">
        <v>526</v>
      </c>
      <c r="Y1011" s="38">
        <v>37</v>
      </c>
      <c r="Z1011" s="38"/>
      <c r="AA1011" s="38"/>
      <c r="AB1011" s="39">
        <v>0.33599329999999999</v>
      </c>
      <c r="AC1011" s="39">
        <v>0.29399409999999998</v>
      </c>
      <c r="AD1011" s="39">
        <v>7.7698445999999999</v>
      </c>
      <c r="AE1011" s="39">
        <v>1.9319614000000001</v>
      </c>
      <c r="AF1011" s="39">
        <v>74.716505699999999</v>
      </c>
      <c r="AG1011" s="39">
        <v>12.557748800000001</v>
      </c>
      <c r="AH1011" s="39">
        <v>2.3939520999999999</v>
      </c>
      <c r="AI1011" s="39"/>
      <c r="AJ1011" s="39"/>
      <c r="AK1011" s="39">
        <v>2.7500673999999998</v>
      </c>
      <c r="AL1011" s="39">
        <v>7.3874360000000001</v>
      </c>
      <c r="AM1011" s="39">
        <v>1.5907252999999999</v>
      </c>
      <c r="AN1011" s="39">
        <v>0.3504988</v>
      </c>
      <c r="AO1011" s="39">
        <v>72.741979000000001</v>
      </c>
      <c r="AP1011" s="39">
        <v>14.1817201</v>
      </c>
      <c r="AQ1011" s="39">
        <v>0.9975735</v>
      </c>
      <c r="AR1011" s="40"/>
      <c r="AS1011" s="40"/>
    </row>
    <row r="1012" spans="2:45" ht="15" hidden="1" customHeight="1" x14ac:dyDescent="0.25">
      <c r="B1012" s="30">
        <v>1006</v>
      </c>
      <c r="C1012" s="31" t="s">
        <v>29</v>
      </c>
      <c r="D1012" s="50" t="s">
        <v>329</v>
      </c>
      <c r="E1012" s="50" t="s">
        <v>337</v>
      </c>
      <c r="F1012" s="50"/>
      <c r="G1012" s="31" t="s">
        <v>337</v>
      </c>
      <c r="H1012" s="32">
        <v>5646</v>
      </c>
      <c r="I1012" s="32">
        <v>224</v>
      </c>
      <c r="J1012" s="32">
        <v>964</v>
      </c>
      <c r="K1012" s="32">
        <v>630</v>
      </c>
      <c r="L1012" s="32">
        <v>114</v>
      </c>
      <c r="M1012" s="32">
        <v>2458</v>
      </c>
      <c r="N1012" s="32">
        <v>1081</v>
      </c>
      <c r="O1012" s="32">
        <v>175</v>
      </c>
      <c r="P1012" s="32"/>
      <c r="Q1012" s="32"/>
      <c r="R1012" s="32">
        <v>6446</v>
      </c>
      <c r="S1012" s="32">
        <v>250</v>
      </c>
      <c r="T1012" s="32">
        <v>1541</v>
      </c>
      <c r="U1012" s="32">
        <v>246</v>
      </c>
      <c r="V1012" s="32">
        <v>35</v>
      </c>
      <c r="W1012" s="32">
        <v>3660</v>
      </c>
      <c r="X1012" s="32">
        <v>648</v>
      </c>
      <c r="Y1012" s="32">
        <v>66</v>
      </c>
      <c r="Z1012" s="32"/>
      <c r="AA1012" s="32"/>
      <c r="AB1012" s="33">
        <v>3.9674106</v>
      </c>
      <c r="AC1012" s="33">
        <v>17.074034699999999</v>
      </c>
      <c r="AD1012" s="33">
        <v>11.1583422</v>
      </c>
      <c r="AE1012" s="33">
        <v>2.0191286000000002</v>
      </c>
      <c r="AF1012" s="33">
        <v>43.535246200000003</v>
      </c>
      <c r="AG1012" s="33">
        <v>19.146298300000002</v>
      </c>
      <c r="AH1012" s="33">
        <v>3.0995395000000001</v>
      </c>
      <c r="AI1012" s="33"/>
      <c r="AJ1012" s="33"/>
      <c r="AK1012" s="33">
        <v>3.8783742000000001</v>
      </c>
      <c r="AL1012" s="33">
        <v>23.906298499999998</v>
      </c>
      <c r="AM1012" s="33">
        <v>3.8163201999999998</v>
      </c>
      <c r="AN1012" s="33">
        <v>0.54297240000000002</v>
      </c>
      <c r="AO1012" s="33">
        <v>56.779398100000002</v>
      </c>
      <c r="AP1012" s="33">
        <v>10.0527459</v>
      </c>
      <c r="AQ1012" s="33">
        <v>1.0238908</v>
      </c>
      <c r="AR1012" s="34"/>
      <c r="AS1012" s="34"/>
    </row>
    <row r="1013" spans="2:45" ht="15" hidden="1" customHeight="1" x14ac:dyDescent="0.25">
      <c r="B1013" s="35">
        <v>1007</v>
      </c>
      <c r="C1013" s="36" t="s">
        <v>29</v>
      </c>
      <c r="D1013" s="36" t="s">
        <v>329</v>
      </c>
      <c r="E1013" s="36" t="s">
        <v>337</v>
      </c>
      <c r="F1013" s="36"/>
      <c r="G1013" s="37" t="s">
        <v>25</v>
      </c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>
        <v>703</v>
      </c>
      <c r="S1013" s="38">
        <v>65</v>
      </c>
      <c r="T1013" s="38">
        <v>551</v>
      </c>
      <c r="U1013" s="38">
        <v>7</v>
      </c>
      <c r="V1013" s="38">
        <v>2</v>
      </c>
      <c r="W1013" s="38">
        <v>71</v>
      </c>
      <c r="X1013" s="38">
        <v>4</v>
      </c>
      <c r="Y1013" s="38">
        <v>3</v>
      </c>
      <c r="Z1013" s="38"/>
      <c r="AA1013" s="38"/>
      <c r="AB1013" s="39"/>
      <c r="AC1013" s="39"/>
      <c r="AD1013" s="39"/>
      <c r="AE1013" s="39"/>
      <c r="AF1013" s="39"/>
      <c r="AG1013" s="39"/>
      <c r="AH1013" s="39"/>
      <c r="AI1013" s="39"/>
      <c r="AJ1013" s="39"/>
      <c r="AK1013" s="39">
        <v>9.2460882000000009</v>
      </c>
      <c r="AL1013" s="39">
        <v>78.378378400000003</v>
      </c>
      <c r="AM1013" s="39">
        <v>0.99573259999999997</v>
      </c>
      <c r="AN1013" s="39">
        <v>0.284495</v>
      </c>
      <c r="AO1013" s="39">
        <v>10.099573299999999</v>
      </c>
      <c r="AP1013" s="39">
        <v>0.56899</v>
      </c>
      <c r="AQ1013" s="39">
        <v>0.42674250000000002</v>
      </c>
      <c r="AR1013" s="40"/>
      <c r="AS1013" s="40"/>
    </row>
    <row r="1014" spans="2:45" ht="15" hidden="1" customHeight="1" x14ac:dyDescent="0.25">
      <c r="B1014" s="35">
        <v>1008</v>
      </c>
      <c r="C1014" s="36" t="s">
        <v>29</v>
      </c>
      <c r="D1014" s="36" t="s">
        <v>329</v>
      </c>
      <c r="E1014" s="36" t="s">
        <v>337</v>
      </c>
      <c r="F1014" s="36"/>
      <c r="G1014" s="37" t="s">
        <v>26</v>
      </c>
      <c r="H1014" s="38">
        <v>5646</v>
      </c>
      <c r="I1014" s="38">
        <v>224</v>
      </c>
      <c r="J1014" s="38">
        <v>964</v>
      </c>
      <c r="K1014" s="38">
        <v>630</v>
      </c>
      <c r="L1014" s="38">
        <v>114</v>
      </c>
      <c r="M1014" s="38">
        <v>2458</v>
      </c>
      <c r="N1014" s="38">
        <v>1081</v>
      </c>
      <c r="O1014" s="38">
        <v>175</v>
      </c>
      <c r="P1014" s="38"/>
      <c r="Q1014" s="38"/>
      <c r="R1014" s="38">
        <v>5743</v>
      </c>
      <c r="S1014" s="38">
        <v>185</v>
      </c>
      <c r="T1014" s="38">
        <v>990</v>
      </c>
      <c r="U1014" s="38">
        <v>239</v>
      </c>
      <c r="V1014" s="38">
        <v>33</v>
      </c>
      <c r="W1014" s="38">
        <v>3589</v>
      </c>
      <c r="X1014" s="38">
        <v>644</v>
      </c>
      <c r="Y1014" s="38">
        <v>63</v>
      </c>
      <c r="Z1014" s="38"/>
      <c r="AA1014" s="38"/>
      <c r="AB1014" s="39">
        <v>3.9674106</v>
      </c>
      <c r="AC1014" s="39">
        <v>17.074034699999999</v>
      </c>
      <c r="AD1014" s="39">
        <v>11.1583422</v>
      </c>
      <c r="AE1014" s="39">
        <v>2.0191286000000002</v>
      </c>
      <c r="AF1014" s="39">
        <v>43.535246200000003</v>
      </c>
      <c r="AG1014" s="39">
        <v>19.146298300000002</v>
      </c>
      <c r="AH1014" s="39">
        <v>3.0995395000000001</v>
      </c>
      <c r="AI1014" s="39"/>
      <c r="AJ1014" s="39"/>
      <c r="AK1014" s="39">
        <v>3.2213129</v>
      </c>
      <c r="AL1014" s="39">
        <v>17.238377199999999</v>
      </c>
      <c r="AM1014" s="39">
        <v>4.1615880000000001</v>
      </c>
      <c r="AN1014" s="39">
        <v>0.57461260000000003</v>
      </c>
      <c r="AO1014" s="39">
        <v>62.493470299999998</v>
      </c>
      <c r="AP1014" s="39">
        <v>11.2136514</v>
      </c>
      <c r="AQ1014" s="39">
        <v>1.0969876000000001</v>
      </c>
      <c r="AR1014" s="40"/>
      <c r="AS1014" s="40"/>
    </row>
    <row r="1015" spans="2:45" ht="15" customHeight="1" x14ac:dyDescent="0.25">
      <c r="B1015" s="41">
        <v>1009</v>
      </c>
      <c r="C1015" s="42" t="s">
        <v>31</v>
      </c>
      <c r="D1015" s="51" t="s">
        <v>329</v>
      </c>
      <c r="E1015" s="51" t="s">
        <v>337</v>
      </c>
      <c r="F1015" s="51" t="s">
        <v>338</v>
      </c>
      <c r="G1015" s="52" t="s">
        <v>338</v>
      </c>
      <c r="H1015" s="43">
        <v>4162</v>
      </c>
      <c r="I1015" s="43">
        <v>193</v>
      </c>
      <c r="J1015" s="43">
        <v>859</v>
      </c>
      <c r="K1015" s="43">
        <v>506</v>
      </c>
      <c r="L1015" s="43">
        <v>53</v>
      </c>
      <c r="M1015" s="43">
        <v>1476</v>
      </c>
      <c r="N1015" s="43">
        <v>926</v>
      </c>
      <c r="O1015" s="43">
        <v>149</v>
      </c>
      <c r="P1015" s="44">
        <f>K1015+L1015+M1015+N1015+O1015</f>
        <v>3110</v>
      </c>
      <c r="Q1015" s="44">
        <f>I1015+J1015</f>
        <v>1052</v>
      </c>
      <c r="R1015" s="43">
        <v>4916</v>
      </c>
      <c r="S1015" s="43">
        <v>226</v>
      </c>
      <c r="T1015" s="43">
        <v>1402</v>
      </c>
      <c r="U1015" s="43">
        <v>212</v>
      </c>
      <c r="V1015" s="43">
        <v>18</v>
      </c>
      <c r="W1015" s="43">
        <v>2454</v>
      </c>
      <c r="X1015" s="43">
        <v>548</v>
      </c>
      <c r="Y1015" s="43">
        <v>56</v>
      </c>
      <c r="Z1015" s="45">
        <f>U1015+V1015+W1015+X1015+Y1015</f>
        <v>3288</v>
      </c>
      <c r="AA1015" s="45">
        <f>S1015+T1015</f>
        <v>1628</v>
      </c>
      <c r="AB1015" s="46">
        <v>4.6371937000000001</v>
      </c>
      <c r="AC1015" s="46">
        <v>20.639115799999999</v>
      </c>
      <c r="AD1015" s="46">
        <v>12.1576165</v>
      </c>
      <c r="AE1015" s="46">
        <v>1.2734262000000001</v>
      </c>
      <c r="AF1015" s="46">
        <v>35.463719400000002</v>
      </c>
      <c r="AG1015" s="46">
        <v>22.248918799999998</v>
      </c>
      <c r="AH1015" s="46">
        <v>3.5800095999999999</v>
      </c>
      <c r="AI1015" s="47">
        <f>AB1015+AC1015</f>
        <v>25.2763095</v>
      </c>
      <c r="AJ1015" s="47">
        <f>AD1015+AE1015+AF1015+AG1015+AH1015</f>
        <v>74.723690499999989</v>
      </c>
      <c r="AK1015" s="46">
        <v>4.5972334999999998</v>
      </c>
      <c r="AL1015" s="46">
        <v>28.519121200000001</v>
      </c>
      <c r="AM1015" s="46">
        <v>4.3124491000000003</v>
      </c>
      <c r="AN1015" s="46">
        <v>0.36615130000000001</v>
      </c>
      <c r="AO1015" s="46">
        <v>49.918633</v>
      </c>
      <c r="AP1015" s="46">
        <v>11.1472742</v>
      </c>
      <c r="AQ1015" s="46">
        <v>1.1391374999999999</v>
      </c>
      <c r="AR1015" s="48">
        <f>AK1015+AL1015</f>
        <v>33.116354700000002</v>
      </c>
      <c r="AS1015" s="48">
        <f>AM1015+AN1015+AO1015+AP1015+AQ1015</f>
        <v>66.88364510000001</v>
      </c>
    </row>
    <row r="1016" spans="2:45" ht="15" hidden="1" customHeight="1" x14ac:dyDescent="0.25">
      <c r="B1016" s="35">
        <v>1010</v>
      </c>
      <c r="C1016" s="36" t="s">
        <v>31</v>
      </c>
      <c r="D1016" s="36" t="s">
        <v>329</v>
      </c>
      <c r="E1016" s="36" t="s">
        <v>337</v>
      </c>
      <c r="F1016" s="36" t="s">
        <v>338</v>
      </c>
      <c r="G1016" s="37" t="s">
        <v>25</v>
      </c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>
        <v>703</v>
      </c>
      <c r="S1016" s="38">
        <v>65</v>
      </c>
      <c r="T1016" s="38">
        <v>551</v>
      </c>
      <c r="U1016" s="38">
        <v>7</v>
      </c>
      <c r="V1016" s="38">
        <v>2</v>
      </c>
      <c r="W1016" s="38">
        <v>71</v>
      </c>
      <c r="X1016" s="38">
        <v>4</v>
      </c>
      <c r="Y1016" s="38">
        <v>3</v>
      </c>
      <c r="Z1016" s="38"/>
      <c r="AA1016" s="38"/>
      <c r="AB1016" s="39"/>
      <c r="AC1016" s="39"/>
      <c r="AD1016" s="39"/>
      <c r="AE1016" s="39"/>
      <c r="AF1016" s="39"/>
      <c r="AG1016" s="39"/>
      <c r="AH1016" s="39"/>
      <c r="AI1016" s="39"/>
      <c r="AJ1016" s="39"/>
      <c r="AK1016" s="39">
        <v>9.2460882000000009</v>
      </c>
      <c r="AL1016" s="39">
        <v>78.378378400000003</v>
      </c>
      <c r="AM1016" s="39">
        <v>0.99573259999999997</v>
      </c>
      <c r="AN1016" s="39">
        <v>0.284495</v>
      </c>
      <c r="AO1016" s="39">
        <v>10.099573299999999</v>
      </c>
      <c r="AP1016" s="39">
        <v>0.56899</v>
      </c>
      <c r="AQ1016" s="39">
        <v>0.42674250000000002</v>
      </c>
      <c r="AR1016" s="40"/>
      <c r="AS1016" s="40"/>
    </row>
    <row r="1017" spans="2:45" ht="15" hidden="1" customHeight="1" x14ac:dyDescent="0.25">
      <c r="B1017" s="35">
        <v>1011</v>
      </c>
      <c r="C1017" s="36" t="s">
        <v>31</v>
      </c>
      <c r="D1017" s="36" t="s">
        <v>329</v>
      </c>
      <c r="E1017" s="36" t="s">
        <v>337</v>
      </c>
      <c r="F1017" s="36" t="s">
        <v>338</v>
      </c>
      <c r="G1017" s="37" t="s">
        <v>26</v>
      </c>
      <c r="H1017" s="38">
        <v>4162</v>
      </c>
      <c r="I1017" s="38">
        <v>193</v>
      </c>
      <c r="J1017" s="38">
        <v>859</v>
      </c>
      <c r="K1017" s="38">
        <v>506</v>
      </c>
      <c r="L1017" s="38">
        <v>53</v>
      </c>
      <c r="M1017" s="38">
        <v>1476</v>
      </c>
      <c r="N1017" s="38">
        <v>926</v>
      </c>
      <c r="O1017" s="38">
        <v>149</v>
      </c>
      <c r="P1017" s="38"/>
      <c r="Q1017" s="38"/>
      <c r="R1017" s="38">
        <v>4213</v>
      </c>
      <c r="S1017" s="38">
        <v>161</v>
      </c>
      <c r="T1017" s="38">
        <v>851</v>
      </c>
      <c r="U1017" s="38">
        <v>205</v>
      </c>
      <c r="V1017" s="38">
        <v>16</v>
      </c>
      <c r="W1017" s="38">
        <v>2383</v>
      </c>
      <c r="X1017" s="38">
        <v>544</v>
      </c>
      <c r="Y1017" s="38">
        <v>53</v>
      </c>
      <c r="Z1017" s="38"/>
      <c r="AA1017" s="38"/>
      <c r="AB1017" s="39">
        <v>4.6371937000000001</v>
      </c>
      <c r="AC1017" s="39">
        <v>20.639115799999999</v>
      </c>
      <c r="AD1017" s="39">
        <v>12.1576165</v>
      </c>
      <c r="AE1017" s="39">
        <v>1.2734262000000001</v>
      </c>
      <c r="AF1017" s="39">
        <v>35.463719400000002</v>
      </c>
      <c r="AG1017" s="39">
        <v>22.248918799999998</v>
      </c>
      <c r="AH1017" s="39">
        <v>3.5800095999999999</v>
      </c>
      <c r="AI1017" s="39"/>
      <c r="AJ1017" s="39"/>
      <c r="AK1017" s="39">
        <v>3.8215048999999999</v>
      </c>
      <c r="AL1017" s="39">
        <v>20.1993829</v>
      </c>
      <c r="AM1017" s="39">
        <v>4.8658913000000004</v>
      </c>
      <c r="AN1017" s="39">
        <v>0.37977689999999997</v>
      </c>
      <c r="AO1017" s="39">
        <v>56.563019199999999</v>
      </c>
      <c r="AP1017" s="39">
        <v>12.912414</v>
      </c>
      <c r="AQ1017" s="39">
        <v>1.2580108999999999</v>
      </c>
      <c r="AR1017" s="40"/>
      <c r="AS1017" s="40"/>
    </row>
    <row r="1018" spans="2:45" ht="15" customHeight="1" x14ac:dyDescent="0.25">
      <c r="B1018" s="41">
        <v>1012</v>
      </c>
      <c r="C1018" s="42" t="s">
        <v>31</v>
      </c>
      <c r="D1018" s="51" t="s">
        <v>329</v>
      </c>
      <c r="E1018" s="51" t="s">
        <v>337</v>
      </c>
      <c r="F1018" s="51" t="s">
        <v>339</v>
      </c>
      <c r="G1018" s="52" t="s">
        <v>339</v>
      </c>
      <c r="H1018" s="43">
        <v>1484</v>
      </c>
      <c r="I1018" s="43">
        <v>31</v>
      </c>
      <c r="J1018" s="43">
        <v>105</v>
      </c>
      <c r="K1018" s="43">
        <v>124</v>
      </c>
      <c r="L1018" s="43">
        <v>61</v>
      </c>
      <c r="M1018" s="43">
        <v>982</v>
      </c>
      <c r="N1018" s="43">
        <v>155</v>
      </c>
      <c r="O1018" s="43">
        <v>26</v>
      </c>
      <c r="P1018" s="44">
        <f>K1018+L1018+M1018+N1018+O1018</f>
        <v>1348</v>
      </c>
      <c r="Q1018" s="44">
        <f>I1018+J1018</f>
        <v>136</v>
      </c>
      <c r="R1018" s="43">
        <v>1530</v>
      </c>
      <c r="S1018" s="43">
        <v>24</v>
      </c>
      <c r="T1018" s="43">
        <v>139</v>
      </c>
      <c r="U1018" s="43">
        <v>34</v>
      </c>
      <c r="V1018" s="43">
        <v>17</v>
      </c>
      <c r="W1018" s="43">
        <v>1206</v>
      </c>
      <c r="X1018" s="43">
        <v>100</v>
      </c>
      <c r="Y1018" s="43">
        <v>10</v>
      </c>
      <c r="Z1018" s="45">
        <f>U1018+V1018+W1018+X1018+Y1018</f>
        <v>1367</v>
      </c>
      <c r="AA1018" s="45">
        <f>S1018+T1018</f>
        <v>163</v>
      </c>
      <c r="AB1018" s="46">
        <v>2.0889487999999998</v>
      </c>
      <c r="AC1018" s="46">
        <v>7.0754716999999996</v>
      </c>
      <c r="AD1018" s="46">
        <v>8.3557950999999999</v>
      </c>
      <c r="AE1018" s="46">
        <v>4.1105121000000002</v>
      </c>
      <c r="AF1018" s="46">
        <v>66.1725067</v>
      </c>
      <c r="AG1018" s="46">
        <v>10.444743900000001</v>
      </c>
      <c r="AH1018" s="46">
        <v>1.7520216</v>
      </c>
      <c r="AI1018" s="47">
        <f>AB1018+AC1018</f>
        <v>9.1644204999999985</v>
      </c>
      <c r="AJ1018" s="47">
        <f>AD1018+AE1018+AF1018+AG1018+AH1018</f>
        <v>90.835579400000015</v>
      </c>
      <c r="AK1018" s="46">
        <v>1.5686275000000001</v>
      </c>
      <c r="AL1018" s="46">
        <v>9.0849673000000006</v>
      </c>
      <c r="AM1018" s="46">
        <v>2.2222222</v>
      </c>
      <c r="AN1018" s="46">
        <v>1.1111111</v>
      </c>
      <c r="AO1018" s="46">
        <v>78.823529399999998</v>
      </c>
      <c r="AP1018" s="46">
        <v>6.5359477000000004</v>
      </c>
      <c r="AQ1018" s="46">
        <v>0.65359480000000003</v>
      </c>
      <c r="AR1018" s="48">
        <f>AK1018+AL1018</f>
        <v>10.6535948</v>
      </c>
      <c r="AS1018" s="48">
        <f>AM1018+AN1018+AO1018+AP1018+AQ1018</f>
        <v>89.346405199999992</v>
      </c>
    </row>
    <row r="1019" spans="2:45" ht="15" hidden="1" customHeight="1" x14ac:dyDescent="0.25">
      <c r="B1019" s="35">
        <v>1013</v>
      </c>
      <c r="C1019" s="36" t="s">
        <v>31</v>
      </c>
      <c r="D1019" s="36" t="s">
        <v>329</v>
      </c>
      <c r="E1019" s="36" t="s">
        <v>337</v>
      </c>
      <c r="F1019" s="36" t="s">
        <v>339</v>
      </c>
      <c r="G1019" s="37" t="s">
        <v>25</v>
      </c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9"/>
      <c r="AC1019" s="39"/>
      <c r="AD1019" s="39"/>
      <c r="AE1019" s="39"/>
      <c r="AF1019" s="39"/>
      <c r="AG1019" s="39"/>
      <c r="AH1019" s="39"/>
      <c r="AI1019" s="39"/>
      <c r="AJ1019" s="39"/>
      <c r="AK1019" s="39"/>
      <c r="AL1019" s="39"/>
      <c r="AM1019" s="39"/>
      <c r="AN1019" s="39"/>
      <c r="AO1019" s="39"/>
      <c r="AP1019" s="39"/>
      <c r="AQ1019" s="39"/>
      <c r="AR1019" s="40"/>
      <c r="AS1019" s="40"/>
    </row>
    <row r="1020" spans="2:45" ht="15" hidden="1" customHeight="1" x14ac:dyDescent="0.25">
      <c r="B1020" s="35">
        <v>1014</v>
      </c>
      <c r="C1020" s="36" t="s">
        <v>31</v>
      </c>
      <c r="D1020" s="36" t="s">
        <v>329</v>
      </c>
      <c r="E1020" s="36" t="s">
        <v>337</v>
      </c>
      <c r="F1020" s="36" t="s">
        <v>339</v>
      </c>
      <c r="G1020" s="37" t="s">
        <v>26</v>
      </c>
      <c r="H1020" s="38">
        <v>1484</v>
      </c>
      <c r="I1020" s="38">
        <v>31</v>
      </c>
      <c r="J1020" s="38">
        <v>105</v>
      </c>
      <c r="K1020" s="38">
        <v>124</v>
      </c>
      <c r="L1020" s="38">
        <v>61</v>
      </c>
      <c r="M1020" s="38">
        <v>982</v>
      </c>
      <c r="N1020" s="38">
        <v>155</v>
      </c>
      <c r="O1020" s="38">
        <v>26</v>
      </c>
      <c r="P1020" s="38"/>
      <c r="Q1020" s="38"/>
      <c r="R1020" s="38">
        <v>1530</v>
      </c>
      <c r="S1020" s="38">
        <v>24</v>
      </c>
      <c r="T1020" s="38">
        <v>139</v>
      </c>
      <c r="U1020" s="38">
        <v>34</v>
      </c>
      <c r="V1020" s="38">
        <v>17</v>
      </c>
      <c r="W1020" s="38">
        <v>1206</v>
      </c>
      <c r="X1020" s="38">
        <v>100</v>
      </c>
      <c r="Y1020" s="38">
        <v>10</v>
      </c>
      <c r="Z1020" s="38"/>
      <c r="AA1020" s="38"/>
      <c r="AB1020" s="39">
        <v>2.0889487999999998</v>
      </c>
      <c r="AC1020" s="39">
        <v>7.0754716999999996</v>
      </c>
      <c r="AD1020" s="39">
        <v>8.3557950999999999</v>
      </c>
      <c r="AE1020" s="39">
        <v>4.1105121000000002</v>
      </c>
      <c r="AF1020" s="39">
        <v>66.1725067</v>
      </c>
      <c r="AG1020" s="39">
        <v>10.444743900000001</v>
      </c>
      <c r="AH1020" s="39">
        <v>1.7520216</v>
      </c>
      <c r="AI1020" s="39"/>
      <c r="AJ1020" s="39"/>
      <c r="AK1020" s="39">
        <v>1.5686275000000001</v>
      </c>
      <c r="AL1020" s="39">
        <v>9.0849673000000006</v>
      </c>
      <c r="AM1020" s="39">
        <v>2.2222222</v>
      </c>
      <c r="AN1020" s="39">
        <v>1.1111111</v>
      </c>
      <c r="AO1020" s="39">
        <v>78.823529399999998</v>
      </c>
      <c r="AP1020" s="39">
        <v>6.5359477000000004</v>
      </c>
      <c r="AQ1020" s="39">
        <v>0.65359480000000003</v>
      </c>
      <c r="AR1020" s="40"/>
      <c r="AS1020" s="40"/>
    </row>
    <row r="1021" spans="2:45" ht="15" hidden="1" customHeight="1" x14ac:dyDescent="0.25">
      <c r="B1021" s="30">
        <v>1015</v>
      </c>
      <c r="C1021" s="31" t="s">
        <v>29</v>
      </c>
      <c r="D1021" s="50" t="s">
        <v>329</v>
      </c>
      <c r="E1021" s="50" t="s">
        <v>340</v>
      </c>
      <c r="F1021" s="50"/>
      <c r="G1021" s="31" t="s">
        <v>340</v>
      </c>
      <c r="H1021" s="32">
        <v>9737</v>
      </c>
      <c r="I1021" s="32">
        <v>476</v>
      </c>
      <c r="J1021" s="32">
        <v>1849</v>
      </c>
      <c r="K1021" s="32">
        <v>1648</v>
      </c>
      <c r="L1021" s="32">
        <v>299</v>
      </c>
      <c r="M1021" s="32">
        <v>4613</v>
      </c>
      <c r="N1021" s="32">
        <v>769</v>
      </c>
      <c r="O1021" s="32">
        <v>83</v>
      </c>
      <c r="P1021" s="32"/>
      <c r="Q1021" s="32"/>
      <c r="R1021" s="32">
        <v>12576</v>
      </c>
      <c r="S1021" s="32">
        <v>941</v>
      </c>
      <c r="T1021" s="32">
        <v>5432</v>
      </c>
      <c r="U1021" s="32">
        <v>395</v>
      </c>
      <c r="V1021" s="32">
        <v>63</v>
      </c>
      <c r="W1021" s="32">
        <v>5064</v>
      </c>
      <c r="X1021" s="32">
        <v>596</v>
      </c>
      <c r="Y1021" s="32">
        <v>85</v>
      </c>
      <c r="Z1021" s="32"/>
      <c r="AA1021" s="32"/>
      <c r="AB1021" s="33">
        <v>4.8885693999999997</v>
      </c>
      <c r="AC1021" s="33">
        <v>18.989421799999999</v>
      </c>
      <c r="AD1021" s="33">
        <v>16.925130899999999</v>
      </c>
      <c r="AE1021" s="33">
        <v>3.0707610000000001</v>
      </c>
      <c r="AF1021" s="33">
        <v>47.375988499999998</v>
      </c>
      <c r="AG1021" s="33">
        <v>7.8977098000000003</v>
      </c>
      <c r="AH1021" s="33">
        <v>0.85241860000000003</v>
      </c>
      <c r="AI1021" s="33"/>
      <c r="AJ1021" s="33"/>
      <c r="AK1021" s="33">
        <v>7.4825064000000001</v>
      </c>
      <c r="AL1021" s="33">
        <v>43.193384199999997</v>
      </c>
      <c r="AM1021" s="33">
        <v>3.1409033000000002</v>
      </c>
      <c r="AN1021" s="33">
        <v>0.50095420000000002</v>
      </c>
      <c r="AO1021" s="33">
        <v>40.267175600000002</v>
      </c>
      <c r="AP1021" s="33">
        <v>4.7391857999999996</v>
      </c>
      <c r="AQ1021" s="33">
        <v>0.67589060000000001</v>
      </c>
      <c r="AR1021" s="34"/>
      <c r="AS1021" s="34"/>
    </row>
    <row r="1022" spans="2:45" ht="15" hidden="1" customHeight="1" x14ac:dyDescent="0.25">
      <c r="B1022" s="35">
        <v>1016</v>
      </c>
      <c r="C1022" s="36" t="s">
        <v>29</v>
      </c>
      <c r="D1022" s="36" t="s">
        <v>329</v>
      </c>
      <c r="E1022" s="36" t="s">
        <v>340</v>
      </c>
      <c r="F1022" s="36"/>
      <c r="G1022" s="37" t="s">
        <v>25</v>
      </c>
      <c r="H1022" s="38">
        <v>874</v>
      </c>
      <c r="I1022" s="38">
        <v>142</v>
      </c>
      <c r="J1022" s="38">
        <v>593</v>
      </c>
      <c r="K1022" s="38">
        <v>20</v>
      </c>
      <c r="L1022" s="38">
        <v>11</v>
      </c>
      <c r="M1022" s="38">
        <v>96</v>
      </c>
      <c r="N1022" s="38">
        <v>9</v>
      </c>
      <c r="O1022" s="38">
        <v>3</v>
      </c>
      <c r="P1022" s="38"/>
      <c r="Q1022" s="38"/>
      <c r="R1022" s="38">
        <v>1762</v>
      </c>
      <c r="S1022" s="38">
        <v>217</v>
      </c>
      <c r="T1022" s="38">
        <v>1370</v>
      </c>
      <c r="U1022" s="38">
        <v>21</v>
      </c>
      <c r="V1022" s="38">
        <v>1</v>
      </c>
      <c r="W1022" s="38">
        <v>134</v>
      </c>
      <c r="X1022" s="38">
        <v>14</v>
      </c>
      <c r="Y1022" s="38">
        <v>5</v>
      </c>
      <c r="Z1022" s="38"/>
      <c r="AA1022" s="38"/>
      <c r="AB1022" s="39">
        <v>16.247139600000001</v>
      </c>
      <c r="AC1022" s="39">
        <v>67.848970300000005</v>
      </c>
      <c r="AD1022" s="39">
        <v>2.2883295000000001</v>
      </c>
      <c r="AE1022" s="39">
        <v>1.2585812000000001</v>
      </c>
      <c r="AF1022" s="39">
        <v>10.983981699999999</v>
      </c>
      <c r="AG1022" s="39">
        <v>1.0297483000000001</v>
      </c>
      <c r="AH1022" s="39">
        <v>0.34324939999999998</v>
      </c>
      <c r="AI1022" s="39"/>
      <c r="AJ1022" s="39"/>
      <c r="AK1022" s="39">
        <v>12.315550500000001</v>
      </c>
      <c r="AL1022" s="39">
        <v>77.752553899999995</v>
      </c>
      <c r="AM1022" s="39">
        <v>1.1918275</v>
      </c>
      <c r="AN1022" s="39">
        <v>5.6753699999999997E-2</v>
      </c>
      <c r="AO1022" s="39">
        <v>7.6049943000000004</v>
      </c>
      <c r="AP1022" s="39">
        <v>0.79455160000000002</v>
      </c>
      <c r="AQ1022" s="39">
        <v>0.28376839999999998</v>
      </c>
      <c r="AR1022" s="40"/>
      <c r="AS1022" s="40"/>
    </row>
    <row r="1023" spans="2:45" ht="15" hidden="1" customHeight="1" x14ac:dyDescent="0.25">
      <c r="B1023" s="35">
        <v>1017</v>
      </c>
      <c r="C1023" s="36" t="s">
        <v>29</v>
      </c>
      <c r="D1023" s="36" t="s">
        <v>329</v>
      </c>
      <c r="E1023" s="36" t="s">
        <v>340</v>
      </c>
      <c r="F1023" s="36"/>
      <c r="G1023" s="37" t="s">
        <v>26</v>
      </c>
      <c r="H1023" s="38">
        <v>8863</v>
      </c>
      <c r="I1023" s="38">
        <v>334</v>
      </c>
      <c r="J1023" s="38">
        <v>1256</v>
      </c>
      <c r="K1023" s="38">
        <v>1628</v>
      </c>
      <c r="L1023" s="38">
        <v>288</v>
      </c>
      <c r="M1023" s="38">
        <v>4517</v>
      </c>
      <c r="N1023" s="38">
        <v>760</v>
      </c>
      <c r="O1023" s="38">
        <v>80</v>
      </c>
      <c r="P1023" s="38"/>
      <c r="Q1023" s="38"/>
      <c r="R1023" s="38">
        <v>10814</v>
      </c>
      <c r="S1023" s="38">
        <v>724</v>
      </c>
      <c r="T1023" s="38">
        <v>4062</v>
      </c>
      <c r="U1023" s="38">
        <v>374</v>
      </c>
      <c r="V1023" s="38">
        <v>62</v>
      </c>
      <c r="W1023" s="38">
        <v>4930</v>
      </c>
      <c r="X1023" s="38">
        <v>582</v>
      </c>
      <c r="Y1023" s="38">
        <v>80</v>
      </c>
      <c r="Z1023" s="38"/>
      <c r="AA1023" s="38"/>
      <c r="AB1023" s="39">
        <v>3.7684757000000002</v>
      </c>
      <c r="AC1023" s="39">
        <v>14.1712738</v>
      </c>
      <c r="AD1023" s="39">
        <v>18.368498299999999</v>
      </c>
      <c r="AE1023" s="39">
        <v>3.2494641</v>
      </c>
      <c r="AF1023" s="39">
        <v>50.964684599999998</v>
      </c>
      <c r="AG1023" s="39">
        <v>8.5749745999999991</v>
      </c>
      <c r="AH1023" s="39">
        <v>0.90262889999999996</v>
      </c>
      <c r="AI1023" s="39"/>
      <c r="AJ1023" s="39"/>
      <c r="AK1023" s="39">
        <v>6.6950250000000002</v>
      </c>
      <c r="AL1023" s="39">
        <v>37.5624191</v>
      </c>
      <c r="AM1023" s="39">
        <v>3.4584796999999998</v>
      </c>
      <c r="AN1023" s="39">
        <v>0.57333089999999998</v>
      </c>
      <c r="AO1023" s="39">
        <v>45.5890512</v>
      </c>
      <c r="AP1023" s="39">
        <v>5.3819122999999998</v>
      </c>
      <c r="AQ1023" s="39">
        <v>0.73978180000000004</v>
      </c>
      <c r="AR1023" s="40"/>
      <c r="AS1023" s="40"/>
    </row>
    <row r="1024" spans="2:45" ht="15" customHeight="1" x14ac:dyDescent="0.25">
      <c r="B1024" s="41">
        <v>1018</v>
      </c>
      <c r="C1024" s="42" t="s">
        <v>31</v>
      </c>
      <c r="D1024" s="51" t="s">
        <v>329</v>
      </c>
      <c r="E1024" s="51" t="s">
        <v>340</v>
      </c>
      <c r="F1024" s="51" t="s">
        <v>341</v>
      </c>
      <c r="G1024" s="52" t="s">
        <v>341</v>
      </c>
      <c r="H1024" s="43">
        <v>6484</v>
      </c>
      <c r="I1024" s="43">
        <v>392</v>
      </c>
      <c r="J1024" s="43">
        <v>1510</v>
      </c>
      <c r="K1024" s="43">
        <v>1339</v>
      </c>
      <c r="L1024" s="43">
        <v>171</v>
      </c>
      <c r="M1024" s="43">
        <v>2580</v>
      </c>
      <c r="N1024" s="43">
        <v>433</v>
      </c>
      <c r="O1024" s="43">
        <v>59</v>
      </c>
      <c r="P1024" s="44">
        <f>K1024+L1024+M1024+N1024+O1024</f>
        <v>4582</v>
      </c>
      <c r="Q1024" s="44">
        <f>I1024+J1024</f>
        <v>1902</v>
      </c>
      <c r="R1024" s="43">
        <v>9336</v>
      </c>
      <c r="S1024" s="43">
        <v>860</v>
      </c>
      <c r="T1024" s="43">
        <v>4940</v>
      </c>
      <c r="U1024" s="43">
        <v>318</v>
      </c>
      <c r="V1024" s="43">
        <v>45</v>
      </c>
      <c r="W1024" s="43">
        <v>2761</v>
      </c>
      <c r="X1024" s="43">
        <v>347</v>
      </c>
      <c r="Y1024" s="43">
        <v>65</v>
      </c>
      <c r="Z1024" s="45">
        <f>U1024+V1024+W1024+X1024+Y1024</f>
        <v>3536</v>
      </c>
      <c r="AA1024" s="45">
        <f>S1024+T1024</f>
        <v>5800</v>
      </c>
      <c r="AB1024" s="46">
        <v>6.0456507999999998</v>
      </c>
      <c r="AC1024" s="46">
        <v>23.288093799999999</v>
      </c>
      <c r="AD1024" s="46">
        <v>20.6508328</v>
      </c>
      <c r="AE1024" s="46">
        <v>2.6372610000000001</v>
      </c>
      <c r="AF1024" s="46">
        <v>39.790252899999999</v>
      </c>
      <c r="AG1024" s="46">
        <v>6.6779766</v>
      </c>
      <c r="AH1024" s="46">
        <v>0.90993210000000002</v>
      </c>
      <c r="AI1024" s="47">
        <f>AB1024+AC1024</f>
        <v>29.333744599999999</v>
      </c>
      <c r="AJ1024" s="47">
        <f>AD1024+AE1024+AF1024+AG1024+AH1024</f>
        <v>70.666255399999997</v>
      </c>
      <c r="AK1024" s="46">
        <v>9.2116538000000006</v>
      </c>
      <c r="AL1024" s="46">
        <v>52.9134533</v>
      </c>
      <c r="AM1024" s="46">
        <v>3.4061697</v>
      </c>
      <c r="AN1024" s="46">
        <v>0.48200510000000002</v>
      </c>
      <c r="AO1024" s="46">
        <v>29.573693200000001</v>
      </c>
      <c r="AP1024" s="46">
        <v>3.7167952</v>
      </c>
      <c r="AQ1024" s="46">
        <v>0.6962296</v>
      </c>
      <c r="AR1024" s="48">
        <f>AK1024+AL1024</f>
        <v>62.125107100000001</v>
      </c>
      <c r="AS1024" s="48">
        <f>AM1024+AN1024+AO1024+AP1024+AQ1024</f>
        <v>37.874892800000005</v>
      </c>
    </row>
    <row r="1025" spans="2:45" ht="15" hidden="1" customHeight="1" x14ac:dyDescent="0.25">
      <c r="B1025" s="35">
        <v>1019</v>
      </c>
      <c r="C1025" s="36" t="s">
        <v>31</v>
      </c>
      <c r="D1025" s="36" t="s">
        <v>329</v>
      </c>
      <c r="E1025" s="36" t="s">
        <v>340</v>
      </c>
      <c r="F1025" s="36" t="s">
        <v>341</v>
      </c>
      <c r="G1025" s="37" t="s">
        <v>25</v>
      </c>
      <c r="H1025" s="38">
        <v>874</v>
      </c>
      <c r="I1025" s="38">
        <v>142</v>
      </c>
      <c r="J1025" s="38">
        <v>593</v>
      </c>
      <c r="K1025" s="38">
        <v>20</v>
      </c>
      <c r="L1025" s="38">
        <v>11</v>
      </c>
      <c r="M1025" s="38">
        <v>96</v>
      </c>
      <c r="N1025" s="38">
        <v>9</v>
      </c>
      <c r="O1025" s="38">
        <v>3</v>
      </c>
      <c r="P1025" s="38"/>
      <c r="Q1025" s="38"/>
      <c r="R1025" s="38">
        <v>1762</v>
      </c>
      <c r="S1025" s="38">
        <v>217</v>
      </c>
      <c r="T1025" s="38">
        <v>1370</v>
      </c>
      <c r="U1025" s="38">
        <v>21</v>
      </c>
      <c r="V1025" s="38">
        <v>1</v>
      </c>
      <c r="W1025" s="38">
        <v>134</v>
      </c>
      <c r="X1025" s="38">
        <v>14</v>
      </c>
      <c r="Y1025" s="38">
        <v>5</v>
      </c>
      <c r="Z1025" s="38"/>
      <c r="AA1025" s="38"/>
      <c r="AB1025" s="39">
        <v>16.247139600000001</v>
      </c>
      <c r="AC1025" s="39">
        <v>67.848970300000005</v>
      </c>
      <c r="AD1025" s="39">
        <v>2.2883295000000001</v>
      </c>
      <c r="AE1025" s="39">
        <v>1.2585812000000001</v>
      </c>
      <c r="AF1025" s="39">
        <v>10.983981699999999</v>
      </c>
      <c r="AG1025" s="39">
        <v>1.0297483000000001</v>
      </c>
      <c r="AH1025" s="39">
        <v>0.34324939999999998</v>
      </c>
      <c r="AI1025" s="39"/>
      <c r="AJ1025" s="39"/>
      <c r="AK1025" s="39">
        <v>12.315550500000001</v>
      </c>
      <c r="AL1025" s="39">
        <v>77.752553899999995</v>
      </c>
      <c r="AM1025" s="39">
        <v>1.1918275</v>
      </c>
      <c r="AN1025" s="39">
        <v>5.6753699999999997E-2</v>
      </c>
      <c r="AO1025" s="39">
        <v>7.6049943000000004</v>
      </c>
      <c r="AP1025" s="39">
        <v>0.79455160000000002</v>
      </c>
      <c r="AQ1025" s="39">
        <v>0.28376839999999998</v>
      </c>
      <c r="AR1025" s="40"/>
      <c r="AS1025" s="40"/>
    </row>
    <row r="1026" spans="2:45" ht="15" hidden="1" customHeight="1" x14ac:dyDescent="0.25">
      <c r="B1026" s="35">
        <v>1020</v>
      </c>
      <c r="C1026" s="36" t="s">
        <v>31</v>
      </c>
      <c r="D1026" s="36" t="s">
        <v>329</v>
      </c>
      <c r="E1026" s="36" t="s">
        <v>340</v>
      </c>
      <c r="F1026" s="36" t="s">
        <v>341</v>
      </c>
      <c r="G1026" s="37" t="s">
        <v>26</v>
      </c>
      <c r="H1026" s="38">
        <v>5610</v>
      </c>
      <c r="I1026" s="38">
        <v>250</v>
      </c>
      <c r="J1026" s="38">
        <v>917</v>
      </c>
      <c r="K1026" s="38">
        <v>1319</v>
      </c>
      <c r="L1026" s="38">
        <v>160</v>
      </c>
      <c r="M1026" s="38">
        <v>2484</v>
      </c>
      <c r="N1026" s="38">
        <v>424</v>
      </c>
      <c r="O1026" s="38">
        <v>56</v>
      </c>
      <c r="P1026" s="38"/>
      <c r="Q1026" s="38"/>
      <c r="R1026" s="38">
        <v>7574</v>
      </c>
      <c r="S1026" s="38">
        <v>643</v>
      </c>
      <c r="T1026" s="38">
        <v>3570</v>
      </c>
      <c r="U1026" s="38">
        <v>297</v>
      </c>
      <c r="V1026" s="38">
        <v>44</v>
      </c>
      <c r="W1026" s="38">
        <v>2627</v>
      </c>
      <c r="X1026" s="38">
        <v>333</v>
      </c>
      <c r="Y1026" s="38">
        <v>60</v>
      </c>
      <c r="Z1026" s="38"/>
      <c r="AA1026" s="38"/>
      <c r="AB1026" s="39">
        <v>4.4563280000000001</v>
      </c>
      <c r="AC1026" s="39">
        <v>16.345811099999999</v>
      </c>
      <c r="AD1026" s="39">
        <v>23.5115865</v>
      </c>
      <c r="AE1026" s="39">
        <v>2.8520498999999999</v>
      </c>
      <c r="AF1026" s="39">
        <v>44.2780749</v>
      </c>
      <c r="AG1026" s="39">
        <v>7.5579323</v>
      </c>
      <c r="AH1026" s="39">
        <v>0.99821749999999998</v>
      </c>
      <c r="AI1026" s="39"/>
      <c r="AJ1026" s="39"/>
      <c r="AK1026" s="39">
        <v>8.4895695999999994</v>
      </c>
      <c r="AL1026" s="39">
        <v>47.134935300000002</v>
      </c>
      <c r="AM1026" s="39">
        <v>3.9213097000000001</v>
      </c>
      <c r="AN1026" s="39">
        <v>0.58093479999999997</v>
      </c>
      <c r="AO1026" s="39">
        <v>34.684446800000003</v>
      </c>
      <c r="AP1026" s="39">
        <v>4.3966200000000004</v>
      </c>
      <c r="AQ1026" s="39">
        <v>0.79218379999999999</v>
      </c>
      <c r="AR1026" s="40"/>
      <c r="AS1026" s="40"/>
    </row>
    <row r="1027" spans="2:45" ht="15" customHeight="1" x14ac:dyDescent="0.25">
      <c r="B1027" s="41">
        <v>1021</v>
      </c>
      <c r="C1027" s="42" t="s">
        <v>31</v>
      </c>
      <c r="D1027" s="51" t="s">
        <v>329</v>
      </c>
      <c r="E1027" s="51" t="s">
        <v>340</v>
      </c>
      <c r="F1027" s="51" t="s">
        <v>342</v>
      </c>
      <c r="G1027" s="52" t="s">
        <v>342</v>
      </c>
      <c r="H1027" s="43">
        <v>3253</v>
      </c>
      <c r="I1027" s="43">
        <v>84</v>
      </c>
      <c r="J1027" s="43">
        <v>339</v>
      </c>
      <c r="K1027" s="43">
        <v>309</v>
      </c>
      <c r="L1027" s="43">
        <v>128</v>
      </c>
      <c r="M1027" s="43">
        <v>2033</v>
      </c>
      <c r="N1027" s="43">
        <v>336</v>
      </c>
      <c r="O1027" s="43">
        <v>24</v>
      </c>
      <c r="P1027" s="44">
        <f>K1027+L1027+M1027+N1027+O1027</f>
        <v>2830</v>
      </c>
      <c r="Q1027" s="44">
        <f>I1027+J1027</f>
        <v>423</v>
      </c>
      <c r="R1027" s="43">
        <v>3240</v>
      </c>
      <c r="S1027" s="43">
        <v>81</v>
      </c>
      <c r="T1027" s="43">
        <v>492</v>
      </c>
      <c r="U1027" s="43">
        <v>77</v>
      </c>
      <c r="V1027" s="43">
        <v>18</v>
      </c>
      <c r="W1027" s="43">
        <v>2303</v>
      </c>
      <c r="X1027" s="43">
        <v>249</v>
      </c>
      <c r="Y1027" s="43">
        <v>20</v>
      </c>
      <c r="Z1027" s="45">
        <f>U1027+V1027+W1027+X1027+Y1027</f>
        <v>2667</v>
      </c>
      <c r="AA1027" s="45">
        <f>S1027+T1027</f>
        <v>573</v>
      </c>
      <c r="AB1027" s="46">
        <v>2.5822318000000002</v>
      </c>
      <c r="AC1027" s="46">
        <v>10.421149700000001</v>
      </c>
      <c r="AD1027" s="46">
        <v>9.4989241</v>
      </c>
      <c r="AE1027" s="46">
        <v>3.9348293999999999</v>
      </c>
      <c r="AF1027" s="46">
        <v>62.496157400000001</v>
      </c>
      <c r="AG1027" s="46">
        <v>10.3289271</v>
      </c>
      <c r="AH1027" s="46">
        <v>0.73778049999999995</v>
      </c>
      <c r="AI1027" s="47">
        <f>AB1027+AC1027</f>
        <v>13.003381500000001</v>
      </c>
      <c r="AJ1027" s="47">
        <f>AD1027+AE1027+AF1027+AG1027+AH1027</f>
        <v>86.996618499999997</v>
      </c>
      <c r="AK1027" s="46">
        <v>2.5</v>
      </c>
      <c r="AL1027" s="46">
        <v>15.185185199999999</v>
      </c>
      <c r="AM1027" s="46">
        <v>2.3765432</v>
      </c>
      <c r="AN1027" s="46">
        <v>0.55555560000000004</v>
      </c>
      <c r="AO1027" s="46">
        <v>71.080246900000006</v>
      </c>
      <c r="AP1027" s="46">
        <v>7.6851852000000003</v>
      </c>
      <c r="AQ1027" s="46">
        <v>0.61728400000000005</v>
      </c>
      <c r="AR1027" s="48">
        <f>AK1027+AL1027</f>
        <v>17.685185199999999</v>
      </c>
      <c r="AS1027" s="48">
        <f>AM1027+AN1027+AO1027+AP1027+AQ1027</f>
        <v>82.314814900000016</v>
      </c>
    </row>
    <row r="1028" spans="2:45" ht="15" hidden="1" customHeight="1" x14ac:dyDescent="0.25">
      <c r="B1028" s="35">
        <v>1022</v>
      </c>
      <c r="C1028" s="36" t="s">
        <v>31</v>
      </c>
      <c r="D1028" s="36" t="s">
        <v>329</v>
      </c>
      <c r="E1028" s="36" t="s">
        <v>340</v>
      </c>
      <c r="F1028" s="36" t="s">
        <v>342</v>
      </c>
      <c r="G1028" s="37" t="s">
        <v>25</v>
      </c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9"/>
      <c r="AC1028" s="39"/>
      <c r="AD1028" s="39"/>
      <c r="AE1028" s="39"/>
      <c r="AF1028" s="39"/>
      <c r="AG1028" s="39"/>
      <c r="AH1028" s="39"/>
      <c r="AI1028" s="39"/>
      <c r="AJ1028" s="39"/>
      <c r="AK1028" s="39"/>
      <c r="AL1028" s="39"/>
      <c r="AM1028" s="39"/>
      <c r="AN1028" s="39"/>
      <c r="AO1028" s="39"/>
      <c r="AP1028" s="39"/>
      <c r="AQ1028" s="39"/>
      <c r="AR1028" s="40"/>
      <c r="AS1028" s="40"/>
    </row>
    <row r="1029" spans="2:45" ht="15" hidden="1" customHeight="1" x14ac:dyDescent="0.25">
      <c r="B1029" s="35">
        <v>1023</v>
      </c>
      <c r="C1029" s="36" t="s">
        <v>31</v>
      </c>
      <c r="D1029" s="36" t="s">
        <v>329</v>
      </c>
      <c r="E1029" s="36" t="s">
        <v>340</v>
      </c>
      <c r="F1029" s="36" t="s">
        <v>342</v>
      </c>
      <c r="G1029" s="37" t="s">
        <v>26</v>
      </c>
      <c r="H1029" s="38">
        <v>3253</v>
      </c>
      <c r="I1029" s="38">
        <v>84</v>
      </c>
      <c r="J1029" s="38">
        <v>339</v>
      </c>
      <c r="K1029" s="38">
        <v>309</v>
      </c>
      <c r="L1029" s="38">
        <v>128</v>
      </c>
      <c r="M1029" s="38">
        <v>2033</v>
      </c>
      <c r="N1029" s="38">
        <v>336</v>
      </c>
      <c r="O1029" s="38">
        <v>24</v>
      </c>
      <c r="P1029" s="38"/>
      <c r="Q1029" s="38"/>
      <c r="R1029" s="38">
        <v>3240</v>
      </c>
      <c r="S1029" s="38">
        <v>81</v>
      </c>
      <c r="T1029" s="38">
        <v>492</v>
      </c>
      <c r="U1029" s="38">
        <v>77</v>
      </c>
      <c r="V1029" s="38">
        <v>18</v>
      </c>
      <c r="W1029" s="38">
        <v>2303</v>
      </c>
      <c r="X1029" s="38">
        <v>249</v>
      </c>
      <c r="Y1029" s="38">
        <v>20</v>
      </c>
      <c r="Z1029" s="38"/>
      <c r="AA1029" s="38"/>
      <c r="AB1029" s="39">
        <v>2.5822318000000002</v>
      </c>
      <c r="AC1029" s="39">
        <v>10.421149700000001</v>
      </c>
      <c r="AD1029" s="39">
        <v>9.4989241</v>
      </c>
      <c r="AE1029" s="39">
        <v>3.9348293999999999</v>
      </c>
      <c r="AF1029" s="39">
        <v>62.496157400000001</v>
      </c>
      <c r="AG1029" s="39">
        <v>10.3289271</v>
      </c>
      <c r="AH1029" s="39">
        <v>0.73778049999999995</v>
      </c>
      <c r="AI1029" s="39"/>
      <c r="AJ1029" s="39"/>
      <c r="AK1029" s="39">
        <v>2.5</v>
      </c>
      <c r="AL1029" s="39">
        <v>15.185185199999999</v>
      </c>
      <c r="AM1029" s="39">
        <v>2.3765432</v>
      </c>
      <c r="AN1029" s="39">
        <v>0.55555560000000004</v>
      </c>
      <c r="AO1029" s="39">
        <v>71.080246900000006</v>
      </c>
      <c r="AP1029" s="39">
        <v>7.6851852000000003</v>
      </c>
      <c r="AQ1029" s="39">
        <v>0.61728400000000005</v>
      </c>
      <c r="AR1029" s="40"/>
      <c r="AS1029" s="40"/>
    </row>
    <row r="1030" spans="2:45" ht="15" hidden="1" customHeight="1" x14ac:dyDescent="0.25">
      <c r="B1030" s="30">
        <v>1024</v>
      </c>
      <c r="C1030" s="31" t="s">
        <v>29</v>
      </c>
      <c r="D1030" s="50" t="s">
        <v>329</v>
      </c>
      <c r="E1030" s="50" t="s">
        <v>343</v>
      </c>
      <c r="F1030" s="50"/>
      <c r="G1030" s="31" t="s">
        <v>343</v>
      </c>
      <c r="H1030" s="32">
        <v>5415</v>
      </c>
      <c r="I1030" s="32">
        <v>251</v>
      </c>
      <c r="J1030" s="32">
        <v>968</v>
      </c>
      <c r="K1030" s="32">
        <v>1002</v>
      </c>
      <c r="L1030" s="32">
        <v>200</v>
      </c>
      <c r="M1030" s="32">
        <v>2400</v>
      </c>
      <c r="N1030" s="32">
        <v>382</v>
      </c>
      <c r="O1030" s="32">
        <v>212</v>
      </c>
      <c r="P1030" s="32"/>
      <c r="Q1030" s="32"/>
      <c r="R1030" s="32">
        <v>6216</v>
      </c>
      <c r="S1030" s="32">
        <v>251</v>
      </c>
      <c r="T1030" s="32">
        <v>1257</v>
      </c>
      <c r="U1030" s="32">
        <v>332</v>
      </c>
      <c r="V1030" s="32">
        <v>57</v>
      </c>
      <c r="W1030" s="32">
        <v>3709</v>
      </c>
      <c r="X1030" s="32">
        <v>503</v>
      </c>
      <c r="Y1030" s="32">
        <v>107</v>
      </c>
      <c r="Z1030" s="32"/>
      <c r="AA1030" s="32"/>
      <c r="AB1030" s="33">
        <v>4.6352723999999998</v>
      </c>
      <c r="AC1030" s="33">
        <v>17.876269600000001</v>
      </c>
      <c r="AD1030" s="33">
        <v>18.504155099999998</v>
      </c>
      <c r="AE1030" s="33">
        <v>3.6934440999999998</v>
      </c>
      <c r="AF1030" s="33">
        <v>44.321329599999999</v>
      </c>
      <c r="AG1030" s="33">
        <v>7.0544783000000004</v>
      </c>
      <c r="AH1030" s="33">
        <v>3.9150507999999999</v>
      </c>
      <c r="AI1030" s="33"/>
      <c r="AJ1030" s="33"/>
      <c r="AK1030" s="33">
        <v>4.0379664999999996</v>
      </c>
      <c r="AL1030" s="33">
        <v>20.222007699999999</v>
      </c>
      <c r="AM1030" s="33">
        <v>5.3410552999999998</v>
      </c>
      <c r="AN1030" s="33">
        <v>0.91698840000000004</v>
      </c>
      <c r="AO1030" s="33">
        <v>59.668597200000001</v>
      </c>
      <c r="AP1030" s="33">
        <v>8.0920205999999997</v>
      </c>
      <c r="AQ1030" s="33">
        <v>1.7213642</v>
      </c>
      <c r="AR1030" s="34"/>
      <c r="AS1030" s="34"/>
    </row>
    <row r="1031" spans="2:45" ht="15" hidden="1" customHeight="1" x14ac:dyDescent="0.25">
      <c r="B1031" s="35">
        <v>1025</v>
      </c>
      <c r="C1031" s="36" t="s">
        <v>29</v>
      </c>
      <c r="D1031" s="36" t="s">
        <v>329</v>
      </c>
      <c r="E1031" s="36" t="s">
        <v>343</v>
      </c>
      <c r="F1031" s="36"/>
      <c r="G1031" s="37" t="s">
        <v>25</v>
      </c>
      <c r="H1031" s="38">
        <v>1154</v>
      </c>
      <c r="I1031" s="38">
        <v>227</v>
      </c>
      <c r="J1031" s="38">
        <v>893</v>
      </c>
      <c r="K1031" s="38">
        <v>5</v>
      </c>
      <c r="L1031" s="38">
        <v>0</v>
      </c>
      <c r="M1031" s="38">
        <v>27</v>
      </c>
      <c r="N1031" s="38">
        <v>0</v>
      </c>
      <c r="O1031" s="38">
        <v>2</v>
      </c>
      <c r="P1031" s="38"/>
      <c r="Q1031" s="38"/>
      <c r="R1031" s="38">
        <v>1292</v>
      </c>
      <c r="S1031" s="38">
        <v>202</v>
      </c>
      <c r="T1031" s="38">
        <v>1075</v>
      </c>
      <c r="U1031" s="38">
        <v>1</v>
      </c>
      <c r="V1031" s="38">
        <v>0</v>
      </c>
      <c r="W1031" s="38">
        <v>11</v>
      </c>
      <c r="X1031" s="38">
        <v>1</v>
      </c>
      <c r="Y1031" s="38">
        <v>2</v>
      </c>
      <c r="Z1031" s="38"/>
      <c r="AA1031" s="38"/>
      <c r="AB1031" s="39">
        <v>19.6707106</v>
      </c>
      <c r="AC1031" s="39">
        <v>77.383015599999993</v>
      </c>
      <c r="AD1031" s="39">
        <v>0.43327559999999998</v>
      </c>
      <c r="AE1031" s="39">
        <v>0</v>
      </c>
      <c r="AF1031" s="39">
        <v>2.3396880000000002</v>
      </c>
      <c r="AG1031" s="39">
        <v>0</v>
      </c>
      <c r="AH1031" s="39">
        <v>0.1733102</v>
      </c>
      <c r="AI1031" s="39"/>
      <c r="AJ1031" s="39"/>
      <c r="AK1031" s="39">
        <v>15.6346749</v>
      </c>
      <c r="AL1031" s="39">
        <v>83.204334399999993</v>
      </c>
      <c r="AM1031" s="39">
        <v>7.7399399999999993E-2</v>
      </c>
      <c r="AN1031" s="39">
        <v>0</v>
      </c>
      <c r="AO1031" s="39">
        <v>0.85139319999999996</v>
      </c>
      <c r="AP1031" s="39">
        <v>7.7399399999999993E-2</v>
      </c>
      <c r="AQ1031" s="39">
        <v>0.15479879999999999</v>
      </c>
      <c r="AR1031" s="40"/>
      <c r="AS1031" s="40"/>
    </row>
    <row r="1032" spans="2:45" ht="15" hidden="1" customHeight="1" x14ac:dyDescent="0.25">
      <c r="B1032" s="35">
        <v>1026</v>
      </c>
      <c r="C1032" s="36" t="s">
        <v>29</v>
      </c>
      <c r="D1032" s="36" t="s">
        <v>329</v>
      </c>
      <c r="E1032" s="36" t="s">
        <v>343</v>
      </c>
      <c r="F1032" s="36"/>
      <c r="G1032" s="37" t="s">
        <v>26</v>
      </c>
      <c r="H1032" s="38">
        <v>4261</v>
      </c>
      <c r="I1032" s="38">
        <v>24</v>
      </c>
      <c r="J1032" s="38">
        <v>75</v>
      </c>
      <c r="K1032" s="38">
        <v>997</v>
      </c>
      <c r="L1032" s="38">
        <v>200</v>
      </c>
      <c r="M1032" s="38">
        <v>2373</v>
      </c>
      <c r="N1032" s="38">
        <v>382</v>
      </c>
      <c r="O1032" s="38">
        <v>210</v>
      </c>
      <c r="P1032" s="38"/>
      <c r="Q1032" s="38"/>
      <c r="R1032" s="38">
        <v>4924</v>
      </c>
      <c r="S1032" s="38">
        <v>49</v>
      </c>
      <c r="T1032" s="38">
        <v>182</v>
      </c>
      <c r="U1032" s="38">
        <v>331</v>
      </c>
      <c r="V1032" s="38">
        <v>57</v>
      </c>
      <c r="W1032" s="38">
        <v>3698</v>
      </c>
      <c r="X1032" s="38">
        <v>502</v>
      </c>
      <c r="Y1032" s="38">
        <v>105</v>
      </c>
      <c r="Z1032" s="38"/>
      <c r="AA1032" s="38"/>
      <c r="AB1032" s="39">
        <v>0.56324810000000003</v>
      </c>
      <c r="AC1032" s="39">
        <v>1.7601502</v>
      </c>
      <c r="AD1032" s="39">
        <v>23.3982633</v>
      </c>
      <c r="AE1032" s="39">
        <v>4.6937338999999998</v>
      </c>
      <c r="AF1032" s="39">
        <v>55.691152299999999</v>
      </c>
      <c r="AG1032" s="39">
        <v>8.9650317000000008</v>
      </c>
      <c r="AH1032" s="39">
        <v>4.9284205999999999</v>
      </c>
      <c r="AI1032" s="39"/>
      <c r="AJ1032" s="39"/>
      <c r="AK1032" s="39">
        <v>0.99512590000000001</v>
      </c>
      <c r="AL1032" s="39">
        <v>3.6961819999999999</v>
      </c>
      <c r="AM1032" s="39">
        <v>6.7221770999999997</v>
      </c>
      <c r="AN1032" s="39">
        <v>1.1575955</v>
      </c>
      <c r="AO1032" s="39">
        <v>75.101543500000005</v>
      </c>
      <c r="AP1032" s="39">
        <v>10.194963400000001</v>
      </c>
      <c r="AQ1032" s="39">
        <v>2.1324127000000002</v>
      </c>
      <c r="AR1032" s="40"/>
      <c r="AS1032" s="40"/>
    </row>
    <row r="1033" spans="2:45" ht="15" customHeight="1" x14ac:dyDescent="0.25">
      <c r="B1033" s="41">
        <v>1027</v>
      </c>
      <c r="C1033" s="42" t="s">
        <v>31</v>
      </c>
      <c r="D1033" s="51" t="s">
        <v>329</v>
      </c>
      <c r="E1033" s="51" t="s">
        <v>343</v>
      </c>
      <c r="F1033" s="51" t="s">
        <v>213</v>
      </c>
      <c r="G1033" s="52" t="s">
        <v>213</v>
      </c>
      <c r="H1033" s="43">
        <v>5415</v>
      </c>
      <c r="I1033" s="43">
        <v>251</v>
      </c>
      <c r="J1033" s="43">
        <v>968</v>
      </c>
      <c r="K1033" s="43">
        <v>1002</v>
      </c>
      <c r="L1033" s="43">
        <v>200</v>
      </c>
      <c r="M1033" s="43">
        <v>2400</v>
      </c>
      <c r="N1033" s="43">
        <v>382</v>
      </c>
      <c r="O1033" s="43">
        <v>212</v>
      </c>
      <c r="P1033" s="44">
        <f>K1033+L1033+M1033+N1033+O1033</f>
        <v>4196</v>
      </c>
      <c r="Q1033" s="44">
        <f>I1033+J1033</f>
        <v>1219</v>
      </c>
      <c r="R1033" s="43">
        <v>6216</v>
      </c>
      <c r="S1033" s="43">
        <v>251</v>
      </c>
      <c r="T1033" s="43">
        <v>1257</v>
      </c>
      <c r="U1033" s="43">
        <v>332</v>
      </c>
      <c r="V1033" s="43">
        <v>57</v>
      </c>
      <c r="W1033" s="43">
        <v>3709</v>
      </c>
      <c r="X1033" s="43">
        <v>503</v>
      </c>
      <c r="Y1033" s="43">
        <v>107</v>
      </c>
      <c r="Z1033" s="45">
        <f>U1033+V1033+W1033+X1033+Y1033</f>
        <v>4708</v>
      </c>
      <c r="AA1033" s="45">
        <f>S1033+T1033</f>
        <v>1508</v>
      </c>
      <c r="AB1033" s="46">
        <v>4.6352723999999998</v>
      </c>
      <c r="AC1033" s="46">
        <v>17.876269600000001</v>
      </c>
      <c r="AD1033" s="46">
        <v>18.504155099999998</v>
      </c>
      <c r="AE1033" s="46">
        <v>3.6934440999999998</v>
      </c>
      <c r="AF1033" s="46">
        <v>44.321329599999999</v>
      </c>
      <c r="AG1033" s="46">
        <v>7.0544783000000004</v>
      </c>
      <c r="AH1033" s="46">
        <v>3.9150507999999999</v>
      </c>
      <c r="AI1033" s="47">
        <f>AB1033+AC1033</f>
        <v>22.511541999999999</v>
      </c>
      <c r="AJ1033" s="47">
        <f>AD1033+AE1033+AF1033+AG1033+AH1033</f>
        <v>77.4884579</v>
      </c>
      <c r="AK1033" s="46">
        <v>4.0379664999999996</v>
      </c>
      <c r="AL1033" s="46">
        <v>20.222007699999999</v>
      </c>
      <c r="AM1033" s="46">
        <v>5.3410552999999998</v>
      </c>
      <c r="AN1033" s="46">
        <v>0.91698840000000004</v>
      </c>
      <c r="AO1033" s="46">
        <v>59.668597200000001</v>
      </c>
      <c r="AP1033" s="46">
        <v>8.0920205999999997</v>
      </c>
      <c r="AQ1033" s="46">
        <v>1.7213642</v>
      </c>
      <c r="AR1033" s="48">
        <f>AK1033+AL1033</f>
        <v>24.259974199999998</v>
      </c>
      <c r="AS1033" s="48">
        <f>AM1033+AN1033+AO1033+AP1033+AQ1033</f>
        <v>75.74002569999999</v>
      </c>
    </row>
    <row r="1034" spans="2:45" ht="15" hidden="1" customHeight="1" x14ac:dyDescent="0.25">
      <c r="B1034" s="35">
        <v>1028</v>
      </c>
      <c r="C1034" s="36" t="s">
        <v>31</v>
      </c>
      <c r="D1034" s="36" t="s">
        <v>329</v>
      </c>
      <c r="E1034" s="36" t="s">
        <v>343</v>
      </c>
      <c r="F1034" s="36" t="s">
        <v>213</v>
      </c>
      <c r="G1034" s="37" t="s">
        <v>25</v>
      </c>
      <c r="H1034" s="38">
        <v>1154</v>
      </c>
      <c r="I1034" s="38">
        <v>227</v>
      </c>
      <c r="J1034" s="38">
        <v>893</v>
      </c>
      <c r="K1034" s="38">
        <v>5</v>
      </c>
      <c r="L1034" s="38">
        <v>0</v>
      </c>
      <c r="M1034" s="38">
        <v>27</v>
      </c>
      <c r="N1034" s="38">
        <v>0</v>
      </c>
      <c r="O1034" s="38">
        <v>2</v>
      </c>
      <c r="P1034" s="38"/>
      <c r="Q1034" s="38"/>
      <c r="R1034" s="38">
        <v>1292</v>
      </c>
      <c r="S1034" s="38">
        <v>202</v>
      </c>
      <c r="T1034" s="38">
        <v>1075</v>
      </c>
      <c r="U1034" s="38">
        <v>1</v>
      </c>
      <c r="V1034" s="38">
        <v>0</v>
      </c>
      <c r="W1034" s="38">
        <v>11</v>
      </c>
      <c r="X1034" s="38">
        <v>1</v>
      </c>
      <c r="Y1034" s="38">
        <v>2</v>
      </c>
      <c r="Z1034" s="38"/>
      <c r="AA1034" s="38"/>
      <c r="AB1034" s="39">
        <v>19.6707106</v>
      </c>
      <c r="AC1034" s="39">
        <v>77.383015599999993</v>
      </c>
      <c r="AD1034" s="39">
        <v>0.43327559999999998</v>
      </c>
      <c r="AE1034" s="39">
        <v>0</v>
      </c>
      <c r="AF1034" s="39">
        <v>2.3396880000000002</v>
      </c>
      <c r="AG1034" s="39">
        <v>0</v>
      </c>
      <c r="AH1034" s="39">
        <v>0.1733102</v>
      </c>
      <c r="AI1034" s="39"/>
      <c r="AJ1034" s="39"/>
      <c r="AK1034" s="39">
        <v>15.6346749</v>
      </c>
      <c r="AL1034" s="39">
        <v>83.204334399999993</v>
      </c>
      <c r="AM1034" s="39">
        <v>7.7399399999999993E-2</v>
      </c>
      <c r="AN1034" s="39">
        <v>0</v>
      </c>
      <c r="AO1034" s="39">
        <v>0.85139319999999996</v>
      </c>
      <c r="AP1034" s="39">
        <v>7.7399399999999993E-2</v>
      </c>
      <c r="AQ1034" s="39">
        <v>0.15479879999999999</v>
      </c>
      <c r="AR1034" s="40"/>
      <c r="AS1034" s="40"/>
    </row>
    <row r="1035" spans="2:45" ht="15" hidden="1" customHeight="1" x14ac:dyDescent="0.25">
      <c r="B1035" s="35">
        <v>1029</v>
      </c>
      <c r="C1035" s="36" t="s">
        <v>31</v>
      </c>
      <c r="D1035" s="36" t="s">
        <v>329</v>
      </c>
      <c r="E1035" s="36" t="s">
        <v>343</v>
      </c>
      <c r="F1035" s="36" t="s">
        <v>213</v>
      </c>
      <c r="G1035" s="37" t="s">
        <v>26</v>
      </c>
      <c r="H1035" s="38">
        <v>4261</v>
      </c>
      <c r="I1035" s="38">
        <v>24</v>
      </c>
      <c r="J1035" s="38">
        <v>75</v>
      </c>
      <c r="K1035" s="38">
        <v>997</v>
      </c>
      <c r="L1035" s="38">
        <v>200</v>
      </c>
      <c r="M1035" s="38">
        <v>2373</v>
      </c>
      <c r="N1035" s="38">
        <v>382</v>
      </c>
      <c r="O1035" s="38">
        <v>210</v>
      </c>
      <c r="P1035" s="38"/>
      <c r="Q1035" s="38"/>
      <c r="R1035" s="38">
        <v>4924</v>
      </c>
      <c r="S1035" s="38">
        <v>49</v>
      </c>
      <c r="T1035" s="38">
        <v>182</v>
      </c>
      <c r="U1035" s="38">
        <v>331</v>
      </c>
      <c r="V1035" s="38">
        <v>57</v>
      </c>
      <c r="W1035" s="38">
        <v>3698</v>
      </c>
      <c r="X1035" s="38">
        <v>502</v>
      </c>
      <c r="Y1035" s="38">
        <v>105</v>
      </c>
      <c r="Z1035" s="38"/>
      <c r="AA1035" s="38"/>
      <c r="AB1035" s="39">
        <v>0.56324810000000003</v>
      </c>
      <c r="AC1035" s="39">
        <v>1.7601502</v>
      </c>
      <c r="AD1035" s="39">
        <v>23.3982633</v>
      </c>
      <c r="AE1035" s="39">
        <v>4.6937338999999998</v>
      </c>
      <c r="AF1035" s="39">
        <v>55.691152299999999</v>
      </c>
      <c r="AG1035" s="39">
        <v>8.9650317000000008</v>
      </c>
      <c r="AH1035" s="39">
        <v>4.9284205999999999</v>
      </c>
      <c r="AI1035" s="39"/>
      <c r="AJ1035" s="39"/>
      <c r="AK1035" s="39">
        <v>0.99512590000000001</v>
      </c>
      <c r="AL1035" s="39">
        <v>3.6961819999999999</v>
      </c>
      <c r="AM1035" s="39">
        <v>6.7221770999999997</v>
      </c>
      <c r="AN1035" s="39">
        <v>1.1575955</v>
      </c>
      <c r="AO1035" s="39">
        <v>75.101543500000005</v>
      </c>
      <c r="AP1035" s="39">
        <v>10.194963400000001</v>
      </c>
      <c r="AQ1035" s="39">
        <v>2.1324127000000002</v>
      </c>
      <c r="AR1035" s="40"/>
      <c r="AS1035" s="40"/>
    </row>
    <row r="1036" spans="2:45" ht="15" hidden="1" customHeight="1" x14ac:dyDescent="0.25">
      <c r="B1036" s="20">
        <v>1030</v>
      </c>
      <c r="C1036" s="21" t="s">
        <v>27</v>
      </c>
      <c r="D1036" s="21" t="s">
        <v>344</v>
      </c>
      <c r="E1036" s="21"/>
      <c r="F1036" s="21"/>
      <c r="G1036" s="21" t="s">
        <v>344</v>
      </c>
      <c r="H1036" s="22">
        <v>644854</v>
      </c>
      <c r="I1036" s="22">
        <v>75767</v>
      </c>
      <c r="J1036" s="22">
        <v>381420</v>
      </c>
      <c r="K1036" s="22">
        <v>14395</v>
      </c>
      <c r="L1036" s="22">
        <v>2400</v>
      </c>
      <c r="M1036" s="22">
        <v>149026</v>
      </c>
      <c r="N1036" s="22">
        <v>17183</v>
      </c>
      <c r="O1036" s="22">
        <v>4663</v>
      </c>
      <c r="P1036" s="22">
        <f>K1036+L1036+M1036+N1036+O1036</f>
        <v>187667</v>
      </c>
      <c r="Q1036" s="22">
        <f>I1036+J1036</f>
        <v>457187</v>
      </c>
      <c r="R1036" s="22">
        <v>877257</v>
      </c>
      <c r="S1036" s="22">
        <v>136943</v>
      </c>
      <c r="T1036" s="22">
        <v>520789</v>
      </c>
      <c r="U1036" s="22">
        <v>7768</v>
      </c>
      <c r="V1036" s="22">
        <v>832</v>
      </c>
      <c r="W1036" s="22">
        <v>189724</v>
      </c>
      <c r="X1036" s="22">
        <v>15691</v>
      </c>
      <c r="Y1036" s="22">
        <v>5510</v>
      </c>
      <c r="Z1036" s="22">
        <f>U1036+V1036+W1036+X1036+Y1036</f>
        <v>219525</v>
      </c>
      <c r="AA1036" s="22">
        <f>S1036+T1036</f>
        <v>657732</v>
      </c>
      <c r="AB1036" s="23">
        <v>11.749481299999999</v>
      </c>
      <c r="AC1036" s="23">
        <v>59.148272300000002</v>
      </c>
      <c r="AD1036" s="23">
        <v>2.2322882000000002</v>
      </c>
      <c r="AE1036" s="23">
        <v>0.37217729999999999</v>
      </c>
      <c r="AF1036" s="23">
        <v>23.110037299999998</v>
      </c>
      <c r="AG1036" s="23">
        <v>2.6646342000000001</v>
      </c>
      <c r="AH1036" s="23">
        <v>0.72310940000000001</v>
      </c>
      <c r="AI1036" s="23">
        <f>AB1036+AC1036</f>
        <v>70.897753600000001</v>
      </c>
      <c r="AJ1036" s="23"/>
      <c r="AK1036" s="23">
        <v>15.610362800000001</v>
      </c>
      <c r="AL1036" s="23">
        <v>59.365613500000002</v>
      </c>
      <c r="AM1036" s="23">
        <v>0.88548740000000004</v>
      </c>
      <c r="AN1036" s="23">
        <v>9.4841099999999998E-2</v>
      </c>
      <c r="AO1036" s="23">
        <v>21.626957699999998</v>
      </c>
      <c r="AP1036" s="23">
        <v>1.7886435000000001</v>
      </c>
      <c r="AQ1036" s="23">
        <v>0.62809420000000005</v>
      </c>
      <c r="AR1036" s="24">
        <f>AK1036+AL1036</f>
        <v>74.975976299999999</v>
      </c>
      <c r="AS1036" s="24"/>
    </row>
    <row r="1037" spans="2:45" ht="15" hidden="1" customHeight="1" x14ac:dyDescent="0.25">
      <c r="B1037" s="25">
        <v>1031</v>
      </c>
      <c r="C1037" s="26" t="s">
        <v>27</v>
      </c>
      <c r="D1037" s="49" t="s">
        <v>344</v>
      </c>
      <c r="E1037" s="49"/>
      <c r="F1037" s="49"/>
      <c r="G1037" s="26" t="s">
        <v>25</v>
      </c>
      <c r="H1037" s="27">
        <v>529389</v>
      </c>
      <c r="I1037" s="27">
        <v>74389</v>
      </c>
      <c r="J1037" s="27">
        <v>376418</v>
      </c>
      <c r="K1037" s="27">
        <v>7067</v>
      </c>
      <c r="L1037" s="27">
        <v>757</v>
      </c>
      <c r="M1037" s="27">
        <v>61518</v>
      </c>
      <c r="N1037" s="27">
        <v>7236</v>
      </c>
      <c r="O1037" s="27">
        <v>2004</v>
      </c>
      <c r="P1037" s="27"/>
      <c r="Q1037" s="27"/>
      <c r="R1037" s="27">
        <v>718856</v>
      </c>
      <c r="S1037" s="27">
        <v>133041</v>
      </c>
      <c r="T1037" s="27">
        <v>509467</v>
      </c>
      <c r="U1037" s="27">
        <v>4080</v>
      </c>
      <c r="V1037" s="27">
        <v>285</v>
      </c>
      <c r="W1037" s="27">
        <v>65206</v>
      </c>
      <c r="X1037" s="27">
        <v>3765</v>
      </c>
      <c r="Y1037" s="27">
        <v>3012</v>
      </c>
      <c r="Z1037" s="27"/>
      <c r="AA1037" s="27"/>
      <c r="AB1037" s="28">
        <v>14.051859800000001</v>
      </c>
      <c r="AC1037" s="28">
        <v>71.104235299999999</v>
      </c>
      <c r="AD1037" s="28">
        <v>1.3349352000000001</v>
      </c>
      <c r="AE1037" s="28">
        <v>0.14299500000000001</v>
      </c>
      <c r="AF1037" s="28">
        <v>11.6205664</v>
      </c>
      <c r="AG1037" s="28">
        <v>1.3668587999999999</v>
      </c>
      <c r="AH1037" s="28">
        <v>0.37854959999999999</v>
      </c>
      <c r="AI1037" s="28"/>
      <c r="AJ1037" s="28"/>
      <c r="AK1037" s="28">
        <v>18.5073227</v>
      </c>
      <c r="AL1037" s="28">
        <v>70.871913199999995</v>
      </c>
      <c r="AM1037" s="28">
        <v>0.56756850000000003</v>
      </c>
      <c r="AN1037" s="28">
        <v>3.9646300000000002E-2</v>
      </c>
      <c r="AO1037" s="28">
        <v>9.0708014000000006</v>
      </c>
      <c r="AP1037" s="28">
        <v>0.52374880000000001</v>
      </c>
      <c r="AQ1037" s="28">
        <v>0.41899910000000001</v>
      </c>
      <c r="AR1037" s="29"/>
      <c r="AS1037" s="29"/>
    </row>
    <row r="1038" spans="2:45" ht="15" hidden="1" customHeight="1" x14ac:dyDescent="0.25">
      <c r="B1038" s="25">
        <v>1032</v>
      </c>
      <c r="C1038" s="26" t="s">
        <v>27</v>
      </c>
      <c r="D1038" s="49" t="s">
        <v>344</v>
      </c>
      <c r="E1038" s="49"/>
      <c r="F1038" s="49"/>
      <c r="G1038" s="26" t="s">
        <v>26</v>
      </c>
      <c r="H1038" s="27">
        <v>115465</v>
      </c>
      <c r="I1038" s="27">
        <v>1378</v>
      </c>
      <c r="J1038" s="27">
        <v>5002</v>
      </c>
      <c r="K1038" s="27">
        <v>7328</v>
      </c>
      <c r="L1038" s="27">
        <v>1643</v>
      </c>
      <c r="M1038" s="27">
        <v>87508</v>
      </c>
      <c r="N1038" s="27">
        <v>9947</v>
      </c>
      <c r="O1038" s="27">
        <v>2659</v>
      </c>
      <c r="P1038" s="27"/>
      <c r="Q1038" s="27"/>
      <c r="R1038" s="27">
        <v>158401</v>
      </c>
      <c r="S1038" s="27">
        <v>3902</v>
      </c>
      <c r="T1038" s="27">
        <v>11322</v>
      </c>
      <c r="U1038" s="27">
        <v>3688</v>
      </c>
      <c r="V1038" s="27">
        <v>547</v>
      </c>
      <c r="W1038" s="27">
        <v>124518</v>
      </c>
      <c r="X1038" s="27">
        <v>11926</v>
      </c>
      <c r="Y1038" s="27">
        <v>2498</v>
      </c>
      <c r="Z1038" s="27"/>
      <c r="AA1038" s="27"/>
      <c r="AB1038" s="28">
        <v>1.1934351999999999</v>
      </c>
      <c r="AC1038" s="28">
        <v>4.3320486999999996</v>
      </c>
      <c r="AD1038" s="28">
        <v>6.3465119000000003</v>
      </c>
      <c r="AE1038" s="28">
        <v>1.4229419999999999</v>
      </c>
      <c r="AF1038" s="28">
        <v>75.787468099999998</v>
      </c>
      <c r="AG1038" s="28">
        <v>8.6147317000000001</v>
      </c>
      <c r="AH1038" s="28">
        <v>2.3028623000000001</v>
      </c>
      <c r="AI1038" s="28"/>
      <c r="AJ1038" s="28"/>
      <c r="AK1038" s="28">
        <v>2.4633683</v>
      </c>
      <c r="AL1038" s="28">
        <v>7.1476820999999999</v>
      </c>
      <c r="AM1038" s="28">
        <v>2.3282680999999998</v>
      </c>
      <c r="AN1038" s="28">
        <v>0.34532610000000002</v>
      </c>
      <c r="AO1038" s="28">
        <v>78.609352200000004</v>
      </c>
      <c r="AP1038" s="28">
        <v>7.5289929000000004</v>
      </c>
      <c r="AQ1038" s="28">
        <v>1.5770101999999999</v>
      </c>
      <c r="AR1038" s="29"/>
      <c r="AS1038" s="29"/>
    </row>
    <row r="1039" spans="2:45" ht="15" hidden="1" customHeight="1" x14ac:dyDescent="0.25">
      <c r="B1039" s="30">
        <v>1033</v>
      </c>
      <c r="C1039" s="31" t="s">
        <v>29</v>
      </c>
      <c r="D1039" s="50" t="s">
        <v>344</v>
      </c>
      <c r="E1039" s="50" t="s">
        <v>345</v>
      </c>
      <c r="F1039" s="50"/>
      <c r="G1039" s="31" t="s">
        <v>345</v>
      </c>
      <c r="H1039" s="32">
        <v>410289</v>
      </c>
      <c r="I1039" s="32">
        <v>59838</v>
      </c>
      <c r="J1039" s="32">
        <v>305030</v>
      </c>
      <c r="K1039" s="32">
        <v>4495</v>
      </c>
      <c r="L1039" s="32">
        <v>588</v>
      </c>
      <c r="M1039" s="32">
        <v>33663</v>
      </c>
      <c r="N1039" s="32">
        <v>5380</v>
      </c>
      <c r="O1039" s="32">
        <v>1295</v>
      </c>
      <c r="P1039" s="32"/>
      <c r="Q1039" s="32"/>
      <c r="R1039" s="32">
        <v>544512</v>
      </c>
      <c r="S1039" s="32">
        <v>106504</v>
      </c>
      <c r="T1039" s="32">
        <v>395113</v>
      </c>
      <c r="U1039" s="32">
        <v>2698</v>
      </c>
      <c r="V1039" s="32">
        <v>195</v>
      </c>
      <c r="W1039" s="32">
        <v>34549</v>
      </c>
      <c r="X1039" s="32">
        <v>3126</v>
      </c>
      <c r="Y1039" s="32">
        <v>2327</v>
      </c>
      <c r="Z1039" s="32"/>
      <c r="AA1039" s="32"/>
      <c r="AB1039" s="33">
        <v>14.584353999999999</v>
      </c>
      <c r="AC1039" s="33">
        <v>74.345156700000004</v>
      </c>
      <c r="AD1039" s="33">
        <v>1.0955691999999999</v>
      </c>
      <c r="AE1039" s="33">
        <v>0.14331360000000001</v>
      </c>
      <c r="AF1039" s="33">
        <v>8.2047045000000001</v>
      </c>
      <c r="AG1039" s="33">
        <v>1.3112708</v>
      </c>
      <c r="AH1039" s="33">
        <v>0.3156312</v>
      </c>
      <c r="AI1039" s="33"/>
      <c r="AJ1039" s="33"/>
      <c r="AK1039" s="33">
        <v>19.5595322</v>
      </c>
      <c r="AL1039" s="33">
        <v>72.562771799999993</v>
      </c>
      <c r="AM1039" s="33">
        <v>0.49548950000000003</v>
      </c>
      <c r="AN1039" s="33">
        <v>3.5811900000000001E-2</v>
      </c>
      <c r="AO1039" s="33">
        <v>6.3449473999999997</v>
      </c>
      <c r="AP1039" s="33">
        <v>0.57409200000000005</v>
      </c>
      <c r="AQ1039" s="33">
        <v>0.42735509999999999</v>
      </c>
      <c r="AR1039" s="34"/>
      <c r="AS1039" s="34"/>
    </row>
    <row r="1040" spans="2:45" ht="15" hidden="1" customHeight="1" x14ac:dyDescent="0.25">
      <c r="B1040" s="35">
        <v>1034</v>
      </c>
      <c r="C1040" s="36" t="s">
        <v>29</v>
      </c>
      <c r="D1040" s="36" t="s">
        <v>344</v>
      </c>
      <c r="E1040" s="36" t="s">
        <v>345</v>
      </c>
      <c r="F1040" s="36"/>
      <c r="G1040" s="37" t="s">
        <v>25</v>
      </c>
      <c r="H1040" s="38">
        <v>392949</v>
      </c>
      <c r="I1040" s="38">
        <v>59420</v>
      </c>
      <c r="J1040" s="38">
        <v>303928</v>
      </c>
      <c r="K1040" s="38">
        <v>3453</v>
      </c>
      <c r="L1040" s="38">
        <v>288</v>
      </c>
      <c r="M1040" s="38">
        <v>21242</v>
      </c>
      <c r="N1040" s="38">
        <v>3662</v>
      </c>
      <c r="O1040" s="38">
        <v>956</v>
      </c>
      <c r="P1040" s="38"/>
      <c r="Q1040" s="38"/>
      <c r="R1040" s="38">
        <v>526832</v>
      </c>
      <c r="S1040" s="38">
        <v>105558</v>
      </c>
      <c r="T1040" s="38">
        <v>392510</v>
      </c>
      <c r="U1040" s="38">
        <v>2299</v>
      </c>
      <c r="V1040" s="38">
        <v>127</v>
      </c>
      <c r="W1040" s="38">
        <v>22555</v>
      </c>
      <c r="X1040" s="38">
        <v>1775</v>
      </c>
      <c r="Y1040" s="38">
        <v>2008</v>
      </c>
      <c r="Z1040" s="38"/>
      <c r="AA1040" s="38"/>
      <c r="AB1040" s="39">
        <v>15.1215552</v>
      </c>
      <c r="AC1040" s="39">
        <v>77.345406100000005</v>
      </c>
      <c r="AD1040" s="39">
        <v>0.87873999999999997</v>
      </c>
      <c r="AE1040" s="39">
        <v>7.3291999999999996E-2</v>
      </c>
      <c r="AF1040" s="39">
        <v>5.4057905999999996</v>
      </c>
      <c r="AG1040" s="39">
        <v>0.93192759999999997</v>
      </c>
      <c r="AH1040" s="39">
        <v>0.24328859999999999</v>
      </c>
      <c r="AI1040" s="39"/>
      <c r="AJ1040" s="39"/>
      <c r="AK1040" s="39">
        <v>20.036368299999999</v>
      </c>
      <c r="AL1040" s="39">
        <v>74.503826599999996</v>
      </c>
      <c r="AM1040" s="39">
        <v>0.43638199999999999</v>
      </c>
      <c r="AN1040" s="39">
        <v>2.41064E-2</v>
      </c>
      <c r="AO1040" s="39">
        <v>4.2812508999999999</v>
      </c>
      <c r="AP1040" s="39">
        <v>0.33691949999999998</v>
      </c>
      <c r="AQ1040" s="39">
        <v>0.38114619999999999</v>
      </c>
      <c r="AR1040" s="40"/>
      <c r="AS1040" s="40"/>
    </row>
    <row r="1041" spans="2:45" ht="15" hidden="1" customHeight="1" x14ac:dyDescent="0.25">
      <c r="B1041" s="35">
        <v>1035</v>
      </c>
      <c r="C1041" s="36" t="s">
        <v>29</v>
      </c>
      <c r="D1041" s="36" t="s">
        <v>344</v>
      </c>
      <c r="E1041" s="36" t="s">
        <v>345</v>
      </c>
      <c r="F1041" s="36"/>
      <c r="G1041" s="37" t="s">
        <v>26</v>
      </c>
      <c r="H1041" s="38">
        <v>17340</v>
      </c>
      <c r="I1041" s="38">
        <v>418</v>
      </c>
      <c r="J1041" s="38">
        <v>1102</v>
      </c>
      <c r="K1041" s="38">
        <v>1042</v>
      </c>
      <c r="L1041" s="38">
        <v>300</v>
      </c>
      <c r="M1041" s="38">
        <v>12421</v>
      </c>
      <c r="N1041" s="38">
        <v>1718</v>
      </c>
      <c r="O1041" s="38">
        <v>339</v>
      </c>
      <c r="P1041" s="38"/>
      <c r="Q1041" s="38"/>
      <c r="R1041" s="38">
        <v>17680</v>
      </c>
      <c r="S1041" s="38">
        <v>946</v>
      </c>
      <c r="T1041" s="38">
        <v>2603</v>
      </c>
      <c r="U1041" s="38">
        <v>399</v>
      </c>
      <c r="V1041" s="38">
        <v>68</v>
      </c>
      <c r="W1041" s="38">
        <v>11994</v>
      </c>
      <c r="X1041" s="38">
        <v>1351</v>
      </c>
      <c r="Y1041" s="38">
        <v>319</v>
      </c>
      <c r="Z1041" s="38"/>
      <c r="AA1041" s="38"/>
      <c r="AB1041" s="39">
        <v>2.4106112999999998</v>
      </c>
      <c r="AC1041" s="39">
        <v>6.3552479999999996</v>
      </c>
      <c r="AD1041" s="39">
        <v>6.0092271999999998</v>
      </c>
      <c r="AE1041" s="39">
        <v>1.7301038</v>
      </c>
      <c r="AF1041" s="39">
        <v>71.632064600000007</v>
      </c>
      <c r="AG1041" s="39">
        <v>9.9077278</v>
      </c>
      <c r="AH1041" s="39">
        <v>1.9550173</v>
      </c>
      <c r="AI1041" s="39"/>
      <c r="AJ1041" s="39"/>
      <c r="AK1041" s="39">
        <v>5.3506786999999996</v>
      </c>
      <c r="AL1041" s="39">
        <v>14.7228507</v>
      </c>
      <c r="AM1041" s="39">
        <v>2.2567873000000001</v>
      </c>
      <c r="AN1041" s="39">
        <v>0.3846154</v>
      </c>
      <c r="AO1041" s="39">
        <v>67.839366499999997</v>
      </c>
      <c r="AP1041" s="39">
        <v>7.6414027000000004</v>
      </c>
      <c r="AQ1041" s="39">
        <v>1.8042986000000001</v>
      </c>
      <c r="AR1041" s="40"/>
      <c r="AS1041" s="40"/>
    </row>
    <row r="1042" spans="2:45" ht="15" customHeight="1" x14ac:dyDescent="0.25">
      <c r="B1042" s="41">
        <v>1036</v>
      </c>
      <c r="C1042" s="42" t="s">
        <v>31</v>
      </c>
      <c r="D1042" s="51" t="s">
        <v>344</v>
      </c>
      <c r="E1042" s="51" t="s">
        <v>345</v>
      </c>
      <c r="F1042" s="51" t="s">
        <v>346</v>
      </c>
      <c r="G1042" s="52" t="s">
        <v>346</v>
      </c>
      <c r="H1042" s="43">
        <v>360441</v>
      </c>
      <c r="I1042" s="43">
        <v>52917</v>
      </c>
      <c r="J1042" s="43">
        <v>284868</v>
      </c>
      <c r="K1042" s="43">
        <v>2718</v>
      </c>
      <c r="L1042" s="43">
        <v>161</v>
      </c>
      <c r="M1042" s="43">
        <v>16309</v>
      </c>
      <c r="N1042" s="43">
        <v>2748</v>
      </c>
      <c r="O1042" s="43">
        <v>720</v>
      </c>
      <c r="P1042" s="44">
        <f>K1042+L1042+M1042+N1042+O1042</f>
        <v>22656</v>
      </c>
      <c r="Q1042" s="44">
        <f>I1042+J1042</f>
        <v>337785</v>
      </c>
      <c r="R1042" s="43">
        <v>453158</v>
      </c>
      <c r="S1042" s="43">
        <v>95184</v>
      </c>
      <c r="T1042" s="43">
        <v>344265</v>
      </c>
      <c r="U1042" s="43">
        <v>1660</v>
      </c>
      <c r="V1042" s="43">
        <v>59</v>
      </c>
      <c r="W1042" s="43">
        <v>10219</v>
      </c>
      <c r="X1042" s="43">
        <v>974</v>
      </c>
      <c r="Y1042" s="43">
        <v>797</v>
      </c>
      <c r="Z1042" s="45">
        <f>U1042+V1042+W1042+X1042+Y1042</f>
        <v>13709</v>
      </c>
      <c r="AA1042" s="45">
        <f>S1042+T1042</f>
        <v>439449</v>
      </c>
      <c r="AB1042" s="46">
        <v>14.6811822</v>
      </c>
      <c r="AC1042" s="46">
        <v>79.033184300000002</v>
      </c>
      <c r="AD1042" s="46">
        <v>0.75407630000000003</v>
      </c>
      <c r="AE1042" s="46">
        <v>4.4667499999999999E-2</v>
      </c>
      <c r="AF1042" s="46">
        <v>4.5247349999999997</v>
      </c>
      <c r="AG1042" s="46">
        <v>0.76239939999999995</v>
      </c>
      <c r="AH1042" s="46">
        <v>0.1997553</v>
      </c>
      <c r="AI1042" s="47">
        <f>AB1042+AC1042</f>
        <v>93.714366499999997</v>
      </c>
      <c r="AJ1042" s="47">
        <f>AD1042+AE1042+AF1042+AG1042+AH1042</f>
        <v>6.2856334999999994</v>
      </c>
      <c r="AK1042" s="46">
        <v>21.004594399999998</v>
      </c>
      <c r="AL1042" s="46">
        <v>75.970191400000004</v>
      </c>
      <c r="AM1042" s="46">
        <v>0.36631809999999998</v>
      </c>
      <c r="AN1042" s="46">
        <v>1.30197E-2</v>
      </c>
      <c r="AO1042" s="46">
        <v>2.2550634000000001</v>
      </c>
      <c r="AP1042" s="46">
        <v>0.21493609999999999</v>
      </c>
      <c r="AQ1042" s="46">
        <v>0.1758768</v>
      </c>
      <c r="AR1042" s="48">
        <f>AK1042+AL1042</f>
        <v>96.974785800000006</v>
      </c>
      <c r="AS1042" s="48">
        <f>AM1042+AN1042+AO1042+AP1042+AQ1042</f>
        <v>3.0252141000000004</v>
      </c>
    </row>
    <row r="1043" spans="2:45" ht="15" hidden="1" customHeight="1" x14ac:dyDescent="0.25">
      <c r="B1043" s="35">
        <v>1037</v>
      </c>
      <c r="C1043" s="36" t="s">
        <v>31</v>
      </c>
      <c r="D1043" s="36" t="s">
        <v>344</v>
      </c>
      <c r="E1043" s="36" t="s">
        <v>345</v>
      </c>
      <c r="F1043" s="36" t="s">
        <v>346</v>
      </c>
      <c r="G1043" s="37" t="s">
        <v>25</v>
      </c>
      <c r="H1043" s="38">
        <v>357586</v>
      </c>
      <c r="I1043" s="38">
        <v>52880</v>
      </c>
      <c r="J1043" s="38">
        <v>284624</v>
      </c>
      <c r="K1043" s="38">
        <v>2625</v>
      </c>
      <c r="L1043" s="38">
        <v>144</v>
      </c>
      <c r="M1043" s="38">
        <v>14162</v>
      </c>
      <c r="N1043" s="38">
        <v>2461</v>
      </c>
      <c r="O1043" s="38">
        <v>690</v>
      </c>
      <c r="P1043" s="38"/>
      <c r="Q1043" s="38"/>
      <c r="R1043" s="38">
        <v>450791</v>
      </c>
      <c r="S1043" s="38">
        <v>95082</v>
      </c>
      <c r="T1043" s="38">
        <v>344004</v>
      </c>
      <c r="U1043" s="38">
        <v>1595</v>
      </c>
      <c r="V1043" s="38">
        <v>51</v>
      </c>
      <c r="W1043" s="38">
        <v>8536</v>
      </c>
      <c r="X1043" s="38">
        <v>742</v>
      </c>
      <c r="Y1043" s="38">
        <v>781</v>
      </c>
      <c r="Z1043" s="38"/>
      <c r="AA1043" s="38"/>
      <c r="AB1043" s="39">
        <v>14.788050999999999</v>
      </c>
      <c r="AC1043" s="39">
        <v>79.595957299999995</v>
      </c>
      <c r="AD1043" s="39">
        <v>0.73408910000000005</v>
      </c>
      <c r="AE1043" s="39">
        <v>4.027E-2</v>
      </c>
      <c r="AF1043" s="39">
        <v>3.9604458999999999</v>
      </c>
      <c r="AG1043" s="39">
        <v>0.688226</v>
      </c>
      <c r="AH1043" s="39">
        <v>0.19296060000000001</v>
      </c>
      <c r="AI1043" s="39"/>
      <c r="AJ1043" s="39"/>
      <c r="AK1043" s="39">
        <v>21.092257799999999</v>
      </c>
      <c r="AL1043" s="39">
        <v>76.3111952</v>
      </c>
      <c r="AM1043" s="39">
        <v>0.35382249999999998</v>
      </c>
      <c r="AN1043" s="39">
        <v>1.1313399999999999E-2</v>
      </c>
      <c r="AO1043" s="39">
        <v>1.8935603999999999</v>
      </c>
      <c r="AP1043" s="39">
        <v>0.16459960000000001</v>
      </c>
      <c r="AQ1043" s="39">
        <v>0.17325099999999999</v>
      </c>
      <c r="AR1043" s="40"/>
      <c r="AS1043" s="40"/>
    </row>
    <row r="1044" spans="2:45" ht="15" hidden="1" customHeight="1" x14ac:dyDescent="0.25">
      <c r="B1044" s="35">
        <v>1038</v>
      </c>
      <c r="C1044" s="36" t="s">
        <v>31</v>
      </c>
      <c r="D1044" s="36" t="s">
        <v>344</v>
      </c>
      <c r="E1044" s="36" t="s">
        <v>345</v>
      </c>
      <c r="F1044" s="36" t="s">
        <v>346</v>
      </c>
      <c r="G1044" s="37" t="s">
        <v>26</v>
      </c>
      <c r="H1044" s="38">
        <v>2855</v>
      </c>
      <c r="I1044" s="38">
        <v>37</v>
      </c>
      <c r="J1044" s="38">
        <v>244</v>
      </c>
      <c r="K1044" s="38">
        <v>93</v>
      </c>
      <c r="L1044" s="38">
        <v>17</v>
      </c>
      <c r="M1044" s="38">
        <v>2147</v>
      </c>
      <c r="N1044" s="38">
        <v>287</v>
      </c>
      <c r="O1044" s="38">
        <v>30</v>
      </c>
      <c r="P1044" s="38"/>
      <c r="Q1044" s="38"/>
      <c r="R1044" s="38">
        <v>2367</v>
      </c>
      <c r="S1044" s="38">
        <v>102</v>
      </c>
      <c r="T1044" s="38">
        <v>261</v>
      </c>
      <c r="U1044" s="38">
        <v>65</v>
      </c>
      <c r="V1044" s="38">
        <v>8</v>
      </c>
      <c r="W1044" s="38">
        <v>1683</v>
      </c>
      <c r="X1044" s="38">
        <v>232</v>
      </c>
      <c r="Y1044" s="38">
        <v>16</v>
      </c>
      <c r="Z1044" s="38"/>
      <c r="AA1044" s="38"/>
      <c r="AB1044" s="39">
        <v>1.2959719999999999</v>
      </c>
      <c r="AC1044" s="39">
        <v>8.5464097999999993</v>
      </c>
      <c r="AD1044" s="39">
        <v>3.2574431000000001</v>
      </c>
      <c r="AE1044" s="39">
        <v>0.59544660000000005</v>
      </c>
      <c r="AF1044" s="39">
        <v>75.201401099999998</v>
      </c>
      <c r="AG1044" s="39">
        <v>10.052539400000001</v>
      </c>
      <c r="AH1044" s="39">
        <v>1.0507880999999999</v>
      </c>
      <c r="AI1044" s="39"/>
      <c r="AJ1044" s="39"/>
      <c r="AK1044" s="39">
        <v>4.3092522000000004</v>
      </c>
      <c r="AL1044" s="39">
        <v>11.026616000000001</v>
      </c>
      <c r="AM1044" s="39">
        <v>2.7460920999999998</v>
      </c>
      <c r="AN1044" s="39">
        <v>0.33798060000000002</v>
      </c>
      <c r="AO1044" s="39">
        <v>71.102661600000005</v>
      </c>
      <c r="AP1044" s="39">
        <v>9.8014364</v>
      </c>
      <c r="AQ1044" s="39">
        <v>0.67596109999999998</v>
      </c>
      <c r="AR1044" s="40"/>
      <c r="AS1044" s="40"/>
    </row>
    <row r="1045" spans="2:45" ht="15" customHeight="1" x14ac:dyDescent="0.25">
      <c r="B1045" s="41">
        <v>1039</v>
      </c>
      <c r="C1045" s="42" t="s">
        <v>31</v>
      </c>
      <c r="D1045" s="51" t="s">
        <v>344</v>
      </c>
      <c r="E1045" s="51" t="s">
        <v>345</v>
      </c>
      <c r="F1045" s="51" t="s">
        <v>347</v>
      </c>
      <c r="G1045" s="52" t="s">
        <v>347</v>
      </c>
      <c r="H1045" s="43">
        <v>12677</v>
      </c>
      <c r="I1045" s="43">
        <v>1033</v>
      </c>
      <c r="J1045" s="43">
        <v>3681</v>
      </c>
      <c r="K1045" s="43">
        <v>729</v>
      </c>
      <c r="L1045" s="43">
        <v>101</v>
      </c>
      <c r="M1045" s="43">
        <v>6187</v>
      </c>
      <c r="N1045" s="43">
        <v>734</v>
      </c>
      <c r="O1045" s="43">
        <v>212</v>
      </c>
      <c r="P1045" s="44">
        <f>K1045+L1045+M1045+N1045+O1045</f>
        <v>7963</v>
      </c>
      <c r="Q1045" s="44">
        <f>I1045+J1045</f>
        <v>4714</v>
      </c>
      <c r="R1045" s="43">
        <v>27833</v>
      </c>
      <c r="S1045" s="43">
        <v>3054</v>
      </c>
      <c r="T1045" s="43">
        <v>10916</v>
      </c>
      <c r="U1045" s="43">
        <v>487</v>
      </c>
      <c r="V1045" s="43">
        <v>38</v>
      </c>
      <c r="W1045" s="43">
        <v>11928</v>
      </c>
      <c r="X1045" s="43">
        <v>732</v>
      </c>
      <c r="Y1045" s="43">
        <v>678</v>
      </c>
      <c r="Z1045" s="45">
        <f>U1045+V1045+W1045+X1045+Y1045</f>
        <v>13863</v>
      </c>
      <c r="AA1045" s="45">
        <f>S1045+T1045</f>
        <v>13970</v>
      </c>
      <c r="AB1045" s="46">
        <v>8.1486155999999994</v>
      </c>
      <c r="AC1045" s="46">
        <v>29.036838400000001</v>
      </c>
      <c r="AD1045" s="46">
        <v>5.7505718999999997</v>
      </c>
      <c r="AE1045" s="46">
        <v>0.7967185</v>
      </c>
      <c r="AF1045" s="46">
        <v>48.804922300000001</v>
      </c>
      <c r="AG1045" s="46">
        <v>5.7900134000000003</v>
      </c>
      <c r="AH1045" s="46">
        <v>1.6723199</v>
      </c>
      <c r="AI1045" s="47">
        <f>AB1045+AC1045</f>
        <v>37.185454</v>
      </c>
      <c r="AJ1045" s="47">
        <f>AD1045+AE1045+AF1045+AG1045+AH1045</f>
        <v>62.814546</v>
      </c>
      <c r="AK1045" s="46">
        <v>10.9725865</v>
      </c>
      <c r="AL1045" s="46">
        <v>39.219631399999997</v>
      </c>
      <c r="AM1045" s="46">
        <v>1.7497216</v>
      </c>
      <c r="AN1045" s="46">
        <v>0.1365286</v>
      </c>
      <c r="AO1045" s="46">
        <v>42.855603100000003</v>
      </c>
      <c r="AP1045" s="46">
        <v>2.6299716000000002</v>
      </c>
      <c r="AQ1045" s="46">
        <v>2.4359573000000001</v>
      </c>
      <c r="AR1045" s="48">
        <f>AK1045+AL1045</f>
        <v>50.192217899999996</v>
      </c>
      <c r="AS1045" s="48">
        <f>AM1045+AN1045+AO1045+AP1045+AQ1045</f>
        <v>49.807782199999998</v>
      </c>
    </row>
    <row r="1046" spans="2:45" ht="15" hidden="1" customHeight="1" x14ac:dyDescent="0.25">
      <c r="B1046" s="35">
        <v>1040</v>
      </c>
      <c r="C1046" s="36" t="s">
        <v>31</v>
      </c>
      <c r="D1046" s="36" t="s">
        <v>344</v>
      </c>
      <c r="E1046" s="36" t="s">
        <v>345</v>
      </c>
      <c r="F1046" s="36" t="s">
        <v>347</v>
      </c>
      <c r="G1046" s="37" t="s">
        <v>25</v>
      </c>
      <c r="H1046" s="38">
        <v>7746</v>
      </c>
      <c r="I1046" s="38">
        <v>897</v>
      </c>
      <c r="J1046" s="38">
        <v>3447</v>
      </c>
      <c r="K1046" s="38">
        <v>336</v>
      </c>
      <c r="L1046" s="38">
        <v>22</v>
      </c>
      <c r="M1046" s="38">
        <v>2588</v>
      </c>
      <c r="N1046" s="38">
        <v>342</v>
      </c>
      <c r="O1046" s="38">
        <v>114</v>
      </c>
      <c r="P1046" s="38"/>
      <c r="Q1046" s="38"/>
      <c r="R1046" s="38">
        <v>23514</v>
      </c>
      <c r="S1046" s="38">
        <v>2939</v>
      </c>
      <c r="T1046" s="38">
        <v>10705</v>
      </c>
      <c r="U1046" s="38">
        <v>371</v>
      </c>
      <c r="V1046" s="38">
        <v>23</v>
      </c>
      <c r="W1046" s="38">
        <v>8374</v>
      </c>
      <c r="X1046" s="38">
        <v>502</v>
      </c>
      <c r="Y1046" s="38">
        <v>600</v>
      </c>
      <c r="Z1046" s="38"/>
      <c r="AA1046" s="38"/>
      <c r="AB1046" s="39">
        <v>11.5801704</v>
      </c>
      <c r="AC1046" s="39">
        <v>44.5003873</v>
      </c>
      <c r="AD1046" s="39">
        <v>4.3377226999999996</v>
      </c>
      <c r="AE1046" s="39">
        <v>0.28401759999999998</v>
      </c>
      <c r="AF1046" s="39">
        <v>33.410792700000002</v>
      </c>
      <c r="AG1046" s="39">
        <v>4.4151819999999997</v>
      </c>
      <c r="AH1046" s="39">
        <v>1.4717273</v>
      </c>
      <c r="AI1046" s="39"/>
      <c r="AJ1046" s="39"/>
      <c r="AK1046" s="39">
        <v>12.498936799999999</v>
      </c>
      <c r="AL1046" s="39">
        <v>45.5260696</v>
      </c>
      <c r="AM1046" s="39">
        <v>1.5777833999999999</v>
      </c>
      <c r="AN1046" s="39">
        <v>9.7814100000000001E-2</v>
      </c>
      <c r="AO1046" s="39">
        <v>35.612826400000003</v>
      </c>
      <c r="AP1046" s="39">
        <v>2.1348984</v>
      </c>
      <c r="AQ1046" s="39">
        <v>2.5516713000000002</v>
      </c>
      <c r="AR1046" s="40"/>
      <c r="AS1046" s="40"/>
    </row>
    <row r="1047" spans="2:45" ht="15" hidden="1" customHeight="1" x14ac:dyDescent="0.25">
      <c r="B1047" s="35">
        <v>1041</v>
      </c>
      <c r="C1047" s="36" t="s">
        <v>31</v>
      </c>
      <c r="D1047" s="36" t="s">
        <v>344</v>
      </c>
      <c r="E1047" s="36" t="s">
        <v>345</v>
      </c>
      <c r="F1047" s="36" t="s">
        <v>347</v>
      </c>
      <c r="G1047" s="37" t="s">
        <v>26</v>
      </c>
      <c r="H1047" s="38">
        <v>4931</v>
      </c>
      <c r="I1047" s="38">
        <v>136</v>
      </c>
      <c r="J1047" s="38">
        <v>234</v>
      </c>
      <c r="K1047" s="38">
        <v>393</v>
      </c>
      <c r="L1047" s="38">
        <v>79</v>
      </c>
      <c r="M1047" s="38">
        <v>3599</v>
      </c>
      <c r="N1047" s="38">
        <v>392</v>
      </c>
      <c r="O1047" s="38">
        <v>98</v>
      </c>
      <c r="P1047" s="38"/>
      <c r="Q1047" s="38"/>
      <c r="R1047" s="38">
        <v>4319</v>
      </c>
      <c r="S1047" s="38">
        <v>115</v>
      </c>
      <c r="T1047" s="38">
        <v>211</v>
      </c>
      <c r="U1047" s="38">
        <v>116</v>
      </c>
      <c r="V1047" s="38">
        <v>15</v>
      </c>
      <c r="W1047" s="38">
        <v>3554</v>
      </c>
      <c r="X1047" s="38">
        <v>230</v>
      </c>
      <c r="Y1047" s="38">
        <v>78</v>
      </c>
      <c r="Z1047" s="38"/>
      <c r="AA1047" s="38"/>
      <c r="AB1047" s="39">
        <v>2.7580612000000002</v>
      </c>
      <c r="AC1047" s="39">
        <v>4.7454877</v>
      </c>
      <c r="AD1047" s="39">
        <v>7.9699857999999999</v>
      </c>
      <c r="AE1047" s="39">
        <v>1.6021091000000001</v>
      </c>
      <c r="AF1047" s="39">
        <v>72.987223700000001</v>
      </c>
      <c r="AG1047" s="39">
        <v>7.9497058999999997</v>
      </c>
      <c r="AH1047" s="39">
        <v>1.9874265</v>
      </c>
      <c r="AI1047" s="39"/>
      <c r="AJ1047" s="39"/>
      <c r="AK1047" s="39">
        <v>2.6626533999999999</v>
      </c>
      <c r="AL1047" s="39">
        <v>4.8853901000000004</v>
      </c>
      <c r="AM1047" s="39">
        <v>2.6858069000000002</v>
      </c>
      <c r="AN1047" s="39">
        <v>0.34730260000000002</v>
      </c>
      <c r="AO1047" s="39">
        <v>82.287566600000005</v>
      </c>
      <c r="AP1047" s="39">
        <v>5.3253067999999999</v>
      </c>
      <c r="AQ1047" s="39">
        <v>1.8059736</v>
      </c>
      <c r="AR1047" s="40"/>
      <c r="AS1047" s="40"/>
    </row>
    <row r="1048" spans="2:45" ht="15" customHeight="1" x14ac:dyDescent="0.25">
      <c r="B1048" s="41">
        <v>1042</v>
      </c>
      <c r="C1048" s="42" t="s">
        <v>31</v>
      </c>
      <c r="D1048" s="51" t="s">
        <v>344</v>
      </c>
      <c r="E1048" s="51" t="s">
        <v>345</v>
      </c>
      <c r="F1048" s="51" t="s">
        <v>348</v>
      </c>
      <c r="G1048" s="52" t="s">
        <v>348</v>
      </c>
      <c r="H1048" s="43">
        <v>3622</v>
      </c>
      <c r="I1048" s="43">
        <v>259</v>
      </c>
      <c r="J1048" s="43">
        <v>625</v>
      </c>
      <c r="K1048" s="43">
        <v>156</v>
      </c>
      <c r="L1048" s="43">
        <v>106</v>
      </c>
      <c r="M1048" s="43">
        <v>2048</v>
      </c>
      <c r="N1048" s="43">
        <v>347</v>
      </c>
      <c r="O1048" s="43">
        <v>81</v>
      </c>
      <c r="P1048" s="44">
        <f>K1048+L1048+M1048+N1048+O1048</f>
        <v>2738</v>
      </c>
      <c r="Q1048" s="44">
        <f>I1048+J1048</f>
        <v>884</v>
      </c>
      <c r="R1048" s="43">
        <v>6642</v>
      </c>
      <c r="S1048" s="43">
        <v>1014</v>
      </c>
      <c r="T1048" s="43">
        <v>2837</v>
      </c>
      <c r="U1048" s="43">
        <v>87</v>
      </c>
      <c r="V1048" s="43">
        <v>7</v>
      </c>
      <c r="W1048" s="43">
        <v>1854</v>
      </c>
      <c r="X1048" s="43">
        <v>378</v>
      </c>
      <c r="Y1048" s="43">
        <v>465</v>
      </c>
      <c r="Z1048" s="45">
        <f>U1048+V1048+W1048+X1048+Y1048</f>
        <v>2791</v>
      </c>
      <c r="AA1048" s="45">
        <f>S1048+T1048</f>
        <v>3851</v>
      </c>
      <c r="AB1048" s="46">
        <v>7.1507453999999999</v>
      </c>
      <c r="AC1048" s="46">
        <v>17.255659900000001</v>
      </c>
      <c r="AD1048" s="46">
        <v>4.3070126999999996</v>
      </c>
      <c r="AE1048" s="46">
        <v>2.9265599</v>
      </c>
      <c r="AF1048" s="46">
        <v>56.543346200000002</v>
      </c>
      <c r="AG1048" s="46">
        <v>9.5803423999999993</v>
      </c>
      <c r="AH1048" s="46">
        <v>2.2363335000000002</v>
      </c>
      <c r="AI1048" s="47">
        <f>AB1048+AC1048</f>
        <v>24.406405300000003</v>
      </c>
      <c r="AJ1048" s="47">
        <f>AD1048+AE1048+AF1048+AG1048+AH1048</f>
        <v>75.593594700000011</v>
      </c>
      <c r="AK1048" s="46">
        <v>15.266486</v>
      </c>
      <c r="AL1048" s="46">
        <v>42.7130382</v>
      </c>
      <c r="AM1048" s="46">
        <v>1.3098464000000001</v>
      </c>
      <c r="AN1048" s="46">
        <v>0.10538989999999999</v>
      </c>
      <c r="AO1048" s="46">
        <v>27.9132791</v>
      </c>
      <c r="AP1048" s="46">
        <v>5.6910569000000004</v>
      </c>
      <c r="AQ1048" s="46">
        <v>7.0009033000000001</v>
      </c>
      <c r="AR1048" s="48">
        <f>AK1048+AL1048</f>
        <v>57.9795242</v>
      </c>
      <c r="AS1048" s="48">
        <f>AM1048+AN1048+AO1048+AP1048+AQ1048</f>
        <v>42.020475599999997</v>
      </c>
    </row>
    <row r="1049" spans="2:45" ht="15" hidden="1" customHeight="1" x14ac:dyDescent="0.25">
      <c r="B1049" s="35">
        <v>1043</v>
      </c>
      <c r="C1049" s="36" t="s">
        <v>31</v>
      </c>
      <c r="D1049" s="36" t="s">
        <v>344</v>
      </c>
      <c r="E1049" s="36" t="s">
        <v>345</v>
      </c>
      <c r="F1049" s="36" t="s">
        <v>348</v>
      </c>
      <c r="G1049" s="37" t="s">
        <v>25</v>
      </c>
      <c r="H1049" s="38">
        <v>958</v>
      </c>
      <c r="I1049" s="38">
        <v>202</v>
      </c>
      <c r="J1049" s="38">
        <v>596</v>
      </c>
      <c r="K1049" s="38">
        <v>6</v>
      </c>
      <c r="L1049" s="38">
        <v>3</v>
      </c>
      <c r="M1049" s="38">
        <v>113</v>
      </c>
      <c r="N1049" s="38">
        <v>26</v>
      </c>
      <c r="O1049" s="38">
        <v>12</v>
      </c>
      <c r="P1049" s="38"/>
      <c r="Q1049" s="38"/>
      <c r="R1049" s="38">
        <v>3074</v>
      </c>
      <c r="S1049" s="38">
        <v>564</v>
      </c>
      <c r="T1049" s="38">
        <v>1960</v>
      </c>
      <c r="U1049" s="38">
        <v>7</v>
      </c>
      <c r="V1049" s="38">
        <v>0</v>
      </c>
      <c r="W1049" s="38">
        <v>151</v>
      </c>
      <c r="X1049" s="38">
        <v>25</v>
      </c>
      <c r="Y1049" s="38">
        <v>367</v>
      </c>
      <c r="Z1049" s="38"/>
      <c r="AA1049" s="38"/>
      <c r="AB1049" s="39">
        <v>21.085595000000001</v>
      </c>
      <c r="AC1049" s="39">
        <v>62.212943600000003</v>
      </c>
      <c r="AD1049" s="39">
        <v>0.62630479999999999</v>
      </c>
      <c r="AE1049" s="39">
        <v>0.3131524</v>
      </c>
      <c r="AF1049" s="39">
        <v>11.7954071</v>
      </c>
      <c r="AG1049" s="39">
        <v>2.7139875</v>
      </c>
      <c r="AH1049" s="39">
        <v>1.2526096</v>
      </c>
      <c r="AI1049" s="39"/>
      <c r="AJ1049" s="39"/>
      <c r="AK1049" s="39">
        <v>18.3474301</v>
      </c>
      <c r="AL1049" s="39">
        <v>63.760572500000002</v>
      </c>
      <c r="AM1049" s="39">
        <v>0.22771630000000001</v>
      </c>
      <c r="AN1049" s="39">
        <v>0</v>
      </c>
      <c r="AO1049" s="39">
        <v>4.9121665999999999</v>
      </c>
      <c r="AP1049" s="39">
        <v>0.81327260000000001</v>
      </c>
      <c r="AQ1049" s="39">
        <v>11.9388419</v>
      </c>
      <c r="AR1049" s="40"/>
      <c r="AS1049" s="40"/>
    </row>
    <row r="1050" spans="2:45" ht="15" hidden="1" customHeight="1" x14ac:dyDescent="0.25">
      <c r="B1050" s="35">
        <v>1044</v>
      </c>
      <c r="C1050" s="36" t="s">
        <v>31</v>
      </c>
      <c r="D1050" s="36" t="s">
        <v>344</v>
      </c>
      <c r="E1050" s="36" t="s">
        <v>345</v>
      </c>
      <c r="F1050" s="36" t="s">
        <v>348</v>
      </c>
      <c r="G1050" s="37" t="s">
        <v>26</v>
      </c>
      <c r="H1050" s="38">
        <v>2664</v>
      </c>
      <c r="I1050" s="38">
        <v>57</v>
      </c>
      <c r="J1050" s="38">
        <v>29</v>
      </c>
      <c r="K1050" s="38">
        <v>150</v>
      </c>
      <c r="L1050" s="38">
        <v>103</v>
      </c>
      <c r="M1050" s="38">
        <v>1935</v>
      </c>
      <c r="N1050" s="38">
        <v>321</v>
      </c>
      <c r="O1050" s="38">
        <v>69</v>
      </c>
      <c r="P1050" s="38"/>
      <c r="Q1050" s="38"/>
      <c r="R1050" s="38">
        <v>3568</v>
      </c>
      <c r="S1050" s="38">
        <v>450</v>
      </c>
      <c r="T1050" s="38">
        <v>877</v>
      </c>
      <c r="U1050" s="38">
        <v>80</v>
      </c>
      <c r="V1050" s="38">
        <v>7</v>
      </c>
      <c r="W1050" s="38">
        <v>1703</v>
      </c>
      <c r="X1050" s="38">
        <v>353</v>
      </c>
      <c r="Y1050" s="38">
        <v>98</v>
      </c>
      <c r="Z1050" s="38"/>
      <c r="AA1050" s="38"/>
      <c r="AB1050" s="39">
        <v>2.1396396000000002</v>
      </c>
      <c r="AC1050" s="39">
        <v>1.0885886</v>
      </c>
      <c r="AD1050" s="39">
        <v>5.6306305999999999</v>
      </c>
      <c r="AE1050" s="39">
        <v>3.8663664</v>
      </c>
      <c r="AF1050" s="39">
        <v>72.635135099999999</v>
      </c>
      <c r="AG1050" s="39">
        <v>12.049549499999999</v>
      </c>
      <c r="AH1050" s="39">
        <v>2.5900900999999998</v>
      </c>
      <c r="AI1050" s="39"/>
      <c r="AJ1050" s="39"/>
      <c r="AK1050" s="39">
        <v>12.6121076</v>
      </c>
      <c r="AL1050" s="39">
        <v>24.5795964</v>
      </c>
      <c r="AM1050" s="39">
        <v>2.2421525</v>
      </c>
      <c r="AN1050" s="39">
        <v>0.19618830000000001</v>
      </c>
      <c r="AO1050" s="39">
        <v>47.729820599999996</v>
      </c>
      <c r="AP1050" s="39">
        <v>9.8934978000000005</v>
      </c>
      <c r="AQ1050" s="39">
        <v>2.7466368000000001</v>
      </c>
      <c r="AR1050" s="40"/>
      <c r="AS1050" s="40"/>
    </row>
    <row r="1051" spans="2:45" ht="15" customHeight="1" x14ac:dyDescent="0.25">
      <c r="B1051" s="41">
        <v>1045</v>
      </c>
      <c r="C1051" s="42" t="s">
        <v>31</v>
      </c>
      <c r="D1051" s="51" t="s">
        <v>344</v>
      </c>
      <c r="E1051" s="51" t="s">
        <v>345</v>
      </c>
      <c r="F1051" s="51" t="s">
        <v>349</v>
      </c>
      <c r="G1051" s="52" t="s">
        <v>349</v>
      </c>
      <c r="H1051" s="43">
        <v>21314</v>
      </c>
      <c r="I1051" s="43">
        <v>4447</v>
      </c>
      <c r="J1051" s="43">
        <v>10524</v>
      </c>
      <c r="K1051" s="43">
        <v>435</v>
      </c>
      <c r="L1051" s="43">
        <v>71</v>
      </c>
      <c r="M1051" s="43">
        <v>4642</v>
      </c>
      <c r="N1051" s="43">
        <v>1039</v>
      </c>
      <c r="O1051" s="43">
        <v>156</v>
      </c>
      <c r="P1051" s="44">
        <f>K1051+L1051+M1051+N1051+O1051</f>
        <v>6343</v>
      </c>
      <c r="Q1051" s="44">
        <f>I1051+J1051</f>
        <v>14971</v>
      </c>
      <c r="R1051" s="43">
        <v>40267</v>
      </c>
      <c r="S1051" s="43">
        <v>5279</v>
      </c>
      <c r="T1051" s="43">
        <v>28452</v>
      </c>
      <c r="U1051" s="43">
        <v>284</v>
      </c>
      <c r="V1051" s="43">
        <v>34</v>
      </c>
      <c r="W1051" s="43">
        <v>5467</v>
      </c>
      <c r="X1051" s="43">
        <v>528</v>
      </c>
      <c r="Y1051" s="43">
        <v>223</v>
      </c>
      <c r="Z1051" s="45">
        <f>U1051+V1051+W1051+X1051+Y1051</f>
        <v>6536</v>
      </c>
      <c r="AA1051" s="45">
        <f>S1051+T1051</f>
        <v>33731</v>
      </c>
      <c r="AB1051" s="46">
        <v>20.864220700000001</v>
      </c>
      <c r="AC1051" s="46">
        <v>49.375996999999998</v>
      </c>
      <c r="AD1051" s="46">
        <v>2.0409120999999999</v>
      </c>
      <c r="AE1051" s="46">
        <v>0.33311439999999998</v>
      </c>
      <c r="AF1051" s="46">
        <v>21.779112300000001</v>
      </c>
      <c r="AG1051" s="46">
        <v>4.8747302000000001</v>
      </c>
      <c r="AH1051" s="46">
        <v>0.73191329999999999</v>
      </c>
      <c r="AI1051" s="47">
        <f>AB1051+AC1051</f>
        <v>70.240217700000002</v>
      </c>
      <c r="AJ1051" s="47">
        <f>AD1051+AE1051+AF1051+AG1051+AH1051</f>
        <v>29.759782300000001</v>
      </c>
      <c r="AK1051" s="46">
        <v>13.1099908</v>
      </c>
      <c r="AL1051" s="46">
        <v>70.658355499999999</v>
      </c>
      <c r="AM1051" s="46">
        <v>0.70529220000000004</v>
      </c>
      <c r="AN1051" s="46">
        <v>8.4436399999999995E-2</v>
      </c>
      <c r="AO1051" s="46">
        <v>13.576874399999999</v>
      </c>
      <c r="AP1051" s="46">
        <v>1.3112474000000001</v>
      </c>
      <c r="AQ1051" s="46">
        <v>0.55380339999999995</v>
      </c>
      <c r="AR1051" s="48">
        <f>AK1051+AL1051</f>
        <v>83.768346300000005</v>
      </c>
      <c r="AS1051" s="48">
        <f>AM1051+AN1051+AO1051+AP1051+AQ1051</f>
        <v>16.2316538</v>
      </c>
    </row>
    <row r="1052" spans="2:45" ht="15" hidden="1" customHeight="1" x14ac:dyDescent="0.25">
      <c r="B1052" s="35">
        <v>1046</v>
      </c>
      <c r="C1052" s="36" t="s">
        <v>31</v>
      </c>
      <c r="D1052" s="36" t="s">
        <v>344</v>
      </c>
      <c r="E1052" s="36" t="s">
        <v>345</v>
      </c>
      <c r="F1052" s="36" t="s">
        <v>349</v>
      </c>
      <c r="G1052" s="37" t="s">
        <v>25</v>
      </c>
      <c r="H1052" s="38">
        <v>18957</v>
      </c>
      <c r="I1052" s="38">
        <v>4356</v>
      </c>
      <c r="J1052" s="38">
        <v>10390</v>
      </c>
      <c r="K1052" s="38">
        <v>352</v>
      </c>
      <c r="L1052" s="38">
        <v>54</v>
      </c>
      <c r="M1052" s="38">
        <v>2997</v>
      </c>
      <c r="N1052" s="38">
        <v>696</v>
      </c>
      <c r="O1052" s="38">
        <v>112</v>
      </c>
      <c r="P1052" s="38"/>
      <c r="Q1052" s="38"/>
      <c r="R1052" s="38">
        <v>37921</v>
      </c>
      <c r="S1052" s="38">
        <v>5206</v>
      </c>
      <c r="T1052" s="38">
        <v>28129</v>
      </c>
      <c r="U1052" s="38">
        <v>253</v>
      </c>
      <c r="V1052" s="38">
        <v>23</v>
      </c>
      <c r="W1052" s="38">
        <v>3727</v>
      </c>
      <c r="X1052" s="38">
        <v>395</v>
      </c>
      <c r="Y1052" s="38">
        <v>188</v>
      </c>
      <c r="Z1052" s="38"/>
      <c r="AA1052" s="38"/>
      <c r="AB1052" s="39">
        <v>22.9783194</v>
      </c>
      <c r="AC1052" s="39">
        <v>54.808250299999997</v>
      </c>
      <c r="AD1052" s="39">
        <v>1.8568339</v>
      </c>
      <c r="AE1052" s="39">
        <v>0.28485519999999998</v>
      </c>
      <c r="AF1052" s="39">
        <v>15.8094635</v>
      </c>
      <c r="AG1052" s="39">
        <v>3.6714669999999998</v>
      </c>
      <c r="AH1052" s="39">
        <v>0.59081079999999997</v>
      </c>
      <c r="AI1052" s="39"/>
      <c r="AJ1052" s="39"/>
      <c r="AK1052" s="39">
        <v>13.7285409</v>
      </c>
      <c r="AL1052" s="39">
        <v>74.177896200000006</v>
      </c>
      <c r="AM1052" s="39">
        <v>0.66717649999999995</v>
      </c>
      <c r="AN1052" s="39">
        <v>6.0652400000000002E-2</v>
      </c>
      <c r="AO1052" s="39">
        <v>9.8283272999999998</v>
      </c>
      <c r="AP1052" s="39">
        <v>1.0416392000000001</v>
      </c>
      <c r="AQ1052" s="39">
        <v>0.49576750000000003</v>
      </c>
      <c r="AR1052" s="40"/>
      <c r="AS1052" s="40"/>
    </row>
    <row r="1053" spans="2:45" ht="15" hidden="1" customHeight="1" x14ac:dyDescent="0.25">
      <c r="B1053" s="35">
        <v>1047</v>
      </c>
      <c r="C1053" s="36" t="s">
        <v>31</v>
      </c>
      <c r="D1053" s="36" t="s">
        <v>344</v>
      </c>
      <c r="E1053" s="36" t="s">
        <v>345</v>
      </c>
      <c r="F1053" s="36" t="s">
        <v>349</v>
      </c>
      <c r="G1053" s="37" t="s">
        <v>26</v>
      </c>
      <c r="H1053" s="38">
        <v>2357</v>
      </c>
      <c r="I1053" s="38">
        <v>91</v>
      </c>
      <c r="J1053" s="38">
        <v>134</v>
      </c>
      <c r="K1053" s="38">
        <v>83</v>
      </c>
      <c r="L1053" s="38">
        <v>17</v>
      </c>
      <c r="M1053" s="38">
        <v>1645</v>
      </c>
      <c r="N1053" s="38">
        <v>343</v>
      </c>
      <c r="O1053" s="38">
        <v>44</v>
      </c>
      <c r="P1053" s="38"/>
      <c r="Q1053" s="38"/>
      <c r="R1053" s="38">
        <v>2346</v>
      </c>
      <c r="S1053" s="38">
        <v>73</v>
      </c>
      <c r="T1053" s="38">
        <v>323</v>
      </c>
      <c r="U1053" s="38">
        <v>31</v>
      </c>
      <c r="V1053" s="38">
        <v>11</v>
      </c>
      <c r="W1053" s="38">
        <v>1740</v>
      </c>
      <c r="X1053" s="38">
        <v>133</v>
      </c>
      <c r="Y1053" s="38">
        <v>35</v>
      </c>
      <c r="Z1053" s="38"/>
      <c r="AA1053" s="38"/>
      <c r="AB1053" s="39">
        <v>3.8608400999999999</v>
      </c>
      <c r="AC1053" s="39">
        <v>5.6851929999999999</v>
      </c>
      <c r="AD1053" s="39">
        <v>3.5214254999999999</v>
      </c>
      <c r="AE1053" s="39">
        <v>0.7212558</v>
      </c>
      <c r="AF1053" s="39">
        <v>69.792108600000006</v>
      </c>
      <c r="AG1053" s="39">
        <v>14.5523971</v>
      </c>
      <c r="AH1053" s="39">
        <v>1.8667798</v>
      </c>
      <c r="AI1053" s="39"/>
      <c r="AJ1053" s="39"/>
      <c r="AK1053" s="39">
        <v>3.1116795000000002</v>
      </c>
      <c r="AL1053" s="39">
        <v>13.7681159</v>
      </c>
      <c r="AM1053" s="39">
        <v>1.3213980999999999</v>
      </c>
      <c r="AN1053" s="39">
        <v>0.4688832</v>
      </c>
      <c r="AO1053" s="39">
        <v>74.168797999999995</v>
      </c>
      <c r="AP1053" s="39">
        <v>5.6692242000000004</v>
      </c>
      <c r="AQ1053" s="39">
        <v>1.4919011</v>
      </c>
      <c r="AR1053" s="40"/>
      <c r="AS1053" s="40"/>
    </row>
    <row r="1054" spans="2:45" ht="15" customHeight="1" x14ac:dyDescent="0.25">
      <c r="B1054" s="41">
        <v>1048</v>
      </c>
      <c r="C1054" s="42" t="s">
        <v>31</v>
      </c>
      <c r="D1054" s="51" t="s">
        <v>344</v>
      </c>
      <c r="E1054" s="51" t="s">
        <v>345</v>
      </c>
      <c r="F1054" s="51" t="s">
        <v>350</v>
      </c>
      <c r="G1054" s="52" t="s">
        <v>350</v>
      </c>
      <c r="H1054" s="43">
        <v>12235</v>
      </c>
      <c r="I1054" s="43">
        <v>1182</v>
      </c>
      <c r="J1054" s="43">
        <v>5332</v>
      </c>
      <c r="K1054" s="43">
        <v>457</v>
      </c>
      <c r="L1054" s="43">
        <v>149</v>
      </c>
      <c r="M1054" s="43">
        <v>4477</v>
      </c>
      <c r="N1054" s="43">
        <v>512</v>
      </c>
      <c r="O1054" s="43">
        <v>126</v>
      </c>
      <c r="P1054" s="44">
        <f>K1054+L1054+M1054+N1054+O1054</f>
        <v>5721</v>
      </c>
      <c r="Q1054" s="44">
        <f>I1054+J1054</f>
        <v>6514</v>
      </c>
      <c r="R1054" s="43">
        <v>16612</v>
      </c>
      <c r="S1054" s="43">
        <v>1973</v>
      </c>
      <c r="T1054" s="43">
        <v>8643</v>
      </c>
      <c r="U1054" s="43">
        <v>180</v>
      </c>
      <c r="V1054" s="43">
        <v>57</v>
      </c>
      <c r="W1054" s="43">
        <v>5081</v>
      </c>
      <c r="X1054" s="43">
        <v>514</v>
      </c>
      <c r="Y1054" s="43">
        <v>164</v>
      </c>
      <c r="Z1054" s="45">
        <f>U1054+V1054+W1054+X1054+Y1054</f>
        <v>5996</v>
      </c>
      <c r="AA1054" s="45">
        <f>S1054+T1054</f>
        <v>10616</v>
      </c>
      <c r="AB1054" s="46">
        <v>9.6608091999999992</v>
      </c>
      <c r="AC1054" s="46">
        <v>43.5798937</v>
      </c>
      <c r="AD1054" s="46">
        <v>3.7351858999999998</v>
      </c>
      <c r="AE1054" s="46">
        <v>1.2178176999999999</v>
      </c>
      <c r="AF1054" s="46">
        <v>36.591745000000003</v>
      </c>
      <c r="AG1054" s="46">
        <v>4.1847159999999999</v>
      </c>
      <c r="AH1054" s="46">
        <v>1.0298324000000001</v>
      </c>
      <c r="AI1054" s="47">
        <f>AB1054+AC1054</f>
        <v>53.240702900000002</v>
      </c>
      <c r="AJ1054" s="47">
        <f>AD1054+AE1054+AF1054+AG1054+AH1054</f>
        <v>46.759297000000004</v>
      </c>
      <c r="AK1054" s="46">
        <v>11.876956399999999</v>
      </c>
      <c r="AL1054" s="46">
        <v>52.028654000000003</v>
      </c>
      <c r="AM1054" s="46">
        <v>1.0835541</v>
      </c>
      <c r="AN1054" s="46">
        <v>0.34312550000000003</v>
      </c>
      <c r="AO1054" s="46">
        <v>30.586323100000001</v>
      </c>
      <c r="AP1054" s="46">
        <v>3.0941488000000001</v>
      </c>
      <c r="AQ1054" s="46">
        <v>0.98723810000000001</v>
      </c>
      <c r="AR1054" s="48">
        <f>AK1054+AL1054</f>
        <v>63.9056104</v>
      </c>
      <c r="AS1054" s="48">
        <f>AM1054+AN1054+AO1054+AP1054+AQ1054</f>
        <v>36.0943896</v>
      </c>
    </row>
    <row r="1055" spans="2:45" ht="15" hidden="1" customHeight="1" x14ac:dyDescent="0.25">
      <c r="B1055" s="35">
        <v>1049</v>
      </c>
      <c r="C1055" s="36" t="s">
        <v>31</v>
      </c>
      <c r="D1055" s="36" t="s">
        <v>344</v>
      </c>
      <c r="E1055" s="36" t="s">
        <v>345</v>
      </c>
      <c r="F1055" s="36" t="s">
        <v>350</v>
      </c>
      <c r="G1055" s="37" t="s">
        <v>25</v>
      </c>
      <c r="H1055" s="38">
        <v>7702</v>
      </c>
      <c r="I1055" s="38">
        <v>1085</v>
      </c>
      <c r="J1055" s="38">
        <v>4871</v>
      </c>
      <c r="K1055" s="38">
        <v>134</v>
      </c>
      <c r="L1055" s="38">
        <v>65</v>
      </c>
      <c r="M1055" s="38">
        <v>1382</v>
      </c>
      <c r="N1055" s="38">
        <v>137</v>
      </c>
      <c r="O1055" s="38">
        <v>28</v>
      </c>
      <c r="P1055" s="38"/>
      <c r="Q1055" s="38"/>
      <c r="R1055" s="38">
        <v>11532</v>
      </c>
      <c r="S1055" s="38">
        <v>1767</v>
      </c>
      <c r="T1055" s="38">
        <v>7712</v>
      </c>
      <c r="U1055" s="38">
        <v>73</v>
      </c>
      <c r="V1055" s="38">
        <v>30</v>
      </c>
      <c r="W1055" s="38">
        <v>1767</v>
      </c>
      <c r="X1055" s="38">
        <v>111</v>
      </c>
      <c r="Y1055" s="38">
        <v>72</v>
      </c>
      <c r="Z1055" s="38"/>
      <c r="AA1055" s="38"/>
      <c r="AB1055" s="39">
        <v>14.0872501</v>
      </c>
      <c r="AC1055" s="39">
        <v>63.243313399999998</v>
      </c>
      <c r="AD1055" s="39">
        <v>1.7398077999999999</v>
      </c>
      <c r="AE1055" s="39">
        <v>0.84393660000000004</v>
      </c>
      <c r="AF1055" s="39">
        <v>17.943391299999998</v>
      </c>
      <c r="AG1055" s="39">
        <v>1.7787588000000001</v>
      </c>
      <c r="AH1055" s="39">
        <v>0.36354189999999997</v>
      </c>
      <c r="AI1055" s="39"/>
      <c r="AJ1055" s="39"/>
      <c r="AK1055" s="39">
        <v>15.3225806</v>
      </c>
      <c r="AL1055" s="39">
        <v>66.874783199999996</v>
      </c>
      <c r="AM1055" s="39">
        <v>0.63302119999999995</v>
      </c>
      <c r="AN1055" s="39">
        <v>0.26014569999999998</v>
      </c>
      <c r="AO1055" s="39">
        <v>15.3225806</v>
      </c>
      <c r="AP1055" s="39">
        <v>0.96253900000000003</v>
      </c>
      <c r="AQ1055" s="39">
        <v>0.62434959999999995</v>
      </c>
      <c r="AR1055" s="40"/>
      <c r="AS1055" s="40"/>
    </row>
    <row r="1056" spans="2:45" ht="15" hidden="1" customHeight="1" x14ac:dyDescent="0.25">
      <c r="B1056" s="35">
        <v>1050</v>
      </c>
      <c r="C1056" s="36" t="s">
        <v>31</v>
      </c>
      <c r="D1056" s="36" t="s">
        <v>344</v>
      </c>
      <c r="E1056" s="36" t="s">
        <v>345</v>
      </c>
      <c r="F1056" s="36" t="s">
        <v>350</v>
      </c>
      <c r="G1056" s="37" t="s">
        <v>26</v>
      </c>
      <c r="H1056" s="38">
        <v>4533</v>
      </c>
      <c r="I1056" s="38">
        <v>97</v>
      </c>
      <c r="J1056" s="38">
        <v>461</v>
      </c>
      <c r="K1056" s="38">
        <v>323</v>
      </c>
      <c r="L1056" s="38">
        <v>84</v>
      </c>
      <c r="M1056" s="38">
        <v>3095</v>
      </c>
      <c r="N1056" s="38">
        <v>375</v>
      </c>
      <c r="O1056" s="38">
        <v>98</v>
      </c>
      <c r="P1056" s="38"/>
      <c r="Q1056" s="38"/>
      <c r="R1056" s="38">
        <v>5080</v>
      </c>
      <c r="S1056" s="38">
        <v>206</v>
      </c>
      <c r="T1056" s="38">
        <v>931</v>
      </c>
      <c r="U1056" s="38">
        <v>107</v>
      </c>
      <c r="V1056" s="38">
        <v>27</v>
      </c>
      <c r="W1056" s="38">
        <v>3314</v>
      </c>
      <c r="X1056" s="38">
        <v>403</v>
      </c>
      <c r="Y1056" s="38">
        <v>92</v>
      </c>
      <c r="Z1056" s="38"/>
      <c r="AA1056" s="38"/>
      <c r="AB1056" s="39">
        <v>2.1398632000000002</v>
      </c>
      <c r="AC1056" s="39">
        <v>10.169865400000001</v>
      </c>
      <c r="AD1056" s="39">
        <v>7.1255239000000001</v>
      </c>
      <c r="AE1056" s="39">
        <v>1.8530774000000001</v>
      </c>
      <c r="AF1056" s="39">
        <v>68.277079200000003</v>
      </c>
      <c r="AG1056" s="39">
        <v>8.2726670999999996</v>
      </c>
      <c r="AH1056" s="39">
        <v>2.1619237</v>
      </c>
      <c r="AI1056" s="39"/>
      <c r="AJ1056" s="39"/>
      <c r="AK1056" s="39">
        <v>4.0551180999999996</v>
      </c>
      <c r="AL1056" s="39">
        <v>18.326771699999998</v>
      </c>
      <c r="AM1056" s="39">
        <v>2.1062992</v>
      </c>
      <c r="AN1056" s="39">
        <v>0.53149610000000003</v>
      </c>
      <c r="AO1056" s="39">
        <v>65.236220500000002</v>
      </c>
      <c r="AP1056" s="39">
        <v>7.9330708999999997</v>
      </c>
      <c r="AQ1056" s="39">
        <v>1.8110236</v>
      </c>
      <c r="AR1056" s="40"/>
      <c r="AS1056" s="40"/>
    </row>
    <row r="1057" spans="2:45" ht="15" hidden="1" customHeight="1" x14ac:dyDescent="0.25">
      <c r="B1057" s="30">
        <v>1051</v>
      </c>
      <c r="C1057" s="31" t="s">
        <v>29</v>
      </c>
      <c r="D1057" s="50" t="s">
        <v>344</v>
      </c>
      <c r="E1057" s="50" t="s">
        <v>351</v>
      </c>
      <c r="F1057" s="50"/>
      <c r="G1057" s="31" t="s">
        <v>351</v>
      </c>
      <c r="H1057" s="32">
        <v>25778</v>
      </c>
      <c r="I1057" s="32">
        <v>2656</v>
      </c>
      <c r="J1057" s="32">
        <v>10914</v>
      </c>
      <c r="K1057" s="32">
        <v>694</v>
      </c>
      <c r="L1057" s="32">
        <v>101</v>
      </c>
      <c r="M1057" s="32">
        <v>10078</v>
      </c>
      <c r="N1057" s="32">
        <v>1196</v>
      </c>
      <c r="O1057" s="32">
        <v>139</v>
      </c>
      <c r="P1057" s="32"/>
      <c r="Q1057" s="32"/>
      <c r="R1057" s="32">
        <v>43493</v>
      </c>
      <c r="S1057" s="32">
        <v>6101</v>
      </c>
      <c r="T1057" s="32">
        <v>19880</v>
      </c>
      <c r="U1057" s="32">
        <v>660</v>
      </c>
      <c r="V1057" s="32">
        <v>47</v>
      </c>
      <c r="W1057" s="32">
        <v>15657</v>
      </c>
      <c r="X1057" s="32">
        <v>842</v>
      </c>
      <c r="Y1057" s="32">
        <v>306</v>
      </c>
      <c r="Z1057" s="32"/>
      <c r="AA1057" s="32"/>
      <c r="AB1057" s="33">
        <v>10.303359499999999</v>
      </c>
      <c r="AC1057" s="33">
        <v>42.338428100000002</v>
      </c>
      <c r="AD1057" s="33">
        <v>2.6922182000000001</v>
      </c>
      <c r="AE1057" s="33">
        <v>0.39180700000000002</v>
      </c>
      <c r="AF1057" s="33">
        <v>39.095352599999998</v>
      </c>
      <c r="AG1057" s="33">
        <v>4.6396151999999997</v>
      </c>
      <c r="AH1057" s="33">
        <v>0.53921949999999996</v>
      </c>
      <c r="AI1057" s="33"/>
      <c r="AJ1057" s="33"/>
      <c r="AK1057" s="33">
        <v>14.0275447</v>
      </c>
      <c r="AL1057" s="33">
        <v>45.7085048</v>
      </c>
      <c r="AM1057" s="33">
        <v>1.5174856000000001</v>
      </c>
      <c r="AN1057" s="33">
        <v>0.1080634</v>
      </c>
      <c r="AO1057" s="33">
        <v>35.9988964</v>
      </c>
      <c r="AP1057" s="33">
        <v>1.9359436999999999</v>
      </c>
      <c r="AQ1057" s="33">
        <v>0.70356149999999995</v>
      </c>
      <c r="AR1057" s="34"/>
      <c r="AS1057" s="34"/>
    </row>
    <row r="1058" spans="2:45" ht="15" hidden="1" customHeight="1" x14ac:dyDescent="0.25">
      <c r="B1058" s="35">
        <v>1052</v>
      </c>
      <c r="C1058" s="36" t="s">
        <v>29</v>
      </c>
      <c r="D1058" s="36" t="s">
        <v>344</v>
      </c>
      <c r="E1058" s="36" t="s">
        <v>351</v>
      </c>
      <c r="F1058" s="36"/>
      <c r="G1058" s="37" t="s">
        <v>25</v>
      </c>
      <c r="H1058" s="38">
        <v>20750</v>
      </c>
      <c r="I1058" s="38">
        <v>2608</v>
      </c>
      <c r="J1058" s="38">
        <v>10833</v>
      </c>
      <c r="K1058" s="38">
        <v>540</v>
      </c>
      <c r="L1058" s="38">
        <v>66</v>
      </c>
      <c r="M1058" s="38">
        <v>5739</v>
      </c>
      <c r="N1058" s="38">
        <v>858</v>
      </c>
      <c r="O1058" s="38">
        <v>106</v>
      </c>
      <c r="P1058" s="38"/>
      <c r="Q1058" s="38"/>
      <c r="R1058" s="38">
        <v>37618</v>
      </c>
      <c r="S1058" s="38">
        <v>5946</v>
      </c>
      <c r="T1058" s="38">
        <v>19490</v>
      </c>
      <c r="U1058" s="38">
        <v>560</v>
      </c>
      <c r="V1058" s="38">
        <v>27</v>
      </c>
      <c r="W1058" s="38">
        <v>10721</v>
      </c>
      <c r="X1058" s="38">
        <v>608</v>
      </c>
      <c r="Y1058" s="38">
        <v>266</v>
      </c>
      <c r="Z1058" s="38"/>
      <c r="AA1058" s="38"/>
      <c r="AB1058" s="39">
        <v>12.568674700000001</v>
      </c>
      <c r="AC1058" s="39">
        <v>52.207228899999997</v>
      </c>
      <c r="AD1058" s="39">
        <v>2.6024096000000001</v>
      </c>
      <c r="AE1058" s="39">
        <v>0.31807229999999997</v>
      </c>
      <c r="AF1058" s="39">
        <v>27.657831300000002</v>
      </c>
      <c r="AG1058" s="39">
        <v>4.1349397999999997</v>
      </c>
      <c r="AH1058" s="39">
        <v>0.51084339999999995</v>
      </c>
      <c r="AI1058" s="39"/>
      <c r="AJ1058" s="39"/>
      <c r="AK1058" s="39">
        <v>15.806263</v>
      </c>
      <c r="AL1058" s="39">
        <v>51.810303599999997</v>
      </c>
      <c r="AM1058" s="39">
        <v>1.4886490999999999</v>
      </c>
      <c r="AN1058" s="39">
        <v>7.1774199999999996E-2</v>
      </c>
      <c r="AO1058" s="39">
        <v>28.499654400000001</v>
      </c>
      <c r="AP1058" s="39">
        <v>1.6162475000000001</v>
      </c>
      <c r="AQ1058" s="39">
        <v>0.70710830000000002</v>
      </c>
      <c r="AR1058" s="40"/>
      <c r="AS1058" s="40"/>
    </row>
    <row r="1059" spans="2:45" ht="15" hidden="1" customHeight="1" x14ac:dyDescent="0.25">
      <c r="B1059" s="35">
        <v>1053</v>
      </c>
      <c r="C1059" s="36" t="s">
        <v>29</v>
      </c>
      <c r="D1059" s="36" t="s">
        <v>344</v>
      </c>
      <c r="E1059" s="36" t="s">
        <v>351</v>
      </c>
      <c r="F1059" s="36"/>
      <c r="G1059" s="37" t="s">
        <v>26</v>
      </c>
      <c r="H1059" s="38">
        <v>5028</v>
      </c>
      <c r="I1059" s="38">
        <v>48</v>
      </c>
      <c r="J1059" s="38">
        <v>81</v>
      </c>
      <c r="K1059" s="38">
        <v>154</v>
      </c>
      <c r="L1059" s="38">
        <v>35</v>
      </c>
      <c r="M1059" s="38">
        <v>4339</v>
      </c>
      <c r="N1059" s="38">
        <v>338</v>
      </c>
      <c r="O1059" s="38">
        <v>33</v>
      </c>
      <c r="P1059" s="38"/>
      <c r="Q1059" s="38"/>
      <c r="R1059" s="38">
        <v>5875</v>
      </c>
      <c r="S1059" s="38">
        <v>155</v>
      </c>
      <c r="T1059" s="38">
        <v>390</v>
      </c>
      <c r="U1059" s="38">
        <v>100</v>
      </c>
      <c r="V1059" s="38">
        <v>20</v>
      </c>
      <c r="W1059" s="38">
        <v>4936</v>
      </c>
      <c r="X1059" s="38">
        <v>234</v>
      </c>
      <c r="Y1059" s="38">
        <v>40</v>
      </c>
      <c r="Z1059" s="38"/>
      <c r="AA1059" s="38"/>
      <c r="AB1059" s="39">
        <v>0.95465390000000006</v>
      </c>
      <c r="AC1059" s="39">
        <v>1.6109785000000001</v>
      </c>
      <c r="AD1059" s="39">
        <v>3.0628481000000001</v>
      </c>
      <c r="AE1059" s="39">
        <v>0.69610179999999999</v>
      </c>
      <c r="AF1059" s="39">
        <v>86.296738300000001</v>
      </c>
      <c r="AG1059" s="39">
        <v>6.7223547999999997</v>
      </c>
      <c r="AH1059" s="39">
        <v>0.65632460000000004</v>
      </c>
      <c r="AI1059" s="39"/>
      <c r="AJ1059" s="39"/>
      <c r="AK1059" s="39">
        <v>2.6382979</v>
      </c>
      <c r="AL1059" s="39">
        <v>6.6382979000000004</v>
      </c>
      <c r="AM1059" s="39">
        <v>1.7021276999999999</v>
      </c>
      <c r="AN1059" s="39">
        <v>0.34042549999999999</v>
      </c>
      <c r="AO1059" s="39">
        <v>84.017021299999996</v>
      </c>
      <c r="AP1059" s="39">
        <v>3.9829786999999999</v>
      </c>
      <c r="AQ1059" s="39">
        <v>0.68085110000000004</v>
      </c>
      <c r="AR1059" s="40"/>
      <c r="AS1059" s="40"/>
    </row>
    <row r="1060" spans="2:45" ht="15" customHeight="1" x14ac:dyDescent="0.25">
      <c r="B1060" s="41">
        <v>1054</v>
      </c>
      <c r="C1060" s="42" t="s">
        <v>31</v>
      </c>
      <c r="D1060" s="51" t="s">
        <v>344</v>
      </c>
      <c r="E1060" s="51" t="s">
        <v>351</v>
      </c>
      <c r="F1060" s="51" t="s">
        <v>351</v>
      </c>
      <c r="G1060" s="52" t="s">
        <v>351</v>
      </c>
      <c r="H1060" s="43">
        <v>23218</v>
      </c>
      <c r="I1060" s="43">
        <v>2485</v>
      </c>
      <c r="J1060" s="43">
        <v>10209</v>
      </c>
      <c r="K1060" s="43">
        <v>672</v>
      </c>
      <c r="L1060" s="43">
        <v>85</v>
      </c>
      <c r="M1060" s="43">
        <v>8534</v>
      </c>
      <c r="N1060" s="43">
        <v>1107</v>
      </c>
      <c r="O1060" s="43">
        <v>126</v>
      </c>
      <c r="P1060" s="44">
        <f>K1060+L1060+M1060+N1060+O1060</f>
        <v>10524</v>
      </c>
      <c r="Q1060" s="44">
        <f>I1060+J1060</f>
        <v>12694</v>
      </c>
      <c r="R1060" s="43">
        <v>40597</v>
      </c>
      <c r="S1060" s="43">
        <v>5931</v>
      </c>
      <c r="T1060" s="43">
        <v>18724</v>
      </c>
      <c r="U1060" s="43">
        <v>645</v>
      </c>
      <c r="V1060" s="43">
        <v>40</v>
      </c>
      <c r="W1060" s="43">
        <v>14191</v>
      </c>
      <c r="X1060" s="43">
        <v>774</v>
      </c>
      <c r="Y1060" s="43">
        <v>292</v>
      </c>
      <c r="Z1060" s="45">
        <f>U1060+V1060+W1060+X1060+Y1060</f>
        <v>15942</v>
      </c>
      <c r="AA1060" s="45">
        <f>S1060+T1060</f>
        <v>24655</v>
      </c>
      <c r="AB1060" s="46">
        <v>10.7029029</v>
      </c>
      <c r="AC1060" s="46">
        <v>43.970195500000003</v>
      </c>
      <c r="AD1060" s="46">
        <v>2.8943061000000001</v>
      </c>
      <c r="AE1060" s="46">
        <v>0.36609530000000001</v>
      </c>
      <c r="AF1060" s="46">
        <v>36.755965199999999</v>
      </c>
      <c r="AG1060" s="46">
        <v>4.7678525</v>
      </c>
      <c r="AH1060" s="46">
        <v>0.54268240000000001</v>
      </c>
      <c r="AI1060" s="47">
        <f>AB1060+AC1060</f>
        <v>54.673098400000001</v>
      </c>
      <c r="AJ1060" s="47">
        <f>AD1060+AE1060+AF1060+AG1060+AH1060</f>
        <v>45.326901499999998</v>
      </c>
      <c r="AK1060" s="46">
        <v>14.6094539</v>
      </c>
      <c r="AL1060" s="46">
        <v>46.1216346</v>
      </c>
      <c r="AM1060" s="46">
        <v>1.5887872999999999</v>
      </c>
      <c r="AN1060" s="46">
        <v>9.8529400000000003E-2</v>
      </c>
      <c r="AO1060" s="46">
        <v>34.955784899999998</v>
      </c>
      <c r="AP1060" s="46">
        <v>1.9065448</v>
      </c>
      <c r="AQ1060" s="46">
        <v>0.71926500000000004</v>
      </c>
      <c r="AR1060" s="48">
        <f>AK1060+AL1060</f>
        <v>60.731088499999998</v>
      </c>
      <c r="AS1060" s="48">
        <f>AM1060+AN1060+AO1060+AP1060+AQ1060</f>
        <v>39.268911399999993</v>
      </c>
    </row>
    <row r="1061" spans="2:45" ht="15" hidden="1" customHeight="1" x14ac:dyDescent="0.25">
      <c r="B1061" s="35">
        <v>1055</v>
      </c>
      <c r="C1061" s="36" t="s">
        <v>31</v>
      </c>
      <c r="D1061" s="36" t="s">
        <v>344</v>
      </c>
      <c r="E1061" s="36" t="s">
        <v>351</v>
      </c>
      <c r="F1061" s="36" t="s">
        <v>351</v>
      </c>
      <c r="G1061" s="37" t="s">
        <v>25</v>
      </c>
      <c r="H1061" s="38">
        <v>19509</v>
      </c>
      <c r="I1061" s="38">
        <v>2443</v>
      </c>
      <c r="J1061" s="38">
        <v>10130</v>
      </c>
      <c r="K1061" s="38">
        <v>533</v>
      </c>
      <c r="L1061" s="38">
        <v>59</v>
      </c>
      <c r="M1061" s="38">
        <v>5406</v>
      </c>
      <c r="N1061" s="38">
        <v>837</v>
      </c>
      <c r="O1061" s="38">
        <v>101</v>
      </c>
      <c r="P1061" s="38"/>
      <c r="Q1061" s="38"/>
      <c r="R1061" s="38">
        <v>36182</v>
      </c>
      <c r="S1061" s="38">
        <v>5784</v>
      </c>
      <c r="T1061" s="38">
        <v>18338</v>
      </c>
      <c r="U1061" s="38">
        <v>559</v>
      </c>
      <c r="V1061" s="38">
        <v>27</v>
      </c>
      <c r="W1061" s="38">
        <v>10609</v>
      </c>
      <c r="X1061" s="38">
        <v>605</v>
      </c>
      <c r="Y1061" s="38">
        <v>260</v>
      </c>
      <c r="Z1061" s="38"/>
      <c r="AA1061" s="38"/>
      <c r="AB1061" s="39">
        <v>12.522425500000001</v>
      </c>
      <c r="AC1061" s="39">
        <v>51.924752699999999</v>
      </c>
      <c r="AD1061" s="39">
        <v>2.7320723999999998</v>
      </c>
      <c r="AE1061" s="39">
        <v>0.30242449999999999</v>
      </c>
      <c r="AF1061" s="39">
        <v>27.710287600000001</v>
      </c>
      <c r="AG1061" s="39">
        <v>4.2903275000000001</v>
      </c>
      <c r="AH1061" s="39">
        <v>0.5177098</v>
      </c>
      <c r="AI1061" s="39"/>
      <c r="AJ1061" s="39"/>
      <c r="AK1061" s="39">
        <v>15.9858493</v>
      </c>
      <c r="AL1061" s="39">
        <v>50.682659899999997</v>
      </c>
      <c r="AM1061" s="39">
        <v>1.5449671</v>
      </c>
      <c r="AN1061" s="39">
        <v>7.46227E-2</v>
      </c>
      <c r="AO1061" s="39">
        <v>29.321209400000001</v>
      </c>
      <c r="AP1061" s="39">
        <v>1.6721022000000001</v>
      </c>
      <c r="AQ1061" s="39">
        <v>0.71858940000000004</v>
      </c>
      <c r="AR1061" s="40"/>
      <c r="AS1061" s="40"/>
    </row>
    <row r="1062" spans="2:45" ht="15" hidden="1" customHeight="1" x14ac:dyDescent="0.25">
      <c r="B1062" s="35">
        <v>1056</v>
      </c>
      <c r="C1062" s="36" t="s">
        <v>31</v>
      </c>
      <c r="D1062" s="36" t="s">
        <v>344</v>
      </c>
      <c r="E1062" s="36" t="s">
        <v>351</v>
      </c>
      <c r="F1062" s="36" t="s">
        <v>351</v>
      </c>
      <c r="G1062" s="37" t="s">
        <v>26</v>
      </c>
      <c r="H1062" s="38">
        <v>3709</v>
      </c>
      <c r="I1062" s="38">
        <v>42</v>
      </c>
      <c r="J1062" s="38">
        <v>79</v>
      </c>
      <c r="K1062" s="38">
        <v>139</v>
      </c>
      <c r="L1062" s="38">
        <v>26</v>
      </c>
      <c r="M1062" s="38">
        <v>3128</v>
      </c>
      <c r="N1062" s="38">
        <v>270</v>
      </c>
      <c r="O1062" s="38">
        <v>25</v>
      </c>
      <c r="P1062" s="38"/>
      <c r="Q1062" s="38"/>
      <c r="R1062" s="38">
        <v>4415</v>
      </c>
      <c r="S1062" s="38">
        <v>147</v>
      </c>
      <c r="T1062" s="38">
        <v>386</v>
      </c>
      <c r="U1062" s="38">
        <v>86</v>
      </c>
      <c r="V1062" s="38">
        <v>13</v>
      </c>
      <c r="W1062" s="38">
        <v>3582</v>
      </c>
      <c r="X1062" s="38">
        <v>169</v>
      </c>
      <c r="Y1062" s="38">
        <v>32</v>
      </c>
      <c r="Z1062" s="38"/>
      <c r="AA1062" s="38"/>
      <c r="AB1062" s="39">
        <v>1.1323806999999999</v>
      </c>
      <c r="AC1062" s="39">
        <v>2.1299541999999998</v>
      </c>
      <c r="AD1062" s="39">
        <v>3.7476408999999999</v>
      </c>
      <c r="AE1062" s="39">
        <v>0.7009976</v>
      </c>
      <c r="AF1062" s="39">
        <v>84.335400399999997</v>
      </c>
      <c r="AG1062" s="39">
        <v>7.2795902000000003</v>
      </c>
      <c r="AH1062" s="39">
        <v>0.67403610000000003</v>
      </c>
      <c r="AI1062" s="39"/>
      <c r="AJ1062" s="39"/>
      <c r="AK1062" s="39">
        <v>3.3295583</v>
      </c>
      <c r="AL1062" s="39">
        <v>8.7429219000000007</v>
      </c>
      <c r="AM1062" s="39">
        <v>1.9479048999999999</v>
      </c>
      <c r="AN1062" s="39">
        <v>0.29445070000000001</v>
      </c>
      <c r="AO1062" s="39">
        <v>81.132502799999997</v>
      </c>
      <c r="AP1062" s="39">
        <v>3.8278596</v>
      </c>
      <c r="AQ1062" s="39">
        <v>0.72480180000000005</v>
      </c>
      <c r="AR1062" s="40"/>
      <c r="AS1062" s="40"/>
    </row>
    <row r="1063" spans="2:45" ht="15" customHeight="1" x14ac:dyDescent="0.25">
      <c r="B1063" s="41">
        <v>1057</v>
      </c>
      <c r="C1063" s="42" t="s">
        <v>31</v>
      </c>
      <c r="D1063" s="51" t="s">
        <v>344</v>
      </c>
      <c r="E1063" s="51" t="s">
        <v>351</v>
      </c>
      <c r="F1063" s="51" t="s">
        <v>352</v>
      </c>
      <c r="G1063" s="52" t="s">
        <v>352</v>
      </c>
      <c r="H1063" s="43">
        <v>2560</v>
      </c>
      <c r="I1063" s="43">
        <v>171</v>
      </c>
      <c r="J1063" s="43">
        <v>705</v>
      </c>
      <c r="K1063" s="43">
        <v>22</v>
      </c>
      <c r="L1063" s="43">
        <v>16</v>
      </c>
      <c r="M1063" s="43">
        <v>1544</v>
      </c>
      <c r="N1063" s="43">
        <v>89</v>
      </c>
      <c r="O1063" s="43">
        <v>13</v>
      </c>
      <c r="P1063" s="44">
        <f>K1063+L1063+M1063+N1063+O1063</f>
        <v>1684</v>
      </c>
      <c r="Q1063" s="44">
        <f>I1063+J1063</f>
        <v>876</v>
      </c>
      <c r="R1063" s="43">
        <v>2896</v>
      </c>
      <c r="S1063" s="43">
        <v>170</v>
      </c>
      <c r="T1063" s="43">
        <v>1156</v>
      </c>
      <c r="U1063" s="43">
        <v>15</v>
      </c>
      <c r="V1063" s="43">
        <v>7</v>
      </c>
      <c r="W1063" s="43">
        <v>1466</v>
      </c>
      <c r="X1063" s="43">
        <v>68</v>
      </c>
      <c r="Y1063" s="43">
        <v>14</v>
      </c>
      <c r="Z1063" s="45">
        <f>U1063+V1063+W1063+X1063+Y1063</f>
        <v>1570</v>
      </c>
      <c r="AA1063" s="45">
        <f>S1063+T1063</f>
        <v>1326</v>
      </c>
      <c r="AB1063" s="46">
        <v>6.6796875</v>
      </c>
      <c r="AC1063" s="46">
        <v>27.5390625</v>
      </c>
      <c r="AD1063" s="46">
        <v>0.859375</v>
      </c>
      <c r="AE1063" s="46">
        <v>0.625</v>
      </c>
      <c r="AF1063" s="46">
        <v>60.3125</v>
      </c>
      <c r="AG1063" s="46">
        <v>3.4765625</v>
      </c>
      <c r="AH1063" s="46">
        <v>0.5078125</v>
      </c>
      <c r="AI1063" s="47">
        <f>AB1063+AC1063</f>
        <v>34.21875</v>
      </c>
      <c r="AJ1063" s="47">
        <f>AD1063+AE1063+AF1063+AG1063+AH1063</f>
        <v>65.78125</v>
      </c>
      <c r="AK1063" s="46">
        <v>5.8701657000000003</v>
      </c>
      <c r="AL1063" s="46">
        <v>39.917127100000002</v>
      </c>
      <c r="AM1063" s="46">
        <v>0.51795579999999997</v>
      </c>
      <c r="AN1063" s="46">
        <v>0.2417127</v>
      </c>
      <c r="AO1063" s="46">
        <v>50.621547</v>
      </c>
      <c r="AP1063" s="46">
        <v>2.3480663000000002</v>
      </c>
      <c r="AQ1063" s="46">
        <v>0.48342540000000001</v>
      </c>
      <c r="AR1063" s="48">
        <f>AK1063+AL1063</f>
        <v>45.787292800000003</v>
      </c>
      <c r="AS1063" s="48">
        <f>AM1063+AN1063+AO1063+AP1063+AQ1063</f>
        <v>54.212707199999997</v>
      </c>
    </row>
    <row r="1064" spans="2:45" ht="15" hidden="1" customHeight="1" x14ac:dyDescent="0.25">
      <c r="B1064" s="35">
        <v>1058</v>
      </c>
      <c r="C1064" s="36" t="s">
        <v>31</v>
      </c>
      <c r="D1064" s="36" t="s">
        <v>344</v>
      </c>
      <c r="E1064" s="36" t="s">
        <v>351</v>
      </c>
      <c r="F1064" s="36" t="s">
        <v>352</v>
      </c>
      <c r="G1064" s="37" t="s">
        <v>25</v>
      </c>
      <c r="H1064" s="38">
        <v>1241</v>
      </c>
      <c r="I1064" s="38">
        <v>165</v>
      </c>
      <c r="J1064" s="38">
        <v>703</v>
      </c>
      <c r="K1064" s="38">
        <v>7</v>
      </c>
      <c r="L1064" s="38">
        <v>7</v>
      </c>
      <c r="M1064" s="38">
        <v>333</v>
      </c>
      <c r="N1064" s="38">
        <v>21</v>
      </c>
      <c r="O1064" s="38">
        <v>5</v>
      </c>
      <c r="P1064" s="38"/>
      <c r="Q1064" s="38"/>
      <c r="R1064" s="38">
        <v>1436</v>
      </c>
      <c r="S1064" s="38">
        <v>162</v>
      </c>
      <c r="T1064" s="38">
        <v>1152</v>
      </c>
      <c r="U1064" s="38">
        <v>1</v>
      </c>
      <c r="V1064" s="38">
        <v>0</v>
      </c>
      <c r="W1064" s="38">
        <v>112</v>
      </c>
      <c r="X1064" s="38">
        <v>3</v>
      </c>
      <c r="Y1064" s="38">
        <v>6</v>
      </c>
      <c r="Z1064" s="38"/>
      <c r="AA1064" s="38"/>
      <c r="AB1064" s="39">
        <v>13.2957293</v>
      </c>
      <c r="AC1064" s="39">
        <v>56.647864599999998</v>
      </c>
      <c r="AD1064" s="39">
        <v>0.56406120000000004</v>
      </c>
      <c r="AE1064" s="39">
        <v>0.56406120000000004</v>
      </c>
      <c r="AF1064" s="39">
        <v>26.833199</v>
      </c>
      <c r="AG1064" s="39">
        <v>1.6921837</v>
      </c>
      <c r="AH1064" s="39">
        <v>0.40290090000000001</v>
      </c>
      <c r="AI1064" s="39"/>
      <c r="AJ1064" s="39"/>
      <c r="AK1064" s="39">
        <v>11.281337000000001</v>
      </c>
      <c r="AL1064" s="39">
        <v>80.222841200000005</v>
      </c>
      <c r="AM1064" s="39">
        <v>6.9637900000000003E-2</v>
      </c>
      <c r="AN1064" s="39">
        <v>0</v>
      </c>
      <c r="AO1064" s="39">
        <v>7.7994428999999998</v>
      </c>
      <c r="AP1064" s="39">
        <v>0.2089136</v>
      </c>
      <c r="AQ1064" s="39">
        <v>0.41782730000000001</v>
      </c>
      <c r="AR1064" s="40"/>
      <c r="AS1064" s="40"/>
    </row>
    <row r="1065" spans="2:45" ht="15" hidden="1" customHeight="1" x14ac:dyDescent="0.25">
      <c r="B1065" s="35">
        <v>1059</v>
      </c>
      <c r="C1065" s="36" t="s">
        <v>31</v>
      </c>
      <c r="D1065" s="36" t="s">
        <v>344</v>
      </c>
      <c r="E1065" s="36" t="s">
        <v>351</v>
      </c>
      <c r="F1065" s="36" t="s">
        <v>352</v>
      </c>
      <c r="G1065" s="37" t="s">
        <v>26</v>
      </c>
      <c r="H1065" s="38">
        <v>1319</v>
      </c>
      <c r="I1065" s="38">
        <v>6</v>
      </c>
      <c r="J1065" s="38">
        <v>2</v>
      </c>
      <c r="K1065" s="38">
        <v>15</v>
      </c>
      <c r="L1065" s="38">
        <v>9</v>
      </c>
      <c r="M1065" s="38">
        <v>1211</v>
      </c>
      <c r="N1065" s="38">
        <v>68</v>
      </c>
      <c r="O1065" s="38">
        <v>8</v>
      </c>
      <c r="P1065" s="38"/>
      <c r="Q1065" s="38"/>
      <c r="R1065" s="38">
        <v>1460</v>
      </c>
      <c r="S1065" s="38">
        <v>8</v>
      </c>
      <c r="T1065" s="38">
        <v>4</v>
      </c>
      <c r="U1065" s="38">
        <v>14</v>
      </c>
      <c r="V1065" s="38">
        <v>7</v>
      </c>
      <c r="W1065" s="38">
        <v>1354</v>
      </c>
      <c r="X1065" s="38">
        <v>65</v>
      </c>
      <c r="Y1065" s="38">
        <v>8</v>
      </c>
      <c r="Z1065" s="38"/>
      <c r="AA1065" s="38"/>
      <c r="AB1065" s="39">
        <v>0.45489010000000002</v>
      </c>
      <c r="AC1065" s="39">
        <v>0.15162999999999999</v>
      </c>
      <c r="AD1065" s="39">
        <v>1.1372252</v>
      </c>
      <c r="AE1065" s="39">
        <v>0.68233509999999997</v>
      </c>
      <c r="AF1065" s="39">
        <v>91.811978800000006</v>
      </c>
      <c r="AG1065" s="39">
        <v>5.1554207999999999</v>
      </c>
      <c r="AH1065" s="39">
        <v>0.60652010000000001</v>
      </c>
      <c r="AI1065" s="39"/>
      <c r="AJ1065" s="39"/>
      <c r="AK1065" s="39">
        <v>0.54794520000000002</v>
      </c>
      <c r="AL1065" s="39">
        <v>0.27397260000000001</v>
      </c>
      <c r="AM1065" s="39">
        <v>0.95890410000000004</v>
      </c>
      <c r="AN1065" s="39">
        <v>0.47945209999999999</v>
      </c>
      <c r="AO1065" s="39">
        <v>92.739726000000005</v>
      </c>
      <c r="AP1065" s="39">
        <v>4.4520548</v>
      </c>
      <c r="AQ1065" s="39">
        <v>0.54794520000000002</v>
      </c>
      <c r="AR1065" s="40"/>
      <c r="AS1065" s="40"/>
    </row>
    <row r="1066" spans="2:45" ht="15" hidden="1" customHeight="1" x14ac:dyDescent="0.25">
      <c r="B1066" s="30">
        <v>1060</v>
      </c>
      <c r="C1066" s="31" t="s">
        <v>29</v>
      </c>
      <c r="D1066" s="50" t="s">
        <v>344</v>
      </c>
      <c r="E1066" s="50" t="s">
        <v>353</v>
      </c>
      <c r="F1066" s="50"/>
      <c r="G1066" s="31" t="s">
        <v>353</v>
      </c>
      <c r="H1066" s="32">
        <v>14546</v>
      </c>
      <c r="I1066" s="32">
        <v>743</v>
      </c>
      <c r="J1066" s="32">
        <v>3933</v>
      </c>
      <c r="K1066" s="32">
        <v>478</v>
      </c>
      <c r="L1066" s="32">
        <v>51</v>
      </c>
      <c r="M1066" s="32">
        <v>7982</v>
      </c>
      <c r="N1066" s="32">
        <v>1009</v>
      </c>
      <c r="O1066" s="32">
        <v>350</v>
      </c>
      <c r="P1066" s="32"/>
      <c r="Q1066" s="32"/>
      <c r="R1066" s="32">
        <v>25104</v>
      </c>
      <c r="S1066" s="32">
        <v>1453</v>
      </c>
      <c r="T1066" s="32">
        <v>6186</v>
      </c>
      <c r="U1066" s="32">
        <v>297</v>
      </c>
      <c r="V1066" s="32">
        <v>51</v>
      </c>
      <c r="W1066" s="32">
        <v>15553</v>
      </c>
      <c r="X1066" s="32">
        <v>1334</v>
      </c>
      <c r="Y1066" s="32">
        <v>230</v>
      </c>
      <c r="Z1066" s="32"/>
      <c r="AA1066" s="32"/>
      <c r="AB1066" s="33">
        <v>5.1079334999999997</v>
      </c>
      <c r="AC1066" s="33">
        <v>27.038361099999999</v>
      </c>
      <c r="AD1066" s="33">
        <v>3.2861267999999999</v>
      </c>
      <c r="AE1066" s="33">
        <v>0.35061189999999998</v>
      </c>
      <c r="AF1066" s="33">
        <v>54.874192200000003</v>
      </c>
      <c r="AG1066" s="33">
        <v>6.9366149000000004</v>
      </c>
      <c r="AH1066" s="33">
        <v>2.4061598000000002</v>
      </c>
      <c r="AI1066" s="33"/>
      <c r="AJ1066" s="33"/>
      <c r="AK1066" s="33">
        <v>5.7879221999999997</v>
      </c>
      <c r="AL1066" s="33">
        <v>24.6414914</v>
      </c>
      <c r="AM1066" s="33">
        <v>1.1830784000000001</v>
      </c>
      <c r="AN1066" s="33">
        <v>0.2031549</v>
      </c>
      <c r="AO1066" s="33">
        <v>61.954270200000003</v>
      </c>
      <c r="AP1066" s="33">
        <v>5.3138942</v>
      </c>
      <c r="AQ1066" s="33">
        <v>0.91618869999999997</v>
      </c>
      <c r="AR1066" s="34"/>
      <c r="AS1066" s="34"/>
    </row>
    <row r="1067" spans="2:45" ht="15" hidden="1" customHeight="1" x14ac:dyDescent="0.25">
      <c r="B1067" s="35">
        <v>1061</v>
      </c>
      <c r="C1067" s="36" t="s">
        <v>29</v>
      </c>
      <c r="D1067" s="36" t="s">
        <v>344</v>
      </c>
      <c r="E1067" s="36" t="s">
        <v>353</v>
      </c>
      <c r="F1067" s="36"/>
      <c r="G1067" s="37" t="s">
        <v>25</v>
      </c>
      <c r="H1067" s="38">
        <v>6674</v>
      </c>
      <c r="I1067" s="38">
        <v>641</v>
      </c>
      <c r="J1067" s="38">
        <v>3906</v>
      </c>
      <c r="K1067" s="38">
        <v>217</v>
      </c>
      <c r="L1067" s="38">
        <v>11</v>
      </c>
      <c r="M1067" s="38">
        <v>1616</v>
      </c>
      <c r="N1067" s="38">
        <v>178</v>
      </c>
      <c r="O1067" s="38">
        <v>105</v>
      </c>
      <c r="P1067" s="38"/>
      <c r="Q1067" s="38"/>
      <c r="R1067" s="38">
        <v>10963</v>
      </c>
      <c r="S1067" s="38">
        <v>1288</v>
      </c>
      <c r="T1067" s="38">
        <v>6136</v>
      </c>
      <c r="U1067" s="38">
        <v>109</v>
      </c>
      <c r="V1067" s="38">
        <v>10</v>
      </c>
      <c r="W1067" s="38">
        <v>3154</v>
      </c>
      <c r="X1067" s="38">
        <v>192</v>
      </c>
      <c r="Y1067" s="38">
        <v>74</v>
      </c>
      <c r="Z1067" s="38"/>
      <c r="AA1067" s="38"/>
      <c r="AB1067" s="39">
        <v>9.6044350999999999</v>
      </c>
      <c r="AC1067" s="39">
        <v>58.525621800000003</v>
      </c>
      <c r="AD1067" s="39">
        <v>3.2514234000000002</v>
      </c>
      <c r="AE1067" s="39">
        <v>0.16481870000000001</v>
      </c>
      <c r="AF1067" s="39">
        <v>24.2133653</v>
      </c>
      <c r="AG1067" s="39">
        <v>2.6670661999999998</v>
      </c>
      <c r="AH1067" s="39">
        <v>1.5732694</v>
      </c>
      <c r="AI1067" s="39"/>
      <c r="AJ1067" s="39"/>
      <c r="AK1067" s="39">
        <v>11.748609</v>
      </c>
      <c r="AL1067" s="39">
        <v>55.970081200000003</v>
      </c>
      <c r="AM1067" s="39">
        <v>0.99425339999999995</v>
      </c>
      <c r="AN1067" s="39">
        <v>9.1215900000000003E-2</v>
      </c>
      <c r="AO1067" s="39">
        <v>28.769497399999999</v>
      </c>
      <c r="AP1067" s="39">
        <v>1.7513453999999999</v>
      </c>
      <c r="AQ1067" s="39">
        <v>0.67499770000000003</v>
      </c>
      <c r="AR1067" s="40"/>
      <c r="AS1067" s="40"/>
    </row>
    <row r="1068" spans="2:45" ht="15" hidden="1" customHeight="1" x14ac:dyDescent="0.25">
      <c r="B1068" s="35">
        <v>1062</v>
      </c>
      <c r="C1068" s="36" t="s">
        <v>29</v>
      </c>
      <c r="D1068" s="36" t="s">
        <v>344</v>
      </c>
      <c r="E1068" s="36" t="s">
        <v>353</v>
      </c>
      <c r="F1068" s="36"/>
      <c r="G1068" s="37" t="s">
        <v>26</v>
      </c>
      <c r="H1068" s="38">
        <v>7872</v>
      </c>
      <c r="I1068" s="38">
        <v>102</v>
      </c>
      <c r="J1068" s="38">
        <v>27</v>
      </c>
      <c r="K1068" s="38">
        <v>261</v>
      </c>
      <c r="L1068" s="38">
        <v>40</v>
      </c>
      <c r="M1068" s="38">
        <v>6366</v>
      </c>
      <c r="N1068" s="38">
        <v>831</v>
      </c>
      <c r="O1068" s="38">
        <v>245</v>
      </c>
      <c r="P1068" s="38"/>
      <c r="Q1068" s="38"/>
      <c r="R1068" s="38">
        <v>14141</v>
      </c>
      <c r="S1068" s="38">
        <v>165</v>
      </c>
      <c r="T1068" s="38">
        <v>50</v>
      </c>
      <c r="U1068" s="38">
        <v>188</v>
      </c>
      <c r="V1068" s="38">
        <v>41</v>
      </c>
      <c r="W1068" s="38">
        <v>12399</v>
      </c>
      <c r="X1068" s="38">
        <v>1142</v>
      </c>
      <c r="Y1068" s="38">
        <v>156</v>
      </c>
      <c r="Z1068" s="38"/>
      <c r="AA1068" s="38"/>
      <c r="AB1068" s="39">
        <v>1.2957316999999999</v>
      </c>
      <c r="AC1068" s="39">
        <v>0.34298780000000001</v>
      </c>
      <c r="AD1068" s="39">
        <v>3.3155488000000002</v>
      </c>
      <c r="AE1068" s="39">
        <v>0.50813010000000003</v>
      </c>
      <c r="AF1068" s="39">
        <v>80.868902399999996</v>
      </c>
      <c r="AG1068" s="39">
        <v>10.5564024</v>
      </c>
      <c r="AH1068" s="39">
        <v>3.1122966999999999</v>
      </c>
      <c r="AI1068" s="39"/>
      <c r="AJ1068" s="39"/>
      <c r="AK1068" s="39">
        <v>1.1668198999999999</v>
      </c>
      <c r="AL1068" s="39">
        <v>0.3535818</v>
      </c>
      <c r="AM1068" s="39">
        <v>1.3294675</v>
      </c>
      <c r="AN1068" s="39">
        <v>0.2899371</v>
      </c>
      <c r="AO1068" s="39">
        <v>87.681210699999994</v>
      </c>
      <c r="AP1068" s="39">
        <v>8.0758078999999992</v>
      </c>
      <c r="AQ1068" s="39">
        <v>1.1031751999999999</v>
      </c>
      <c r="AR1068" s="40"/>
      <c r="AS1068" s="40"/>
    </row>
    <row r="1069" spans="2:45" ht="15" customHeight="1" x14ac:dyDescent="0.25">
      <c r="B1069" s="41">
        <v>1063</v>
      </c>
      <c r="C1069" s="42" t="s">
        <v>31</v>
      </c>
      <c r="D1069" s="51" t="s">
        <v>344</v>
      </c>
      <c r="E1069" s="51" t="s">
        <v>353</v>
      </c>
      <c r="F1069" s="51" t="s">
        <v>354</v>
      </c>
      <c r="G1069" s="52" t="s">
        <v>354</v>
      </c>
      <c r="H1069" s="43">
        <v>10825</v>
      </c>
      <c r="I1069" s="43">
        <v>587</v>
      </c>
      <c r="J1069" s="43">
        <v>3360</v>
      </c>
      <c r="K1069" s="43">
        <v>263</v>
      </c>
      <c r="L1069" s="43">
        <v>42</v>
      </c>
      <c r="M1069" s="43">
        <v>5463</v>
      </c>
      <c r="N1069" s="43">
        <v>854</v>
      </c>
      <c r="O1069" s="43">
        <v>256</v>
      </c>
      <c r="P1069" s="44">
        <f>K1069+L1069+M1069+N1069+O1069</f>
        <v>6878</v>
      </c>
      <c r="Q1069" s="44">
        <f>I1069+J1069</f>
        <v>3947</v>
      </c>
      <c r="R1069" s="43">
        <v>17760</v>
      </c>
      <c r="S1069" s="43">
        <v>1223</v>
      </c>
      <c r="T1069" s="43">
        <v>5067</v>
      </c>
      <c r="U1069" s="43">
        <v>210</v>
      </c>
      <c r="V1069" s="43">
        <v>36</v>
      </c>
      <c r="W1069" s="43">
        <v>10323</v>
      </c>
      <c r="X1069" s="43">
        <v>761</v>
      </c>
      <c r="Y1069" s="43">
        <v>140</v>
      </c>
      <c r="Z1069" s="45">
        <f>U1069+V1069+W1069+X1069+Y1069</f>
        <v>11470</v>
      </c>
      <c r="AA1069" s="45">
        <f>S1069+T1069</f>
        <v>6290</v>
      </c>
      <c r="AB1069" s="46">
        <v>5.4226327999999997</v>
      </c>
      <c r="AC1069" s="46">
        <v>31.039261</v>
      </c>
      <c r="AD1069" s="46">
        <v>2.4295612000000002</v>
      </c>
      <c r="AE1069" s="46">
        <v>0.38799080000000002</v>
      </c>
      <c r="AF1069" s="46">
        <v>50.466512700000003</v>
      </c>
      <c r="AG1069" s="46">
        <v>7.8891454999999997</v>
      </c>
      <c r="AH1069" s="46">
        <v>2.3648961000000002</v>
      </c>
      <c r="AI1069" s="47">
        <f>AB1069+AC1069</f>
        <v>36.461893799999999</v>
      </c>
      <c r="AJ1069" s="47">
        <f>AD1069+AE1069+AF1069+AG1069+AH1069</f>
        <v>63.538106300000003</v>
      </c>
      <c r="AK1069" s="46">
        <v>6.8862613000000001</v>
      </c>
      <c r="AL1069" s="46">
        <v>28.530405399999999</v>
      </c>
      <c r="AM1069" s="46">
        <v>1.1824323999999999</v>
      </c>
      <c r="AN1069" s="46">
        <v>0.20270270000000001</v>
      </c>
      <c r="AO1069" s="46">
        <v>58.125</v>
      </c>
      <c r="AP1069" s="46">
        <v>4.2849098999999997</v>
      </c>
      <c r="AQ1069" s="46">
        <v>0.78828830000000005</v>
      </c>
      <c r="AR1069" s="48">
        <f>AK1069+AL1069</f>
        <v>35.4166667</v>
      </c>
      <c r="AS1069" s="48">
        <f>AM1069+AN1069+AO1069+AP1069+AQ1069</f>
        <v>64.583333300000007</v>
      </c>
    </row>
    <row r="1070" spans="2:45" ht="15" hidden="1" customHeight="1" x14ac:dyDescent="0.25">
      <c r="B1070" s="35">
        <v>1064</v>
      </c>
      <c r="C1070" s="36" t="s">
        <v>31</v>
      </c>
      <c r="D1070" s="36" t="s">
        <v>344</v>
      </c>
      <c r="E1070" s="36" t="s">
        <v>353</v>
      </c>
      <c r="F1070" s="36" t="s">
        <v>354</v>
      </c>
      <c r="G1070" s="37" t="s">
        <v>25</v>
      </c>
      <c r="H1070" s="38">
        <v>4874</v>
      </c>
      <c r="I1070" s="38">
        <v>492</v>
      </c>
      <c r="J1070" s="38">
        <v>3334</v>
      </c>
      <c r="K1070" s="38">
        <v>85</v>
      </c>
      <c r="L1070" s="38">
        <v>10</v>
      </c>
      <c r="M1070" s="38">
        <v>777</v>
      </c>
      <c r="N1070" s="38">
        <v>107</v>
      </c>
      <c r="O1070" s="38">
        <v>69</v>
      </c>
      <c r="P1070" s="38"/>
      <c r="Q1070" s="38"/>
      <c r="R1070" s="38">
        <v>8746</v>
      </c>
      <c r="S1070" s="38">
        <v>1082</v>
      </c>
      <c r="T1070" s="38">
        <v>5032</v>
      </c>
      <c r="U1070" s="38">
        <v>86</v>
      </c>
      <c r="V1070" s="38">
        <v>6</v>
      </c>
      <c r="W1070" s="38">
        <v>2347</v>
      </c>
      <c r="X1070" s="38">
        <v>139</v>
      </c>
      <c r="Y1070" s="38">
        <v>54</v>
      </c>
      <c r="Z1070" s="38"/>
      <c r="AA1070" s="38"/>
      <c r="AB1070" s="39">
        <v>10.094378300000001</v>
      </c>
      <c r="AC1070" s="39">
        <v>68.403775100000004</v>
      </c>
      <c r="AD1070" s="39">
        <v>1.7439475</v>
      </c>
      <c r="AE1070" s="39">
        <v>0.2051703</v>
      </c>
      <c r="AF1070" s="39">
        <v>15.941731600000001</v>
      </c>
      <c r="AG1070" s="39">
        <v>2.1953220999999998</v>
      </c>
      <c r="AH1070" s="39">
        <v>1.415675</v>
      </c>
      <c r="AI1070" s="39"/>
      <c r="AJ1070" s="39"/>
      <c r="AK1070" s="39">
        <v>12.3713698</v>
      </c>
      <c r="AL1070" s="39">
        <v>57.534873099999999</v>
      </c>
      <c r="AM1070" s="39">
        <v>0.98330669999999998</v>
      </c>
      <c r="AN1070" s="39">
        <v>6.8602800000000005E-2</v>
      </c>
      <c r="AO1070" s="39">
        <v>26.8351246</v>
      </c>
      <c r="AP1070" s="39">
        <v>1.5892980000000001</v>
      </c>
      <c r="AQ1070" s="39">
        <v>0.61742509999999995</v>
      </c>
      <c r="AR1070" s="40"/>
      <c r="AS1070" s="40"/>
    </row>
    <row r="1071" spans="2:45" ht="15" hidden="1" customHeight="1" x14ac:dyDescent="0.25">
      <c r="B1071" s="35">
        <v>1065</v>
      </c>
      <c r="C1071" s="36" t="s">
        <v>31</v>
      </c>
      <c r="D1071" s="36" t="s">
        <v>344</v>
      </c>
      <c r="E1071" s="36" t="s">
        <v>353</v>
      </c>
      <c r="F1071" s="36" t="s">
        <v>354</v>
      </c>
      <c r="G1071" s="37" t="s">
        <v>26</v>
      </c>
      <c r="H1071" s="38">
        <v>5951</v>
      </c>
      <c r="I1071" s="38">
        <v>95</v>
      </c>
      <c r="J1071" s="38">
        <v>26</v>
      </c>
      <c r="K1071" s="38">
        <v>178</v>
      </c>
      <c r="L1071" s="38">
        <v>32</v>
      </c>
      <c r="M1071" s="38">
        <v>4686</v>
      </c>
      <c r="N1071" s="38">
        <v>747</v>
      </c>
      <c r="O1071" s="38">
        <v>187</v>
      </c>
      <c r="P1071" s="38"/>
      <c r="Q1071" s="38"/>
      <c r="R1071" s="38">
        <v>9014</v>
      </c>
      <c r="S1071" s="38">
        <v>141</v>
      </c>
      <c r="T1071" s="38">
        <v>35</v>
      </c>
      <c r="U1071" s="38">
        <v>124</v>
      </c>
      <c r="V1071" s="38">
        <v>30</v>
      </c>
      <c r="W1071" s="38">
        <v>7976</v>
      </c>
      <c r="X1071" s="38">
        <v>622</v>
      </c>
      <c r="Y1071" s="38">
        <v>86</v>
      </c>
      <c r="Z1071" s="38"/>
      <c r="AA1071" s="38"/>
      <c r="AB1071" s="39">
        <v>1.5963704000000001</v>
      </c>
      <c r="AC1071" s="39">
        <v>0.4369014</v>
      </c>
      <c r="AD1071" s="39">
        <v>2.9910939000000001</v>
      </c>
      <c r="AE1071" s="39">
        <v>0.5377248</v>
      </c>
      <c r="AF1071" s="39">
        <v>78.743068399999999</v>
      </c>
      <c r="AG1071" s="39">
        <v>12.552512200000001</v>
      </c>
      <c r="AH1071" s="39">
        <v>3.1423290000000001</v>
      </c>
      <c r="AI1071" s="39"/>
      <c r="AJ1071" s="39"/>
      <c r="AK1071" s="39">
        <v>1.5642334</v>
      </c>
      <c r="AL1071" s="39">
        <v>0.38828489999999999</v>
      </c>
      <c r="AM1071" s="39">
        <v>1.3756379000000001</v>
      </c>
      <c r="AN1071" s="39">
        <v>0.33281559999999999</v>
      </c>
      <c r="AO1071" s="39">
        <v>88.484579499999995</v>
      </c>
      <c r="AP1071" s="39">
        <v>6.9003772000000003</v>
      </c>
      <c r="AQ1071" s="39">
        <v>0.95407140000000001</v>
      </c>
      <c r="AR1071" s="40"/>
      <c r="AS1071" s="40"/>
    </row>
    <row r="1072" spans="2:45" ht="15" customHeight="1" x14ac:dyDescent="0.25">
      <c r="B1072" s="41">
        <v>1066</v>
      </c>
      <c r="C1072" s="42" t="s">
        <v>31</v>
      </c>
      <c r="D1072" s="51" t="s">
        <v>344</v>
      </c>
      <c r="E1072" s="51" t="s">
        <v>353</v>
      </c>
      <c r="F1072" s="51" t="s">
        <v>355</v>
      </c>
      <c r="G1072" s="52" t="s">
        <v>355</v>
      </c>
      <c r="H1072" s="43">
        <v>2582</v>
      </c>
      <c r="I1072" s="43">
        <v>89</v>
      </c>
      <c r="J1072" s="43">
        <v>563</v>
      </c>
      <c r="K1072" s="43">
        <v>96</v>
      </c>
      <c r="L1072" s="43">
        <v>7</v>
      </c>
      <c r="M1072" s="43">
        <v>1656</v>
      </c>
      <c r="N1072" s="43">
        <v>114</v>
      </c>
      <c r="O1072" s="43">
        <v>57</v>
      </c>
      <c r="P1072" s="44">
        <f>K1072+L1072+M1072+N1072+O1072</f>
        <v>1930</v>
      </c>
      <c r="Q1072" s="44">
        <f>I1072+J1072</f>
        <v>652</v>
      </c>
      <c r="R1072" s="43">
        <v>4447</v>
      </c>
      <c r="S1072" s="43">
        <v>144</v>
      </c>
      <c r="T1072" s="43">
        <v>654</v>
      </c>
      <c r="U1072" s="43">
        <v>60</v>
      </c>
      <c r="V1072" s="43">
        <v>12</v>
      </c>
      <c r="W1072" s="43">
        <v>3216</v>
      </c>
      <c r="X1072" s="43">
        <v>303</v>
      </c>
      <c r="Y1072" s="43">
        <v>58</v>
      </c>
      <c r="Z1072" s="45">
        <f>U1072+V1072+W1072+X1072+Y1072</f>
        <v>3649</v>
      </c>
      <c r="AA1072" s="45">
        <f>S1072+T1072</f>
        <v>798</v>
      </c>
      <c r="AB1072" s="46">
        <v>3.4469403999999999</v>
      </c>
      <c r="AC1072" s="46">
        <v>21.804802500000001</v>
      </c>
      <c r="AD1072" s="46">
        <v>3.718048</v>
      </c>
      <c r="AE1072" s="46">
        <v>0.27110770000000001</v>
      </c>
      <c r="AF1072" s="46">
        <v>64.136328399999996</v>
      </c>
      <c r="AG1072" s="46">
        <v>4.4151819999999997</v>
      </c>
      <c r="AH1072" s="46">
        <v>2.2075909999999999</v>
      </c>
      <c r="AI1072" s="47">
        <f>AB1072+AC1072</f>
        <v>25.2517429</v>
      </c>
      <c r="AJ1072" s="47">
        <f>AD1072+AE1072+AF1072+AG1072+AH1072</f>
        <v>74.748257099999989</v>
      </c>
      <c r="AK1072" s="46">
        <v>3.2381381</v>
      </c>
      <c r="AL1072" s="46">
        <v>14.706543699999999</v>
      </c>
      <c r="AM1072" s="46">
        <v>1.3492242000000001</v>
      </c>
      <c r="AN1072" s="46">
        <v>0.2698448</v>
      </c>
      <c r="AO1072" s="46">
        <v>72.318416900000003</v>
      </c>
      <c r="AP1072" s="46">
        <v>6.8135821999999999</v>
      </c>
      <c r="AQ1072" s="46">
        <v>1.3042501</v>
      </c>
      <c r="AR1072" s="48">
        <f>AK1072+AL1072</f>
        <v>17.944681799999998</v>
      </c>
      <c r="AS1072" s="48">
        <f>AM1072+AN1072+AO1072+AP1072+AQ1072</f>
        <v>82.055318200000002</v>
      </c>
    </row>
    <row r="1073" spans="2:45" ht="15" hidden="1" customHeight="1" x14ac:dyDescent="0.25">
      <c r="B1073" s="35">
        <v>1067</v>
      </c>
      <c r="C1073" s="36" t="s">
        <v>31</v>
      </c>
      <c r="D1073" s="36" t="s">
        <v>344</v>
      </c>
      <c r="E1073" s="36" t="s">
        <v>353</v>
      </c>
      <c r="F1073" s="36" t="s">
        <v>355</v>
      </c>
      <c r="G1073" s="37" t="s">
        <v>25</v>
      </c>
      <c r="H1073" s="38">
        <v>1177</v>
      </c>
      <c r="I1073" s="38">
        <v>88</v>
      </c>
      <c r="J1073" s="38">
        <v>563</v>
      </c>
      <c r="K1073" s="38">
        <v>26</v>
      </c>
      <c r="L1073" s="38">
        <v>0</v>
      </c>
      <c r="M1073" s="38">
        <v>440</v>
      </c>
      <c r="N1073" s="38">
        <v>44</v>
      </c>
      <c r="O1073" s="38">
        <v>16</v>
      </c>
      <c r="P1073" s="38"/>
      <c r="Q1073" s="38"/>
      <c r="R1073" s="38">
        <v>1456</v>
      </c>
      <c r="S1073" s="38">
        <v>131</v>
      </c>
      <c r="T1073" s="38">
        <v>645</v>
      </c>
      <c r="U1073" s="38">
        <v>20</v>
      </c>
      <c r="V1073" s="38">
        <v>4</v>
      </c>
      <c r="W1073" s="38">
        <v>596</v>
      </c>
      <c r="X1073" s="38">
        <v>47</v>
      </c>
      <c r="Y1073" s="38">
        <v>13</v>
      </c>
      <c r="Z1073" s="38"/>
      <c r="AA1073" s="38"/>
      <c r="AB1073" s="39">
        <v>7.4766355000000004</v>
      </c>
      <c r="AC1073" s="39">
        <v>47.833474899999999</v>
      </c>
      <c r="AD1073" s="39">
        <v>2.2090059000000002</v>
      </c>
      <c r="AE1073" s="39">
        <v>0</v>
      </c>
      <c r="AF1073" s="39">
        <v>37.383177600000003</v>
      </c>
      <c r="AG1073" s="39">
        <v>3.7383177999999999</v>
      </c>
      <c r="AH1073" s="39">
        <v>1.3593883</v>
      </c>
      <c r="AI1073" s="39"/>
      <c r="AJ1073" s="39"/>
      <c r="AK1073" s="39">
        <v>8.9972527000000007</v>
      </c>
      <c r="AL1073" s="39">
        <v>44.299450499999999</v>
      </c>
      <c r="AM1073" s="39">
        <v>1.3736264</v>
      </c>
      <c r="AN1073" s="39">
        <v>0.27472530000000001</v>
      </c>
      <c r="AO1073" s="39">
        <v>40.9340659</v>
      </c>
      <c r="AP1073" s="39">
        <v>3.2280220000000002</v>
      </c>
      <c r="AQ1073" s="39">
        <v>0.89285709999999996</v>
      </c>
      <c r="AR1073" s="40"/>
      <c r="AS1073" s="40"/>
    </row>
    <row r="1074" spans="2:45" ht="15" hidden="1" customHeight="1" x14ac:dyDescent="0.25">
      <c r="B1074" s="35">
        <v>1068</v>
      </c>
      <c r="C1074" s="36" t="s">
        <v>31</v>
      </c>
      <c r="D1074" s="36" t="s">
        <v>344</v>
      </c>
      <c r="E1074" s="36" t="s">
        <v>353</v>
      </c>
      <c r="F1074" s="36" t="s">
        <v>355</v>
      </c>
      <c r="G1074" s="37" t="s">
        <v>26</v>
      </c>
      <c r="H1074" s="38">
        <v>1405</v>
      </c>
      <c r="I1074" s="38">
        <v>1</v>
      </c>
      <c r="J1074" s="38">
        <v>0</v>
      </c>
      <c r="K1074" s="38">
        <v>70</v>
      </c>
      <c r="L1074" s="38">
        <v>7</v>
      </c>
      <c r="M1074" s="38">
        <v>1216</v>
      </c>
      <c r="N1074" s="38">
        <v>70</v>
      </c>
      <c r="O1074" s="38">
        <v>41</v>
      </c>
      <c r="P1074" s="38"/>
      <c r="Q1074" s="38"/>
      <c r="R1074" s="38">
        <v>2991</v>
      </c>
      <c r="S1074" s="38">
        <v>13</v>
      </c>
      <c r="T1074" s="38">
        <v>9</v>
      </c>
      <c r="U1074" s="38">
        <v>40</v>
      </c>
      <c r="V1074" s="38">
        <v>8</v>
      </c>
      <c r="W1074" s="38">
        <v>2620</v>
      </c>
      <c r="X1074" s="38">
        <v>256</v>
      </c>
      <c r="Y1074" s="38">
        <v>45</v>
      </c>
      <c r="Z1074" s="38"/>
      <c r="AA1074" s="38"/>
      <c r="AB1074" s="39">
        <v>7.1174399999999999E-2</v>
      </c>
      <c r="AC1074" s="39">
        <v>0</v>
      </c>
      <c r="AD1074" s="39">
        <v>4.9822063999999999</v>
      </c>
      <c r="AE1074" s="39">
        <v>0.49822060000000001</v>
      </c>
      <c r="AF1074" s="39">
        <v>86.548042699999996</v>
      </c>
      <c r="AG1074" s="39">
        <v>4.9822063999999999</v>
      </c>
      <c r="AH1074" s="39">
        <v>2.9181495000000002</v>
      </c>
      <c r="AI1074" s="39"/>
      <c r="AJ1074" s="39"/>
      <c r="AK1074" s="39">
        <v>0.4346372</v>
      </c>
      <c r="AL1074" s="39">
        <v>0.30090270000000002</v>
      </c>
      <c r="AM1074" s="39">
        <v>1.3373454</v>
      </c>
      <c r="AN1074" s="39">
        <v>0.26746910000000002</v>
      </c>
      <c r="AO1074" s="39">
        <v>87.596121699999998</v>
      </c>
      <c r="AP1074" s="39">
        <v>8.5590104</v>
      </c>
      <c r="AQ1074" s="39">
        <v>1.5045135000000001</v>
      </c>
      <c r="AR1074" s="40"/>
      <c r="AS1074" s="40"/>
    </row>
    <row r="1075" spans="2:45" ht="15" customHeight="1" x14ac:dyDescent="0.25">
      <c r="B1075" s="41">
        <v>1069</v>
      </c>
      <c r="C1075" s="42" t="s">
        <v>31</v>
      </c>
      <c r="D1075" s="51" t="s">
        <v>344</v>
      </c>
      <c r="E1075" s="51" t="s">
        <v>353</v>
      </c>
      <c r="F1075" s="51" t="s">
        <v>356</v>
      </c>
      <c r="G1075" s="52" t="s">
        <v>356</v>
      </c>
      <c r="H1075" s="43">
        <v>1139</v>
      </c>
      <c r="I1075" s="43">
        <v>67</v>
      </c>
      <c r="J1075" s="43">
        <v>10</v>
      </c>
      <c r="K1075" s="43">
        <v>119</v>
      </c>
      <c r="L1075" s="43">
        <v>2</v>
      </c>
      <c r="M1075" s="43">
        <v>863</v>
      </c>
      <c r="N1075" s="43">
        <v>41</v>
      </c>
      <c r="O1075" s="43">
        <v>37</v>
      </c>
      <c r="P1075" s="44">
        <f>K1075+L1075+M1075+N1075+O1075</f>
        <v>1062</v>
      </c>
      <c r="Q1075" s="44">
        <f>I1075+J1075</f>
        <v>77</v>
      </c>
      <c r="R1075" s="43">
        <v>2897</v>
      </c>
      <c r="S1075" s="43">
        <v>86</v>
      </c>
      <c r="T1075" s="43">
        <v>465</v>
      </c>
      <c r="U1075" s="43">
        <v>27</v>
      </c>
      <c r="V1075" s="43">
        <v>3</v>
      </c>
      <c r="W1075" s="43">
        <v>2014</v>
      </c>
      <c r="X1075" s="43">
        <v>270</v>
      </c>
      <c r="Y1075" s="43">
        <v>32</v>
      </c>
      <c r="Z1075" s="45">
        <f>U1075+V1075+W1075+X1075+Y1075</f>
        <v>2346</v>
      </c>
      <c r="AA1075" s="45">
        <f>S1075+T1075</f>
        <v>551</v>
      </c>
      <c r="AB1075" s="46">
        <v>5.8823528999999999</v>
      </c>
      <c r="AC1075" s="46">
        <v>0.8779631</v>
      </c>
      <c r="AD1075" s="46">
        <v>10.4477612</v>
      </c>
      <c r="AE1075" s="46">
        <v>0.17559259999999999</v>
      </c>
      <c r="AF1075" s="46">
        <v>75.768217699999994</v>
      </c>
      <c r="AG1075" s="46">
        <v>3.5996488000000002</v>
      </c>
      <c r="AH1075" s="46">
        <v>3.2484636</v>
      </c>
      <c r="AI1075" s="47">
        <f>AB1075+AC1075</f>
        <v>6.7603159999999995</v>
      </c>
      <c r="AJ1075" s="47">
        <f>AD1075+AE1075+AF1075+AG1075+AH1075</f>
        <v>93.239683899999989</v>
      </c>
      <c r="AK1075" s="46">
        <v>2.9685882000000001</v>
      </c>
      <c r="AL1075" s="46">
        <v>16.051087299999999</v>
      </c>
      <c r="AM1075" s="46">
        <v>0.93199860000000001</v>
      </c>
      <c r="AN1075" s="46">
        <v>0.10355540000000001</v>
      </c>
      <c r="AO1075" s="46">
        <v>69.520193300000003</v>
      </c>
      <c r="AP1075" s="46">
        <v>9.3199862000000007</v>
      </c>
      <c r="AQ1075" s="46">
        <v>1.1045910000000001</v>
      </c>
      <c r="AR1075" s="48">
        <f>AK1075+AL1075</f>
        <v>19.019675499999998</v>
      </c>
      <c r="AS1075" s="48">
        <f>AM1075+AN1075+AO1075+AP1075+AQ1075</f>
        <v>80.980324500000009</v>
      </c>
    </row>
    <row r="1076" spans="2:45" ht="15" hidden="1" customHeight="1" x14ac:dyDescent="0.25">
      <c r="B1076" s="35">
        <v>1070</v>
      </c>
      <c r="C1076" s="36" t="s">
        <v>31</v>
      </c>
      <c r="D1076" s="36" t="s">
        <v>344</v>
      </c>
      <c r="E1076" s="36" t="s">
        <v>353</v>
      </c>
      <c r="F1076" s="36" t="s">
        <v>356</v>
      </c>
      <c r="G1076" s="37" t="s">
        <v>25</v>
      </c>
      <c r="H1076" s="38">
        <v>623</v>
      </c>
      <c r="I1076" s="38">
        <v>61</v>
      </c>
      <c r="J1076" s="38">
        <v>9</v>
      </c>
      <c r="K1076" s="38">
        <v>106</v>
      </c>
      <c r="L1076" s="38">
        <v>1</v>
      </c>
      <c r="M1076" s="38">
        <v>399</v>
      </c>
      <c r="N1076" s="38">
        <v>27</v>
      </c>
      <c r="O1076" s="38">
        <v>20</v>
      </c>
      <c r="P1076" s="38"/>
      <c r="Q1076" s="38"/>
      <c r="R1076" s="38">
        <v>761</v>
      </c>
      <c r="S1076" s="38">
        <v>75</v>
      </c>
      <c r="T1076" s="38">
        <v>459</v>
      </c>
      <c r="U1076" s="38">
        <v>3</v>
      </c>
      <c r="V1076" s="38">
        <v>0</v>
      </c>
      <c r="W1076" s="38">
        <v>211</v>
      </c>
      <c r="X1076" s="38">
        <v>6</v>
      </c>
      <c r="Y1076" s="38">
        <v>7</v>
      </c>
      <c r="Z1076" s="38"/>
      <c r="AA1076" s="38"/>
      <c r="AB1076" s="39">
        <v>9.7913323000000005</v>
      </c>
      <c r="AC1076" s="39">
        <v>1.4446228000000001</v>
      </c>
      <c r="AD1076" s="39">
        <v>17.014446199999998</v>
      </c>
      <c r="AE1076" s="39">
        <v>0.16051360000000001</v>
      </c>
      <c r="AF1076" s="39">
        <v>64.044943799999999</v>
      </c>
      <c r="AG1076" s="39">
        <v>4.3338684000000001</v>
      </c>
      <c r="AH1076" s="39">
        <v>3.2102729000000001</v>
      </c>
      <c r="AI1076" s="39"/>
      <c r="AJ1076" s="39"/>
      <c r="AK1076" s="39">
        <v>9.8554534</v>
      </c>
      <c r="AL1076" s="39">
        <v>60.315374499999997</v>
      </c>
      <c r="AM1076" s="39">
        <v>0.39421810000000002</v>
      </c>
      <c r="AN1076" s="39">
        <v>0</v>
      </c>
      <c r="AO1076" s="39">
        <v>27.726675400000001</v>
      </c>
      <c r="AP1076" s="39">
        <v>0.78843629999999998</v>
      </c>
      <c r="AQ1076" s="39">
        <v>0.9198423</v>
      </c>
      <c r="AR1076" s="40"/>
      <c r="AS1076" s="40"/>
    </row>
    <row r="1077" spans="2:45" ht="15" hidden="1" customHeight="1" x14ac:dyDescent="0.25">
      <c r="B1077" s="35">
        <v>1071</v>
      </c>
      <c r="C1077" s="36" t="s">
        <v>31</v>
      </c>
      <c r="D1077" s="36" t="s">
        <v>344</v>
      </c>
      <c r="E1077" s="36" t="s">
        <v>353</v>
      </c>
      <c r="F1077" s="36" t="s">
        <v>356</v>
      </c>
      <c r="G1077" s="37" t="s">
        <v>26</v>
      </c>
      <c r="H1077" s="38">
        <v>516</v>
      </c>
      <c r="I1077" s="38">
        <v>6</v>
      </c>
      <c r="J1077" s="38">
        <v>1</v>
      </c>
      <c r="K1077" s="38">
        <v>13</v>
      </c>
      <c r="L1077" s="38">
        <v>1</v>
      </c>
      <c r="M1077" s="38">
        <v>464</v>
      </c>
      <c r="N1077" s="38">
        <v>14</v>
      </c>
      <c r="O1077" s="38">
        <v>17</v>
      </c>
      <c r="P1077" s="38"/>
      <c r="Q1077" s="38"/>
      <c r="R1077" s="38">
        <v>2136</v>
      </c>
      <c r="S1077" s="38">
        <v>11</v>
      </c>
      <c r="T1077" s="38">
        <v>6</v>
      </c>
      <c r="U1077" s="38">
        <v>24</v>
      </c>
      <c r="V1077" s="38">
        <v>3</v>
      </c>
      <c r="W1077" s="38">
        <v>1803</v>
      </c>
      <c r="X1077" s="38">
        <v>264</v>
      </c>
      <c r="Y1077" s="38">
        <v>25</v>
      </c>
      <c r="Z1077" s="38"/>
      <c r="AA1077" s="38"/>
      <c r="AB1077" s="39">
        <v>1.1627907</v>
      </c>
      <c r="AC1077" s="39">
        <v>0.19379840000000001</v>
      </c>
      <c r="AD1077" s="39">
        <v>2.5193797999999998</v>
      </c>
      <c r="AE1077" s="39">
        <v>0.19379840000000001</v>
      </c>
      <c r="AF1077" s="39">
        <v>89.9224806</v>
      </c>
      <c r="AG1077" s="39">
        <v>2.7131783</v>
      </c>
      <c r="AH1077" s="39">
        <v>3.2945736000000001</v>
      </c>
      <c r="AI1077" s="39"/>
      <c r="AJ1077" s="39"/>
      <c r="AK1077" s="39">
        <v>0.51498129999999998</v>
      </c>
      <c r="AL1077" s="39">
        <v>0.28089890000000001</v>
      </c>
      <c r="AM1077" s="39">
        <v>1.1235955</v>
      </c>
      <c r="AN1077" s="39">
        <v>0.1404494</v>
      </c>
      <c r="AO1077" s="39">
        <v>84.410112400000003</v>
      </c>
      <c r="AP1077" s="39">
        <v>12.3595506</v>
      </c>
      <c r="AQ1077" s="39">
        <v>1.170412</v>
      </c>
      <c r="AR1077" s="40"/>
      <c r="AS1077" s="40"/>
    </row>
    <row r="1078" spans="2:45" ht="15" hidden="1" customHeight="1" x14ac:dyDescent="0.25">
      <c r="B1078" s="30">
        <v>1072</v>
      </c>
      <c r="C1078" s="31" t="s">
        <v>29</v>
      </c>
      <c r="D1078" s="50" t="s">
        <v>344</v>
      </c>
      <c r="E1078" s="50" t="s">
        <v>357</v>
      </c>
      <c r="F1078" s="50"/>
      <c r="G1078" s="31" t="s">
        <v>357</v>
      </c>
      <c r="H1078" s="32">
        <v>24574</v>
      </c>
      <c r="I1078" s="32">
        <v>1417</v>
      </c>
      <c r="J1078" s="32">
        <v>4512</v>
      </c>
      <c r="K1078" s="32">
        <v>824</v>
      </c>
      <c r="L1078" s="32">
        <v>290</v>
      </c>
      <c r="M1078" s="32">
        <v>15037</v>
      </c>
      <c r="N1078" s="32">
        <v>2039</v>
      </c>
      <c r="O1078" s="32">
        <v>455</v>
      </c>
      <c r="P1078" s="32"/>
      <c r="Q1078" s="32"/>
      <c r="R1078" s="32">
        <v>32331</v>
      </c>
      <c r="S1078" s="32">
        <v>2493</v>
      </c>
      <c r="T1078" s="32">
        <v>10683</v>
      </c>
      <c r="U1078" s="32">
        <v>314</v>
      </c>
      <c r="V1078" s="32">
        <v>64</v>
      </c>
      <c r="W1078" s="32">
        <v>16960</v>
      </c>
      <c r="X1078" s="32">
        <v>1489</v>
      </c>
      <c r="Y1078" s="32">
        <v>328</v>
      </c>
      <c r="Z1078" s="32"/>
      <c r="AA1078" s="32"/>
      <c r="AB1078" s="33">
        <v>5.7662570000000004</v>
      </c>
      <c r="AC1078" s="33">
        <v>18.3608692</v>
      </c>
      <c r="AD1078" s="33">
        <v>3.3531374999999999</v>
      </c>
      <c r="AE1078" s="33">
        <v>1.1801090999999999</v>
      </c>
      <c r="AF1078" s="33">
        <v>61.190689300000003</v>
      </c>
      <c r="AG1078" s="33">
        <v>8.2973874999999992</v>
      </c>
      <c r="AH1078" s="33">
        <v>1.8515504</v>
      </c>
      <c r="AI1078" s="33"/>
      <c r="AJ1078" s="33"/>
      <c r="AK1078" s="33">
        <v>7.7108657000000003</v>
      </c>
      <c r="AL1078" s="33">
        <v>33.042590699999998</v>
      </c>
      <c r="AM1078" s="33">
        <v>0.97120410000000001</v>
      </c>
      <c r="AN1078" s="33">
        <v>0.1979524</v>
      </c>
      <c r="AO1078" s="33">
        <v>52.457393799999998</v>
      </c>
      <c r="AP1078" s="33">
        <v>4.6054870000000001</v>
      </c>
      <c r="AQ1078" s="33">
        <v>1.0145062</v>
      </c>
      <c r="AR1078" s="34"/>
      <c r="AS1078" s="34"/>
    </row>
    <row r="1079" spans="2:45" ht="15" hidden="1" customHeight="1" x14ac:dyDescent="0.25">
      <c r="B1079" s="35">
        <v>1073</v>
      </c>
      <c r="C1079" s="36" t="s">
        <v>29</v>
      </c>
      <c r="D1079" s="36" t="s">
        <v>344</v>
      </c>
      <c r="E1079" s="36" t="s">
        <v>357</v>
      </c>
      <c r="F1079" s="36"/>
      <c r="G1079" s="37" t="s">
        <v>25</v>
      </c>
      <c r="H1079" s="38">
        <v>13523</v>
      </c>
      <c r="I1079" s="38">
        <v>1376</v>
      </c>
      <c r="J1079" s="38">
        <v>4479</v>
      </c>
      <c r="K1079" s="38">
        <v>346</v>
      </c>
      <c r="L1079" s="38">
        <v>75</v>
      </c>
      <c r="M1079" s="38">
        <v>6597</v>
      </c>
      <c r="N1079" s="38">
        <v>522</v>
      </c>
      <c r="O1079" s="38">
        <v>128</v>
      </c>
      <c r="P1079" s="38"/>
      <c r="Q1079" s="38"/>
      <c r="R1079" s="38">
        <v>16853</v>
      </c>
      <c r="S1079" s="38">
        <v>2310</v>
      </c>
      <c r="T1079" s="38">
        <v>10293</v>
      </c>
      <c r="U1079" s="38">
        <v>98</v>
      </c>
      <c r="V1079" s="38">
        <v>12</v>
      </c>
      <c r="W1079" s="38">
        <v>3895</v>
      </c>
      <c r="X1079" s="38">
        <v>165</v>
      </c>
      <c r="Y1079" s="38">
        <v>80</v>
      </c>
      <c r="Z1079" s="38"/>
      <c r="AA1079" s="38"/>
      <c r="AB1079" s="39">
        <v>10.175257</v>
      </c>
      <c r="AC1079" s="39">
        <v>33.1213488</v>
      </c>
      <c r="AD1079" s="39">
        <v>2.5586039</v>
      </c>
      <c r="AE1079" s="39">
        <v>0.55461070000000001</v>
      </c>
      <c r="AF1079" s="39">
        <v>48.783553900000001</v>
      </c>
      <c r="AG1079" s="39">
        <v>3.8600902000000001</v>
      </c>
      <c r="AH1079" s="39">
        <v>0.94653549999999997</v>
      </c>
      <c r="AI1079" s="39"/>
      <c r="AJ1079" s="39"/>
      <c r="AK1079" s="39">
        <v>13.7067584</v>
      </c>
      <c r="AL1079" s="39">
        <v>61.075179499999997</v>
      </c>
      <c r="AM1079" s="39">
        <v>0.58149879999999998</v>
      </c>
      <c r="AN1079" s="39">
        <v>7.1203900000000001E-2</v>
      </c>
      <c r="AO1079" s="39">
        <v>23.1116122</v>
      </c>
      <c r="AP1079" s="39">
        <v>0.97905419999999999</v>
      </c>
      <c r="AQ1079" s="39">
        <v>0.47469289999999997</v>
      </c>
      <c r="AR1079" s="40"/>
      <c r="AS1079" s="40"/>
    </row>
    <row r="1080" spans="2:45" ht="15" hidden="1" customHeight="1" x14ac:dyDescent="0.25">
      <c r="B1080" s="35">
        <v>1074</v>
      </c>
      <c r="C1080" s="36" t="s">
        <v>29</v>
      </c>
      <c r="D1080" s="36" t="s">
        <v>344</v>
      </c>
      <c r="E1080" s="36" t="s">
        <v>357</v>
      </c>
      <c r="F1080" s="36"/>
      <c r="G1080" s="37" t="s">
        <v>26</v>
      </c>
      <c r="H1080" s="38">
        <v>11051</v>
      </c>
      <c r="I1080" s="38">
        <v>41</v>
      </c>
      <c r="J1080" s="38">
        <v>33</v>
      </c>
      <c r="K1080" s="38">
        <v>478</v>
      </c>
      <c r="L1080" s="38">
        <v>215</v>
      </c>
      <c r="M1080" s="38">
        <v>8440</v>
      </c>
      <c r="N1080" s="38">
        <v>1517</v>
      </c>
      <c r="O1080" s="38">
        <v>327</v>
      </c>
      <c r="P1080" s="38"/>
      <c r="Q1080" s="38"/>
      <c r="R1080" s="38">
        <v>15478</v>
      </c>
      <c r="S1080" s="38">
        <v>183</v>
      </c>
      <c r="T1080" s="38">
        <v>390</v>
      </c>
      <c r="U1080" s="38">
        <v>216</v>
      </c>
      <c r="V1080" s="38">
        <v>52</v>
      </c>
      <c r="W1080" s="38">
        <v>13065</v>
      </c>
      <c r="X1080" s="38">
        <v>1324</v>
      </c>
      <c r="Y1080" s="38">
        <v>248</v>
      </c>
      <c r="Z1080" s="38"/>
      <c r="AA1080" s="38"/>
      <c r="AB1080" s="39">
        <v>0.37100709999999998</v>
      </c>
      <c r="AC1080" s="39">
        <v>0.29861549999999998</v>
      </c>
      <c r="AD1080" s="39">
        <v>4.3254004000000004</v>
      </c>
      <c r="AE1080" s="39">
        <v>1.9455252999999999</v>
      </c>
      <c r="AF1080" s="39">
        <v>76.373178899999999</v>
      </c>
      <c r="AG1080" s="39">
        <v>13.7272645</v>
      </c>
      <c r="AH1080" s="39">
        <v>2.9590082</v>
      </c>
      <c r="AI1080" s="39"/>
      <c r="AJ1080" s="39"/>
      <c r="AK1080" s="39">
        <v>1.1823233</v>
      </c>
      <c r="AL1080" s="39">
        <v>2.5197053999999999</v>
      </c>
      <c r="AM1080" s="39">
        <v>1.3955291000000001</v>
      </c>
      <c r="AN1080" s="39">
        <v>0.3359607</v>
      </c>
      <c r="AO1080" s="39">
        <v>84.410130499999994</v>
      </c>
      <c r="AP1080" s="39">
        <v>8.5540768000000007</v>
      </c>
      <c r="AQ1080" s="39">
        <v>1.6022742000000001</v>
      </c>
      <c r="AR1080" s="40"/>
      <c r="AS1080" s="40"/>
    </row>
    <row r="1081" spans="2:45" ht="15" customHeight="1" x14ac:dyDescent="0.25">
      <c r="B1081" s="41">
        <v>1075</v>
      </c>
      <c r="C1081" s="42" t="s">
        <v>31</v>
      </c>
      <c r="D1081" s="51" t="s">
        <v>344</v>
      </c>
      <c r="E1081" s="51" t="s">
        <v>357</v>
      </c>
      <c r="F1081" s="51" t="s">
        <v>358</v>
      </c>
      <c r="G1081" s="52" t="s">
        <v>358</v>
      </c>
      <c r="H1081" s="43">
        <v>3171</v>
      </c>
      <c r="I1081" s="43">
        <v>124</v>
      </c>
      <c r="J1081" s="43">
        <v>478</v>
      </c>
      <c r="K1081" s="43">
        <v>155</v>
      </c>
      <c r="L1081" s="43">
        <v>43</v>
      </c>
      <c r="M1081" s="43">
        <v>2017</v>
      </c>
      <c r="N1081" s="43">
        <v>313</v>
      </c>
      <c r="O1081" s="43">
        <v>41</v>
      </c>
      <c r="P1081" s="44">
        <f>K1081+L1081+M1081+N1081+O1081</f>
        <v>2569</v>
      </c>
      <c r="Q1081" s="44">
        <f>I1081+J1081</f>
        <v>602</v>
      </c>
      <c r="R1081" s="43">
        <v>3776</v>
      </c>
      <c r="S1081" s="43">
        <v>291</v>
      </c>
      <c r="T1081" s="43">
        <v>852</v>
      </c>
      <c r="U1081" s="43">
        <v>54</v>
      </c>
      <c r="V1081" s="43">
        <v>5</v>
      </c>
      <c r="W1081" s="43">
        <v>2329</v>
      </c>
      <c r="X1081" s="43">
        <v>197</v>
      </c>
      <c r="Y1081" s="43">
        <v>48</v>
      </c>
      <c r="Z1081" s="45">
        <f>U1081+V1081+W1081+X1081+Y1081</f>
        <v>2633</v>
      </c>
      <c r="AA1081" s="45">
        <f>S1081+T1081</f>
        <v>1143</v>
      </c>
      <c r="AB1081" s="46">
        <v>3.9104383</v>
      </c>
      <c r="AC1081" s="46">
        <v>15.074109099999999</v>
      </c>
      <c r="AD1081" s="46">
        <v>4.8880479000000001</v>
      </c>
      <c r="AE1081" s="46">
        <v>1.3560391000000001</v>
      </c>
      <c r="AF1081" s="46">
        <v>63.607694700000003</v>
      </c>
      <c r="AG1081" s="46">
        <v>9.8707031999999995</v>
      </c>
      <c r="AH1081" s="46">
        <v>1.2929675</v>
      </c>
      <c r="AI1081" s="47">
        <f>AB1081+AC1081</f>
        <v>18.9845474</v>
      </c>
      <c r="AJ1081" s="47">
        <f>AD1081+AE1081+AF1081+AG1081+AH1081</f>
        <v>81.015452400000001</v>
      </c>
      <c r="AK1081" s="46">
        <v>7.7065678000000002</v>
      </c>
      <c r="AL1081" s="46">
        <v>22.563559300000001</v>
      </c>
      <c r="AM1081" s="46">
        <v>1.4300847000000001</v>
      </c>
      <c r="AN1081" s="46">
        <v>0.13241530000000001</v>
      </c>
      <c r="AO1081" s="46">
        <v>61.6790254</v>
      </c>
      <c r="AP1081" s="46">
        <v>5.2171609999999999</v>
      </c>
      <c r="AQ1081" s="46">
        <v>1.2711863999999999</v>
      </c>
      <c r="AR1081" s="48">
        <f>AK1081+AL1081</f>
        <v>30.270127100000003</v>
      </c>
      <c r="AS1081" s="48">
        <f>AM1081+AN1081+AO1081+AP1081+AQ1081</f>
        <v>69.72987280000001</v>
      </c>
    </row>
    <row r="1082" spans="2:45" ht="15" hidden="1" customHeight="1" x14ac:dyDescent="0.25">
      <c r="B1082" s="35">
        <v>1076</v>
      </c>
      <c r="C1082" s="36" t="s">
        <v>31</v>
      </c>
      <c r="D1082" s="36" t="s">
        <v>344</v>
      </c>
      <c r="E1082" s="36" t="s">
        <v>357</v>
      </c>
      <c r="F1082" s="36" t="s">
        <v>358</v>
      </c>
      <c r="G1082" s="37" t="s">
        <v>25</v>
      </c>
      <c r="H1082" s="38">
        <v>1019</v>
      </c>
      <c r="I1082" s="38">
        <v>106</v>
      </c>
      <c r="J1082" s="38">
        <v>460</v>
      </c>
      <c r="K1082" s="38">
        <v>34</v>
      </c>
      <c r="L1082" s="38">
        <v>0</v>
      </c>
      <c r="M1082" s="38">
        <v>355</v>
      </c>
      <c r="N1082" s="38">
        <v>51</v>
      </c>
      <c r="O1082" s="38">
        <v>13</v>
      </c>
      <c r="P1082" s="38"/>
      <c r="Q1082" s="38"/>
      <c r="R1082" s="38">
        <v>1435</v>
      </c>
      <c r="S1082" s="38">
        <v>244</v>
      </c>
      <c r="T1082" s="38">
        <v>813</v>
      </c>
      <c r="U1082" s="38">
        <v>15</v>
      </c>
      <c r="V1082" s="38">
        <v>0</v>
      </c>
      <c r="W1082" s="38">
        <v>322</v>
      </c>
      <c r="X1082" s="38">
        <v>29</v>
      </c>
      <c r="Y1082" s="38">
        <v>12</v>
      </c>
      <c r="Z1082" s="38"/>
      <c r="AA1082" s="38"/>
      <c r="AB1082" s="39">
        <v>10.4023553</v>
      </c>
      <c r="AC1082" s="39">
        <v>45.142296399999999</v>
      </c>
      <c r="AD1082" s="39">
        <v>3.3366045</v>
      </c>
      <c r="AE1082" s="39">
        <v>0</v>
      </c>
      <c r="AF1082" s="39">
        <v>34.8380765</v>
      </c>
      <c r="AG1082" s="39">
        <v>5.0049067999999997</v>
      </c>
      <c r="AH1082" s="39">
        <v>1.2757605000000001</v>
      </c>
      <c r="AI1082" s="39"/>
      <c r="AJ1082" s="39"/>
      <c r="AK1082" s="39">
        <v>17.0034843</v>
      </c>
      <c r="AL1082" s="39">
        <v>56.655052300000001</v>
      </c>
      <c r="AM1082" s="39">
        <v>1.0452961999999999</v>
      </c>
      <c r="AN1082" s="39">
        <v>0</v>
      </c>
      <c r="AO1082" s="39">
        <v>22.439024400000001</v>
      </c>
      <c r="AP1082" s="39">
        <v>2.0209058999999998</v>
      </c>
      <c r="AQ1082" s="39">
        <v>0.83623689999999995</v>
      </c>
      <c r="AR1082" s="40"/>
      <c r="AS1082" s="40"/>
    </row>
    <row r="1083" spans="2:45" ht="15" hidden="1" customHeight="1" x14ac:dyDescent="0.25">
      <c r="B1083" s="35">
        <v>1077</v>
      </c>
      <c r="C1083" s="36" t="s">
        <v>31</v>
      </c>
      <c r="D1083" s="36" t="s">
        <v>344</v>
      </c>
      <c r="E1083" s="36" t="s">
        <v>357</v>
      </c>
      <c r="F1083" s="36" t="s">
        <v>358</v>
      </c>
      <c r="G1083" s="37" t="s">
        <v>26</v>
      </c>
      <c r="H1083" s="38">
        <v>2152</v>
      </c>
      <c r="I1083" s="38">
        <v>18</v>
      </c>
      <c r="J1083" s="38">
        <v>18</v>
      </c>
      <c r="K1083" s="38">
        <v>121</v>
      </c>
      <c r="L1083" s="38">
        <v>43</v>
      </c>
      <c r="M1083" s="38">
        <v>1662</v>
      </c>
      <c r="N1083" s="38">
        <v>262</v>
      </c>
      <c r="O1083" s="38">
        <v>28</v>
      </c>
      <c r="P1083" s="38"/>
      <c r="Q1083" s="38"/>
      <c r="R1083" s="38">
        <v>2341</v>
      </c>
      <c r="S1083" s="38">
        <v>47</v>
      </c>
      <c r="T1083" s="38">
        <v>39</v>
      </c>
      <c r="U1083" s="38">
        <v>39</v>
      </c>
      <c r="V1083" s="38">
        <v>5</v>
      </c>
      <c r="W1083" s="38">
        <v>2007</v>
      </c>
      <c r="X1083" s="38">
        <v>168</v>
      </c>
      <c r="Y1083" s="38">
        <v>36</v>
      </c>
      <c r="Z1083" s="38"/>
      <c r="AA1083" s="38"/>
      <c r="AB1083" s="39">
        <v>0.83643120000000004</v>
      </c>
      <c r="AC1083" s="39">
        <v>0.83643120000000004</v>
      </c>
      <c r="AD1083" s="39">
        <v>5.6226766000000001</v>
      </c>
      <c r="AE1083" s="39">
        <v>1.9981412999999999</v>
      </c>
      <c r="AF1083" s="39">
        <v>77.230483300000003</v>
      </c>
      <c r="AG1083" s="39">
        <v>12.1747212</v>
      </c>
      <c r="AH1083" s="39">
        <v>1.3011151999999999</v>
      </c>
      <c r="AI1083" s="39"/>
      <c r="AJ1083" s="39"/>
      <c r="AK1083" s="39">
        <v>2.0076890000000001</v>
      </c>
      <c r="AL1083" s="39">
        <v>1.6659546999999999</v>
      </c>
      <c r="AM1083" s="39">
        <v>1.6659546999999999</v>
      </c>
      <c r="AN1083" s="39">
        <v>0.21358389999999999</v>
      </c>
      <c r="AO1083" s="39">
        <v>85.7325929</v>
      </c>
      <c r="AP1083" s="39">
        <v>7.1764203000000002</v>
      </c>
      <c r="AQ1083" s="39">
        <v>1.5378044</v>
      </c>
      <c r="AR1083" s="40"/>
      <c r="AS1083" s="40"/>
    </row>
    <row r="1084" spans="2:45" ht="15" customHeight="1" x14ac:dyDescent="0.25">
      <c r="B1084" s="41">
        <v>1078</v>
      </c>
      <c r="C1084" s="42" t="s">
        <v>31</v>
      </c>
      <c r="D1084" s="51" t="s">
        <v>344</v>
      </c>
      <c r="E1084" s="51" t="s">
        <v>357</v>
      </c>
      <c r="F1084" s="51" t="s">
        <v>359</v>
      </c>
      <c r="G1084" s="52" t="s">
        <v>359</v>
      </c>
      <c r="H1084" s="43">
        <v>4573</v>
      </c>
      <c r="I1084" s="43">
        <v>156</v>
      </c>
      <c r="J1084" s="43">
        <v>1513</v>
      </c>
      <c r="K1084" s="43">
        <v>113</v>
      </c>
      <c r="L1084" s="43">
        <v>65</v>
      </c>
      <c r="M1084" s="43">
        <v>2470</v>
      </c>
      <c r="N1084" s="43">
        <v>214</v>
      </c>
      <c r="O1084" s="43">
        <v>42</v>
      </c>
      <c r="P1084" s="44">
        <f>K1084+L1084+M1084+N1084+O1084</f>
        <v>2904</v>
      </c>
      <c r="Q1084" s="44">
        <f>I1084+J1084</f>
        <v>1669</v>
      </c>
      <c r="R1084" s="43">
        <v>5523</v>
      </c>
      <c r="S1084" s="43">
        <v>460</v>
      </c>
      <c r="T1084" s="43">
        <v>2426</v>
      </c>
      <c r="U1084" s="43">
        <v>49</v>
      </c>
      <c r="V1084" s="43">
        <v>5</v>
      </c>
      <c r="W1084" s="43">
        <v>2388</v>
      </c>
      <c r="X1084" s="43">
        <v>137</v>
      </c>
      <c r="Y1084" s="43">
        <v>58</v>
      </c>
      <c r="Z1084" s="45">
        <f>U1084+V1084+W1084+X1084+Y1084</f>
        <v>2637</v>
      </c>
      <c r="AA1084" s="45">
        <f>S1084+T1084</f>
        <v>2886</v>
      </c>
      <c r="AB1084" s="46">
        <v>3.4113273999999998</v>
      </c>
      <c r="AC1084" s="46">
        <v>33.085501899999997</v>
      </c>
      <c r="AD1084" s="46">
        <v>2.4710255999999999</v>
      </c>
      <c r="AE1084" s="46">
        <v>1.4213864</v>
      </c>
      <c r="AF1084" s="46">
        <v>54.012683099999997</v>
      </c>
      <c r="AG1084" s="46">
        <v>4.6796414000000004</v>
      </c>
      <c r="AH1084" s="46">
        <v>0.91843430000000004</v>
      </c>
      <c r="AI1084" s="47">
        <f>AB1084+AC1084</f>
        <v>36.496829299999995</v>
      </c>
      <c r="AJ1084" s="47">
        <f>AD1084+AE1084+AF1084+AG1084+AH1084</f>
        <v>63.503170799999999</v>
      </c>
      <c r="AK1084" s="46">
        <v>8.3288068000000006</v>
      </c>
      <c r="AL1084" s="46">
        <v>43.925402900000002</v>
      </c>
      <c r="AM1084" s="46">
        <v>0.88719899999999996</v>
      </c>
      <c r="AN1084" s="46">
        <v>9.05305E-2</v>
      </c>
      <c r="AO1084" s="46">
        <v>43.237371000000003</v>
      </c>
      <c r="AP1084" s="46">
        <v>2.4805359</v>
      </c>
      <c r="AQ1084" s="46">
        <v>1.0501539</v>
      </c>
      <c r="AR1084" s="48">
        <f>AK1084+AL1084</f>
        <v>52.254209700000004</v>
      </c>
      <c r="AS1084" s="48">
        <f>AM1084+AN1084+AO1084+AP1084+AQ1084</f>
        <v>47.745790300000003</v>
      </c>
    </row>
    <row r="1085" spans="2:45" ht="15" hidden="1" customHeight="1" x14ac:dyDescent="0.25">
      <c r="B1085" s="35">
        <v>1079</v>
      </c>
      <c r="C1085" s="36" t="s">
        <v>31</v>
      </c>
      <c r="D1085" s="36" t="s">
        <v>344</v>
      </c>
      <c r="E1085" s="36" t="s">
        <v>357</v>
      </c>
      <c r="F1085" s="36" t="s">
        <v>359</v>
      </c>
      <c r="G1085" s="37" t="s">
        <v>25</v>
      </c>
      <c r="H1085" s="38">
        <v>2936</v>
      </c>
      <c r="I1085" s="38">
        <v>147</v>
      </c>
      <c r="J1085" s="38">
        <v>1507</v>
      </c>
      <c r="K1085" s="38">
        <v>69</v>
      </c>
      <c r="L1085" s="38">
        <v>18</v>
      </c>
      <c r="M1085" s="38">
        <v>1078</v>
      </c>
      <c r="N1085" s="38">
        <v>97</v>
      </c>
      <c r="O1085" s="38">
        <v>20</v>
      </c>
      <c r="P1085" s="38"/>
      <c r="Q1085" s="38"/>
      <c r="R1085" s="38">
        <v>3491</v>
      </c>
      <c r="S1085" s="38">
        <v>408</v>
      </c>
      <c r="T1085" s="38">
        <v>2264</v>
      </c>
      <c r="U1085" s="38">
        <v>24</v>
      </c>
      <c r="V1085" s="38">
        <v>2</v>
      </c>
      <c r="W1085" s="38">
        <v>742</v>
      </c>
      <c r="X1085" s="38">
        <v>27</v>
      </c>
      <c r="Y1085" s="38">
        <v>24</v>
      </c>
      <c r="Z1085" s="38"/>
      <c r="AA1085" s="38"/>
      <c r="AB1085" s="39">
        <v>5.006812</v>
      </c>
      <c r="AC1085" s="39">
        <v>51.328337900000001</v>
      </c>
      <c r="AD1085" s="39">
        <v>2.3501362000000001</v>
      </c>
      <c r="AE1085" s="39">
        <v>0.61307900000000004</v>
      </c>
      <c r="AF1085" s="39">
        <v>36.7166213</v>
      </c>
      <c r="AG1085" s="39">
        <v>3.3038147000000002</v>
      </c>
      <c r="AH1085" s="39">
        <v>0.68119890000000005</v>
      </c>
      <c r="AI1085" s="39"/>
      <c r="AJ1085" s="39"/>
      <c r="AK1085" s="39">
        <v>11.687195600000001</v>
      </c>
      <c r="AL1085" s="39">
        <v>64.852477800000003</v>
      </c>
      <c r="AM1085" s="39">
        <v>0.68748209999999998</v>
      </c>
      <c r="AN1085" s="39">
        <v>5.7290199999999999E-2</v>
      </c>
      <c r="AO1085" s="39">
        <v>21.254654800000001</v>
      </c>
      <c r="AP1085" s="39">
        <v>0.77341740000000003</v>
      </c>
      <c r="AQ1085" s="39">
        <v>0.68748209999999998</v>
      </c>
      <c r="AR1085" s="40"/>
      <c r="AS1085" s="40"/>
    </row>
    <row r="1086" spans="2:45" ht="15" hidden="1" customHeight="1" x14ac:dyDescent="0.25">
      <c r="B1086" s="35">
        <v>1080</v>
      </c>
      <c r="C1086" s="36" t="s">
        <v>31</v>
      </c>
      <c r="D1086" s="36" t="s">
        <v>344</v>
      </c>
      <c r="E1086" s="36" t="s">
        <v>357</v>
      </c>
      <c r="F1086" s="36" t="s">
        <v>359</v>
      </c>
      <c r="G1086" s="37" t="s">
        <v>26</v>
      </c>
      <c r="H1086" s="38">
        <v>1637</v>
      </c>
      <c r="I1086" s="38">
        <v>9</v>
      </c>
      <c r="J1086" s="38">
        <v>6</v>
      </c>
      <c r="K1086" s="38">
        <v>44</v>
      </c>
      <c r="L1086" s="38">
        <v>47</v>
      </c>
      <c r="M1086" s="38">
        <v>1392</v>
      </c>
      <c r="N1086" s="38">
        <v>117</v>
      </c>
      <c r="O1086" s="38">
        <v>22</v>
      </c>
      <c r="P1086" s="38"/>
      <c r="Q1086" s="38"/>
      <c r="R1086" s="38">
        <v>2032</v>
      </c>
      <c r="S1086" s="38">
        <v>52</v>
      </c>
      <c r="T1086" s="38">
        <v>162</v>
      </c>
      <c r="U1086" s="38">
        <v>25</v>
      </c>
      <c r="V1086" s="38">
        <v>3</v>
      </c>
      <c r="W1086" s="38">
        <v>1646</v>
      </c>
      <c r="X1086" s="38">
        <v>110</v>
      </c>
      <c r="Y1086" s="38">
        <v>34</v>
      </c>
      <c r="Z1086" s="38"/>
      <c r="AA1086" s="38"/>
      <c r="AB1086" s="39">
        <v>0.5497862</v>
      </c>
      <c r="AC1086" s="39">
        <v>0.36652410000000002</v>
      </c>
      <c r="AD1086" s="39">
        <v>2.6878435999999999</v>
      </c>
      <c r="AE1086" s="39">
        <v>2.8711057000000002</v>
      </c>
      <c r="AF1086" s="39">
        <v>85.033597999999998</v>
      </c>
      <c r="AG1086" s="39">
        <v>7.1472205000000004</v>
      </c>
      <c r="AH1086" s="39">
        <v>1.3439217999999999</v>
      </c>
      <c r="AI1086" s="39"/>
      <c r="AJ1086" s="39"/>
      <c r="AK1086" s="39">
        <v>2.5590551000000001</v>
      </c>
      <c r="AL1086" s="39">
        <v>7.9724408999999996</v>
      </c>
      <c r="AM1086" s="39">
        <v>1.230315</v>
      </c>
      <c r="AN1086" s="39">
        <v>0.14763780000000001</v>
      </c>
      <c r="AO1086" s="39">
        <v>81.003936999999993</v>
      </c>
      <c r="AP1086" s="39">
        <v>5.4133858000000004</v>
      </c>
      <c r="AQ1086" s="39">
        <v>1.6732282999999999</v>
      </c>
      <c r="AR1086" s="40"/>
      <c r="AS1086" s="40"/>
    </row>
    <row r="1087" spans="2:45" ht="15" customHeight="1" x14ac:dyDescent="0.25">
      <c r="B1087" s="41">
        <v>1081</v>
      </c>
      <c r="C1087" s="42" t="s">
        <v>31</v>
      </c>
      <c r="D1087" s="51" t="s">
        <v>344</v>
      </c>
      <c r="E1087" s="51" t="s">
        <v>357</v>
      </c>
      <c r="F1087" s="51" t="s">
        <v>360</v>
      </c>
      <c r="G1087" s="52" t="s">
        <v>360</v>
      </c>
      <c r="H1087" s="43">
        <v>14775</v>
      </c>
      <c r="I1087" s="43">
        <v>1032</v>
      </c>
      <c r="J1087" s="43">
        <v>1738</v>
      </c>
      <c r="K1087" s="43">
        <v>516</v>
      </c>
      <c r="L1087" s="43">
        <v>169</v>
      </c>
      <c r="M1087" s="43">
        <v>9551</v>
      </c>
      <c r="N1087" s="43">
        <v>1414</v>
      </c>
      <c r="O1087" s="43">
        <v>355</v>
      </c>
      <c r="P1087" s="44">
        <f>K1087+L1087+M1087+N1087+O1087</f>
        <v>12005</v>
      </c>
      <c r="Q1087" s="44">
        <f>I1087+J1087</f>
        <v>2770</v>
      </c>
      <c r="R1087" s="43">
        <v>20075</v>
      </c>
      <c r="S1087" s="43">
        <v>1498</v>
      </c>
      <c r="T1087" s="43">
        <v>6252</v>
      </c>
      <c r="U1087" s="43">
        <v>163</v>
      </c>
      <c r="V1087" s="43">
        <v>47</v>
      </c>
      <c r="W1087" s="43">
        <v>10860</v>
      </c>
      <c r="X1087" s="43">
        <v>1057</v>
      </c>
      <c r="Y1087" s="43">
        <v>198</v>
      </c>
      <c r="Z1087" s="45">
        <f>U1087+V1087+W1087+X1087+Y1087</f>
        <v>12325</v>
      </c>
      <c r="AA1087" s="45">
        <f>S1087+T1087</f>
        <v>7750</v>
      </c>
      <c r="AB1087" s="46">
        <v>6.9847716000000002</v>
      </c>
      <c r="AC1087" s="46">
        <v>11.7631134</v>
      </c>
      <c r="AD1087" s="46">
        <v>3.4923858000000001</v>
      </c>
      <c r="AE1087" s="46">
        <v>1.143824</v>
      </c>
      <c r="AF1087" s="46">
        <v>64.642977999999999</v>
      </c>
      <c r="AG1087" s="46">
        <v>9.5702200000000008</v>
      </c>
      <c r="AH1087" s="46">
        <v>2.4027072999999999</v>
      </c>
      <c r="AI1087" s="47">
        <f>AB1087+AC1087</f>
        <v>18.747885</v>
      </c>
      <c r="AJ1087" s="47">
        <f>AD1087+AE1087+AF1087+AG1087+AH1087</f>
        <v>81.252115100000012</v>
      </c>
      <c r="AK1087" s="46">
        <v>7.4620173999999997</v>
      </c>
      <c r="AL1087" s="46">
        <v>31.143212999999999</v>
      </c>
      <c r="AM1087" s="46">
        <v>0.81195519999999999</v>
      </c>
      <c r="AN1087" s="46">
        <v>0.234122</v>
      </c>
      <c r="AO1087" s="46">
        <v>54.097135700000003</v>
      </c>
      <c r="AP1087" s="46">
        <v>5.2652552999999997</v>
      </c>
      <c r="AQ1087" s="46">
        <v>0.98630139999999999</v>
      </c>
      <c r="AR1087" s="48">
        <f>AK1087+AL1087</f>
        <v>38.605230399999996</v>
      </c>
      <c r="AS1087" s="48">
        <f>AM1087+AN1087+AO1087+AP1087+AQ1087</f>
        <v>61.394769600000004</v>
      </c>
    </row>
    <row r="1088" spans="2:45" ht="15" hidden="1" customHeight="1" x14ac:dyDescent="0.25">
      <c r="B1088" s="35">
        <v>1082</v>
      </c>
      <c r="C1088" s="36" t="s">
        <v>31</v>
      </c>
      <c r="D1088" s="36" t="s">
        <v>344</v>
      </c>
      <c r="E1088" s="36" t="s">
        <v>357</v>
      </c>
      <c r="F1088" s="36" t="s">
        <v>360</v>
      </c>
      <c r="G1088" s="37" t="s">
        <v>25</v>
      </c>
      <c r="H1088" s="38">
        <v>8484</v>
      </c>
      <c r="I1088" s="38">
        <v>1019</v>
      </c>
      <c r="J1088" s="38">
        <v>1731</v>
      </c>
      <c r="K1088" s="38">
        <v>237</v>
      </c>
      <c r="L1088" s="38">
        <v>56</v>
      </c>
      <c r="M1088" s="38">
        <v>5011</v>
      </c>
      <c r="N1088" s="38">
        <v>338</v>
      </c>
      <c r="O1088" s="38">
        <v>92</v>
      </c>
      <c r="P1088" s="38"/>
      <c r="Q1088" s="38"/>
      <c r="R1088" s="38">
        <v>10463</v>
      </c>
      <c r="S1088" s="38">
        <v>1432</v>
      </c>
      <c r="T1088" s="38">
        <v>6120</v>
      </c>
      <c r="U1088" s="38">
        <v>42</v>
      </c>
      <c r="V1088" s="38">
        <v>8</v>
      </c>
      <c r="W1088" s="38">
        <v>2728</v>
      </c>
      <c r="X1088" s="38">
        <v>98</v>
      </c>
      <c r="Y1088" s="38">
        <v>35</v>
      </c>
      <c r="Z1088" s="38"/>
      <c r="AA1088" s="38"/>
      <c r="AB1088" s="39">
        <v>12.010843899999999</v>
      </c>
      <c r="AC1088" s="39">
        <v>20.4031117</v>
      </c>
      <c r="AD1088" s="39">
        <v>2.7934936000000001</v>
      </c>
      <c r="AE1088" s="39">
        <v>0.66006600000000004</v>
      </c>
      <c r="AF1088" s="39">
        <v>59.064120699999997</v>
      </c>
      <c r="AG1088" s="39">
        <v>3.9839698000000001</v>
      </c>
      <c r="AH1088" s="39">
        <v>1.0843942</v>
      </c>
      <c r="AI1088" s="39"/>
      <c r="AJ1088" s="39"/>
      <c r="AK1088" s="39">
        <v>13.6863232</v>
      </c>
      <c r="AL1088" s="39">
        <v>58.491828300000002</v>
      </c>
      <c r="AM1088" s="39">
        <v>0.40141450000000001</v>
      </c>
      <c r="AN1088" s="39">
        <v>7.6459899999999997E-2</v>
      </c>
      <c r="AO1088" s="39">
        <v>26.072828099999999</v>
      </c>
      <c r="AP1088" s="39">
        <v>0.93663390000000002</v>
      </c>
      <c r="AQ1088" s="39">
        <v>0.33451209999999998</v>
      </c>
      <c r="AR1088" s="40"/>
      <c r="AS1088" s="40"/>
    </row>
    <row r="1089" spans="2:45" ht="15" hidden="1" customHeight="1" x14ac:dyDescent="0.25">
      <c r="B1089" s="35">
        <v>1083</v>
      </c>
      <c r="C1089" s="36" t="s">
        <v>31</v>
      </c>
      <c r="D1089" s="36" t="s">
        <v>344</v>
      </c>
      <c r="E1089" s="36" t="s">
        <v>357</v>
      </c>
      <c r="F1089" s="36" t="s">
        <v>360</v>
      </c>
      <c r="G1089" s="37" t="s">
        <v>26</v>
      </c>
      <c r="H1089" s="38">
        <v>6291</v>
      </c>
      <c r="I1089" s="38">
        <v>13</v>
      </c>
      <c r="J1089" s="38">
        <v>7</v>
      </c>
      <c r="K1089" s="38">
        <v>279</v>
      </c>
      <c r="L1089" s="38">
        <v>113</v>
      </c>
      <c r="M1089" s="38">
        <v>4540</v>
      </c>
      <c r="N1089" s="38">
        <v>1076</v>
      </c>
      <c r="O1089" s="38">
        <v>263</v>
      </c>
      <c r="P1089" s="38"/>
      <c r="Q1089" s="38"/>
      <c r="R1089" s="38">
        <v>9612</v>
      </c>
      <c r="S1089" s="38">
        <v>66</v>
      </c>
      <c r="T1089" s="38">
        <v>132</v>
      </c>
      <c r="U1089" s="38">
        <v>121</v>
      </c>
      <c r="V1089" s="38">
        <v>39</v>
      </c>
      <c r="W1089" s="38">
        <v>8132</v>
      </c>
      <c r="X1089" s="38">
        <v>959</v>
      </c>
      <c r="Y1089" s="38">
        <v>163</v>
      </c>
      <c r="Z1089" s="38"/>
      <c r="AA1089" s="38"/>
      <c r="AB1089" s="39">
        <v>0.20664440000000001</v>
      </c>
      <c r="AC1089" s="39">
        <v>0.1112701</v>
      </c>
      <c r="AD1089" s="39">
        <v>4.4349069999999999</v>
      </c>
      <c r="AE1089" s="39">
        <v>1.7962168000000001</v>
      </c>
      <c r="AF1089" s="39">
        <v>72.166587199999995</v>
      </c>
      <c r="AG1089" s="39">
        <v>17.1037991</v>
      </c>
      <c r="AH1089" s="39">
        <v>4.1805754000000004</v>
      </c>
      <c r="AI1089" s="39"/>
      <c r="AJ1089" s="39"/>
      <c r="AK1089" s="39">
        <v>0.68664170000000002</v>
      </c>
      <c r="AL1089" s="39">
        <v>1.3732834</v>
      </c>
      <c r="AM1089" s="39">
        <v>1.2588431</v>
      </c>
      <c r="AN1089" s="39">
        <v>0.40574280000000001</v>
      </c>
      <c r="AO1089" s="39">
        <v>84.602580099999997</v>
      </c>
      <c r="AP1089" s="39">
        <v>9.9771119000000006</v>
      </c>
      <c r="AQ1089" s="39">
        <v>1.6957968999999999</v>
      </c>
      <c r="AR1089" s="40"/>
      <c r="AS1089" s="40"/>
    </row>
    <row r="1090" spans="2:45" ht="15" customHeight="1" x14ac:dyDescent="0.25">
      <c r="B1090" s="41">
        <v>1084</v>
      </c>
      <c r="C1090" s="42" t="s">
        <v>31</v>
      </c>
      <c r="D1090" s="51" t="s">
        <v>344</v>
      </c>
      <c r="E1090" s="51" t="s">
        <v>357</v>
      </c>
      <c r="F1090" s="51" t="s">
        <v>361</v>
      </c>
      <c r="G1090" s="52" t="s">
        <v>361</v>
      </c>
      <c r="H1090" s="43">
        <v>2055</v>
      </c>
      <c r="I1090" s="43">
        <v>105</v>
      </c>
      <c r="J1090" s="43">
        <v>783</v>
      </c>
      <c r="K1090" s="43">
        <v>40</v>
      </c>
      <c r="L1090" s="43">
        <v>13</v>
      </c>
      <c r="M1090" s="43">
        <v>999</v>
      </c>
      <c r="N1090" s="43">
        <v>98</v>
      </c>
      <c r="O1090" s="43">
        <v>17</v>
      </c>
      <c r="P1090" s="44">
        <f>K1090+L1090+M1090+N1090+O1090</f>
        <v>1167</v>
      </c>
      <c r="Q1090" s="44">
        <f>I1090+J1090</f>
        <v>888</v>
      </c>
      <c r="R1090" s="43">
        <v>2957</v>
      </c>
      <c r="S1090" s="43">
        <v>244</v>
      </c>
      <c r="T1090" s="43">
        <v>1153</v>
      </c>
      <c r="U1090" s="43">
        <v>48</v>
      </c>
      <c r="V1090" s="43">
        <v>7</v>
      </c>
      <c r="W1090" s="43">
        <v>1383</v>
      </c>
      <c r="X1090" s="43">
        <v>98</v>
      </c>
      <c r="Y1090" s="43">
        <v>24</v>
      </c>
      <c r="Z1090" s="45">
        <f>U1090+V1090+W1090+X1090+Y1090</f>
        <v>1560</v>
      </c>
      <c r="AA1090" s="45">
        <f>S1090+T1090</f>
        <v>1397</v>
      </c>
      <c r="AB1090" s="46">
        <v>5.1094891000000002</v>
      </c>
      <c r="AC1090" s="46">
        <v>38.102189799999998</v>
      </c>
      <c r="AD1090" s="46">
        <v>1.946472</v>
      </c>
      <c r="AE1090" s="46">
        <v>0.63260340000000004</v>
      </c>
      <c r="AF1090" s="46">
        <v>48.6131387</v>
      </c>
      <c r="AG1090" s="46">
        <v>4.7688563999999998</v>
      </c>
      <c r="AH1090" s="46">
        <v>0.82725059999999995</v>
      </c>
      <c r="AI1090" s="47">
        <f>AB1090+AC1090</f>
        <v>43.211678899999995</v>
      </c>
      <c r="AJ1090" s="47">
        <f>AD1090+AE1090+AF1090+AG1090+AH1090</f>
        <v>56.788321099999997</v>
      </c>
      <c r="AK1090" s="46">
        <v>8.2516064</v>
      </c>
      <c r="AL1090" s="46">
        <v>38.992221800000003</v>
      </c>
      <c r="AM1090" s="46">
        <v>1.6232667999999999</v>
      </c>
      <c r="AN1090" s="46">
        <v>0.2367264</v>
      </c>
      <c r="AO1090" s="46">
        <v>46.770375399999999</v>
      </c>
      <c r="AP1090" s="46">
        <v>3.3141698000000002</v>
      </c>
      <c r="AQ1090" s="46">
        <v>0.81163339999999995</v>
      </c>
      <c r="AR1090" s="48">
        <f>AK1090+AL1090</f>
        <v>47.243828200000003</v>
      </c>
      <c r="AS1090" s="48">
        <f>AM1090+AN1090+AO1090+AP1090+AQ1090</f>
        <v>52.756171799999997</v>
      </c>
    </row>
    <row r="1091" spans="2:45" ht="15" hidden="1" customHeight="1" x14ac:dyDescent="0.25">
      <c r="B1091" s="35">
        <v>1085</v>
      </c>
      <c r="C1091" s="36" t="s">
        <v>31</v>
      </c>
      <c r="D1091" s="36" t="s">
        <v>344</v>
      </c>
      <c r="E1091" s="36" t="s">
        <v>357</v>
      </c>
      <c r="F1091" s="36" t="s">
        <v>361</v>
      </c>
      <c r="G1091" s="37" t="s">
        <v>25</v>
      </c>
      <c r="H1091" s="38">
        <v>1084</v>
      </c>
      <c r="I1091" s="38">
        <v>104</v>
      </c>
      <c r="J1091" s="38">
        <v>781</v>
      </c>
      <c r="K1091" s="38">
        <v>6</v>
      </c>
      <c r="L1091" s="38">
        <v>1</v>
      </c>
      <c r="M1091" s="38">
        <v>153</v>
      </c>
      <c r="N1091" s="38">
        <v>36</v>
      </c>
      <c r="O1091" s="38">
        <v>3</v>
      </c>
      <c r="P1091" s="38"/>
      <c r="Q1091" s="38"/>
      <c r="R1091" s="38">
        <v>1464</v>
      </c>
      <c r="S1091" s="38">
        <v>226</v>
      </c>
      <c r="T1091" s="38">
        <v>1096</v>
      </c>
      <c r="U1091" s="38">
        <v>17</v>
      </c>
      <c r="V1091" s="38">
        <v>2</v>
      </c>
      <c r="W1091" s="38">
        <v>103</v>
      </c>
      <c r="X1091" s="38">
        <v>11</v>
      </c>
      <c r="Y1091" s="38">
        <v>9</v>
      </c>
      <c r="Z1091" s="38"/>
      <c r="AA1091" s="38"/>
      <c r="AB1091" s="39">
        <v>9.5940958999999992</v>
      </c>
      <c r="AC1091" s="39">
        <v>72.047970500000005</v>
      </c>
      <c r="AD1091" s="39">
        <v>0.55350549999999998</v>
      </c>
      <c r="AE1091" s="39">
        <v>9.2250899999999997E-2</v>
      </c>
      <c r="AF1091" s="39">
        <v>14.114391100000001</v>
      </c>
      <c r="AG1091" s="39">
        <v>3.3210332</v>
      </c>
      <c r="AH1091" s="39">
        <v>0.27675280000000002</v>
      </c>
      <c r="AI1091" s="39"/>
      <c r="AJ1091" s="39"/>
      <c r="AK1091" s="39">
        <v>15.437158500000001</v>
      </c>
      <c r="AL1091" s="39">
        <v>74.863388</v>
      </c>
      <c r="AM1091" s="39">
        <v>1.1612022</v>
      </c>
      <c r="AN1091" s="39">
        <v>0.13661200000000001</v>
      </c>
      <c r="AO1091" s="39">
        <v>7.0355191000000001</v>
      </c>
      <c r="AP1091" s="39">
        <v>0.75136610000000004</v>
      </c>
      <c r="AQ1091" s="39">
        <v>0.61475409999999997</v>
      </c>
      <c r="AR1091" s="40"/>
      <c r="AS1091" s="40"/>
    </row>
    <row r="1092" spans="2:45" ht="15" hidden="1" customHeight="1" x14ac:dyDescent="0.25">
      <c r="B1092" s="35">
        <v>1086</v>
      </c>
      <c r="C1092" s="36" t="s">
        <v>31</v>
      </c>
      <c r="D1092" s="36" t="s">
        <v>344</v>
      </c>
      <c r="E1092" s="36" t="s">
        <v>357</v>
      </c>
      <c r="F1092" s="36" t="s">
        <v>361</v>
      </c>
      <c r="G1092" s="37" t="s">
        <v>26</v>
      </c>
      <c r="H1092" s="38">
        <v>971</v>
      </c>
      <c r="I1092" s="38">
        <v>1</v>
      </c>
      <c r="J1092" s="38">
        <v>2</v>
      </c>
      <c r="K1092" s="38">
        <v>34</v>
      </c>
      <c r="L1092" s="38">
        <v>12</v>
      </c>
      <c r="M1092" s="38">
        <v>846</v>
      </c>
      <c r="N1092" s="38">
        <v>62</v>
      </c>
      <c r="O1092" s="38">
        <v>14</v>
      </c>
      <c r="P1092" s="38"/>
      <c r="Q1092" s="38"/>
      <c r="R1092" s="38">
        <v>1493</v>
      </c>
      <c r="S1092" s="38">
        <v>18</v>
      </c>
      <c r="T1092" s="38">
        <v>57</v>
      </c>
      <c r="U1092" s="38">
        <v>31</v>
      </c>
      <c r="V1092" s="38">
        <v>5</v>
      </c>
      <c r="W1092" s="38">
        <v>1280</v>
      </c>
      <c r="X1092" s="38">
        <v>87</v>
      </c>
      <c r="Y1092" s="38">
        <v>15</v>
      </c>
      <c r="Z1092" s="38"/>
      <c r="AA1092" s="38"/>
      <c r="AB1092" s="39">
        <v>0.1029866</v>
      </c>
      <c r="AC1092" s="39">
        <v>0.2059732</v>
      </c>
      <c r="AD1092" s="39">
        <v>3.5015448</v>
      </c>
      <c r="AE1092" s="39">
        <v>1.2358393000000001</v>
      </c>
      <c r="AF1092" s="39">
        <v>87.126673499999995</v>
      </c>
      <c r="AG1092" s="39">
        <v>6.3851699000000002</v>
      </c>
      <c r="AH1092" s="39">
        <v>1.4418126</v>
      </c>
      <c r="AI1092" s="39"/>
      <c r="AJ1092" s="39"/>
      <c r="AK1092" s="39">
        <v>1.2056263</v>
      </c>
      <c r="AL1092" s="39">
        <v>3.8178165000000002</v>
      </c>
      <c r="AM1092" s="39">
        <v>2.0763563</v>
      </c>
      <c r="AN1092" s="39">
        <v>0.33489619999999998</v>
      </c>
      <c r="AO1092" s="39">
        <v>85.733422599999997</v>
      </c>
      <c r="AP1092" s="39">
        <v>5.8271936000000002</v>
      </c>
      <c r="AQ1092" s="39">
        <v>1.0046885000000001</v>
      </c>
      <c r="AR1092" s="40"/>
      <c r="AS1092" s="40"/>
    </row>
    <row r="1093" spans="2:45" ht="15" hidden="1" customHeight="1" x14ac:dyDescent="0.25">
      <c r="B1093" s="30">
        <v>1087</v>
      </c>
      <c r="C1093" s="31" t="s">
        <v>29</v>
      </c>
      <c r="D1093" s="50" t="s">
        <v>344</v>
      </c>
      <c r="E1093" s="50" t="s">
        <v>362</v>
      </c>
      <c r="F1093" s="50"/>
      <c r="G1093" s="31" t="s">
        <v>362</v>
      </c>
      <c r="H1093" s="32">
        <v>15495</v>
      </c>
      <c r="I1093" s="32">
        <v>768</v>
      </c>
      <c r="J1093" s="32">
        <v>4769</v>
      </c>
      <c r="K1093" s="32">
        <v>304</v>
      </c>
      <c r="L1093" s="32">
        <v>44</v>
      </c>
      <c r="M1093" s="32">
        <v>8565</v>
      </c>
      <c r="N1093" s="32">
        <v>827</v>
      </c>
      <c r="O1093" s="32">
        <v>218</v>
      </c>
      <c r="P1093" s="32"/>
      <c r="Q1093" s="32"/>
      <c r="R1093" s="32">
        <v>29925</v>
      </c>
      <c r="S1093" s="32">
        <v>1776</v>
      </c>
      <c r="T1093" s="32">
        <v>8313</v>
      </c>
      <c r="U1093" s="32">
        <v>210</v>
      </c>
      <c r="V1093" s="32">
        <v>37</v>
      </c>
      <c r="W1093" s="32">
        <v>17478</v>
      </c>
      <c r="X1093" s="32">
        <v>1592</v>
      </c>
      <c r="Y1093" s="32">
        <v>519</v>
      </c>
      <c r="Z1093" s="32"/>
      <c r="AA1093" s="32"/>
      <c r="AB1093" s="33">
        <v>4.9564376000000001</v>
      </c>
      <c r="AC1093" s="33">
        <v>30.777670199999999</v>
      </c>
      <c r="AD1093" s="33">
        <v>1.9619232</v>
      </c>
      <c r="AE1093" s="33">
        <v>0.28396260000000001</v>
      </c>
      <c r="AF1093" s="33">
        <v>55.275895499999997</v>
      </c>
      <c r="AG1093" s="33">
        <v>5.3372055999999999</v>
      </c>
      <c r="AH1093" s="33">
        <v>1.4069054999999999</v>
      </c>
      <c r="AI1093" s="33"/>
      <c r="AJ1093" s="33"/>
      <c r="AK1093" s="33">
        <v>5.9348371000000002</v>
      </c>
      <c r="AL1093" s="33">
        <v>27.779448599999998</v>
      </c>
      <c r="AM1093" s="33">
        <v>0.7017544</v>
      </c>
      <c r="AN1093" s="33">
        <v>0.1236424</v>
      </c>
      <c r="AO1093" s="33">
        <v>58.406014999999996</v>
      </c>
      <c r="AP1093" s="33">
        <v>5.3199665999999999</v>
      </c>
      <c r="AQ1093" s="33">
        <v>1.7343358</v>
      </c>
      <c r="AR1093" s="34"/>
      <c r="AS1093" s="34"/>
    </row>
    <row r="1094" spans="2:45" ht="15" hidden="1" customHeight="1" x14ac:dyDescent="0.25">
      <c r="B1094" s="35">
        <v>1088</v>
      </c>
      <c r="C1094" s="36" t="s">
        <v>29</v>
      </c>
      <c r="D1094" s="36" t="s">
        <v>344</v>
      </c>
      <c r="E1094" s="36" t="s">
        <v>362</v>
      </c>
      <c r="F1094" s="36"/>
      <c r="G1094" s="37" t="s">
        <v>25</v>
      </c>
      <c r="H1094" s="38">
        <v>7260</v>
      </c>
      <c r="I1094" s="38">
        <v>718</v>
      </c>
      <c r="J1094" s="38">
        <v>4633</v>
      </c>
      <c r="K1094" s="38">
        <v>102</v>
      </c>
      <c r="L1094" s="38">
        <v>5</v>
      </c>
      <c r="M1094" s="38">
        <v>1543</v>
      </c>
      <c r="N1094" s="38">
        <v>199</v>
      </c>
      <c r="O1094" s="38">
        <v>60</v>
      </c>
      <c r="P1094" s="38"/>
      <c r="Q1094" s="38"/>
      <c r="R1094" s="38">
        <v>11099</v>
      </c>
      <c r="S1094" s="38">
        <v>1495</v>
      </c>
      <c r="T1094" s="38">
        <v>7650</v>
      </c>
      <c r="U1094" s="38">
        <v>57</v>
      </c>
      <c r="V1094" s="38">
        <v>4</v>
      </c>
      <c r="W1094" s="38">
        <v>1747</v>
      </c>
      <c r="X1094" s="38">
        <v>117</v>
      </c>
      <c r="Y1094" s="38">
        <v>29</v>
      </c>
      <c r="Z1094" s="38"/>
      <c r="AA1094" s="38"/>
      <c r="AB1094" s="39">
        <v>9.8898071999999999</v>
      </c>
      <c r="AC1094" s="39">
        <v>63.815427</v>
      </c>
      <c r="AD1094" s="39">
        <v>1.4049586999999999</v>
      </c>
      <c r="AE1094" s="39">
        <v>6.8870500000000001E-2</v>
      </c>
      <c r="AF1094" s="39">
        <v>21.253443499999999</v>
      </c>
      <c r="AG1094" s="39">
        <v>2.7410467999999999</v>
      </c>
      <c r="AH1094" s="39">
        <v>0.82644629999999997</v>
      </c>
      <c r="AI1094" s="39"/>
      <c r="AJ1094" s="39"/>
      <c r="AK1094" s="39">
        <v>13.469682000000001</v>
      </c>
      <c r="AL1094" s="39">
        <v>68.925128400000006</v>
      </c>
      <c r="AM1094" s="39">
        <v>0.51355980000000001</v>
      </c>
      <c r="AN1094" s="39">
        <v>3.6039300000000003E-2</v>
      </c>
      <c r="AO1094" s="39">
        <v>15.740156799999999</v>
      </c>
      <c r="AP1094" s="39">
        <v>1.054149</v>
      </c>
      <c r="AQ1094" s="39">
        <v>0.26128479999999998</v>
      </c>
      <c r="AR1094" s="40"/>
      <c r="AS1094" s="40"/>
    </row>
    <row r="1095" spans="2:45" ht="15" hidden="1" customHeight="1" x14ac:dyDescent="0.25">
      <c r="B1095" s="35">
        <v>1089</v>
      </c>
      <c r="C1095" s="36" t="s">
        <v>29</v>
      </c>
      <c r="D1095" s="36" t="s">
        <v>344</v>
      </c>
      <c r="E1095" s="36" t="s">
        <v>362</v>
      </c>
      <c r="F1095" s="36"/>
      <c r="G1095" s="37" t="s">
        <v>26</v>
      </c>
      <c r="H1095" s="38">
        <v>8235</v>
      </c>
      <c r="I1095" s="38">
        <v>50</v>
      </c>
      <c r="J1095" s="38">
        <v>136</v>
      </c>
      <c r="K1095" s="38">
        <v>202</v>
      </c>
      <c r="L1095" s="38">
        <v>39</v>
      </c>
      <c r="M1095" s="38">
        <v>7022</v>
      </c>
      <c r="N1095" s="38">
        <v>628</v>
      </c>
      <c r="O1095" s="38">
        <v>158</v>
      </c>
      <c r="P1095" s="38"/>
      <c r="Q1095" s="38"/>
      <c r="R1095" s="38">
        <v>18826</v>
      </c>
      <c r="S1095" s="38">
        <v>281</v>
      </c>
      <c r="T1095" s="38">
        <v>663</v>
      </c>
      <c r="U1095" s="38">
        <v>153</v>
      </c>
      <c r="V1095" s="38">
        <v>33</v>
      </c>
      <c r="W1095" s="38">
        <v>15731</v>
      </c>
      <c r="X1095" s="38">
        <v>1475</v>
      </c>
      <c r="Y1095" s="38">
        <v>490</v>
      </c>
      <c r="Z1095" s="38"/>
      <c r="AA1095" s="38"/>
      <c r="AB1095" s="39">
        <v>0.6071645</v>
      </c>
      <c r="AC1095" s="39">
        <v>1.6514876000000001</v>
      </c>
      <c r="AD1095" s="39">
        <v>2.4529447000000002</v>
      </c>
      <c r="AE1095" s="39">
        <v>0.47358830000000002</v>
      </c>
      <c r="AF1095" s="39">
        <v>85.270188200000007</v>
      </c>
      <c r="AG1095" s="39">
        <v>7.6259866000000001</v>
      </c>
      <c r="AH1095" s="39">
        <v>1.9186399999999999</v>
      </c>
      <c r="AI1095" s="39"/>
      <c r="AJ1095" s="39"/>
      <c r="AK1095" s="39">
        <v>1.4926166000000001</v>
      </c>
      <c r="AL1095" s="39">
        <v>3.5217252999999999</v>
      </c>
      <c r="AM1095" s="39">
        <v>0.81270580000000003</v>
      </c>
      <c r="AN1095" s="39">
        <v>0.17528949999999999</v>
      </c>
      <c r="AO1095" s="39">
        <v>83.559970300000003</v>
      </c>
      <c r="AP1095" s="39">
        <v>7.8349092000000002</v>
      </c>
      <c r="AQ1095" s="39">
        <v>2.6027833999999999</v>
      </c>
      <c r="AR1095" s="40"/>
      <c r="AS1095" s="40"/>
    </row>
    <row r="1096" spans="2:45" ht="15" customHeight="1" x14ac:dyDescent="0.25">
      <c r="B1096" s="41">
        <v>1090</v>
      </c>
      <c r="C1096" s="42" t="s">
        <v>31</v>
      </c>
      <c r="D1096" s="51" t="s">
        <v>344</v>
      </c>
      <c r="E1096" s="51" t="s">
        <v>362</v>
      </c>
      <c r="F1096" s="51" t="s">
        <v>363</v>
      </c>
      <c r="G1096" s="52" t="s">
        <v>363</v>
      </c>
      <c r="H1096" s="43">
        <v>4566</v>
      </c>
      <c r="I1096" s="43">
        <v>271</v>
      </c>
      <c r="J1096" s="43">
        <v>1968</v>
      </c>
      <c r="K1096" s="43">
        <v>98</v>
      </c>
      <c r="L1096" s="43">
        <v>10</v>
      </c>
      <c r="M1096" s="43">
        <v>2050</v>
      </c>
      <c r="N1096" s="43">
        <v>132</v>
      </c>
      <c r="O1096" s="43">
        <v>37</v>
      </c>
      <c r="P1096" s="44">
        <f>K1096+L1096+M1096+N1096+O1096</f>
        <v>2327</v>
      </c>
      <c r="Q1096" s="44">
        <f>I1096+J1096</f>
        <v>2239</v>
      </c>
      <c r="R1096" s="43">
        <v>11607</v>
      </c>
      <c r="S1096" s="43">
        <v>726</v>
      </c>
      <c r="T1096" s="43">
        <v>2314</v>
      </c>
      <c r="U1096" s="43">
        <v>89</v>
      </c>
      <c r="V1096" s="43">
        <v>18</v>
      </c>
      <c r="W1096" s="43">
        <v>7542</v>
      </c>
      <c r="X1096" s="43">
        <v>825</v>
      </c>
      <c r="Y1096" s="43">
        <v>93</v>
      </c>
      <c r="Z1096" s="45">
        <f>U1096+V1096+W1096+X1096+Y1096</f>
        <v>8567</v>
      </c>
      <c r="AA1096" s="45">
        <f>S1096+T1096</f>
        <v>3040</v>
      </c>
      <c r="AB1096" s="46">
        <v>5.9351729999999998</v>
      </c>
      <c r="AC1096" s="46">
        <v>43.101182700000003</v>
      </c>
      <c r="AD1096" s="46">
        <v>2.1462987</v>
      </c>
      <c r="AE1096" s="46">
        <v>0.21901010000000001</v>
      </c>
      <c r="AF1096" s="46">
        <v>44.897065300000001</v>
      </c>
      <c r="AG1096" s="46">
        <v>2.890933</v>
      </c>
      <c r="AH1096" s="46">
        <v>0.81033730000000004</v>
      </c>
      <c r="AI1096" s="47">
        <f>AB1096+AC1096</f>
        <v>49.036355700000001</v>
      </c>
      <c r="AJ1096" s="47">
        <f>AD1096+AE1096+AF1096+AG1096+AH1096</f>
        <v>50.9636444</v>
      </c>
      <c r="AK1096" s="46">
        <v>6.2548462000000002</v>
      </c>
      <c r="AL1096" s="46">
        <v>19.936245400000001</v>
      </c>
      <c r="AM1096" s="46">
        <v>0.76677870000000004</v>
      </c>
      <c r="AN1096" s="46">
        <v>0.15507879999999999</v>
      </c>
      <c r="AO1096" s="46">
        <v>64.978030500000003</v>
      </c>
      <c r="AP1096" s="46">
        <v>7.1077798000000003</v>
      </c>
      <c r="AQ1096" s="46">
        <v>0.80124059999999997</v>
      </c>
      <c r="AR1096" s="48">
        <f>AK1096+AL1096</f>
        <v>26.1910916</v>
      </c>
      <c r="AS1096" s="48">
        <f>AM1096+AN1096+AO1096+AP1096+AQ1096</f>
        <v>73.808908400000007</v>
      </c>
    </row>
    <row r="1097" spans="2:45" ht="15" hidden="1" customHeight="1" x14ac:dyDescent="0.25">
      <c r="B1097" s="35">
        <v>1091</v>
      </c>
      <c r="C1097" s="36" t="s">
        <v>31</v>
      </c>
      <c r="D1097" s="36" t="s">
        <v>344</v>
      </c>
      <c r="E1097" s="36" t="s">
        <v>362</v>
      </c>
      <c r="F1097" s="36" t="s">
        <v>363</v>
      </c>
      <c r="G1097" s="37" t="s">
        <v>25</v>
      </c>
      <c r="H1097" s="38">
        <v>2680</v>
      </c>
      <c r="I1097" s="38">
        <v>260</v>
      </c>
      <c r="J1097" s="38">
        <v>1899</v>
      </c>
      <c r="K1097" s="38">
        <v>42</v>
      </c>
      <c r="L1097" s="38">
        <v>1</v>
      </c>
      <c r="M1097" s="38">
        <v>449</v>
      </c>
      <c r="N1097" s="38">
        <v>16</v>
      </c>
      <c r="O1097" s="38">
        <v>13</v>
      </c>
      <c r="P1097" s="38"/>
      <c r="Q1097" s="38"/>
      <c r="R1097" s="38">
        <v>3535</v>
      </c>
      <c r="S1097" s="38">
        <v>676</v>
      </c>
      <c r="T1097" s="38">
        <v>2295</v>
      </c>
      <c r="U1097" s="38">
        <v>14</v>
      </c>
      <c r="V1097" s="38">
        <v>2</v>
      </c>
      <c r="W1097" s="38">
        <v>504</v>
      </c>
      <c r="X1097" s="38">
        <v>36</v>
      </c>
      <c r="Y1097" s="38">
        <v>8</v>
      </c>
      <c r="Z1097" s="38"/>
      <c r="AA1097" s="38"/>
      <c r="AB1097" s="39">
        <v>9.7014925000000005</v>
      </c>
      <c r="AC1097" s="39">
        <v>70.858209000000002</v>
      </c>
      <c r="AD1097" s="39">
        <v>1.5671641999999999</v>
      </c>
      <c r="AE1097" s="39">
        <v>3.7313399999999997E-2</v>
      </c>
      <c r="AF1097" s="39">
        <v>16.753731299999998</v>
      </c>
      <c r="AG1097" s="39">
        <v>0.59701490000000002</v>
      </c>
      <c r="AH1097" s="39">
        <v>0.48507460000000002</v>
      </c>
      <c r="AI1097" s="39"/>
      <c r="AJ1097" s="39"/>
      <c r="AK1097" s="39">
        <v>19.1230552</v>
      </c>
      <c r="AL1097" s="39">
        <v>64.922206500000001</v>
      </c>
      <c r="AM1097" s="39">
        <v>0.39603959999999999</v>
      </c>
      <c r="AN1097" s="39">
        <v>5.6577099999999998E-2</v>
      </c>
      <c r="AO1097" s="39">
        <v>14.257425700000001</v>
      </c>
      <c r="AP1097" s="39">
        <v>1.0183876000000001</v>
      </c>
      <c r="AQ1097" s="39">
        <v>0.22630829999999999</v>
      </c>
      <c r="AR1097" s="40"/>
      <c r="AS1097" s="40"/>
    </row>
    <row r="1098" spans="2:45" ht="15" hidden="1" customHeight="1" x14ac:dyDescent="0.25">
      <c r="B1098" s="35">
        <v>1092</v>
      </c>
      <c r="C1098" s="36" t="s">
        <v>31</v>
      </c>
      <c r="D1098" s="36" t="s">
        <v>344</v>
      </c>
      <c r="E1098" s="36" t="s">
        <v>362</v>
      </c>
      <c r="F1098" s="36" t="s">
        <v>363</v>
      </c>
      <c r="G1098" s="37" t="s">
        <v>26</v>
      </c>
      <c r="H1098" s="38">
        <v>1886</v>
      </c>
      <c r="I1098" s="38">
        <v>11</v>
      </c>
      <c r="J1098" s="38">
        <v>69</v>
      </c>
      <c r="K1098" s="38">
        <v>56</v>
      </c>
      <c r="L1098" s="38">
        <v>9</v>
      </c>
      <c r="M1098" s="38">
        <v>1601</v>
      </c>
      <c r="N1098" s="38">
        <v>116</v>
      </c>
      <c r="O1098" s="38">
        <v>24</v>
      </c>
      <c r="P1098" s="38"/>
      <c r="Q1098" s="38"/>
      <c r="R1098" s="38">
        <v>8072</v>
      </c>
      <c r="S1098" s="38">
        <v>50</v>
      </c>
      <c r="T1098" s="38">
        <v>19</v>
      </c>
      <c r="U1098" s="38">
        <v>75</v>
      </c>
      <c r="V1098" s="38">
        <v>16</v>
      </c>
      <c r="W1098" s="38">
        <v>7038</v>
      </c>
      <c r="X1098" s="38">
        <v>789</v>
      </c>
      <c r="Y1098" s="38">
        <v>85</v>
      </c>
      <c r="Z1098" s="38"/>
      <c r="AA1098" s="38"/>
      <c r="AB1098" s="39">
        <v>0.58324500000000001</v>
      </c>
      <c r="AC1098" s="39">
        <v>3.6585366000000001</v>
      </c>
      <c r="AD1098" s="39">
        <v>2.9692471</v>
      </c>
      <c r="AE1098" s="39">
        <v>0.47720040000000002</v>
      </c>
      <c r="AF1098" s="39">
        <v>84.888653199999993</v>
      </c>
      <c r="AG1098" s="39">
        <v>6.1505831999999998</v>
      </c>
      <c r="AH1098" s="39">
        <v>1.2725344999999999</v>
      </c>
      <c r="AI1098" s="39"/>
      <c r="AJ1098" s="39"/>
      <c r="AK1098" s="39">
        <v>0.61942520000000001</v>
      </c>
      <c r="AL1098" s="39">
        <v>0.2353816</v>
      </c>
      <c r="AM1098" s="39">
        <v>0.92913780000000001</v>
      </c>
      <c r="AN1098" s="39">
        <v>0.19821610000000001</v>
      </c>
      <c r="AO1098" s="39">
        <v>87.190287400000003</v>
      </c>
      <c r="AP1098" s="39">
        <v>9.7745291999999999</v>
      </c>
      <c r="AQ1098" s="39">
        <v>1.0530227999999999</v>
      </c>
      <c r="AR1098" s="40"/>
      <c r="AS1098" s="40"/>
    </row>
    <row r="1099" spans="2:45" ht="15" customHeight="1" x14ac:dyDescent="0.25">
      <c r="B1099" s="41">
        <v>1093</v>
      </c>
      <c r="C1099" s="42" t="s">
        <v>31</v>
      </c>
      <c r="D1099" s="51" t="s">
        <v>344</v>
      </c>
      <c r="E1099" s="51" t="s">
        <v>362</v>
      </c>
      <c r="F1099" s="51" t="s">
        <v>364</v>
      </c>
      <c r="G1099" s="52" t="s">
        <v>364</v>
      </c>
      <c r="H1099" s="43">
        <v>7182</v>
      </c>
      <c r="I1099" s="43">
        <v>251</v>
      </c>
      <c r="J1099" s="43">
        <v>1671</v>
      </c>
      <c r="K1099" s="43">
        <v>126</v>
      </c>
      <c r="L1099" s="43">
        <v>30</v>
      </c>
      <c r="M1099" s="43">
        <v>4663</v>
      </c>
      <c r="N1099" s="43">
        <v>323</v>
      </c>
      <c r="O1099" s="43">
        <v>118</v>
      </c>
      <c r="P1099" s="44">
        <f>K1099+L1099+M1099+N1099+O1099</f>
        <v>5260</v>
      </c>
      <c r="Q1099" s="44">
        <f>I1099+J1099</f>
        <v>1922</v>
      </c>
      <c r="R1099" s="43">
        <v>12970</v>
      </c>
      <c r="S1099" s="43">
        <v>478</v>
      </c>
      <c r="T1099" s="43">
        <v>3491</v>
      </c>
      <c r="U1099" s="43">
        <v>80</v>
      </c>
      <c r="V1099" s="43">
        <v>16</v>
      </c>
      <c r="W1099" s="43">
        <v>8000</v>
      </c>
      <c r="X1099" s="43">
        <v>516</v>
      </c>
      <c r="Y1099" s="43">
        <v>389</v>
      </c>
      <c r="Z1099" s="45">
        <f>U1099+V1099+W1099+X1099+Y1099</f>
        <v>9001</v>
      </c>
      <c r="AA1099" s="45">
        <f>S1099+T1099</f>
        <v>3969</v>
      </c>
      <c r="AB1099" s="46">
        <v>3.4948481999999998</v>
      </c>
      <c r="AC1099" s="46">
        <v>23.2664996</v>
      </c>
      <c r="AD1099" s="46">
        <v>1.754386</v>
      </c>
      <c r="AE1099" s="46">
        <v>0.4177109</v>
      </c>
      <c r="AF1099" s="46">
        <v>64.926204400000003</v>
      </c>
      <c r="AG1099" s="46">
        <v>4.4973545000000001</v>
      </c>
      <c r="AH1099" s="46">
        <v>1.6429963999999999</v>
      </c>
      <c r="AI1099" s="47">
        <f>AB1099+AC1099</f>
        <v>26.761347799999999</v>
      </c>
      <c r="AJ1099" s="47">
        <f>AD1099+AE1099+AF1099+AG1099+AH1099</f>
        <v>73.238652200000004</v>
      </c>
      <c r="AK1099" s="46">
        <v>3.6854279000000001</v>
      </c>
      <c r="AL1099" s="46">
        <v>26.915959900000001</v>
      </c>
      <c r="AM1099" s="46">
        <v>0.61680800000000002</v>
      </c>
      <c r="AN1099" s="46">
        <v>0.1233616</v>
      </c>
      <c r="AO1099" s="46">
        <v>61.680801899999999</v>
      </c>
      <c r="AP1099" s="46">
        <v>3.9784117000000001</v>
      </c>
      <c r="AQ1099" s="46">
        <v>2.9992290000000001</v>
      </c>
      <c r="AR1099" s="48">
        <f>AK1099+AL1099</f>
        <v>30.601387800000001</v>
      </c>
      <c r="AS1099" s="48">
        <f>AM1099+AN1099+AO1099+AP1099+AQ1099</f>
        <v>69.398612200000002</v>
      </c>
    </row>
    <row r="1100" spans="2:45" ht="15" hidden="1" customHeight="1" x14ac:dyDescent="0.25">
      <c r="B1100" s="35">
        <v>1094</v>
      </c>
      <c r="C1100" s="36" t="s">
        <v>31</v>
      </c>
      <c r="D1100" s="36" t="s">
        <v>344</v>
      </c>
      <c r="E1100" s="36" t="s">
        <v>362</v>
      </c>
      <c r="F1100" s="36" t="s">
        <v>364</v>
      </c>
      <c r="G1100" s="37" t="s">
        <v>25</v>
      </c>
      <c r="H1100" s="38">
        <v>2138</v>
      </c>
      <c r="I1100" s="38">
        <v>227</v>
      </c>
      <c r="J1100" s="38">
        <v>1619</v>
      </c>
      <c r="K1100" s="38">
        <v>25</v>
      </c>
      <c r="L1100" s="38">
        <v>1</v>
      </c>
      <c r="M1100" s="38">
        <v>243</v>
      </c>
      <c r="N1100" s="38">
        <v>14</v>
      </c>
      <c r="O1100" s="38">
        <v>9</v>
      </c>
      <c r="P1100" s="38"/>
      <c r="Q1100" s="38"/>
      <c r="R1100" s="38">
        <v>4296</v>
      </c>
      <c r="S1100" s="38">
        <v>319</v>
      </c>
      <c r="T1100" s="38">
        <v>2897</v>
      </c>
      <c r="U1100" s="38">
        <v>25</v>
      </c>
      <c r="V1100" s="38">
        <v>2</v>
      </c>
      <c r="W1100" s="38">
        <v>994</v>
      </c>
      <c r="X1100" s="38">
        <v>41</v>
      </c>
      <c r="Y1100" s="38">
        <v>18</v>
      </c>
      <c r="Z1100" s="38"/>
      <c r="AA1100" s="38"/>
      <c r="AB1100" s="39">
        <v>10.6173994</v>
      </c>
      <c r="AC1100" s="39">
        <v>75.724976600000005</v>
      </c>
      <c r="AD1100" s="39">
        <v>1.1693171</v>
      </c>
      <c r="AE1100" s="39">
        <v>4.67727E-2</v>
      </c>
      <c r="AF1100" s="39">
        <v>11.365762399999999</v>
      </c>
      <c r="AG1100" s="39">
        <v>0.6548176</v>
      </c>
      <c r="AH1100" s="39">
        <v>0.4209542</v>
      </c>
      <c r="AI1100" s="39"/>
      <c r="AJ1100" s="39"/>
      <c r="AK1100" s="39">
        <v>7.4255120999999997</v>
      </c>
      <c r="AL1100" s="39">
        <v>67.434823100000003</v>
      </c>
      <c r="AM1100" s="39">
        <v>0.58193669999999997</v>
      </c>
      <c r="AN1100" s="39">
        <v>4.6554900000000003E-2</v>
      </c>
      <c r="AO1100" s="39">
        <v>23.137802600000001</v>
      </c>
      <c r="AP1100" s="39">
        <v>0.95437620000000001</v>
      </c>
      <c r="AQ1100" s="39">
        <v>0.41899439999999999</v>
      </c>
      <c r="AR1100" s="40"/>
      <c r="AS1100" s="40"/>
    </row>
    <row r="1101" spans="2:45" ht="15" hidden="1" customHeight="1" x14ac:dyDescent="0.25">
      <c r="B1101" s="35">
        <v>1095</v>
      </c>
      <c r="C1101" s="36" t="s">
        <v>31</v>
      </c>
      <c r="D1101" s="36" t="s">
        <v>344</v>
      </c>
      <c r="E1101" s="36" t="s">
        <v>362</v>
      </c>
      <c r="F1101" s="36" t="s">
        <v>364</v>
      </c>
      <c r="G1101" s="37" t="s">
        <v>26</v>
      </c>
      <c r="H1101" s="38">
        <v>5044</v>
      </c>
      <c r="I1101" s="38">
        <v>24</v>
      </c>
      <c r="J1101" s="38">
        <v>52</v>
      </c>
      <c r="K1101" s="38">
        <v>101</v>
      </c>
      <c r="L1101" s="38">
        <v>29</v>
      </c>
      <c r="M1101" s="38">
        <v>4420</v>
      </c>
      <c r="N1101" s="38">
        <v>309</v>
      </c>
      <c r="O1101" s="38">
        <v>109</v>
      </c>
      <c r="P1101" s="38"/>
      <c r="Q1101" s="38"/>
      <c r="R1101" s="38">
        <v>8674</v>
      </c>
      <c r="S1101" s="38">
        <v>159</v>
      </c>
      <c r="T1101" s="38">
        <v>594</v>
      </c>
      <c r="U1101" s="38">
        <v>55</v>
      </c>
      <c r="V1101" s="38">
        <v>14</v>
      </c>
      <c r="W1101" s="38">
        <v>7006</v>
      </c>
      <c r="X1101" s="38">
        <v>475</v>
      </c>
      <c r="Y1101" s="38">
        <v>371</v>
      </c>
      <c r="Z1101" s="38"/>
      <c r="AA1101" s="38"/>
      <c r="AB1101" s="39">
        <v>0.47581279999999998</v>
      </c>
      <c r="AC1101" s="39">
        <v>1.0309277999999999</v>
      </c>
      <c r="AD1101" s="39">
        <v>2.0023791000000002</v>
      </c>
      <c r="AE1101" s="39">
        <v>0.57494049999999997</v>
      </c>
      <c r="AF1101" s="39">
        <v>87.628866000000002</v>
      </c>
      <c r="AG1101" s="39">
        <v>6.1260903999999998</v>
      </c>
      <c r="AH1101" s="39">
        <v>2.1609832999999998</v>
      </c>
      <c r="AI1101" s="39"/>
      <c r="AJ1101" s="39"/>
      <c r="AK1101" s="39">
        <v>1.8330643</v>
      </c>
      <c r="AL1101" s="39">
        <v>6.8480515999999998</v>
      </c>
      <c r="AM1101" s="39">
        <v>0.6340789</v>
      </c>
      <c r="AN1101" s="39">
        <v>0.16140189999999999</v>
      </c>
      <c r="AO1101" s="39">
        <v>80.770117600000006</v>
      </c>
      <c r="AP1101" s="39">
        <v>5.4761356000000001</v>
      </c>
      <c r="AQ1101" s="39">
        <v>4.2771501000000001</v>
      </c>
      <c r="AR1101" s="40"/>
      <c r="AS1101" s="40"/>
    </row>
    <row r="1102" spans="2:45" ht="15" customHeight="1" x14ac:dyDescent="0.25">
      <c r="B1102" s="41">
        <v>1096</v>
      </c>
      <c r="C1102" s="42" t="s">
        <v>31</v>
      </c>
      <c r="D1102" s="51" t="s">
        <v>344</v>
      </c>
      <c r="E1102" s="51" t="s">
        <v>362</v>
      </c>
      <c r="F1102" s="51" t="s">
        <v>365</v>
      </c>
      <c r="G1102" s="52" t="s">
        <v>365</v>
      </c>
      <c r="H1102" s="43">
        <v>3747</v>
      </c>
      <c r="I1102" s="43">
        <v>246</v>
      </c>
      <c r="J1102" s="43">
        <v>1130</v>
      </c>
      <c r="K1102" s="43">
        <v>80</v>
      </c>
      <c r="L1102" s="43">
        <v>4</v>
      </c>
      <c r="M1102" s="43">
        <v>1852</v>
      </c>
      <c r="N1102" s="43">
        <v>372</v>
      </c>
      <c r="O1102" s="43">
        <v>63</v>
      </c>
      <c r="P1102" s="44">
        <f>K1102+L1102+M1102+N1102+O1102</f>
        <v>2371</v>
      </c>
      <c r="Q1102" s="44">
        <f>I1102+J1102</f>
        <v>1376</v>
      </c>
      <c r="R1102" s="43">
        <v>5348</v>
      </c>
      <c r="S1102" s="43">
        <v>572</v>
      </c>
      <c r="T1102" s="43">
        <v>2508</v>
      </c>
      <c r="U1102" s="43">
        <v>41</v>
      </c>
      <c r="V1102" s="43">
        <v>3</v>
      </c>
      <c r="W1102" s="43">
        <v>1936</v>
      </c>
      <c r="X1102" s="43">
        <v>251</v>
      </c>
      <c r="Y1102" s="43">
        <v>37</v>
      </c>
      <c r="Z1102" s="45">
        <f>U1102+V1102+W1102+X1102+Y1102</f>
        <v>2268</v>
      </c>
      <c r="AA1102" s="45">
        <f>S1102+T1102</f>
        <v>3080</v>
      </c>
      <c r="AB1102" s="46">
        <v>6.5652521999999998</v>
      </c>
      <c r="AC1102" s="46">
        <v>30.157459299999999</v>
      </c>
      <c r="AD1102" s="46">
        <v>2.1350414</v>
      </c>
      <c r="AE1102" s="46">
        <v>0.1067521</v>
      </c>
      <c r="AF1102" s="46">
        <v>49.426207599999998</v>
      </c>
      <c r="AG1102" s="46">
        <v>9.9279423999999992</v>
      </c>
      <c r="AH1102" s="46">
        <v>1.6813450999999999</v>
      </c>
      <c r="AI1102" s="47">
        <f>AB1102+AC1102</f>
        <v>36.722711500000003</v>
      </c>
      <c r="AJ1102" s="47">
        <f>AD1102+AE1102+AF1102+AG1102+AH1102</f>
        <v>63.277288599999999</v>
      </c>
      <c r="AK1102" s="46">
        <v>10.695587099999999</v>
      </c>
      <c r="AL1102" s="46">
        <v>46.896035900000001</v>
      </c>
      <c r="AM1102" s="46">
        <v>0.76664169999999998</v>
      </c>
      <c r="AN1102" s="46">
        <v>5.6095699999999998E-2</v>
      </c>
      <c r="AO1102" s="46">
        <v>36.200448799999997</v>
      </c>
      <c r="AP1102" s="46">
        <v>4.6933433000000004</v>
      </c>
      <c r="AQ1102" s="46">
        <v>0.6918474</v>
      </c>
      <c r="AR1102" s="48">
        <f>AK1102+AL1102</f>
        <v>57.591622999999998</v>
      </c>
      <c r="AS1102" s="48">
        <f>AM1102+AN1102+AO1102+AP1102+AQ1102</f>
        <v>42.4083769</v>
      </c>
    </row>
    <row r="1103" spans="2:45" ht="15" hidden="1" customHeight="1" x14ac:dyDescent="0.25">
      <c r="B1103" s="35">
        <v>1097</v>
      </c>
      <c r="C1103" s="36" t="s">
        <v>31</v>
      </c>
      <c r="D1103" s="36" t="s">
        <v>344</v>
      </c>
      <c r="E1103" s="36" t="s">
        <v>362</v>
      </c>
      <c r="F1103" s="36" t="s">
        <v>365</v>
      </c>
      <c r="G1103" s="37" t="s">
        <v>25</v>
      </c>
      <c r="H1103" s="38">
        <v>2442</v>
      </c>
      <c r="I1103" s="38">
        <v>231</v>
      </c>
      <c r="J1103" s="38">
        <v>1115</v>
      </c>
      <c r="K1103" s="38">
        <v>35</v>
      </c>
      <c r="L1103" s="38">
        <v>3</v>
      </c>
      <c r="M1103" s="38">
        <v>851</v>
      </c>
      <c r="N1103" s="38">
        <v>169</v>
      </c>
      <c r="O1103" s="38">
        <v>38</v>
      </c>
      <c r="P1103" s="38"/>
      <c r="Q1103" s="38"/>
      <c r="R1103" s="38">
        <v>3268</v>
      </c>
      <c r="S1103" s="38">
        <v>500</v>
      </c>
      <c r="T1103" s="38">
        <v>2458</v>
      </c>
      <c r="U1103" s="38">
        <v>18</v>
      </c>
      <c r="V1103" s="38">
        <v>0</v>
      </c>
      <c r="W1103" s="38">
        <v>249</v>
      </c>
      <c r="X1103" s="38">
        <v>40</v>
      </c>
      <c r="Y1103" s="38">
        <v>3</v>
      </c>
      <c r="Z1103" s="38"/>
      <c r="AA1103" s="38"/>
      <c r="AB1103" s="39">
        <v>9.4594594999999995</v>
      </c>
      <c r="AC1103" s="39">
        <v>45.659295700000001</v>
      </c>
      <c r="AD1103" s="39">
        <v>1.4332514000000001</v>
      </c>
      <c r="AE1103" s="39">
        <v>0.1228501</v>
      </c>
      <c r="AF1103" s="39">
        <v>34.848484800000001</v>
      </c>
      <c r="AG1103" s="39">
        <v>6.9205569000000002</v>
      </c>
      <c r="AH1103" s="39">
        <v>1.5561016000000001</v>
      </c>
      <c r="AI1103" s="39"/>
      <c r="AJ1103" s="39"/>
      <c r="AK1103" s="39">
        <v>15.2998776</v>
      </c>
      <c r="AL1103" s="39">
        <v>75.214198300000007</v>
      </c>
      <c r="AM1103" s="39">
        <v>0.55079560000000005</v>
      </c>
      <c r="AN1103" s="39">
        <v>0</v>
      </c>
      <c r="AO1103" s="39">
        <v>7.6193390000000001</v>
      </c>
      <c r="AP1103" s="39">
        <v>1.2239902</v>
      </c>
      <c r="AQ1103" s="39">
        <v>9.17993E-2</v>
      </c>
      <c r="AR1103" s="40"/>
      <c r="AS1103" s="40"/>
    </row>
    <row r="1104" spans="2:45" ht="15" hidden="1" customHeight="1" x14ac:dyDescent="0.25">
      <c r="B1104" s="35">
        <v>1098</v>
      </c>
      <c r="C1104" s="36" t="s">
        <v>31</v>
      </c>
      <c r="D1104" s="36" t="s">
        <v>344</v>
      </c>
      <c r="E1104" s="36" t="s">
        <v>362</v>
      </c>
      <c r="F1104" s="36" t="s">
        <v>365</v>
      </c>
      <c r="G1104" s="37" t="s">
        <v>26</v>
      </c>
      <c r="H1104" s="38">
        <v>1305</v>
      </c>
      <c r="I1104" s="38">
        <v>15</v>
      </c>
      <c r="J1104" s="38">
        <v>15</v>
      </c>
      <c r="K1104" s="38">
        <v>45</v>
      </c>
      <c r="L1104" s="38">
        <v>1</v>
      </c>
      <c r="M1104" s="38">
        <v>1001</v>
      </c>
      <c r="N1104" s="38">
        <v>203</v>
      </c>
      <c r="O1104" s="38">
        <v>25</v>
      </c>
      <c r="P1104" s="38"/>
      <c r="Q1104" s="38"/>
      <c r="R1104" s="38">
        <v>2080</v>
      </c>
      <c r="S1104" s="38">
        <v>72</v>
      </c>
      <c r="T1104" s="38">
        <v>50</v>
      </c>
      <c r="U1104" s="38">
        <v>23</v>
      </c>
      <c r="V1104" s="38">
        <v>3</v>
      </c>
      <c r="W1104" s="38">
        <v>1687</v>
      </c>
      <c r="X1104" s="38">
        <v>211</v>
      </c>
      <c r="Y1104" s="38">
        <v>34</v>
      </c>
      <c r="Z1104" s="38"/>
      <c r="AA1104" s="38"/>
      <c r="AB1104" s="39">
        <v>1.1494253000000001</v>
      </c>
      <c r="AC1104" s="39">
        <v>1.1494253000000001</v>
      </c>
      <c r="AD1104" s="39">
        <v>3.4482759000000001</v>
      </c>
      <c r="AE1104" s="39">
        <v>7.6628399999999999E-2</v>
      </c>
      <c r="AF1104" s="39">
        <v>76.704980800000001</v>
      </c>
      <c r="AG1104" s="39">
        <v>15.5555556</v>
      </c>
      <c r="AH1104" s="39">
        <v>1.9157088</v>
      </c>
      <c r="AI1104" s="39"/>
      <c r="AJ1104" s="39"/>
      <c r="AK1104" s="39">
        <v>3.4615385000000001</v>
      </c>
      <c r="AL1104" s="39">
        <v>2.4038461999999998</v>
      </c>
      <c r="AM1104" s="39">
        <v>1.1057691999999999</v>
      </c>
      <c r="AN1104" s="39">
        <v>0.14423079999999999</v>
      </c>
      <c r="AO1104" s="39">
        <v>81.105769199999997</v>
      </c>
      <c r="AP1104" s="39">
        <v>10.144230800000001</v>
      </c>
      <c r="AQ1104" s="39">
        <v>1.6346153999999999</v>
      </c>
      <c r="AR1104" s="40"/>
      <c r="AS1104" s="40"/>
    </row>
    <row r="1105" spans="2:45" ht="15" hidden="1" customHeight="1" x14ac:dyDescent="0.25">
      <c r="B1105" s="30">
        <v>1099</v>
      </c>
      <c r="C1105" s="31" t="s">
        <v>29</v>
      </c>
      <c r="D1105" s="50" t="s">
        <v>344</v>
      </c>
      <c r="E1105" s="50" t="s">
        <v>366</v>
      </c>
      <c r="F1105" s="50"/>
      <c r="G1105" s="31" t="s">
        <v>366</v>
      </c>
      <c r="H1105" s="32">
        <v>10451</v>
      </c>
      <c r="I1105" s="32">
        <v>599</v>
      </c>
      <c r="J1105" s="32">
        <v>3365</v>
      </c>
      <c r="K1105" s="32">
        <v>448</v>
      </c>
      <c r="L1105" s="32">
        <v>68</v>
      </c>
      <c r="M1105" s="32">
        <v>5358</v>
      </c>
      <c r="N1105" s="32">
        <v>526</v>
      </c>
      <c r="O1105" s="32">
        <v>87</v>
      </c>
      <c r="P1105" s="32"/>
      <c r="Q1105" s="32"/>
      <c r="R1105" s="32">
        <v>12935</v>
      </c>
      <c r="S1105" s="32">
        <v>855</v>
      </c>
      <c r="T1105" s="32">
        <v>4837</v>
      </c>
      <c r="U1105" s="32">
        <v>166</v>
      </c>
      <c r="V1105" s="32">
        <v>29</v>
      </c>
      <c r="W1105" s="32">
        <v>6474</v>
      </c>
      <c r="X1105" s="32">
        <v>453</v>
      </c>
      <c r="Y1105" s="32">
        <v>121</v>
      </c>
      <c r="Z1105" s="32"/>
      <c r="AA1105" s="32"/>
      <c r="AB1105" s="33">
        <v>5.7315088999999997</v>
      </c>
      <c r="AC1105" s="33">
        <v>32.197875799999998</v>
      </c>
      <c r="AD1105" s="33">
        <v>4.2866711000000004</v>
      </c>
      <c r="AE1105" s="33">
        <v>0.65065539999999999</v>
      </c>
      <c r="AF1105" s="33">
        <v>51.267821300000001</v>
      </c>
      <c r="AG1105" s="33">
        <v>5.0330111999999998</v>
      </c>
      <c r="AH1105" s="33">
        <v>0.83245619999999998</v>
      </c>
      <c r="AI1105" s="33"/>
      <c r="AJ1105" s="33"/>
      <c r="AK1105" s="33">
        <v>6.6099728999999998</v>
      </c>
      <c r="AL1105" s="33">
        <v>37.394665600000003</v>
      </c>
      <c r="AM1105" s="33">
        <v>1.2833398</v>
      </c>
      <c r="AN1105" s="33">
        <v>0.22419790000000001</v>
      </c>
      <c r="AO1105" s="33">
        <v>50.050251299999999</v>
      </c>
      <c r="AP1105" s="33">
        <v>3.5021260000000001</v>
      </c>
      <c r="AQ1105" s="33">
        <v>0.93544649999999996</v>
      </c>
      <c r="AR1105" s="34"/>
      <c r="AS1105" s="34"/>
    </row>
    <row r="1106" spans="2:45" ht="15" hidden="1" customHeight="1" x14ac:dyDescent="0.25">
      <c r="B1106" s="35">
        <v>1100</v>
      </c>
      <c r="C1106" s="36" t="s">
        <v>29</v>
      </c>
      <c r="D1106" s="36" t="s">
        <v>344</v>
      </c>
      <c r="E1106" s="36" t="s">
        <v>366</v>
      </c>
      <c r="F1106" s="36"/>
      <c r="G1106" s="37" t="s">
        <v>25</v>
      </c>
      <c r="H1106" s="38">
        <v>5404</v>
      </c>
      <c r="I1106" s="38">
        <v>592</v>
      </c>
      <c r="J1106" s="38">
        <v>3352</v>
      </c>
      <c r="K1106" s="38">
        <v>204</v>
      </c>
      <c r="L1106" s="38">
        <v>32</v>
      </c>
      <c r="M1106" s="38">
        <v>1108</v>
      </c>
      <c r="N1106" s="38">
        <v>84</v>
      </c>
      <c r="O1106" s="38">
        <v>32</v>
      </c>
      <c r="P1106" s="38"/>
      <c r="Q1106" s="38"/>
      <c r="R1106" s="38">
        <v>6698</v>
      </c>
      <c r="S1106" s="38">
        <v>785</v>
      </c>
      <c r="T1106" s="38">
        <v>4818</v>
      </c>
      <c r="U1106" s="38">
        <v>64</v>
      </c>
      <c r="V1106" s="38">
        <v>15</v>
      </c>
      <c r="W1106" s="38">
        <v>937</v>
      </c>
      <c r="X1106" s="38">
        <v>42</v>
      </c>
      <c r="Y1106" s="38">
        <v>37</v>
      </c>
      <c r="Z1106" s="38"/>
      <c r="AA1106" s="38"/>
      <c r="AB1106" s="39">
        <v>10.9548483</v>
      </c>
      <c r="AC1106" s="39">
        <v>62.028127300000001</v>
      </c>
      <c r="AD1106" s="39">
        <v>3.7749815</v>
      </c>
      <c r="AE1106" s="39">
        <v>0.59215399999999996</v>
      </c>
      <c r="AF1106" s="39">
        <v>20.503330900000002</v>
      </c>
      <c r="AG1106" s="39">
        <v>1.5544041</v>
      </c>
      <c r="AH1106" s="39">
        <v>0.59215399999999996</v>
      </c>
      <c r="AI1106" s="39"/>
      <c r="AJ1106" s="39"/>
      <c r="AK1106" s="39">
        <v>11.719916400000001</v>
      </c>
      <c r="AL1106" s="39">
        <v>71.931920000000005</v>
      </c>
      <c r="AM1106" s="39">
        <v>0.9555091</v>
      </c>
      <c r="AN1106" s="39">
        <v>0.22394739999999999</v>
      </c>
      <c r="AO1106" s="39">
        <v>13.989250500000001</v>
      </c>
      <c r="AP1106" s="39">
        <v>0.62705290000000002</v>
      </c>
      <c r="AQ1106" s="39">
        <v>0.55240370000000005</v>
      </c>
      <c r="AR1106" s="40"/>
      <c r="AS1106" s="40"/>
    </row>
    <row r="1107" spans="2:45" ht="15" hidden="1" customHeight="1" x14ac:dyDescent="0.25">
      <c r="B1107" s="35">
        <v>1101</v>
      </c>
      <c r="C1107" s="36" t="s">
        <v>29</v>
      </c>
      <c r="D1107" s="36" t="s">
        <v>344</v>
      </c>
      <c r="E1107" s="36" t="s">
        <v>366</v>
      </c>
      <c r="F1107" s="36"/>
      <c r="G1107" s="37" t="s">
        <v>26</v>
      </c>
      <c r="H1107" s="38">
        <v>5047</v>
      </c>
      <c r="I1107" s="38">
        <v>7</v>
      </c>
      <c r="J1107" s="38">
        <v>13</v>
      </c>
      <c r="K1107" s="38">
        <v>244</v>
      </c>
      <c r="L1107" s="38">
        <v>36</v>
      </c>
      <c r="M1107" s="38">
        <v>4250</v>
      </c>
      <c r="N1107" s="38">
        <v>442</v>
      </c>
      <c r="O1107" s="38">
        <v>55</v>
      </c>
      <c r="P1107" s="38"/>
      <c r="Q1107" s="38"/>
      <c r="R1107" s="38">
        <v>6237</v>
      </c>
      <c r="S1107" s="38">
        <v>70</v>
      </c>
      <c r="T1107" s="38">
        <v>19</v>
      </c>
      <c r="U1107" s="38">
        <v>102</v>
      </c>
      <c r="V1107" s="38">
        <v>14</v>
      </c>
      <c r="W1107" s="38">
        <v>5537</v>
      </c>
      <c r="X1107" s="38">
        <v>411</v>
      </c>
      <c r="Y1107" s="38">
        <v>84</v>
      </c>
      <c r="Z1107" s="38"/>
      <c r="AA1107" s="38"/>
      <c r="AB1107" s="39">
        <v>0.13869629999999999</v>
      </c>
      <c r="AC1107" s="39">
        <v>0.2575788</v>
      </c>
      <c r="AD1107" s="39">
        <v>4.8345551999999996</v>
      </c>
      <c r="AE1107" s="39">
        <v>0.71329500000000001</v>
      </c>
      <c r="AF1107" s="39">
        <v>84.208440699999997</v>
      </c>
      <c r="AG1107" s="39">
        <v>8.7576777999999997</v>
      </c>
      <c r="AH1107" s="39">
        <v>1.0897562999999999</v>
      </c>
      <c r="AI1107" s="39"/>
      <c r="AJ1107" s="39"/>
      <c r="AK1107" s="39">
        <v>1.1223345</v>
      </c>
      <c r="AL1107" s="39">
        <v>0.3046336</v>
      </c>
      <c r="AM1107" s="39">
        <v>1.6354016</v>
      </c>
      <c r="AN1107" s="39">
        <v>0.2244669</v>
      </c>
      <c r="AO1107" s="39">
        <v>88.776655399999996</v>
      </c>
      <c r="AP1107" s="39">
        <v>6.5897066000000004</v>
      </c>
      <c r="AQ1107" s="39">
        <v>1.3468013000000001</v>
      </c>
      <c r="AR1107" s="40"/>
      <c r="AS1107" s="40"/>
    </row>
    <row r="1108" spans="2:45" ht="15" customHeight="1" x14ac:dyDescent="0.25">
      <c r="B1108" s="41">
        <v>1102</v>
      </c>
      <c r="C1108" s="42" t="s">
        <v>31</v>
      </c>
      <c r="D1108" s="51" t="s">
        <v>344</v>
      </c>
      <c r="E1108" s="51" t="s">
        <v>366</v>
      </c>
      <c r="F1108" s="51" t="s">
        <v>367</v>
      </c>
      <c r="G1108" s="52" t="s">
        <v>367</v>
      </c>
      <c r="H1108" s="43">
        <v>4119</v>
      </c>
      <c r="I1108" s="43">
        <v>397</v>
      </c>
      <c r="J1108" s="43">
        <v>2448</v>
      </c>
      <c r="K1108" s="43">
        <v>96</v>
      </c>
      <c r="L1108" s="43">
        <v>12</v>
      </c>
      <c r="M1108" s="43">
        <v>1009</v>
      </c>
      <c r="N1108" s="43">
        <v>141</v>
      </c>
      <c r="O1108" s="43">
        <v>16</v>
      </c>
      <c r="P1108" s="44">
        <f>K1108+L1108+M1108+N1108+O1108</f>
        <v>1274</v>
      </c>
      <c r="Q1108" s="44">
        <f>I1108+J1108</f>
        <v>2845</v>
      </c>
      <c r="R1108" s="43">
        <v>5445</v>
      </c>
      <c r="S1108" s="43">
        <v>511</v>
      </c>
      <c r="T1108" s="43">
        <v>3358</v>
      </c>
      <c r="U1108" s="43">
        <v>38</v>
      </c>
      <c r="V1108" s="43">
        <v>0</v>
      </c>
      <c r="W1108" s="43">
        <v>1335</v>
      </c>
      <c r="X1108" s="43">
        <v>148</v>
      </c>
      <c r="Y1108" s="43">
        <v>55</v>
      </c>
      <c r="Z1108" s="45">
        <f>U1108+V1108+W1108+X1108+Y1108</f>
        <v>1576</v>
      </c>
      <c r="AA1108" s="45">
        <f>S1108+T1108</f>
        <v>3869</v>
      </c>
      <c r="AB1108" s="46">
        <v>9.6382616999999993</v>
      </c>
      <c r="AC1108" s="46">
        <v>59.431900900000002</v>
      </c>
      <c r="AD1108" s="46">
        <v>2.3306627999999998</v>
      </c>
      <c r="AE1108" s="46">
        <v>0.2913328</v>
      </c>
      <c r="AF1108" s="46">
        <v>24.496237000000001</v>
      </c>
      <c r="AG1108" s="46">
        <v>3.4231609999999999</v>
      </c>
      <c r="AH1108" s="46">
        <v>0.38844380000000001</v>
      </c>
      <c r="AI1108" s="47">
        <f>AB1108+AC1108</f>
        <v>69.070162600000003</v>
      </c>
      <c r="AJ1108" s="47">
        <f>AD1108+AE1108+AF1108+AG1108+AH1108</f>
        <v>30.9298374</v>
      </c>
      <c r="AK1108" s="46">
        <v>9.3847567000000005</v>
      </c>
      <c r="AL1108" s="46">
        <v>61.671258000000002</v>
      </c>
      <c r="AM1108" s="46">
        <v>0.69788799999999995</v>
      </c>
      <c r="AN1108" s="46">
        <v>0</v>
      </c>
      <c r="AO1108" s="46">
        <v>24.5179063</v>
      </c>
      <c r="AP1108" s="46">
        <v>2.7180900000000001</v>
      </c>
      <c r="AQ1108" s="46">
        <v>1.0101009999999999</v>
      </c>
      <c r="AR1108" s="48">
        <f>AK1108+AL1108</f>
        <v>71.056014700000006</v>
      </c>
      <c r="AS1108" s="48">
        <f>AM1108+AN1108+AO1108+AP1108+AQ1108</f>
        <v>28.943985299999998</v>
      </c>
    </row>
    <row r="1109" spans="2:45" ht="15" hidden="1" customHeight="1" x14ac:dyDescent="0.25">
      <c r="B1109" s="35">
        <v>1103</v>
      </c>
      <c r="C1109" s="36" t="s">
        <v>31</v>
      </c>
      <c r="D1109" s="36" t="s">
        <v>344</v>
      </c>
      <c r="E1109" s="36" t="s">
        <v>366</v>
      </c>
      <c r="F1109" s="36" t="s">
        <v>367</v>
      </c>
      <c r="G1109" s="37" t="s">
        <v>25</v>
      </c>
      <c r="H1109" s="38">
        <v>3189</v>
      </c>
      <c r="I1109" s="38">
        <v>393</v>
      </c>
      <c r="J1109" s="38">
        <v>2446</v>
      </c>
      <c r="K1109" s="38">
        <v>30</v>
      </c>
      <c r="L1109" s="38">
        <v>4</v>
      </c>
      <c r="M1109" s="38">
        <v>272</v>
      </c>
      <c r="N1109" s="38">
        <v>34</v>
      </c>
      <c r="O1109" s="38">
        <v>10</v>
      </c>
      <c r="P1109" s="38"/>
      <c r="Q1109" s="38"/>
      <c r="R1109" s="38">
        <v>4186</v>
      </c>
      <c r="S1109" s="38">
        <v>486</v>
      </c>
      <c r="T1109" s="38">
        <v>3348</v>
      </c>
      <c r="U1109" s="38">
        <v>10</v>
      </c>
      <c r="V1109" s="38">
        <v>0</v>
      </c>
      <c r="W1109" s="38">
        <v>306</v>
      </c>
      <c r="X1109" s="38">
        <v>21</v>
      </c>
      <c r="Y1109" s="38">
        <v>15</v>
      </c>
      <c r="Z1109" s="38"/>
      <c r="AA1109" s="38"/>
      <c r="AB1109" s="39">
        <v>12.3236124</v>
      </c>
      <c r="AC1109" s="39">
        <v>76.701160200000004</v>
      </c>
      <c r="AD1109" s="39">
        <v>0.94073379999999995</v>
      </c>
      <c r="AE1109" s="39">
        <v>0.12543119999999999</v>
      </c>
      <c r="AF1109" s="39">
        <v>8.5293194999999997</v>
      </c>
      <c r="AG1109" s="39">
        <v>1.0661649</v>
      </c>
      <c r="AH1109" s="39">
        <v>0.31357790000000002</v>
      </c>
      <c r="AI1109" s="39"/>
      <c r="AJ1109" s="39"/>
      <c r="AK1109" s="39">
        <v>11.610129000000001</v>
      </c>
      <c r="AL1109" s="39">
        <v>79.980888699999994</v>
      </c>
      <c r="AM1109" s="39">
        <v>0.23889150000000001</v>
      </c>
      <c r="AN1109" s="39">
        <v>0</v>
      </c>
      <c r="AO1109" s="39">
        <v>7.3100811999999999</v>
      </c>
      <c r="AP1109" s="39">
        <v>0.50167220000000001</v>
      </c>
      <c r="AQ1109" s="39">
        <v>0.35833730000000003</v>
      </c>
      <c r="AR1109" s="40"/>
      <c r="AS1109" s="40"/>
    </row>
    <row r="1110" spans="2:45" ht="15" hidden="1" customHeight="1" x14ac:dyDescent="0.25">
      <c r="B1110" s="35">
        <v>1104</v>
      </c>
      <c r="C1110" s="36" t="s">
        <v>31</v>
      </c>
      <c r="D1110" s="36" t="s">
        <v>344</v>
      </c>
      <c r="E1110" s="36" t="s">
        <v>366</v>
      </c>
      <c r="F1110" s="36" t="s">
        <v>367</v>
      </c>
      <c r="G1110" s="37" t="s">
        <v>26</v>
      </c>
      <c r="H1110" s="38">
        <v>930</v>
      </c>
      <c r="I1110" s="38">
        <v>4</v>
      </c>
      <c r="J1110" s="38">
        <v>2</v>
      </c>
      <c r="K1110" s="38">
        <v>66</v>
      </c>
      <c r="L1110" s="38">
        <v>8</v>
      </c>
      <c r="M1110" s="38">
        <v>737</v>
      </c>
      <c r="N1110" s="38">
        <v>107</v>
      </c>
      <c r="O1110" s="38">
        <v>6</v>
      </c>
      <c r="P1110" s="38"/>
      <c r="Q1110" s="38"/>
      <c r="R1110" s="38">
        <v>1259</v>
      </c>
      <c r="S1110" s="38">
        <v>25</v>
      </c>
      <c r="T1110" s="38">
        <v>10</v>
      </c>
      <c r="U1110" s="38">
        <v>28</v>
      </c>
      <c r="V1110" s="38">
        <v>0</v>
      </c>
      <c r="W1110" s="38">
        <v>1029</v>
      </c>
      <c r="X1110" s="38">
        <v>127</v>
      </c>
      <c r="Y1110" s="38">
        <v>40</v>
      </c>
      <c r="Z1110" s="38"/>
      <c r="AA1110" s="38"/>
      <c r="AB1110" s="39">
        <v>0.43010749999999998</v>
      </c>
      <c r="AC1110" s="39">
        <v>0.21505379999999999</v>
      </c>
      <c r="AD1110" s="39">
        <v>7.0967741999999996</v>
      </c>
      <c r="AE1110" s="39">
        <v>0.86021510000000001</v>
      </c>
      <c r="AF1110" s="39">
        <v>79.247311800000006</v>
      </c>
      <c r="AG1110" s="39">
        <v>11.5053763</v>
      </c>
      <c r="AH1110" s="39">
        <v>0.64516130000000005</v>
      </c>
      <c r="AI1110" s="39"/>
      <c r="AJ1110" s="39"/>
      <c r="AK1110" s="39">
        <v>1.9857028999999999</v>
      </c>
      <c r="AL1110" s="39">
        <v>0.79428120000000002</v>
      </c>
      <c r="AM1110" s="39">
        <v>2.2239873000000001</v>
      </c>
      <c r="AN1110" s="39">
        <v>0</v>
      </c>
      <c r="AO1110" s="39">
        <v>81.731532999999999</v>
      </c>
      <c r="AP1110" s="39">
        <v>10.0873709</v>
      </c>
      <c r="AQ1110" s="39">
        <v>3.1771246999999998</v>
      </c>
      <c r="AR1110" s="40"/>
      <c r="AS1110" s="40"/>
    </row>
    <row r="1111" spans="2:45" ht="15" customHeight="1" x14ac:dyDescent="0.25">
      <c r="B1111" s="41">
        <v>1105</v>
      </c>
      <c r="C1111" s="42" t="s">
        <v>31</v>
      </c>
      <c r="D1111" s="51" t="s">
        <v>344</v>
      </c>
      <c r="E1111" s="51" t="s">
        <v>366</v>
      </c>
      <c r="F1111" s="51" t="s">
        <v>368</v>
      </c>
      <c r="G1111" s="52" t="s">
        <v>368</v>
      </c>
      <c r="H1111" s="43">
        <v>4978</v>
      </c>
      <c r="I1111" s="43">
        <v>142</v>
      </c>
      <c r="J1111" s="43">
        <v>519</v>
      </c>
      <c r="K1111" s="43">
        <v>181</v>
      </c>
      <c r="L1111" s="43">
        <v>29</v>
      </c>
      <c r="M1111" s="43">
        <v>3735</v>
      </c>
      <c r="N1111" s="43">
        <v>324</v>
      </c>
      <c r="O1111" s="43">
        <v>48</v>
      </c>
      <c r="P1111" s="44">
        <f>K1111+L1111+M1111+N1111+O1111</f>
        <v>4317</v>
      </c>
      <c r="Q1111" s="44">
        <f>I1111+J1111</f>
        <v>661</v>
      </c>
      <c r="R1111" s="43">
        <v>5957</v>
      </c>
      <c r="S1111" s="43">
        <v>199</v>
      </c>
      <c r="T1111" s="43">
        <v>680</v>
      </c>
      <c r="U1111" s="43">
        <v>72</v>
      </c>
      <c r="V1111" s="43">
        <v>14</v>
      </c>
      <c r="W1111" s="43">
        <v>4697</v>
      </c>
      <c r="X1111" s="43">
        <v>241</v>
      </c>
      <c r="Y1111" s="43">
        <v>54</v>
      </c>
      <c r="Z1111" s="45">
        <f>U1111+V1111+W1111+X1111+Y1111</f>
        <v>5078</v>
      </c>
      <c r="AA1111" s="45">
        <f>S1111+T1111</f>
        <v>879</v>
      </c>
      <c r="AB1111" s="46">
        <v>2.8525512000000002</v>
      </c>
      <c r="AC1111" s="46">
        <v>10.4258738</v>
      </c>
      <c r="AD1111" s="46">
        <v>3.6359984000000001</v>
      </c>
      <c r="AE1111" s="46">
        <v>0.58256330000000001</v>
      </c>
      <c r="AF1111" s="46">
        <v>75.030132600000002</v>
      </c>
      <c r="AG1111" s="46">
        <v>6.5086380000000004</v>
      </c>
      <c r="AH1111" s="46">
        <v>0.96424270000000001</v>
      </c>
      <c r="AI1111" s="47">
        <f>AB1111+AC1111</f>
        <v>13.278425</v>
      </c>
      <c r="AJ1111" s="47">
        <f>AD1111+AE1111+AF1111+AG1111+AH1111</f>
        <v>86.721575000000001</v>
      </c>
      <c r="AK1111" s="46">
        <v>3.3406077000000001</v>
      </c>
      <c r="AL1111" s="46">
        <v>11.415141800000001</v>
      </c>
      <c r="AM1111" s="46">
        <v>1.2086621</v>
      </c>
      <c r="AN1111" s="46">
        <v>0.23501759999999999</v>
      </c>
      <c r="AO1111" s="46">
        <v>78.848413600000001</v>
      </c>
      <c r="AP1111" s="46">
        <v>4.0456605999999997</v>
      </c>
      <c r="AQ1111" s="46">
        <v>0.90649659999999999</v>
      </c>
      <c r="AR1111" s="48">
        <f>AK1111+AL1111</f>
        <v>14.7557495</v>
      </c>
      <c r="AS1111" s="48">
        <f>AM1111+AN1111+AO1111+AP1111+AQ1111</f>
        <v>85.244250500000007</v>
      </c>
    </row>
    <row r="1112" spans="2:45" ht="15" hidden="1" customHeight="1" x14ac:dyDescent="0.25">
      <c r="B1112" s="35">
        <v>1106</v>
      </c>
      <c r="C1112" s="36" t="s">
        <v>31</v>
      </c>
      <c r="D1112" s="36" t="s">
        <v>344</v>
      </c>
      <c r="E1112" s="36" t="s">
        <v>366</v>
      </c>
      <c r="F1112" s="36" t="s">
        <v>368</v>
      </c>
      <c r="G1112" s="37" t="s">
        <v>25</v>
      </c>
      <c r="H1112" s="38">
        <v>1164</v>
      </c>
      <c r="I1112" s="38">
        <v>140</v>
      </c>
      <c r="J1112" s="38">
        <v>512</v>
      </c>
      <c r="K1112" s="38">
        <v>20</v>
      </c>
      <c r="L1112" s="38">
        <v>4</v>
      </c>
      <c r="M1112" s="38">
        <v>455</v>
      </c>
      <c r="N1112" s="38">
        <v>27</v>
      </c>
      <c r="O1112" s="38">
        <v>6</v>
      </c>
      <c r="P1112" s="38"/>
      <c r="Q1112" s="38"/>
      <c r="R1112" s="38">
        <v>1288</v>
      </c>
      <c r="S1112" s="38">
        <v>161</v>
      </c>
      <c r="T1112" s="38">
        <v>674</v>
      </c>
      <c r="U1112" s="38">
        <v>8</v>
      </c>
      <c r="V1112" s="38">
        <v>2</v>
      </c>
      <c r="W1112" s="38">
        <v>412</v>
      </c>
      <c r="X1112" s="38">
        <v>16</v>
      </c>
      <c r="Y1112" s="38">
        <v>15</v>
      </c>
      <c r="Z1112" s="38"/>
      <c r="AA1112" s="38"/>
      <c r="AB1112" s="39">
        <v>12.027491400000001</v>
      </c>
      <c r="AC1112" s="39">
        <v>43.986254299999999</v>
      </c>
      <c r="AD1112" s="39">
        <v>1.7182131</v>
      </c>
      <c r="AE1112" s="39">
        <v>0.34364260000000002</v>
      </c>
      <c r="AF1112" s="39">
        <v>39.089347099999998</v>
      </c>
      <c r="AG1112" s="39">
        <v>2.3195876000000002</v>
      </c>
      <c r="AH1112" s="39">
        <v>0.51546389999999997</v>
      </c>
      <c r="AI1112" s="39"/>
      <c r="AJ1112" s="39"/>
      <c r="AK1112" s="39">
        <v>12.5</v>
      </c>
      <c r="AL1112" s="39">
        <v>52.329192499999998</v>
      </c>
      <c r="AM1112" s="39">
        <v>0.62111799999999995</v>
      </c>
      <c r="AN1112" s="39">
        <v>0.15527949999999999</v>
      </c>
      <c r="AO1112" s="39">
        <v>31.987577600000002</v>
      </c>
      <c r="AP1112" s="39">
        <v>1.2422359999999999</v>
      </c>
      <c r="AQ1112" s="39">
        <v>1.1645962999999999</v>
      </c>
      <c r="AR1112" s="40"/>
      <c r="AS1112" s="40"/>
    </row>
    <row r="1113" spans="2:45" ht="15" hidden="1" customHeight="1" x14ac:dyDescent="0.25">
      <c r="B1113" s="35">
        <v>1107</v>
      </c>
      <c r="C1113" s="36" t="s">
        <v>31</v>
      </c>
      <c r="D1113" s="36" t="s">
        <v>344</v>
      </c>
      <c r="E1113" s="36" t="s">
        <v>366</v>
      </c>
      <c r="F1113" s="36" t="s">
        <v>368</v>
      </c>
      <c r="G1113" s="37" t="s">
        <v>26</v>
      </c>
      <c r="H1113" s="38">
        <v>3814</v>
      </c>
      <c r="I1113" s="38">
        <v>2</v>
      </c>
      <c r="J1113" s="38">
        <v>7</v>
      </c>
      <c r="K1113" s="38">
        <v>161</v>
      </c>
      <c r="L1113" s="38">
        <v>25</v>
      </c>
      <c r="M1113" s="38">
        <v>3280</v>
      </c>
      <c r="N1113" s="38">
        <v>297</v>
      </c>
      <c r="O1113" s="38">
        <v>42</v>
      </c>
      <c r="P1113" s="38"/>
      <c r="Q1113" s="38"/>
      <c r="R1113" s="38">
        <v>4669</v>
      </c>
      <c r="S1113" s="38">
        <v>38</v>
      </c>
      <c r="T1113" s="38">
        <v>6</v>
      </c>
      <c r="U1113" s="38">
        <v>64</v>
      </c>
      <c r="V1113" s="38">
        <v>12</v>
      </c>
      <c r="W1113" s="38">
        <v>4285</v>
      </c>
      <c r="X1113" s="38">
        <v>225</v>
      </c>
      <c r="Y1113" s="38">
        <v>39</v>
      </c>
      <c r="Z1113" s="38"/>
      <c r="AA1113" s="38"/>
      <c r="AB1113" s="39">
        <v>5.2438400000000003E-2</v>
      </c>
      <c r="AC1113" s="39">
        <v>0.18353430000000001</v>
      </c>
      <c r="AD1113" s="39">
        <v>4.2212899999999998</v>
      </c>
      <c r="AE1113" s="39">
        <v>0.65547979999999995</v>
      </c>
      <c r="AF1113" s="39">
        <v>85.998951199999993</v>
      </c>
      <c r="AG1113" s="39">
        <v>7.7871002000000002</v>
      </c>
      <c r="AH1113" s="39">
        <v>1.1012061</v>
      </c>
      <c r="AI1113" s="39"/>
      <c r="AJ1113" s="39"/>
      <c r="AK1113" s="39">
        <v>0.81387880000000001</v>
      </c>
      <c r="AL1113" s="39">
        <v>0.12850719999999999</v>
      </c>
      <c r="AM1113" s="39">
        <v>1.3707431999999999</v>
      </c>
      <c r="AN1113" s="39">
        <v>0.25701429999999997</v>
      </c>
      <c r="AO1113" s="39">
        <v>91.775540800000002</v>
      </c>
      <c r="AP1113" s="39">
        <v>4.8190191000000002</v>
      </c>
      <c r="AQ1113" s="39">
        <v>0.83529659999999994</v>
      </c>
      <c r="AR1113" s="40"/>
      <c r="AS1113" s="40"/>
    </row>
    <row r="1114" spans="2:45" ht="15" customHeight="1" x14ac:dyDescent="0.25">
      <c r="B1114" s="41">
        <v>1108</v>
      </c>
      <c r="C1114" s="42" t="s">
        <v>31</v>
      </c>
      <c r="D1114" s="51" t="s">
        <v>344</v>
      </c>
      <c r="E1114" s="51" t="s">
        <v>366</v>
      </c>
      <c r="F1114" s="51" t="s">
        <v>369</v>
      </c>
      <c r="G1114" s="52" t="s">
        <v>369</v>
      </c>
      <c r="H1114" s="43">
        <v>1354</v>
      </c>
      <c r="I1114" s="43">
        <v>60</v>
      </c>
      <c r="J1114" s="43">
        <v>398</v>
      </c>
      <c r="K1114" s="43">
        <v>171</v>
      </c>
      <c r="L1114" s="43">
        <v>27</v>
      </c>
      <c r="M1114" s="43">
        <v>614</v>
      </c>
      <c r="N1114" s="43">
        <v>61</v>
      </c>
      <c r="O1114" s="43">
        <v>23</v>
      </c>
      <c r="P1114" s="44">
        <f>K1114+L1114+M1114+N1114+O1114</f>
        <v>896</v>
      </c>
      <c r="Q1114" s="44">
        <f>I1114+J1114</f>
        <v>458</v>
      </c>
      <c r="R1114" s="43">
        <v>1533</v>
      </c>
      <c r="S1114" s="43">
        <v>145</v>
      </c>
      <c r="T1114" s="43">
        <v>799</v>
      </c>
      <c r="U1114" s="43">
        <v>56</v>
      </c>
      <c r="V1114" s="43">
        <v>15</v>
      </c>
      <c r="W1114" s="43">
        <v>442</v>
      </c>
      <c r="X1114" s="43">
        <v>64</v>
      </c>
      <c r="Y1114" s="43">
        <v>12</v>
      </c>
      <c r="Z1114" s="45">
        <f>U1114+V1114+W1114+X1114+Y1114</f>
        <v>589</v>
      </c>
      <c r="AA1114" s="45">
        <f>S1114+T1114</f>
        <v>944</v>
      </c>
      <c r="AB1114" s="46">
        <v>4.4313146000000003</v>
      </c>
      <c r="AC1114" s="46">
        <v>29.394386999999998</v>
      </c>
      <c r="AD1114" s="46">
        <v>12.629246699999999</v>
      </c>
      <c r="AE1114" s="46">
        <v>1.9940916</v>
      </c>
      <c r="AF1114" s="46">
        <v>45.347119599999999</v>
      </c>
      <c r="AG1114" s="46">
        <v>4.5051699000000003</v>
      </c>
      <c r="AH1114" s="46">
        <v>1.6986706</v>
      </c>
      <c r="AI1114" s="47">
        <f>AB1114+AC1114</f>
        <v>33.825701600000002</v>
      </c>
      <c r="AJ1114" s="47">
        <f>AD1114+AE1114+AF1114+AG1114+AH1114</f>
        <v>66.174298399999998</v>
      </c>
      <c r="AK1114" s="46">
        <v>9.4585779999999993</v>
      </c>
      <c r="AL1114" s="46">
        <v>52.120026099999997</v>
      </c>
      <c r="AM1114" s="46">
        <v>3.652968</v>
      </c>
      <c r="AN1114" s="46">
        <v>0.97847360000000005</v>
      </c>
      <c r="AO1114" s="46">
        <v>28.832354899999999</v>
      </c>
      <c r="AP1114" s="46">
        <v>4.1748206000000003</v>
      </c>
      <c r="AQ1114" s="46">
        <v>0.78277890000000006</v>
      </c>
      <c r="AR1114" s="48">
        <f>AK1114+AL1114</f>
        <v>61.578604099999993</v>
      </c>
      <c r="AS1114" s="48">
        <f>AM1114+AN1114+AO1114+AP1114+AQ1114</f>
        <v>38.421396000000001</v>
      </c>
    </row>
    <row r="1115" spans="2:45" ht="15" hidden="1" customHeight="1" x14ac:dyDescent="0.25">
      <c r="B1115" s="35">
        <v>1109</v>
      </c>
      <c r="C1115" s="36" t="s">
        <v>31</v>
      </c>
      <c r="D1115" s="36" t="s">
        <v>344</v>
      </c>
      <c r="E1115" s="36" t="s">
        <v>366</v>
      </c>
      <c r="F1115" s="36" t="s">
        <v>369</v>
      </c>
      <c r="G1115" s="37" t="s">
        <v>25</v>
      </c>
      <c r="H1115" s="38">
        <v>1051</v>
      </c>
      <c r="I1115" s="38">
        <v>59</v>
      </c>
      <c r="J1115" s="38">
        <v>394</v>
      </c>
      <c r="K1115" s="38">
        <v>154</v>
      </c>
      <c r="L1115" s="38">
        <v>24</v>
      </c>
      <c r="M1115" s="38">
        <v>381</v>
      </c>
      <c r="N1115" s="38">
        <v>23</v>
      </c>
      <c r="O1115" s="38">
        <v>16</v>
      </c>
      <c r="P1115" s="38"/>
      <c r="Q1115" s="38"/>
      <c r="R1115" s="38">
        <v>1224</v>
      </c>
      <c r="S1115" s="38">
        <v>138</v>
      </c>
      <c r="T1115" s="38">
        <v>796</v>
      </c>
      <c r="U1115" s="38">
        <v>46</v>
      </c>
      <c r="V1115" s="38">
        <v>13</v>
      </c>
      <c r="W1115" s="38">
        <v>219</v>
      </c>
      <c r="X1115" s="38">
        <v>5</v>
      </c>
      <c r="Y1115" s="38">
        <v>7</v>
      </c>
      <c r="Z1115" s="38"/>
      <c r="AA1115" s="38"/>
      <c r="AB1115" s="39">
        <v>5.6137012000000004</v>
      </c>
      <c r="AC1115" s="39">
        <v>37.488106600000002</v>
      </c>
      <c r="AD1115" s="39">
        <v>14.652711699999999</v>
      </c>
      <c r="AE1115" s="39">
        <v>2.2835394999999998</v>
      </c>
      <c r="AF1115" s="39">
        <v>36.2511893</v>
      </c>
      <c r="AG1115" s="39">
        <v>2.1883919999999999</v>
      </c>
      <c r="AH1115" s="39">
        <v>1.5223597</v>
      </c>
      <c r="AI1115" s="39"/>
      <c r="AJ1115" s="39"/>
      <c r="AK1115" s="39">
        <v>11.274509800000001</v>
      </c>
      <c r="AL1115" s="39">
        <v>65.032679700000003</v>
      </c>
      <c r="AM1115" s="39">
        <v>3.7581699</v>
      </c>
      <c r="AN1115" s="39">
        <v>1.0620915</v>
      </c>
      <c r="AO1115" s="39">
        <v>17.8921569</v>
      </c>
      <c r="AP1115" s="39">
        <v>0.40849669999999999</v>
      </c>
      <c r="AQ1115" s="39">
        <v>0.57189540000000005</v>
      </c>
      <c r="AR1115" s="40"/>
      <c r="AS1115" s="40"/>
    </row>
    <row r="1116" spans="2:45" ht="15" hidden="1" customHeight="1" x14ac:dyDescent="0.25">
      <c r="B1116" s="35">
        <v>1110</v>
      </c>
      <c r="C1116" s="36" t="s">
        <v>31</v>
      </c>
      <c r="D1116" s="36" t="s">
        <v>344</v>
      </c>
      <c r="E1116" s="36" t="s">
        <v>366</v>
      </c>
      <c r="F1116" s="36" t="s">
        <v>369</v>
      </c>
      <c r="G1116" s="37" t="s">
        <v>26</v>
      </c>
      <c r="H1116" s="38">
        <v>303</v>
      </c>
      <c r="I1116" s="38">
        <v>1</v>
      </c>
      <c r="J1116" s="38">
        <v>4</v>
      </c>
      <c r="K1116" s="38">
        <v>17</v>
      </c>
      <c r="L1116" s="38">
        <v>3</v>
      </c>
      <c r="M1116" s="38">
        <v>233</v>
      </c>
      <c r="N1116" s="38">
        <v>38</v>
      </c>
      <c r="O1116" s="38">
        <v>7</v>
      </c>
      <c r="P1116" s="38"/>
      <c r="Q1116" s="38"/>
      <c r="R1116" s="38">
        <v>309</v>
      </c>
      <c r="S1116" s="38">
        <v>7</v>
      </c>
      <c r="T1116" s="38">
        <v>3</v>
      </c>
      <c r="U1116" s="38">
        <v>10</v>
      </c>
      <c r="V1116" s="38">
        <v>2</v>
      </c>
      <c r="W1116" s="38">
        <v>223</v>
      </c>
      <c r="X1116" s="38">
        <v>59</v>
      </c>
      <c r="Y1116" s="38">
        <v>5</v>
      </c>
      <c r="Z1116" s="38"/>
      <c r="AA1116" s="38"/>
      <c r="AB1116" s="39">
        <v>0.33003300000000002</v>
      </c>
      <c r="AC1116" s="39">
        <v>1.3201320000000001</v>
      </c>
      <c r="AD1116" s="39">
        <v>5.6105611</v>
      </c>
      <c r="AE1116" s="39">
        <v>0.99009899999999995</v>
      </c>
      <c r="AF1116" s="39">
        <v>76.897689799999995</v>
      </c>
      <c r="AG1116" s="39">
        <v>12.5412541</v>
      </c>
      <c r="AH1116" s="39">
        <v>2.3102309999999999</v>
      </c>
      <c r="AI1116" s="39"/>
      <c r="AJ1116" s="39"/>
      <c r="AK1116" s="39">
        <v>2.2653721999999998</v>
      </c>
      <c r="AL1116" s="39">
        <v>0.97087380000000001</v>
      </c>
      <c r="AM1116" s="39">
        <v>3.236246</v>
      </c>
      <c r="AN1116" s="39">
        <v>0.64724919999999997</v>
      </c>
      <c r="AO1116" s="39">
        <v>72.168284799999995</v>
      </c>
      <c r="AP1116" s="39">
        <v>19.093851099999998</v>
      </c>
      <c r="AQ1116" s="39">
        <v>1.618123</v>
      </c>
      <c r="AR1116" s="40"/>
      <c r="AS1116" s="40"/>
    </row>
    <row r="1117" spans="2:45" ht="15" hidden="1" customHeight="1" x14ac:dyDescent="0.25">
      <c r="B1117" s="30">
        <v>1111</v>
      </c>
      <c r="C1117" s="31" t="s">
        <v>29</v>
      </c>
      <c r="D1117" s="50" t="s">
        <v>344</v>
      </c>
      <c r="E1117" s="50" t="s">
        <v>370</v>
      </c>
      <c r="F1117" s="50"/>
      <c r="G1117" s="31" t="s">
        <v>370</v>
      </c>
      <c r="H1117" s="32">
        <v>25882</v>
      </c>
      <c r="I1117" s="32">
        <v>1454</v>
      </c>
      <c r="J1117" s="32">
        <v>7904</v>
      </c>
      <c r="K1117" s="32">
        <v>1274</v>
      </c>
      <c r="L1117" s="32">
        <v>307</v>
      </c>
      <c r="M1117" s="32">
        <v>12843</v>
      </c>
      <c r="N1117" s="32">
        <v>1580</v>
      </c>
      <c r="O1117" s="32">
        <v>520</v>
      </c>
      <c r="P1117" s="32"/>
      <c r="Q1117" s="32"/>
      <c r="R1117" s="32">
        <v>34985</v>
      </c>
      <c r="S1117" s="32">
        <v>2161</v>
      </c>
      <c r="T1117" s="32">
        <v>10864</v>
      </c>
      <c r="U1117" s="32">
        <v>737</v>
      </c>
      <c r="V1117" s="32">
        <v>165</v>
      </c>
      <c r="W1117" s="32">
        <v>18556</v>
      </c>
      <c r="X1117" s="32">
        <v>2175</v>
      </c>
      <c r="Y1117" s="32">
        <v>327</v>
      </c>
      <c r="Z1117" s="32"/>
      <c r="AA1117" s="32"/>
      <c r="AB1117" s="33">
        <v>5.6178039000000002</v>
      </c>
      <c r="AC1117" s="33">
        <v>30.5385983</v>
      </c>
      <c r="AD1117" s="33">
        <v>4.9223398999999999</v>
      </c>
      <c r="AE1117" s="33">
        <v>1.1861524999999999</v>
      </c>
      <c r="AF1117" s="33">
        <v>49.621358499999999</v>
      </c>
      <c r="AG1117" s="33">
        <v>6.1046287000000001</v>
      </c>
      <c r="AH1117" s="33">
        <v>2.0091182999999999</v>
      </c>
      <c r="AI1117" s="33"/>
      <c r="AJ1117" s="33"/>
      <c r="AK1117" s="33">
        <v>6.176933</v>
      </c>
      <c r="AL1117" s="33">
        <v>31.053308600000001</v>
      </c>
      <c r="AM1117" s="33">
        <v>2.1066170999999998</v>
      </c>
      <c r="AN1117" s="33">
        <v>0.47163070000000001</v>
      </c>
      <c r="AO1117" s="33">
        <v>53.0398742</v>
      </c>
      <c r="AP1117" s="33">
        <v>6.2169501</v>
      </c>
      <c r="AQ1117" s="33">
        <v>0.93468629999999997</v>
      </c>
      <c r="AR1117" s="34"/>
      <c r="AS1117" s="34"/>
    </row>
    <row r="1118" spans="2:45" ht="15" hidden="1" customHeight="1" x14ac:dyDescent="0.25">
      <c r="B1118" s="35">
        <v>1112</v>
      </c>
      <c r="C1118" s="36" t="s">
        <v>29</v>
      </c>
      <c r="D1118" s="36" t="s">
        <v>344</v>
      </c>
      <c r="E1118" s="36" t="s">
        <v>370</v>
      </c>
      <c r="F1118" s="36"/>
      <c r="G1118" s="37" t="s">
        <v>25</v>
      </c>
      <c r="H1118" s="38">
        <v>10425</v>
      </c>
      <c r="I1118" s="38">
        <v>1302</v>
      </c>
      <c r="J1118" s="38">
        <v>7329</v>
      </c>
      <c r="K1118" s="38">
        <v>294</v>
      </c>
      <c r="L1118" s="38">
        <v>35</v>
      </c>
      <c r="M1118" s="38">
        <v>1268</v>
      </c>
      <c r="N1118" s="38">
        <v>127</v>
      </c>
      <c r="O1118" s="38">
        <v>70</v>
      </c>
      <c r="P1118" s="38"/>
      <c r="Q1118" s="38"/>
      <c r="R1118" s="38">
        <v>12872</v>
      </c>
      <c r="S1118" s="38">
        <v>1744</v>
      </c>
      <c r="T1118" s="38">
        <v>9718</v>
      </c>
      <c r="U1118" s="38">
        <v>94</v>
      </c>
      <c r="V1118" s="38">
        <v>12</v>
      </c>
      <c r="W1118" s="38">
        <v>1166</v>
      </c>
      <c r="X1118" s="38">
        <v>104</v>
      </c>
      <c r="Y1118" s="38">
        <v>34</v>
      </c>
      <c r="Z1118" s="38"/>
      <c r="AA1118" s="38"/>
      <c r="AB1118" s="39">
        <v>12.4892086</v>
      </c>
      <c r="AC1118" s="39">
        <v>70.302158300000002</v>
      </c>
      <c r="AD1118" s="39">
        <v>2.8201439000000001</v>
      </c>
      <c r="AE1118" s="39">
        <v>0.33573140000000001</v>
      </c>
      <c r="AF1118" s="39">
        <v>12.163069500000001</v>
      </c>
      <c r="AG1118" s="39">
        <v>1.2182253999999999</v>
      </c>
      <c r="AH1118" s="39">
        <v>0.67146280000000003</v>
      </c>
      <c r="AI1118" s="39"/>
      <c r="AJ1118" s="39"/>
      <c r="AK1118" s="39">
        <v>13.548788099999999</v>
      </c>
      <c r="AL1118" s="39">
        <v>75.497203200000001</v>
      </c>
      <c r="AM1118" s="39">
        <v>0.73026720000000001</v>
      </c>
      <c r="AN1118" s="39">
        <v>9.3225600000000006E-2</v>
      </c>
      <c r="AO1118" s="39">
        <v>9.0584214000000003</v>
      </c>
      <c r="AP1118" s="39">
        <v>0.80795530000000004</v>
      </c>
      <c r="AQ1118" s="39">
        <v>0.26413920000000002</v>
      </c>
      <c r="AR1118" s="40"/>
      <c r="AS1118" s="40"/>
    </row>
    <row r="1119" spans="2:45" ht="15" hidden="1" customHeight="1" x14ac:dyDescent="0.25">
      <c r="B1119" s="35">
        <v>1113</v>
      </c>
      <c r="C1119" s="36" t="s">
        <v>29</v>
      </c>
      <c r="D1119" s="36" t="s">
        <v>344</v>
      </c>
      <c r="E1119" s="36" t="s">
        <v>370</v>
      </c>
      <c r="F1119" s="36"/>
      <c r="G1119" s="37" t="s">
        <v>26</v>
      </c>
      <c r="H1119" s="38">
        <v>15457</v>
      </c>
      <c r="I1119" s="38">
        <v>152</v>
      </c>
      <c r="J1119" s="38">
        <v>575</v>
      </c>
      <c r="K1119" s="38">
        <v>980</v>
      </c>
      <c r="L1119" s="38">
        <v>272</v>
      </c>
      <c r="M1119" s="38">
        <v>11575</v>
      </c>
      <c r="N1119" s="38">
        <v>1453</v>
      </c>
      <c r="O1119" s="38">
        <v>450</v>
      </c>
      <c r="P1119" s="38"/>
      <c r="Q1119" s="38"/>
      <c r="R1119" s="38">
        <v>22113</v>
      </c>
      <c r="S1119" s="38">
        <v>417</v>
      </c>
      <c r="T1119" s="38">
        <v>1146</v>
      </c>
      <c r="U1119" s="38">
        <v>643</v>
      </c>
      <c r="V1119" s="38">
        <v>153</v>
      </c>
      <c r="W1119" s="38">
        <v>17390</v>
      </c>
      <c r="X1119" s="38">
        <v>2071</v>
      </c>
      <c r="Y1119" s="38">
        <v>293</v>
      </c>
      <c r="Z1119" s="38"/>
      <c r="AA1119" s="38"/>
      <c r="AB1119" s="39">
        <v>0.98337319999999995</v>
      </c>
      <c r="AC1119" s="39">
        <v>3.7199974</v>
      </c>
      <c r="AD1119" s="39">
        <v>6.3401695</v>
      </c>
      <c r="AE1119" s="39">
        <v>1.7597205</v>
      </c>
      <c r="AF1119" s="39">
        <v>74.885165299999997</v>
      </c>
      <c r="AG1119" s="39">
        <v>9.4002716999999993</v>
      </c>
      <c r="AH1119" s="39">
        <v>2.9113023</v>
      </c>
      <c r="AI1119" s="39"/>
      <c r="AJ1119" s="39"/>
      <c r="AK1119" s="39">
        <v>1.8857686</v>
      </c>
      <c r="AL1119" s="39">
        <v>5.1824718000000001</v>
      </c>
      <c r="AM1119" s="39">
        <v>2.9077918</v>
      </c>
      <c r="AN1119" s="39">
        <v>0.69190070000000004</v>
      </c>
      <c r="AO1119" s="39">
        <v>78.641523100000001</v>
      </c>
      <c r="AP1119" s="39">
        <v>9.3655316000000006</v>
      </c>
      <c r="AQ1119" s="39">
        <v>1.3250124000000001</v>
      </c>
      <c r="AR1119" s="40"/>
      <c r="AS1119" s="40"/>
    </row>
    <row r="1120" spans="2:45" ht="15" customHeight="1" x14ac:dyDescent="0.25">
      <c r="B1120" s="41">
        <v>1114</v>
      </c>
      <c r="C1120" s="42" t="s">
        <v>31</v>
      </c>
      <c r="D1120" s="51" t="s">
        <v>344</v>
      </c>
      <c r="E1120" s="51" t="s">
        <v>370</v>
      </c>
      <c r="F1120" s="51" t="s">
        <v>371</v>
      </c>
      <c r="G1120" s="52" t="s">
        <v>371</v>
      </c>
      <c r="H1120" s="43">
        <v>1071</v>
      </c>
      <c r="I1120" s="43">
        <v>1</v>
      </c>
      <c r="J1120" s="43">
        <v>3</v>
      </c>
      <c r="K1120" s="43">
        <v>121</v>
      </c>
      <c r="L1120" s="43">
        <v>64</v>
      </c>
      <c r="M1120" s="43">
        <v>796</v>
      </c>
      <c r="N1120" s="43">
        <v>73</v>
      </c>
      <c r="O1120" s="43">
        <v>13</v>
      </c>
      <c r="P1120" s="44">
        <f>K1120+L1120+M1120+N1120+O1120</f>
        <v>1067</v>
      </c>
      <c r="Q1120" s="44">
        <f>I1120+J1120</f>
        <v>4</v>
      </c>
      <c r="R1120" s="43">
        <v>1569</v>
      </c>
      <c r="S1120" s="43">
        <v>34</v>
      </c>
      <c r="T1120" s="43">
        <v>186</v>
      </c>
      <c r="U1120" s="43">
        <v>70</v>
      </c>
      <c r="V1120" s="43">
        <v>20</v>
      </c>
      <c r="W1120" s="43">
        <v>1100</v>
      </c>
      <c r="X1120" s="43">
        <v>142</v>
      </c>
      <c r="Y1120" s="43">
        <v>17</v>
      </c>
      <c r="Z1120" s="45">
        <f>U1120+V1120+W1120+X1120+Y1120</f>
        <v>1349</v>
      </c>
      <c r="AA1120" s="45">
        <f>S1120+T1120</f>
        <v>220</v>
      </c>
      <c r="AB1120" s="46">
        <v>9.3370700000000001E-2</v>
      </c>
      <c r="AC1120" s="46">
        <v>0.28011200000000003</v>
      </c>
      <c r="AD1120" s="46">
        <v>11.297852499999999</v>
      </c>
      <c r="AE1120" s="46">
        <v>5.9757236000000002</v>
      </c>
      <c r="AF1120" s="46">
        <v>74.3230626</v>
      </c>
      <c r="AG1120" s="46">
        <v>6.8160597999999997</v>
      </c>
      <c r="AH1120" s="46">
        <v>1.2138188999999999</v>
      </c>
      <c r="AI1120" s="47">
        <f>AB1120+AC1120</f>
        <v>0.37348270000000006</v>
      </c>
      <c r="AJ1120" s="47">
        <f>AD1120+AE1120+AF1120+AG1120+AH1120</f>
        <v>99.626517400000012</v>
      </c>
      <c r="AK1120" s="46">
        <v>2.1669852999999999</v>
      </c>
      <c r="AL1120" s="46">
        <v>11.854684499999999</v>
      </c>
      <c r="AM1120" s="46">
        <v>4.4614403999999999</v>
      </c>
      <c r="AN1120" s="46">
        <v>1.2746972999999999</v>
      </c>
      <c r="AO1120" s="46">
        <v>70.1083493</v>
      </c>
      <c r="AP1120" s="46">
        <v>9.0503505000000004</v>
      </c>
      <c r="AQ1120" s="46">
        <v>1.0834927000000001</v>
      </c>
      <c r="AR1120" s="48">
        <f>AK1120+AL1120</f>
        <v>14.0216698</v>
      </c>
      <c r="AS1120" s="48">
        <f>AM1120+AN1120+AO1120+AP1120+AQ1120</f>
        <v>85.978330199999988</v>
      </c>
    </row>
    <row r="1121" spans="2:45" ht="15" hidden="1" customHeight="1" x14ac:dyDescent="0.25">
      <c r="B1121" s="35">
        <v>1115</v>
      </c>
      <c r="C1121" s="36" t="s">
        <v>31</v>
      </c>
      <c r="D1121" s="36" t="s">
        <v>344</v>
      </c>
      <c r="E1121" s="36" t="s">
        <v>370</v>
      </c>
      <c r="F1121" s="36" t="s">
        <v>371</v>
      </c>
      <c r="G1121" s="37" t="s">
        <v>25</v>
      </c>
      <c r="H1121" s="38"/>
      <c r="I1121" s="38"/>
      <c r="J1121" s="38"/>
      <c r="K1121" s="38"/>
      <c r="L1121" s="38"/>
      <c r="M1121" s="38"/>
      <c r="N1121" s="38"/>
      <c r="O1121" s="38"/>
      <c r="P1121" s="38"/>
      <c r="Q1121" s="38"/>
      <c r="R1121" s="38"/>
      <c r="S1121" s="38"/>
      <c r="T1121" s="38"/>
      <c r="U1121" s="38"/>
      <c r="V1121" s="38"/>
      <c r="W1121" s="38"/>
      <c r="X1121" s="38"/>
      <c r="Y1121" s="38"/>
      <c r="Z1121" s="38"/>
      <c r="AA1121" s="38"/>
      <c r="AB1121" s="39"/>
      <c r="AC1121" s="39"/>
      <c r="AD1121" s="39"/>
      <c r="AE1121" s="39"/>
      <c r="AF1121" s="39"/>
      <c r="AG1121" s="39"/>
      <c r="AH1121" s="39"/>
      <c r="AI1121" s="39"/>
      <c r="AJ1121" s="39"/>
      <c r="AK1121" s="39"/>
      <c r="AL1121" s="39"/>
      <c r="AM1121" s="39"/>
      <c r="AN1121" s="39"/>
      <c r="AO1121" s="39"/>
      <c r="AP1121" s="39"/>
      <c r="AQ1121" s="39"/>
      <c r="AR1121" s="40"/>
      <c r="AS1121" s="40"/>
    </row>
    <row r="1122" spans="2:45" ht="15" hidden="1" customHeight="1" x14ac:dyDescent="0.25">
      <c r="B1122" s="35">
        <v>1116</v>
      </c>
      <c r="C1122" s="36" t="s">
        <v>31</v>
      </c>
      <c r="D1122" s="36" t="s">
        <v>344</v>
      </c>
      <c r="E1122" s="36" t="s">
        <v>370</v>
      </c>
      <c r="F1122" s="36" t="s">
        <v>371</v>
      </c>
      <c r="G1122" s="37" t="s">
        <v>26</v>
      </c>
      <c r="H1122" s="38">
        <v>1071</v>
      </c>
      <c r="I1122" s="38">
        <v>1</v>
      </c>
      <c r="J1122" s="38">
        <v>3</v>
      </c>
      <c r="K1122" s="38">
        <v>121</v>
      </c>
      <c r="L1122" s="38">
        <v>64</v>
      </c>
      <c r="M1122" s="38">
        <v>796</v>
      </c>
      <c r="N1122" s="38">
        <v>73</v>
      </c>
      <c r="O1122" s="38">
        <v>13</v>
      </c>
      <c r="P1122" s="38"/>
      <c r="Q1122" s="38"/>
      <c r="R1122" s="38">
        <v>1569</v>
      </c>
      <c r="S1122" s="38">
        <v>34</v>
      </c>
      <c r="T1122" s="38">
        <v>186</v>
      </c>
      <c r="U1122" s="38">
        <v>70</v>
      </c>
      <c r="V1122" s="38">
        <v>20</v>
      </c>
      <c r="W1122" s="38">
        <v>1100</v>
      </c>
      <c r="X1122" s="38">
        <v>142</v>
      </c>
      <c r="Y1122" s="38">
        <v>17</v>
      </c>
      <c r="Z1122" s="38"/>
      <c r="AA1122" s="38"/>
      <c r="AB1122" s="39">
        <v>9.3370700000000001E-2</v>
      </c>
      <c r="AC1122" s="39">
        <v>0.28011200000000003</v>
      </c>
      <c r="AD1122" s="39">
        <v>11.297852499999999</v>
      </c>
      <c r="AE1122" s="39">
        <v>5.9757236000000002</v>
      </c>
      <c r="AF1122" s="39">
        <v>74.3230626</v>
      </c>
      <c r="AG1122" s="39">
        <v>6.8160597999999997</v>
      </c>
      <c r="AH1122" s="39">
        <v>1.2138188999999999</v>
      </c>
      <c r="AI1122" s="39"/>
      <c r="AJ1122" s="39"/>
      <c r="AK1122" s="39">
        <v>2.1669852999999999</v>
      </c>
      <c r="AL1122" s="39">
        <v>11.854684499999999</v>
      </c>
      <c r="AM1122" s="39">
        <v>4.4614403999999999</v>
      </c>
      <c r="AN1122" s="39">
        <v>1.2746972999999999</v>
      </c>
      <c r="AO1122" s="39">
        <v>70.1083493</v>
      </c>
      <c r="AP1122" s="39">
        <v>9.0503505000000004</v>
      </c>
      <c r="AQ1122" s="39">
        <v>1.0834927000000001</v>
      </c>
      <c r="AR1122" s="40"/>
      <c r="AS1122" s="40"/>
    </row>
    <row r="1123" spans="2:45" ht="15" customHeight="1" x14ac:dyDescent="0.25">
      <c r="B1123" s="41">
        <v>1117</v>
      </c>
      <c r="C1123" s="42" t="s">
        <v>31</v>
      </c>
      <c r="D1123" s="51" t="s">
        <v>344</v>
      </c>
      <c r="E1123" s="51" t="s">
        <v>370</v>
      </c>
      <c r="F1123" s="51" t="s">
        <v>372</v>
      </c>
      <c r="G1123" s="52" t="s">
        <v>372</v>
      </c>
      <c r="H1123" s="43">
        <v>6289</v>
      </c>
      <c r="I1123" s="43">
        <v>87</v>
      </c>
      <c r="J1123" s="43">
        <v>697</v>
      </c>
      <c r="K1123" s="43">
        <v>253</v>
      </c>
      <c r="L1123" s="43">
        <v>81</v>
      </c>
      <c r="M1123" s="43">
        <v>4640</v>
      </c>
      <c r="N1123" s="43">
        <v>482</v>
      </c>
      <c r="O1123" s="43">
        <v>49</v>
      </c>
      <c r="P1123" s="44">
        <f>K1123+L1123+M1123+N1123+O1123</f>
        <v>5505</v>
      </c>
      <c r="Q1123" s="44">
        <f>I1123+J1123</f>
        <v>784</v>
      </c>
      <c r="R1123" s="43">
        <v>9548</v>
      </c>
      <c r="S1123" s="43">
        <v>283</v>
      </c>
      <c r="T1123" s="43">
        <v>1055</v>
      </c>
      <c r="U1123" s="43">
        <v>192</v>
      </c>
      <c r="V1123" s="43">
        <v>65</v>
      </c>
      <c r="W1123" s="43">
        <v>7079</v>
      </c>
      <c r="X1123" s="43">
        <v>785</v>
      </c>
      <c r="Y1123" s="43">
        <v>89</v>
      </c>
      <c r="Z1123" s="45">
        <f>U1123+V1123+W1123+X1123+Y1123</f>
        <v>8210</v>
      </c>
      <c r="AA1123" s="45">
        <f>S1123+T1123</f>
        <v>1338</v>
      </c>
      <c r="AB1123" s="46">
        <v>1.3833678</v>
      </c>
      <c r="AC1123" s="46">
        <v>11.0828431</v>
      </c>
      <c r="AD1123" s="46">
        <v>4.0228970999999998</v>
      </c>
      <c r="AE1123" s="46">
        <v>1.2879631</v>
      </c>
      <c r="AF1123" s="46">
        <v>73.779615199999995</v>
      </c>
      <c r="AG1123" s="46">
        <v>7.6641754999999998</v>
      </c>
      <c r="AH1123" s="46">
        <v>0.7791382</v>
      </c>
      <c r="AI1123" s="47">
        <f>AB1123+AC1123</f>
        <v>12.4662109</v>
      </c>
      <c r="AJ1123" s="47">
        <f>AD1123+AE1123+AF1123+AG1123+AH1123</f>
        <v>87.533789099999993</v>
      </c>
      <c r="AK1123" s="46">
        <v>2.9639715</v>
      </c>
      <c r="AL1123" s="46">
        <v>11.049434400000001</v>
      </c>
      <c r="AM1123" s="46">
        <v>2.0108923000000001</v>
      </c>
      <c r="AN1123" s="46">
        <v>0.68077080000000001</v>
      </c>
      <c r="AO1123" s="46">
        <v>74.141181399999994</v>
      </c>
      <c r="AP1123" s="46">
        <v>8.2216170999999996</v>
      </c>
      <c r="AQ1123" s="46">
        <v>0.93213239999999997</v>
      </c>
      <c r="AR1123" s="48">
        <f>AK1123+AL1123</f>
        <v>14.0134059</v>
      </c>
      <c r="AS1123" s="48">
        <f>AM1123+AN1123+AO1123+AP1123+AQ1123</f>
        <v>85.986593999999997</v>
      </c>
    </row>
    <row r="1124" spans="2:45" ht="15" hidden="1" customHeight="1" x14ac:dyDescent="0.25">
      <c r="B1124" s="35">
        <v>1118</v>
      </c>
      <c r="C1124" s="36" t="s">
        <v>31</v>
      </c>
      <c r="D1124" s="36" t="s">
        <v>344</v>
      </c>
      <c r="E1124" s="36" t="s">
        <v>370</v>
      </c>
      <c r="F1124" s="36" t="s">
        <v>372</v>
      </c>
      <c r="G1124" s="37" t="s">
        <v>25</v>
      </c>
      <c r="H1124" s="38">
        <v>742</v>
      </c>
      <c r="I1124" s="38">
        <v>40</v>
      </c>
      <c r="J1124" s="38">
        <v>532</v>
      </c>
      <c r="K1124" s="38">
        <v>41</v>
      </c>
      <c r="L1124" s="38">
        <v>14</v>
      </c>
      <c r="M1124" s="38">
        <v>93</v>
      </c>
      <c r="N1124" s="38">
        <v>16</v>
      </c>
      <c r="O1124" s="38">
        <v>6</v>
      </c>
      <c r="P1124" s="38"/>
      <c r="Q1124" s="38"/>
      <c r="R1124" s="38">
        <v>1504</v>
      </c>
      <c r="S1124" s="38">
        <v>199</v>
      </c>
      <c r="T1124" s="38">
        <v>1035</v>
      </c>
      <c r="U1124" s="38">
        <v>24</v>
      </c>
      <c r="V1124" s="38">
        <v>4</v>
      </c>
      <c r="W1124" s="38">
        <v>204</v>
      </c>
      <c r="X1124" s="38">
        <v>35</v>
      </c>
      <c r="Y1124" s="38">
        <v>3</v>
      </c>
      <c r="Z1124" s="38"/>
      <c r="AA1124" s="38"/>
      <c r="AB1124" s="39">
        <v>5.3908355999999999</v>
      </c>
      <c r="AC1124" s="39">
        <v>71.698113199999995</v>
      </c>
      <c r="AD1124" s="39">
        <v>5.5256065000000003</v>
      </c>
      <c r="AE1124" s="39">
        <v>1.8867925000000001</v>
      </c>
      <c r="AF1124" s="39">
        <v>12.5336927</v>
      </c>
      <c r="AG1124" s="39">
        <v>2.1563341999999999</v>
      </c>
      <c r="AH1124" s="39">
        <v>0.80862529999999999</v>
      </c>
      <c r="AI1124" s="39"/>
      <c r="AJ1124" s="39"/>
      <c r="AK1124" s="39">
        <v>13.231382999999999</v>
      </c>
      <c r="AL1124" s="39">
        <v>68.816489399999995</v>
      </c>
      <c r="AM1124" s="39">
        <v>1.5957447</v>
      </c>
      <c r="AN1124" s="39">
        <v>0.26595740000000001</v>
      </c>
      <c r="AO1124" s="39">
        <v>13.563829800000001</v>
      </c>
      <c r="AP1124" s="39">
        <v>2.3271277000000001</v>
      </c>
      <c r="AQ1124" s="39">
        <v>0.19946810000000001</v>
      </c>
      <c r="AR1124" s="40"/>
      <c r="AS1124" s="40"/>
    </row>
    <row r="1125" spans="2:45" ht="15" hidden="1" customHeight="1" x14ac:dyDescent="0.25">
      <c r="B1125" s="35">
        <v>1119</v>
      </c>
      <c r="C1125" s="36" t="s">
        <v>31</v>
      </c>
      <c r="D1125" s="36" t="s">
        <v>344</v>
      </c>
      <c r="E1125" s="36" t="s">
        <v>370</v>
      </c>
      <c r="F1125" s="36" t="s">
        <v>372</v>
      </c>
      <c r="G1125" s="37" t="s">
        <v>26</v>
      </c>
      <c r="H1125" s="38">
        <v>5547</v>
      </c>
      <c r="I1125" s="38">
        <v>47</v>
      </c>
      <c r="J1125" s="38">
        <v>165</v>
      </c>
      <c r="K1125" s="38">
        <v>212</v>
      </c>
      <c r="L1125" s="38">
        <v>67</v>
      </c>
      <c r="M1125" s="38">
        <v>4547</v>
      </c>
      <c r="N1125" s="38">
        <v>466</v>
      </c>
      <c r="O1125" s="38">
        <v>43</v>
      </c>
      <c r="P1125" s="38"/>
      <c r="Q1125" s="38"/>
      <c r="R1125" s="38">
        <v>8044</v>
      </c>
      <c r="S1125" s="38">
        <v>84</v>
      </c>
      <c r="T1125" s="38">
        <v>20</v>
      </c>
      <c r="U1125" s="38">
        <v>168</v>
      </c>
      <c r="V1125" s="38">
        <v>61</v>
      </c>
      <c r="W1125" s="38">
        <v>6875</v>
      </c>
      <c r="X1125" s="38">
        <v>750</v>
      </c>
      <c r="Y1125" s="38">
        <v>86</v>
      </c>
      <c r="Z1125" s="38"/>
      <c r="AA1125" s="38"/>
      <c r="AB1125" s="39">
        <v>0.84730479999999997</v>
      </c>
      <c r="AC1125" s="39">
        <v>2.9745808999999999</v>
      </c>
      <c r="AD1125" s="39">
        <v>3.8218857000000002</v>
      </c>
      <c r="AE1125" s="39">
        <v>1.2078601</v>
      </c>
      <c r="AF1125" s="39">
        <v>81.972237199999995</v>
      </c>
      <c r="AG1125" s="39">
        <v>8.4009374000000001</v>
      </c>
      <c r="AH1125" s="39">
        <v>0.77519380000000004</v>
      </c>
      <c r="AI1125" s="39"/>
      <c r="AJ1125" s="39"/>
      <c r="AK1125" s="39">
        <v>1.0442566</v>
      </c>
      <c r="AL1125" s="39">
        <v>0.24863250000000001</v>
      </c>
      <c r="AM1125" s="39">
        <v>2.0885132</v>
      </c>
      <c r="AN1125" s="39">
        <v>0.75832920000000004</v>
      </c>
      <c r="AO1125" s="39">
        <v>85.467429100000004</v>
      </c>
      <c r="AP1125" s="39">
        <v>9.3237194999999993</v>
      </c>
      <c r="AQ1125" s="39">
        <v>1.0691198</v>
      </c>
      <c r="AR1125" s="40"/>
      <c r="AS1125" s="40"/>
    </row>
    <row r="1126" spans="2:45" ht="15" customHeight="1" x14ac:dyDescent="0.25">
      <c r="B1126" s="41">
        <v>1120</v>
      </c>
      <c r="C1126" s="42" t="s">
        <v>31</v>
      </c>
      <c r="D1126" s="51" t="s">
        <v>344</v>
      </c>
      <c r="E1126" s="51" t="s">
        <v>370</v>
      </c>
      <c r="F1126" s="51" t="s">
        <v>373</v>
      </c>
      <c r="G1126" s="52" t="s">
        <v>373</v>
      </c>
      <c r="H1126" s="43">
        <v>5628</v>
      </c>
      <c r="I1126" s="43">
        <v>83</v>
      </c>
      <c r="J1126" s="43">
        <v>612</v>
      </c>
      <c r="K1126" s="43">
        <v>200</v>
      </c>
      <c r="L1126" s="43">
        <v>43</v>
      </c>
      <c r="M1126" s="43">
        <v>3819</v>
      </c>
      <c r="N1126" s="43">
        <v>606</v>
      </c>
      <c r="O1126" s="43">
        <v>265</v>
      </c>
      <c r="P1126" s="44">
        <f>K1126+L1126+M1126+N1126+O1126</f>
        <v>4933</v>
      </c>
      <c r="Q1126" s="44">
        <f>I1126+J1126</f>
        <v>695</v>
      </c>
      <c r="R1126" s="43">
        <v>8291</v>
      </c>
      <c r="S1126" s="43">
        <v>415</v>
      </c>
      <c r="T1126" s="43">
        <v>1942</v>
      </c>
      <c r="U1126" s="43">
        <v>98</v>
      </c>
      <c r="V1126" s="43">
        <v>20</v>
      </c>
      <c r="W1126" s="43">
        <v>5173</v>
      </c>
      <c r="X1126" s="43">
        <v>558</v>
      </c>
      <c r="Y1126" s="43">
        <v>85</v>
      </c>
      <c r="Z1126" s="45">
        <f>U1126+V1126+W1126+X1126+Y1126</f>
        <v>5934</v>
      </c>
      <c r="AA1126" s="45">
        <f>S1126+T1126</f>
        <v>2357</v>
      </c>
      <c r="AB1126" s="46">
        <v>1.474769</v>
      </c>
      <c r="AC1126" s="46">
        <v>10.874200399999999</v>
      </c>
      <c r="AD1126" s="46">
        <v>3.5536603000000002</v>
      </c>
      <c r="AE1126" s="46">
        <v>0.76403699999999997</v>
      </c>
      <c r="AF1126" s="46">
        <v>67.857142899999999</v>
      </c>
      <c r="AG1126" s="46">
        <v>10.7675906</v>
      </c>
      <c r="AH1126" s="46">
        <v>4.7085999000000003</v>
      </c>
      <c r="AI1126" s="47">
        <f>AB1126+AC1126</f>
        <v>12.3489694</v>
      </c>
      <c r="AJ1126" s="47">
        <f>AD1126+AE1126+AF1126+AG1126+AH1126</f>
        <v>87.651030700000007</v>
      </c>
      <c r="AK1126" s="46">
        <v>5.0054276</v>
      </c>
      <c r="AL1126" s="46">
        <v>23.422988799999999</v>
      </c>
      <c r="AM1126" s="46">
        <v>1.1820046</v>
      </c>
      <c r="AN1126" s="46">
        <v>0.24122540000000001</v>
      </c>
      <c r="AO1126" s="46">
        <v>62.3929562</v>
      </c>
      <c r="AP1126" s="46">
        <v>6.7301894000000004</v>
      </c>
      <c r="AQ1126" s="46">
        <v>1.0252081</v>
      </c>
      <c r="AR1126" s="48">
        <f>AK1126+AL1126</f>
        <v>28.4284164</v>
      </c>
      <c r="AS1126" s="48">
        <f>AM1126+AN1126+AO1126+AP1126+AQ1126</f>
        <v>71.571583700000005</v>
      </c>
    </row>
    <row r="1127" spans="2:45" ht="15" hidden="1" customHeight="1" x14ac:dyDescent="0.25">
      <c r="B1127" s="35">
        <v>1121</v>
      </c>
      <c r="C1127" s="36" t="s">
        <v>31</v>
      </c>
      <c r="D1127" s="36" t="s">
        <v>344</v>
      </c>
      <c r="E1127" s="36" t="s">
        <v>370</v>
      </c>
      <c r="F1127" s="36" t="s">
        <v>373</v>
      </c>
      <c r="G1127" s="37" t="s">
        <v>25</v>
      </c>
      <c r="H1127" s="38">
        <v>1067</v>
      </c>
      <c r="I1127" s="38">
        <v>48</v>
      </c>
      <c r="J1127" s="38">
        <v>311</v>
      </c>
      <c r="K1127" s="38">
        <v>29</v>
      </c>
      <c r="L1127" s="38">
        <v>5</v>
      </c>
      <c r="M1127" s="38">
        <v>621</v>
      </c>
      <c r="N1127" s="38">
        <v>43</v>
      </c>
      <c r="O1127" s="38">
        <v>10</v>
      </c>
      <c r="P1127" s="38"/>
      <c r="Q1127" s="38"/>
      <c r="R1127" s="38">
        <v>2248</v>
      </c>
      <c r="S1127" s="38">
        <v>264</v>
      </c>
      <c r="T1127" s="38">
        <v>1428</v>
      </c>
      <c r="U1127" s="38">
        <v>16</v>
      </c>
      <c r="V1127" s="38">
        <v>3</v>
      </c>
      <c r="W1127" s="38">
        <v>504</v>
      </c>
      <c r="X1127" s="38">
        <v>28</v>
      </c>
      <c r="Y1127" s="38">
        <v>5</v>
      </c>
      <c r="Z1127" s="38"/>
      <c r="AA1127" s="38"/>
      <c r="AB1127" s="39">
        <v>4.4985942000000003</v>
      </c>
      <c r="AC1127" s="39">
        <v>29.1471415</v>
      </c>
      <c r="AD1127" s="39">
        <v>2.7179006999999999</v>
      </c>
      <c r="AE1127" s="39">
        <v>0.46860360000000001</v>
      </c>
      <c r="AF1127" s="39">
        <v>58.200562300000001</v>
      </c>
      <c r="AG1127" s="39">
        <v>4.0299905999999996</v>
      </c>
      <c r="AH1127" s="39">
        <v>0.93720709999999996</v>
      </c>
      <c r="AI1127" s="39"/>
      <c r="AJ1127" s="39"/>
      <c r="AK1127" s="39">
        <v>11.7437722</v>
      </c>
      <c r="AL1127" s="39">
        <v>63.5231317</v>
      </c>
      <c r="AM1127" s="39">
        <v>0.71174380000000004</v>
      </c>
      <c r="AN1127" s="39">
        <v>0.13345199999999999</v>
      </c>
      <c r="AO1127" s="39">
        <v>22.419928800000001</v>
      </c>
      <c r="AP1127" s="39">
        <v>1.2455516</v>
      </c>
      <c r="AQ1127" s="39">
        <v>0.2224199</v>
      </c>
      <c r="AR1127" s="40"/>
      <c r="AS1127" s="40"/>
    </row>
    <row r="1128" spans="2:45" ht="15" hidden="1" customHeight="1" x14ac:dyDescent="0.25">
      <c r="B1128" s="35">
        <v>1122</v>
      </c>
      <c r="C1128" s="36" t="s">
        <v>31</v>
      </c>
      <c r="D1128" s="36" t="s">
        <v>344</v>
      </c>
      <c r="E1128" s="36" t="s">
        <v>370</v>
      </c>
      <c r="F1128" s="36" t="s">
        <v>373</v>
      </c>
      <c r="G1128" s="37" t="s">
        <v>26</v>
      </c>
      <c r="H1128" s="38">
        <v>4561</v>
      </c>
      <c r="I1128" s="38">
        <v>35</v>
      </c>
      <c r="J1128" s="38">
        <v>301</v>
      </c>
      <c r="K1128" s="38">
        <v>171</v>
      </c>
      <c r="L1128" s="38">
        <v>38</v>
      </c>
      <c r="M1128" s="38">
        <v>3198</v>
      </c>
      <c r="N1128" s="38">
        <v>563</v>
      </c>
      <c r="O1128" s="38">
        <v>255</v>
      </c>
      <c r="P1128" s="38"/>
      <c r="Q1128" s="38"/>
      <c r="R1128" s="38">
        <v>6043</v>
      </c>
      <c r="S1128" s="38">
        <v>151</v>
      </c>
      <c r="T1128" s="38">
        <v>514</v>
      </c>
      <c r="U1128" s="38">
        <v>82</v>
      </c>
      <c r="V1128" s="38">
        <v>17</v>
      </c>
      <c r="W1128" s="38">
        <v>4669</v>
      </c>
      <c r="X1128" s="38">
        <v>530</v>
      </c>
      <c r="Y1128" s="38">
        <v>80</v>
      </c>
      <c r="Z1128" s="38"/>
      <c r="AA1128" s="38"/>
      <c r="AB1128" s="39">
        <v>0.76737560000000005</v>
      </c>
      <c r="AC1128" s="39">
        <v>6.5994298999999996</v>
      </c>
      <c r="AD1128" s="39">
        <v>3.7491778</v>
      </c>
      <c r="AE1128" s="39">
        <v>0.83315059999999996</v>
      </c>
      <c r="AF1128" s="39">
        <v>70.116202599999994</v>
      </c>
      <c r="AG1128" s="39">
        <v>12.343784299999999</v>
      </c>
      <c r="AH1128" s="39">
        <v>5.5908791999999998</v>
      </c>
      <c r="AI1128" s="39"/>
      <c r="AJ1128" s="39"/>
      <c r="AK1128" s="39">
        <v>2.4987588999999999</v>
      </c>
      <c r="AL1128" s="39">
        <v>8.5057091000000007</v>
      </c>
      <c r="AM1128" s="39">
        <v>1.3569419</v>
      </c>
      <c r="AN1128" s="39">
        <v>0.28131719999999999</v>
      </c>
      <c r="AO1128" s="39">
        <v>77.262948899999998</v>
      </c>
      <c r="AP1128" s="39">
        <v>8.7704781999999994</v>
      </c>
      <c r="AQ1128" s="39">
        <v>1.3238458</v>
      </c>
      <c r="AR1128" s="40"/>
      <c r="AS1128" s="40"/>
    </row>
    <row r="1129" spans="2:45" ht="15" customHeight="1" x14ac:dyDescent="0.25">
      <c r="B1129" s="41">
        <v>1123</v>
      </c>
      <c r="C1129" s="42" t="s">
        <v>31</v>
      </c>
      <c r="D1129" s="51" t="s">
        <v>344</v>
      </c>
      <c r="E1129" s="51" t="s">
        <v>370</v>
      </c>
      <c r="F1129" s="51" t="s">
        <v>374</v>
      </c>
      <c r="G1129" s="52" t="s">
        <v>374</v>
      </c>
      <c r="H1129" s="43">
        <v>1117</v>
      </c>
      <c r="I1129" s="43">
        <v>25</v>
      </c>
      <c r="J1129" s="43">
        <v>237</v>
      </c>
      <c r="K1129" s="43">
        <v>247</v>
      </c>
      <c r="L1129" s="43">
        <v>35</v>
      </c>
      <c r="M1129" s="43">
        <v>448</v>
      </c>
      <c r="N1129" s="43">
        <v>85</v>
      </c>
      <c r="O1129" s="43">
        <v>40</v>
      </c>
      <c r="P1129" s="44">
        <f>K1129+L1129+M1129+N1129+O1129</f>
        <v>855</v>
      </c>
      <c r="Q1129" s="44">
        <f>I1129+J1129</f>
        <v>262</v>
      </c>
      <c r="R1129" s="43">
        <v>1261</v>
      </c>
      <c r="S1129" s="43">
        <v>105</v>
      </c>
      <c r="T1129" s="43">
        <v>402</v>
      </c>
      <c r="U1129" s="43">
        <v>52</v>
      </c>
      <c r="V1129" s="43">
        <v>6</v>
      </c>
      <c r="W1129" s="43">
        <v>575</v>
      </c>
      <c r="X1129" s="43">
        <v>113</v>
      </c>
      <c r="Y1129" s="43">
        <v>8</v>
      </c>
      <c r="Z1129" s="45">
        <f>U1129+V1129+W1129+X1129+Y1129</f>
        <v>754</v>
      </c>
      <c r="AA1129" s="45">
        <f>S1129+T1129</f>
        <v>507</v>
      </c>
      <c r="AB1129" s="46">
        <v>2.2381378999999999</v>
      </c>
      <c r="AC1129" s="46">
        <v>21.217547</v>
      </c>
      <c r="AD1129" s="46">
        <v>22.1128021</v>
      </c>
      <c r="AE1129" s="46">
        <v>3.1333929999999999</v>
      </c>
      <c r="AF1129" s="46">
        <v>40.107430600000001</v>
      </c>
      <c r="AG1129" s="46">
        <v>7.6096687999999997</v>
      </c>
      <c r="AH1129" s="46">
        <v>3.5810206</v>
      </c>
      <c r="AI1129" s="47">
        <f>AB1129+AC1129</f>
        <v>23.455684900000001</v>
      </c>
      <c r="AJ1129" s="47">
        <f>AD1129+AE1129+AF1129+AG1129+AH1129</f>
        <v>76.544315100000006</v>
      </c>
      <c r="AK1129" s="46">
        <v>8.3267247999999991</v>
      </c>
      <c r="AL1129" s="46">
        <v>31.879460699999999</v>
      </c>
      <c r="AM1129" s="46">
        <v>4.1237113000000001</v>
      </c>
      <c r="AN1129" s="46">
        <v>0.47581279999999998</v>
      </c>
      <c r="AO1129" s="46">
        <v>45.598731200000003</v>
      </c>
      <c r="AP1129" s="46">
        <v>8.9611420000000006</v>
      </c>
      <c r="AQ1129" s="46">
        <v>0.63441709999999996</v>
      </c>
      <c r="AR1129" s="48">
        <f>AK1129+AL1129</f>
        <v>40.206185499999997</v>
      </c>
      <c r="AS1129" s="48">
        <f>AM1129+AN1129+AO1129+AP1129+AQ1129</f>
        <v>59.793814400000002</v>
      </c>
    </row>
    <row r="1130" spans="2:45" ht="15" hidden="1" customHeight="1" x14ac:dyDescent="0.25">
      <c r="B1130" s="35">
        <v>1124</v>
      </c>
      <c r="C1130" s="36" t="s">
        <v>31</v>
      </c>
      <c r="D1130" s="36" t="s">
        <v>344</v>
      </c>
      <c r="E1130" s="36" t="s">
        <v>370</v>
      </c>
      <c r="F1130" s="36" t="s">
        <v>374</v>
      </c>
      <c r="G1130" s="37" t="s">
        <v>25</v>
      </c>
      <c r="H1130" s="38">
        <v>570</v>
      </c>
      <c r="I1130" s="38">
        <v>25</v>
      </c>
      <c r="J1130" s="38">
        <v>232</v>
      </c>
      <c r="K1130" s="38">
        <v>141</v>
      </c>
      <c r="L1130" s="38">
        <v>6</v>
      </c>
      <c r="M1130" s="38">
        <v>127</v>
      </c>
      <c r="N1130" s="38">
        <v>27</v>
      </c>
      <c r="O1130" s="38">
        <v>12</v>
      </c>
      <c r="P1130" s="38"/>
      <c r="Q1130" s="38"/>
      <c r="R1130" s="38">
        <v>546</v>
      </c>
      <c r="S1130" s="38">
        <v>103</v>
      </c>
      <c r="T1130" s="38">
        <v>401</v>
      </c>
      <c r="U1130" s="38">
        <v>6</v>
      </c>
      <c r="V1130" s="38">
        <v>0</v>
      </c>
      <c r="W1130" s="38">
        <v>29</v>
      </c>
      <c r="X1130" s="38">
        <v>2</v>
      </c>
      <c r="Y1130" s="38">
        <v>5</v>
      </c>
      <c r="Z1130" s="38"/>
      <c r="AA1130" s="38"/>
      <c r="AB1130" s="39">
        <v>4.3859649000000003</v>
      </c>
      <c r="AC1130" s="39">
        <v>40.701754399999999</v>
      </c>
      <c r="AD1130" s="39">
        <v>24.7368421</v>
      </c>
      <c r="AE1130" s="39">
        <v>1.0526316</v>
      </c>
      <c r="AF1130" s="39">
        <v>22.280701799999999</v>
      </c>
      <c r="AG1130" s="39">
        <v>4.7368420999999996</v>
      </c>
      <c r="AH1130" s="39">
        <v>2.1052632</v>
      </c>
      <c r="AI1130" s="39"/>
      <c r="AJ1130" s="39"/>
      <c r="AK1130" s="39">
        <v>18.864468899999999</v>
      </c>
      <c r="AL1130" s="39">
        <v>73.443223399999994</v>
      </c>
      <c r="AM1130" s="39">
        <v>1.0989011</v>
      </c>
      <c r="AN1130" s="39">
        <v>0</v>
      </c>
      <c r="AO1130" s="39">
        <v>5.3113552999999998</v>
      </c>
      <c r="AP1130" s="39">
        <v>0.36630040000000003</v>
      </c>
      <c r="AQ1130" s="39">
        <v>0.91575090000000003</v>
      </c>
      <c r="AR1130" s="40"/>
      <c r="AS1130" s="40"/>
    </row>
    <row r="1131" spans="2:45" ht="15" hidden="1" customHeight="1" x14ac:dyDescent="0.25">
      <c r="B1131" s="35">
        <v>1125</v>
      </c>
      <c r="C1131" s="36" t="s">
        <v>31</v>
      </c>
      <c r="D1131" s="36" t="s">
        <v>344</v>
      </c>
      <c r="E1131" s="36" t="s">
        <v>370</v>
      </c>
      <c r="F1131" s="36" t="s">
        <v>374</v>
      </c>
      <c r="G1131" s="37" t="s">
        <v>26</v>
      </c>
      <c r="H1131" s="38">
        <v>547</v>
      </c>
      <c r="I1131" s="38">
        <v>0</v>
      </c>
      <c r="J1131" s="38">
        <v>5</v>
      </c>
      <c r="K1131" s="38">
        <v>106</v>
      </c>
      <c r="L1131" s="38">
        <v>29</v>
      </c>
      <c r="M1131" s="38">
        <v>321</v>
      </c>
      <c r="N1131" s="38">
        <v>58</v>
      </c>
      <c r="O1131" s="38">
        <v>28</v>
      </c>
      <c r="P1131" s="38"/>
      <c r="Q1131" s="38"/>
      <c r="R1131" s="38">
        <v>715</v>
      </c>
      <c r="S1131" s="38">
        <v>2</v>
      </c>
      <c r="T1131" s="38">
        <v>1</v>
      </c>
      <c r="U1131" s="38">
        <v>46</v>
      </c>
      <c r="V1131" s="38">
        <v>6</v>
      </c>
      <c r="W1131" s="38">
        <v>546</v>
      </c>
      <c r="X1131" s="38">
        <v>111</v>
      </c>
      <c r="Y1131" s="38">
        <v>3</v>
      </c>
      <c r="Z1131" s="38"/>
      <c r="AA1131" s="38"/>
      <c r="AB1131" s="39">
        <v>0</v>
      </c>
      <c r="AC1131" s="39">
        <v>0.91407680000000002</v>
      </c>
      <c r="AD1131" s="39">
        <v>19.378427800000001</v>
      </c>
      <c r="AE1131" s="39">
        <v>5.3016452999999997</v>
      </c>
      <c r="AF1131" s="39">
        <v>58.683729399999997</v>
      </c>
      <c r="AG1131" s="39">
        <v>10.603290700000001</v>
      </c>
      <c r="AH1131" s="39">
        <v>5.11883</v>
      </c>
      <c r="AI1131" s="39"/>
      <c r="AJ1131" s="39"/>
      <c r="AK1131" s="39">
        <v>0.27972029999999998</v>
      </c>
      <c r="AL1131" s="39">
        <v>0.13986009999999999</v>
      </c>
      <c r="AM1131" s="39">
        <v>6.4335664000000001</v>
      </c>
      <c r="AN1131" s="39">
        <v>0.83916080000000004</v>
      </c>
      <c r="AO1131" s="39">
        <v>76.363636400000004</v>
      </c>
      <c r="AP1131" s="39">
        <v>15.524475499999999</v>
      </c>
      <c r="AQ1131" s="39">
        <v>0.41958040000000002</v>
      </c>
      <c r="AR1131" s="40"/>
      <c r="AS1131" s="40"/>
    </row>
    <row r="1132" spans="2:45" ht="15" customHeight="1" x14ac:dyDescent="0.25">
      <c r="B1132" s="41">
        <v>1126</v>
      </c>
      <c r="C1132" s="42" t="s">
        <v>31</v>
      </c>
      <c r="D1132" s="51" t="s">
        <v>344</v>
      </c>
      <c r="E1132" s="51" t="s">
        <v>370</v>
      </c>
      <c r="F1132" s="51" t="s">
        <v>375</v>
      </c>
      <c r="G1132" s="52" t="s">
        <v>375</v>
      </c>
      <c r="H1132" s="43">
        <v>2390</v>
      </c>
      <c r="I1132" s="43">
        <v>8</v>
      </c>
      <c r="J1132" s="43">
        <v>7</v>
      </c>
      <c r="K1132" s="43">
        <v>252</v>
      </c>
      <c r="L1132" s="43">
        <v>39</v>
      </c>
      <c r="M1132" s="43">
        <v>1837</v>
      </c>
      <c r="N1132" s="43">
        <v>158</v>
      </c>
      <c r="O1132" s="43">
        <v>89</v>
      </c>
      <c r="P1132" s="44">
        <f>K1132+L1132+M1132+N1132+O1132</f>
        <v>2375</v>
      </c>
      <c r="Q1132" s="44">
        <f>I1132+J1132</f>
        <v>15</v>
      </c>
      <c r="R1132" s="43">
        <v>3626</v>
      </c>
      <c r="S1132" s="43">
        <v>78</v>
      </c>
      <c r="T1132" s="43">
        <v>99</v>
      </c>
      <c r="U1132" s="43">
        <v>206</v>
      </c>
      <c r="V1132" s="43">
        <v>30</v>
      </c>
      <c r="W1132" s="43">
        <v>2852</v>
      </c>
      <c r="X1132" s="43">
        <v>300</v>
      </c>
      <c r="Y1132" s="43">
        <v>61</v>
      </c>
      <c r="Z1132" s="45">
        <f>U1132+V1132+W1132+X1132+Y1132</f>
        <v>3449</v>
      </c>
      <c r="AA1132" s="45">
        <f>S1132+T1132</f>
        <v>177</v>
      </c>
      <c r="AB1132" s="46">
        <v>0.33472800000000003</v>
      </c>
      <c r="AC1132" s="46">
        <v>0.29288700000000001</v>
      </c>
      <c r="AD1132" s="46">
        <v>10.5439331</v>
      </c>
      <c r="AE1132" s="46">
        <v>1.6317991999999999</v>
      </c>
      <c r="AF1132" s="46">
        <v>76.861924700000003</v>
      </c>
      <c r="AG1132" s="46">
        <v>6.6108786999999998</v>
      </c>
      <c r="AH1132" s="46">
        <v>3.7238494000000002</v>
      </c>
      <c r="AI1132" s="47">
        <f>AB1132+AC1132</f>
        <v>0.62761500000000003</v>
      </c>
      <c r="AJ1132" s="47">
        <f>AD1132+AE1132+AF1132+AG1132+AH1132</f>
        <v>99.372385100000002</v>
      </c>
      <c r="AK1132" s="46">
        <v>2.1511307</v>
      </c>
      <c r="AL1132" s="46">
        <v>2.7302813000000001</v>
      </c>
      <c r="AM1132" s="46">
        <v>5.6811914000000003</v>
      </c>
      <c r="AN1132" s="46">
        <v>0.82735800000000004</v>
      </c>
      <c r="AO1132" s="46">
        <v>78.654164399999999</v>
      </c>
      <c r="AP1132" s="46">
        <v>8.2735797000000009</v>
      </c>
      <c r="AQ1132" s="46">
        <v>1.6822945</v>
      </c>
      <c r="AR1132" s="48">
        <f>AK1132+AL1132</f>
        <v>4.8814120000000001</v>
      </c>
      <c r="AS1132" s="48">
        <f>AM1132+AN1132+AO1132+AP1132+AQ1132</f>
        <v>95.118588000000003</v>
      </c>
    </row>
    <row r="1133" spans="2:45" ht="15" hidden="1" customHeight="1" x14ac:dyDescent="0.25">
      <c r="B1133" s="35">
        <v>1127</v>
      </c>
      <c r="C1133" s="36" t="s">
        <v>31</v>
      </c>
      <c r="D1133" s="36" t="s">
        <v>344</v>
      </c>
      <c r="E1133" s="36" t="s">
        <v>370</v>
      </c>
      <c r="F1133" s="36" t="s">
        <v>375</v>
      </c>
      <c r="G1133" s="37" t="s">
        <v>25</v>
      </c>
      <c r="H1133" s="38"/>
      <c r="I1133" s="38"/>
      <c r="J1133" s="38"/>
      <c r="K1133" s="38"/>
      <c r="L1133" s="38"/>
      <c r="M1133" s="38"/>
      <c r="N1133" s="38"/>
      <c r="O1133" s="38"/>
      <c r="P1133" s="38"/>
      <c r="Q1133" s="38"/>
      <c r="R1133" s="38"/>
      <c r="S1133" s="38"/>
      <c r="T1133" s="38"/>
      <c r="U1133" s="38"/>
      <c r="V1133" s="38"/>
      <c r="W1133" s="38"/>
      <c r="X1133" s="38"/>
      <c r="Y1133" s="38"/>
      <c r="Z1133" s="38"/>
      <c r="AA1133" s="38"/>
      <c r="AB1133" s="39"/>
      <c r="AC1133" s="39"/>
      <c r="AD1133" s="39"/>
      <c r="AE1133" s="39"/>
      <c r="AF1133" s="39"/>
      <c r="AG1133" s="39"/>
      <c r="AH1133" s="39"/>
      <c r="AI1133" s="39"/>
      <c r="AJ1133" s="39"/>
      <c r="AK1133" s="39"/>
      <c r="AL1133" s="39"/>
      <c r="AM1133" s="39"/>
      <c r="AN1133" s="39"/>
      <c r="AO1133" s="39"/>
      <c r="AP1133" s="39"/>
      <c r="AQ1133" s="39"/>
      <c r="AR1133" s="40"/>
      <c r="AS1133" s="40"/>
    </row>
    <row r="1134" spans="2:45" ht="15" hidden="1" customHeight="1" x14ac:dyDescent="0.25">
      <c r="B1134" s="35">
        <v>1128</v>
      </c>
      <c r="C1134" s="36" t="s">
        <v>31</v>
      </c>
      <c r="D1134" s="36" t="s">
        <v>344</v>
      </c>
      <c r="E1134" s="36" t="s">
        <v>370</v>
      </c>
      <c r="F1134" s="36" t="s">
        <v>375</v>
      </c>
      <c r="G1134" s="37" t="s">
        <v>26</v>
      </c>
      <c r="H1134" s="38">
        <v>2390</v>
      </c>
      <c r="I1134" s="38">
        <v>8</v>
      </c>
      <c r="J1134" s="38">
        <v>7</v>
      </c>
      <c r="K1134" s="38">
        <v>252</v>
      </c>
      <c r="L1134" s="38">
        <v>39</v>
      </c>
      <c r="M1134" s="38">
        <v>1837</v>
      </c>
      <c r="N1134" s="38">
        <v>158</v>
      </c>
      <c r="O1134" s="38">
        <v>89</v>
      </c>
      <c r="P1134" s="38"/>
      <c r="Q1134" s="38"/>
      <c r="R1134" s="38">
        <v>3626</v>
      </c>
      <c r="S1134" s="38">
        <v>78</v>
      </c>
      <c r="T1134" s="38">
        <v>99</v>
      </c>
      <c r="U1134" s="38">
        <v>206</v>
      </c>
      <c r="V1134" s="38">
        <v>30</v>
      </c>
      <c r="W1134" s="38">
        <v>2852</v>
      </c>
      <c r="X1134" s="38">
        <v>300</v>
      </c>
      <c r="Y1134" s="38">
        <v>61</v>
      </c>
      <c r="Z1134" s="38"/>
      <c r="AA1134" s="38"/>
      <c r="AB1134" s="39">
        <v>0.33472800000000003</v>
      </c>
      <c r="AC1134" s="39">
        <v>0.29288700000000001</v>
      </c>
      <c r="AD1134" s="39">
        <v>10.5439331</v>
      </c>
      <c r="AE1134" s="39">
        <v>1.6317991999999999</v>
      </c>
      <c r="AF1134" s="39">
        <v>76.861924700000003</v>
      </c>
      <c r="AG1134" s="39">
        <v>6.6108786999999998</v>
      </c>
      <c r="AH1134" s="39">
        <v>3.7238494000000002</v>
      </c>
      <c r="AI1134" s="39"/>
      <c r="AJ1134" s="39"/>
      <c r="AK1134" s="39">
        <v>2.1511307</v>
      </c>
      <c r="AL1134" s="39">
        <v>2.7302813000000001</v>
      </c>
      <c r="AM1134" s="39">
        <v>5.6811914000000003</v>
      </c>
      <c r="AN1134" s="39">
        <v>0.82735800000000004</v>
      </c>
      <c r="AO1134" s="39">
        <v>78.654164399999999</v>
      </c>
      <c r="AP1134" s="39">
        <v>8.2735797000000009</v>
      </c>
      <c r="AQ1134" s="39">
        <v>1.6822945</v>
      </c>
      <c r="AR1134" s="40"/>
      <c r="AS1134" s="40"/>
    </row>
    <row r="1135" spans="2:45" ht="15" customHeight="1" x14ac:dyDescent="0.25">
      <c r="B1135" s="41">
        <v>1129</v>
      </c>
      <c r="C1135" s="42" t="s">
        <v>31</v>
      </c>
      <c r="D1135" s="51" t="s">
        <v>344</v>
      </c>
      <c r="E1135" s="51" t="s">
        <v>370</v>
      </c>
      <c r="F1135" s="51" t="s">
        <v>376</v>
      </c>
      <c r="G1135" s="52" t="s">
        <v>376</v>
      </c>
      <c r="H1135" s="43">
        <v>8374</v>
      </c>
      <c r="I1135" s="43">
        <v>1187</v>
      </c>
      <c r="J1135" s="43">
        <v>5978</v>
      </c>
      <c r="K1135" s="43">
        <v>154</v>
      </c>
      <c r="L1135" s="43">
        <v>39</v>
      </c>
      <c r="M1135" s="43">
        <v>852</v>
      </c>
      <c r="N1135" s="43">
        <v>115</v>
      </c>
      <c r="O1135" s="43">
        <v>49</v>
      </c>
      <c r="P1135" s="44">
        <f>K1135+L1135+M1135+N1135+O1135</f>
        <v>1209</v>
      </c>
      <c r="Q1135" s="44">
        <f>I1135+J1135</f>
        <v>7165</v>
      </c>
      <c r="R1135" s="43">
        <v>9305</v>
      </c>
      <c r="S1135" s="43">
        <v>1085</v>
      </c>
      <c r="T1135" s="43">
        <v>6614</v>
      </c>
      <c r="U1135" s="43">
        <v>106</v>
      </c>
      <c r="V1135" s="43">
        <v>21</v>
      </c>
      <c r="W1135" s="43">
        <v>1165</v>
      </c>
      <c r="X1135" s="43">
        <v>253</v>
      </c>
      <c r="Y1135" s="43">
        <v>61</v>
      </c>
      <c r="Z1135" s="45">
        <f>U1135+V1135+W1135+X1135+Y1135</f>
        <v>1606</v>
      </c>
      <c r="AA1135" s="45">
        <f>S1135+T1135</f>
        <v>7699</v>
      </c>
      <c r="AB1135" s="46">
        <v>14.1748268</v>
      </c>
      <c r="AC1135" s="46">
        <v>71.387628399999997</v>
      </c>
      <c r="AD1135" s="46">
        <v>1.8390256</v>
      </c>
      <c r="AE1135" s="46">
        <v>0.46572730000000001</v>
      </c>
      <c r="AF1135" s="46">
        <v>10.1743492</v>
      </c>
      <c r="AG1135" s="46">
        <v>1.3732983000000001</v>
      </c>
      <c r="AH1135" s="46">
        <v>0.58514449999999996</v>
      </c>
      <c r="AI1135" s="47">
        <f>AB1135+AC1135</f>
        <v>85.562455200000002</v>
      </c>
      <c r="AJ1135" s="47">
        <f>AD1135+AE1135+AF1135+AG1135+AH1135</f>
        <v>14.437544900000001</v>
      </c>
      <c r="AK1135" s="46">
        <v>11.6603976</v>
      </c>
      <c r="AL1135" s="46">
        <v>71.080064500000006</v>
      </c>
      <c r="AM1135" s="46">
        <v>1.1391724999999999</v>
      </c>
      <c r="AN1135" s="46">
        <v>0.2256851</v>
      </c>
      <c r="AO1135" s="46">
        <v>12.5201505</v>
      </c>
      <c r="AP1135" s="46">
        <v>2.7189682999999998</v>
      </c>
      <c r="AQ1135" s="46">
        <v>0.65556150000000002</v>
      </c>
      <c r="AR1135" s="48">
        <f>AK1135+AL1135</f>
        <v>82.740462100000002</v>
      </c>
      <c r="AS1135" s="48">
        <f>AM1135+AN1135+AO1135+AP1135+AQ1135</f>
        <v>17.259537900000002</v>
      </c>
    </row>
    <row r="1136" spans="2:45" ht="15" hidden="1" customHeight="1" x14ac:dyDescent="0.25">
      <c r="B1136" s="35">
        <v>1130</v>
      </c>
      <c r="C1136" s="36" t="s">
        <v>31</v>
      </c>
      <c r="D1136" s="36" t="s">
        <v>344</v>
      </c>
      <c r="E1136" s="36" t="s">
        <v>370</v>
      </c>
      <c r="F1136" s="36" t="s">
        <v>376</v>
      </c>
      <c r="G1136" s="37" t="s">
        <v>25</v>
      </c>
      <c r="H1136" s="38">
        <v>7338</v>
      </c>
      <c r="I1136" s="38">
        <v>1126</v>
      </c>
      <c r="J1136" s="38">
        <v>5884</v>
      </c>
      <c r="K1136" s="38">
        <v>54</v>
      </c>
      <c r="L1136" s="38">
        <v>6</v>
      </c>
      <c r="M1136" s="38">
        <v>212</v>
      </c>
      <c r="N1136" s="38">
        <v>22</v>
      </c>
      <c r="O1136" s="38">
        <v>34</v>
      </c>
      <c r="P1136" s="38"/>
      <c r="Q1136" s="38"/>
      <c r="R1136" s="38">
        <v>7611</v>
      </c>
      <c r="S1136" s="38">
        <v>1019</v>
      </c>
      <c r="T1136" s="38">
        <v>6290</v>
      </c>
      <c r="U1136" s="38">
        <v>39</v>
      </c>
      <c r="V1136" s="38">
        <v>4</v>
      </c>
      <c r="W1136" s="38">
        <v>208</v>
      </c>
      <c r="X1136" s="38">
        <v>33</v>
      </c>
      <c r="Y1136" s="38">
        <v>18</v>
      </c>
      <c r="Z1136" s="38"/>
      <c r="AA1136" s="38"/>
      <c r="AB1136" s="39">
        <v>15.3447806</v>
      </c>
      <c r="AC1136" s="39">
        <v>80.185336599999999</v>
      </c>
      <c r="AD1136" s="39">
        <v>0.73589530000000003</v>
      </c>
      <c r="AE1136" s="39">
        <v>8.1766099999999994E-2</v>
      </c>
      <c r="AF1136" s="39">
        <v>2.8890706000000002</v>
      </c>
      <c r="AG1136" s="39">
        <v>0.2998092</v>
      </c>
      <c r="AH1136" s="39">
        <v>0.46334150000000002</v>
      </c>
      <c r="AI1136" s="39"/>
      <c r="AJ1136" s="39"/>
      <c r="AK1136" s="39">
        <v>13.388516600000001</v>
      </c>
      <c r="AL1136" s="39">
        <v>82.643542199999999</v>
      </c>
      <c r="AM1136" s="39">
        <v>0.51241619999999999</v>
      </c>
      <c r="AN1136" s="39">
        <v>5.2555499999999998E-2</v>
      </c>
      <c r="AO1136" s="39">
        <v>2.7328866000000001</v>
      </c>
      <c r="AP1136" s="39">
        <v>0.433583</v>
      </c>
      <c r="AQ1136" s="39">
        <v>0.23649980000000001</v>
      </c>
      <c r="AR1136" s="40"/>
      <c r="AS1136" s="40"/>
    </row>
    <row r="1137" spans="2:45" ht="15" hidden="1" customHeight="1" x14ac:dyDescent="0.25">
      <c r="B1137" s="35">
        <v>1131</v>
      </c>
      <c r="C1137" s="36" t="s">
        <v>31</v>
      </c>
      <c r="D1137" s="36" t="s">
        <v>344</v>
      </c>
      <c r="E1137" s="36" t="s">
        <v>370</v>
      </c>
      <c r="F1137" s="36" t="s">
        <v>376</v>
      </c>
      <c r="G1137" s="37" t="s">
        <v>26</v>
      </c>
      <c r="H1137" s="38">
        <v>1036</v>
      </c>
      <c r="I1137" s="38">
        <v>61</v>
      </c>
      <c r="J1137" s="38">
        <v>94</v>
      </c>
      <c r="K1137" s="38">
        <v>100</v>
      </c>
      <c r="L1137" s="38">
        <v>33</v>
      </c>
      <c r="M1137" s="38">
        <v>640</v>
      </c>
      <c r="N1137" s="38">
        <v>93</v>
      </c>
      <c r="O1137" s="38">
        <v>15</v>
      </c>
      <c r="P1137" s="38"/>
      <c r="Q1137" s="38"/>
      <c r="R1137" s="38">
        <v>1694</v>
      </c>
      <c r="S1137" s="38">
        <v>66</v>
      </c>
      <c r="T1137" s="38">
        <v>324</v>
      </c>
      <c r="U1137" s="38">
        <v>67</v>
      </c>
      <c r="V1137" s="38">
        <v>17</v>
      </c>
      <c r="W1137" s="38">
        <v>957</v>
      </c>
      <c r="X1137" s="38">
        <v>220</v>
      </c>
      <c r="Y1137" s="38">
        <v>43</v>
      </c>
      <c r="Z1137" s="38"/>
      <c r="AA1137" s="38"/>
      <c r="AB1137" s="39">
        <v>5.8880309000000004</v>
      </c>
      <c r="AC1137" s="39">
        <v>9.0733590999999993</v>
      </c>
      <c r="AD1137" s="39">
        <v>9.6525096999999995</v>
      </c>
      <c r="AE1137" s="39">
        <v>3.1853281999999998</v>
      </c>
      <c r="AF1137" s="39">
        <v>61.776061800000001</v>
      </c>
      <c r="AG1137" s="39">
        <v>8.9768340000000002</v>
      </c>
      <c r="AH1137" s="39">
        <v>1.4478764</v>
      </c>
      <c r="AI1137" s="39"/>
      <c r="AJ1137" s="39"/>
      <c r="AK1137" s="39">
        <v>3.8961039</v>
      </c>
      <c r="AL1137" s="39">
        <v>19.1263282</v>
      </c>
      <c r="AM1137" s="39">
        <v>3.9551357999999999</v>
      </c>
      <c r="AN1137" s="39">
        <v>1.0035419000000001</v>
      </c>
      <c r="AO1137" s="39">
        <v>56.493506500000002</v>
      </c>
      <c r="AP1137" s="39">
        <v>12.987012999999999</v>
      </c>
      <c r="AQ1137" s="39">
        <v>2.5383707000000002</v>
      </c>
      <c r="AR1137" s="40"/>
      <c r="AS1137" s="40"/>
    </row>
    <row r="1138" spans="2:45" ht="15" customHeight="1" x14ac:dyDescent="0.25">
      <c r="B1138" s="41">
        <v>1132</v>
      </c>
      <c r="C1138" s="42" t="s">
        <v>31</v>
      </c>
      <c r="D1138" s="51" t="s">
        <v>344</v>
      </c>
      <c r="E1138" s="51" t="s">
        <v>370</v>
      </c>
      <c r="F1138" s="51" t="s">
        <v>377</v>
      </c>
      <c r="G1138" s="52" t="s">
        <v>377</v>
      </c>
      <c r="H1138" s="43">
        <v>1013</v>
      </c>
      <c r="I1138" s="43">
        <v>63</v>
      </c>
      <c r="J1138" s="43">
        <v>370</v>
      </c>
      <c r="K1138" s="43">
        <v>47</v>
      </c>
      <c r="L1138" s="43">
        <v>6</v>
      </c>
      <c r="M1138" s="43">
        <v>451</v>
      </c>
      <c r="N1138" s="43">
        <v>61</v>
      </c>
      <c r="O1138" s="43">
        <v>15</v>
      </c>
      <c r="P1138" s="44">
        <f>K1138+L1138+M1138+N1138+O1138</f>
        <v>580</v>
      </c>
      <c r="Q1138" s="44">
        <f>I1138+J1138</f>
        <v>433</v>
      </c>
      <c r="R1138" s="43">
        <v>1385</v>
      </c>
      <c r="S1138" s="43">
        <v>161</v>
      </c>
      <c r="T1138" s="43">
        <v>566</v>
      </c>
      <c r="U1138" s="43">
        <v>13</v>
      </c>
      <c r="V1138" s="43">
        <v>3</v>
      </c>
      <c r="W1138" s="43">
        <v>612</v>
      </c>
      <c r="X1138" s="43">
        <v>24</v>
      </c>
      <c r="Y1138" s="43">
        <v>6</v>
      </c>
      <c r="Z1138" s="45">
        <f>U1138+V1138+W1138+X1138+Y1138</f>
        <v>658</v>
      </c>
      <c r="AA1138" s="45">
        <f>S1138+T1138</f>
        <v>727</v>
      </c>
      <c r="AB1138" s="46">
        <v>6.2191510000000001</v>
      </c>
      <c r="AC1138" s="46">
        <v>36.5251728</v>
      </c>
      <c r="AD1138" s="46">
        <v>4.6396841000000002</v>
      </c>
      <c r="AE1138" s="46">
        <v>0.5923001</v>
      </c>
      <c r="AF1138" s="46">
        <v>44.521224099999998</v>
      </c>
      <c r="AG1138" s="46">
        <v>6.0217177</v>
      </c>
      <c r="AH1138" s="46">
        <v>1.4807501999999999</v>
      </c>
      <c r="AI1138" s="47">
        <f>AB1138+AC1138</f>
        <v>42.744323800000004</v>
      </c>
      <c r="AJ1138" s="47">
        <f>AD1138+AE1138+AF1138+AG1138+AH1138</f>
        <v>57.255676199999996</v>
      </c>
      <c r="AK1138" s="46">
        <v>11.6245487</v>
      </c>
      <c r="AL1138" s="46">
        <v>40.866425999999997</v>
      </c>
      <c r="AM1138" s="46">
        <v>0.93862820000000002</v>
      </c>
      <c r="AN1138" s="46">
        <v>0.21660650000000001</v>
      </c>
      <c r="AO1138" s="46">
        <v>44.1877256</v>
      </c>
      <c r="AP1138" s="46">
        <v>1.7328520000000001</v>
      </c>
      <c r="AQ1138" s="46">
        <v>0.43321300000000001</v>
      </c>
      <c r="AR1138" s="48">
        <f>AK1138+AL1138</f>
        <v>52.490974699999995</v>
      </c>
      <c r="AS1138" s="48">
        <f>AM1138+AN1138+AO1138+AP1138+AQ1138</f>
        <v>47.509025300000005</v>
      </c>
    </row>
    <row r="1139" spans="2:45" ht="15" hidden="1" customHeight="1" x14ac:dyDescent="0.25">
      <c r="B1139" s="35">
        <v>1133</v>
      </c>
      <c r="C1139" s="36" t="s">
        <v>31</v>
      </c>
      <c r="D1139" s="36" t="s">
        <v>344</v>
      </c>
      <c r="E1139" s="36" t="s">
        <v>370</v>
      </c>
      <c r="F1139" s="36" t="s">
        <v>377</v>
      </c>
      <c r="G1139" s="37" t="s">
        <v>25</v>
      </c>
      <c r="H1139" s="38">
        <v>708</v>
      </c>
      <c r="I1139" s="38">
        <v>63</v>
      </c>
      <c r="J1139" s="38">
        <v>370</v>
      </c>
      <c r="K1139" s="38">
        <v>29</v>
      </c>
      <c r="L1139" s="38">
        <v>4</v>
      </c>
      <c r="M1139" s="38">
        <v>215</v>
      </c>
      <c r="N1139" s="38">
        <v>19</v>
      </c>
      <c r="O1139" s="38">
        <v>8</v>
      </c>
      <c r="P1139" s="38"/>
      <c r="Q1139" s="38"/>
      <c r="R1139" s="38">
        <v>963</v>
      </c>
      <c r="S1139" s="38">
        <v>159</v>
      </c>
      <c r="T1139" s="38">
        <v>564</v>
      </c>
      <c r="U1139" s="38">
        <v>9</v>
      </c>
      <c r="V1139" s="38">
        <v>1</v>
      </c>
      <c r="W1139" s="38">
        <v>221</v>
      </c>
      <c r="X1139" s="38">
        <v>6</v>
      </c>
      <c r="Y1139" s="38">
        <v>3</v>
      </c>
      <c r="Z1139" s="38"/>
      <c r="AA1139" s="38"/>
      <c r="AB1139" s="39">
        <v>8.8983051</v>
      </c>
      <c r="AC1139" s="39">
        <v>52.259886999999999</v>
      </c>
      <c r="AD1139" s="39">
        <v>4.0960451999999998</v>
      </c>
      <c r="AE1139" s="39">
        <v>0.56497180000000002</v>
      </c>
      <c r="AF1139" s="39">
        <v>30.3672316</v>
      </c>
      <c r="AG1139" s="39">
        <v>2.6836158000000001</v>
      </c>
      <c r="AH1139" s="39">
        <v>1.1299435</v>
      </c>
      <c r="AI1139" s="39"/>
      <c r="AJ1139" s="39"/>
      <c r="AK1139" s="39">
        <v>16.5109034</v>
      </c>
      <c r="AL1139" s="39">
        <v>58.566978200000001</v>
      </c>
      <c r="AM1139" s="39">
        <v>0.93457939999999995</v>
      </c>
      <c r="AN1139" s="39">
        <v>0.1038422</v>
      </c>
      <c r="AO1139" s="39">
        <v>22.949117300000001</v>
      </c>
      <c r="AP1139" s="39">
        <v>0.62305299999999997</v>
      </c>
      <c r="AQ1139" s="39">
        <v>0.31152649999999998</v>
      </c>
      <c r="AR1139" s="40"/>
      <c r="AS1139" s="40"/>
    </row>
    <row r="1140" spans="2:45" ht="15" hidden="1" customHeight="1" x14ac:dyDescent="0.25">
      <c r="B1140" s="35">
        <v>1134</v>
      </c>
      <c r="C1140" s="36" t="s">
        <v>31</v>
      </c>
      <c r="D1140" s="36" t="s">
        <v>344</v>
      </c>
      <c r="E1140" s="36" t="s">
        <v>370</v>
      </c>
      <c r="F1140" s="36" t="s">
        <v>377</v>
      </c>
      <c r="G1140" s="37" t="s">
        <v>26</v>
      </c>
      <c r="H1140" s="38">
        <v>305</v>
      </c>
      <c r="I1140" s="38">
        <v>0</v>
      </c>
      <c r="J1140" s="38">
        <v>0</v>
      </c>
      <c r="K1140" s="38">
        <v>18</v>
      </c>
      <c r="L1140" s="38">
        <v>2</v>
      </c>
      <c r="M1140" s="38">
        <v>236</v>
      </c>
      <c r="N1140" s="38">
        <v>42</v>
      </c>
      <c r="O1140" s="38">
        <v>7</v>
      </c>
      <c r="P1140" s="38"/>
      <c r="Q1140" s="38"/>
      <c r="R1140" s="38">
        <v>422</v>
      </c>
      <c r="S1140" s="38">
        <v>2</v>
      </c>
      <c r="T1140" s="38">
        <v>2</v>
      </c>
      <c r="U1140" s="38">
        <v>4</v>
      </c>
      <c r="V1140" s="38">
        <v>2</v>
      </c>
      <c r="W1140" s="38">
        <v>391</v>
      </c>
      <c r="X1140" s="38">
        <v>18</v>
      </c>
      <c r="Y1140" s="38">
        <v>3</v>
      </c>
      <c r="Z1140" s="38"/>
      <c r="AA1140" s="38"/>
      <c r="AB1140" s="39">
        <v>0</v>
      </c>
      <c r="AC1140" s="39">
        <v>0</v>
      </c>
      <c r="AD1140" s="39">
        <v>5.9016393000000003</v>
      </c>
      <c r="AE1140" s="39">
        <v>0.65573769999999998</v>
      </c>
      <c r="AF1140" s="39">
        <v>77.377049200000002</v>
      </c>
      <c r="AG1140" s="39">
        <v>13.7704918</v>
      </c>
      <c r="AH1140" s="39">
        <v>2.2950819999999998</v>
      </c>
      <c r="AI1140" s="39"/>
      <c r="AJ1140" s="39"/>
      <c r="AK1140" s="39">
        <v>0.47393360000000001</v>
      </c>
      <c r="AL1140" s="39">
        <v>0.47393360000000001</v>
      </c>
      <c r="AM1140" s="39">
        <v>0.94786729999999997</v>
      </c>
      <c r="AN1140" s="39">
        <v>0.47393360000000001</v>
      </c>
      <c r="AO1140" s="39">
        <v>92.654028400000001</v>
      </c>
      <c r="AP1140" s="39">
        <v>4.2654028000000004</v>
      </c>
      <c r="AQ1140" s="39">
        <v>0.71090050000000005</v>
      </c>
      <c r="AR1140" s="40"/>
      <c r="AS1140" s="40"/>
    </row>
    <row r="1141" spans="2:45" ht="15" hidden="1" customHeight="1" x14ac:dyDescent="0.25">
      <c r="B1141" s="30">
        <v>1135</v>
      </c>
      <c r="C1141" s="31" t="s">
        <v>29</v>
      </c>
      <c r="D1141" s="50" t="s">
        <v>344</v>
      </c>
      <c r="E1141" s="50" t="s">
        <v>378</v>
      </c>
      <c r="F1141" s="50"/>
      <c r="G1141" s="31" t="s">
        <v>378</v>
      </c>
      <c r="H1141" s="32">
        <v>7956</v>
      </c>
      <c r="I1141" s="32">
        <v>534</v>
      </c>
      <c r="J1141" s="32">
        <v>2992</v>
      </c>
      <c r="K1141" s="32">
        <v>1428</v>
      </c>
      <c r="L1141" s="32">
        <v>104</v>
      </c>
      <c r="M1141" s="32">
        <v>2059</v>
      </c>
      <c r="N1141" s="32">
        <v>480</v>
      </c>
      <c r="O1141" s="32">
        <v>359</v>
      </c>
      <c r="P1141" s="32"/>
      <c r="Q1141" s="32"/>
      <c r="R1141" s="32">
        <v>9338</v>
      </c>
      <c r="S1141" s="32">
        <v>811</v>
      </c>
      <c r="T1141" s="32">
        <v>4040</v>
      </c>
      <c r="U1141" s="32">
        <v>814</v>
      </c>
      <c r="V1141" s="32">
        <v>24</v>
      </c>
      <c r="W1141" s="32">
        <v>2675</v>
      </c>
      <c r="X1141" s="32">
        <v>721</v>
      </c>
      <c r="Y1141" s="32">
        <v>253</v>
      </c>
      <c r="Z1141" s="32"/>
      <c r="AA1141" s="32"/>
      <c r="AB1141" s="33">
        <v>6.7119154999999999</v>
      </c>
      <c r="AC1141" s="33">
        <v>37.606837599999999</v>
      </c>
      <c r="AD1141" s="33">
        <v>17.948717899999998</v>
      </c>
      <c r="AE1141" s="33">
        <v>1.3071895</v>
      </c>
      <c r="AF1141" s="33">
        <v>25.879839100000002</v>
      </c>
      <c r="AG1141" s="33">
        <v>6.0331824999999997</v>
      </c>
      <c r="AH1141" s="33">
        <v>4.5123176999999997</v>
      </c>
      <c r="AI1141" s="33"/>
      <c r="AJ1141" s="33"/>
      <c r="AK1141" s="33">
        <v>8.6849431999999993</v>
      </c>
      <c r="AL1141" s="33">
        <v>43.264082199999997</v>
      </c>
      <c r="AM1141" s="33">
        <v>8.7170699999999997</v>
      </c>
      <c r="AN1141" s="33">
        <v>0.25701429999999997</v>
      </c>
      <c r="AO1141" s="33">
        <v>28.646391099999999</v>
      </c>
      <c r="AP1141" s="33">
        <v>7.7211394000000002</v>
      </c>
      <c r="AQ1141" s="33">
        <v>2.7093596</v>
      </c>
      <c r="AR1141" s="34"/>
      <c r="AS1141" s="34"/>
    </row>
    <row r="1142" spans="2:45" ht="15" hidden="1" customHeight="1" x14ac:dyDescent="0.25">
      <c r="B1142" s="35">
        <v>1136</v>
      </c>
      <c r="C1142" s="36" t="s">
        <v>29</v>
      </c>
      <c r="D1142" s="36" t="s">
        <v>344</v>
      </c>
      <c r="E1142" s="36" t="s">
        <v>378</v>
      </c>
      <c r="F1142" s="36"/>
      <c r="G1142" s="37" t="s">
        <v>25</v>
      </c>
      <c r="H1142" s="38">
        <v>2981</v>
      </c>
      <c r="I1142" s="38">
        <v>455</v>
      </c>
      <c r="J1142" s="38">
        <v>2394</v>
      </c>
      <c r="K1142" s="38">
        <v>19</v>
      </c>
      <c r="L1142" s="38">
        <v>4</v>
      </c>
      <c r="M1142" s="38">
        <v>78</v>
      </c>
      <c r="N1142" s="38">
        <v>21</v>
      </c>
      <c r="O1142" s="38">
        <v>10</v>
      </c>
      <c r="P1142" s="38"/>
      <c r="Q1142" s="38"/>
      <c r="R1142" s="38">
        <v>3589</v>
      </c>
      <c r="S1142" s="38">
        <v>540</v>
      </c>
      <c r="T1142" s="38">
        <v>2953</v>
      </c>
      <c r="U1142" s="38">
        <v>5</v>
      </c>
      <c r="V1142" s="38">
        <v>1</v>
      </c>
      <c r="W1142" s="38">
        <v>57</v>
      </c>
      <c r="X1142" s="38">
        <v>15</v>
      </c>
      <c r="Y1142" s="38">
        <v>18</v>
      </c>
      <c r="Z1142" s="38"/>
      <c r="AA1142" s="38"/>
      <c r="AB1142" s="39">
        <v>15.263334499999999</v>
      </c>
      <c r="AC1142" s="39">
        <v>80.308621299999999</v>
      </c>
      <c r="AD1142" s="39">
        <v>0.63736999999999999</v>
      </c>
      <c r="AE1142" s="39">
        <v>0.1341832</v>
      </c>
      <c r="AF1142" s="39">
        <v>2.6165715999999999</v>
      </c>
      <c r="AG1142" s="39">
        <v>0.70446160000000002</v>
      </c>
      <c r="AH1142" s="39">
        <v>0.33545789999999998</v>
      </c>
      <c r="AI1142" s="39"/>
      <c r="AJ1142" s="39"/>
      <c r="AK1142" s="39">
        <v>15.045973800000001</v>
      </c>
      <c r="AL1142" s="39">
        <v>82.2791864</v>
      </c>
      <c r="AM1142" s="39">
        <v>0.13931460000000001</v>
      </c>
      <c r="AN1142" s="39">
        <v>2.7862899999999999E-2</v>
      </c>
      <c r="AO1142" s="39">
        <v>1.5881860999999999</v>
      </c>
      <c r="AP1142" s="39">
        <v>0.41794369999999997</v>
      </c>
      <c r="AQ1142" s="39">
        <v>0.50153250000000005</v>
      </c>
      <c r="AR1142" s="40"/>
      <c r="AS1142" s="40"/>
    </row>
    <row r="1143" spans="2:45" ht="15" hidden="1" customHeight="1" x14ac:dyDescent="0.25">
      <c r="B1143" s="35">
        <v>1137</v>
      </c>
      <c r="C1143" s="36" t="s">
        <v>29</v>
      </c>
      <c r="D1143" s="36" t="s">
        <v>344</v>
      </c>
      <c r="E1143" s="36" t="s">
        <v>378</v>
      </c>
      <c r="F1143" s="36"/>
      <c r="G1143" s="37" t="s">
        <v>26</v>
      </c>
      <c r="H1143" s="38">
        <v>4975</v>
      </c>
      <c r="I1143" s="38">
        <v>79</v>
      </c>
      <c r="J1143" s="38">
        <v>598</v>
      </c>
      <c r="K1143" s="38">
        <v>1409</v>
      </c>
      <c r="L1143" s="38">
        <v>100</v>
      </c>
      <c r="M1143" s="38">
        <v>1981</v>
      </c>
      <c r="N1143" s="38">
        <v>459</v>
      </c>
      <c r="O1143" s="38">
        <v>349</v>
      </c>
      <c r="P1143" s="38"/>
      <c r="Q1143" s="38"/>
      <c r="R1143" s="38">
        <v>5749</v>
      </c>
      <c r="S1143" s="38">
        <v>271</v>
      </c>
      <c r="T1143" s="38">
        <v>1087</v>
      </c>
      <c r="U1143" s="38">
        <v>809</v>
      </c>
      <c r="V1143" s="38">
        <v>23</v>
      </c>
      <c r="W1143" s="38">
        <v>2618</v>
      </c>
      <c r="X1143" s="38">
        <v>706</v>
      </c>
      <c r="Y1143" s="38">
        <v>235</v>
      </c>
      <c r="Z1143" s="38"/>
      <c r="AA1143" s="38"/>
      <c r="AB1143" s="39">
        <v>1.5879397</v>
      </c>
      <c r="AC1143" s="39">
        <v>12.0201005</v>
      </c>
      <c r="AD1143" s="39">
        <v>28.321608000000001</v>
      </c>
      <c r="AE1143" s="39">
        <v>2.0100503000000001</v>
      </c>
      <c r="AF1143" s="39">
        <v>39.819095500000003</v>
      </c>
      <c r="AG1143" s="39">
        <v>9.2261307000000006</v>
      </c>
      <c r="AH1143" s="39">
        <v>7.0150753999999997</v>
      </c>
      <c r="AI1143" s="39"/>
      <c r="AJ1143" s="39"/>
      <c r="AK1143" s="39">
        <v>4.7138632999999999</v>
      </c>
      <c r="AL1143" s="39">
        <v>18.907636100000001</v>
      </c>
      <c r="AM1143" s="39">
        <v>14.0720125</v>
      </c>
      <c r="AN1143" s="39">
        <v>0.40006960000000003</v>
      </c>
      <c r="AO1143" s="39">
        <v>45.538354499999997</v>
      </c>
      <c r="AP1143" s="39">
        <v>12.2803966</v>
      </c>
      <c r="AQ1143" s="39">
        <v>4.0876674</v>
      </c>
      <c r="AR1143" s="40"/>
      <c r="AS1143" s="40"/>
    </row>
    <row r="1144" spans="2:45" ht="15" customHeight="1" x14ac:dyDescent="0.25">
      <c r="B1144" s="41">
        <v>1138</v>
      </c>
      <c r="C1144" s="42" t="s">
        <v>31</v>
      </c>
      <c r="D1144" s="51" t="s">
        <v>344</v>
      </c>
      <c r="E1144" s="51" t="s">
        <v>378</v>
      </c>
      <c r="F1144" s="51" t="s">
        <v>379</v>
      </c>
      <c r="G1144" s="52" t="s">
        <v>379</v>
      </c>
      <c r="H1144" s="43">
        <v>5275</v>
      </c>
      <c r="I1144" s="43">
        <v>485</v>
      </c>
      <c r="J1144" s="43">
        <v>2435</v>
      </c>
      <c r="K1144" s="43">
        <v>746</v>
      </c>
      <c r="L1144" s="43">
        <v>55</v>
      </c>
      <c r="M1144" s="43">
        <v>1047</v>
      </c>
      <c r="N1144" s="43">
        <v>290</v>
      </c>
      <c r="O1144" s="43">
        <v>217</v>
      </c>
      <c r="P1144" s="44">
        <f>K1144+L1144+M1144+N1144+O1144</f>
        <v>2355</v>
      </c>
      <c r="Q1144" s="44">
        <f>I1144+J1144</f>
        <v>2920</v>
      </c>
      <c r="R1144" s="43">
        <v>6197</v>
      </c>
      <c r="S1144" s="43">
        <v>675</v>
      </c>
      <c r="T1144" s="43">
        <v>3318</v>
      </c>
      <c r="U1144" s="43">
        <v>392</v>
      </c>
      <c r="V1144" s="43">
        <v>11</v>
      </c>
      <c r="W1144" s="43">
        <v>1286</v>
      </c>
      <c r="X1144" s="43">
        <v>371</v>
      </c>
      <c r="Y1144" s="43">
        <v>144</v>
      </c>
      <c r="Z1144" s="45">
        <f>U1144+V1144+W1144+X1144+Y1144</f>
        <v>2204</v>
      </c>
      <c r="AA1144" s="45">
        <f>S1144+T1144</f>
        <v>3993</v>
      </c>
      <c r="AB1144" s="46">
        <v>9.1943128000000005</v>
      </c>
      <c r="AC1144" s="46">
        <v>46.161137400000001</v>
      </c>
      <c r="AD1144" s="46">
        <v>14.142180099999999</v>
      </c>
      <c r="AE1144" s="46">
        <v>1.042654</v>
      </c>
      <c r="AF1144" s="46">
        <v>19.8483412</v>
      </c>
      <c r="AG1144" s="46">
        <v>5.4976303</v>
      </c>
      <c r="AH1144" s="46">
        <v>4.1137440999999999</v>
      </c>
      <c r="AI1144" s="47">
        <f>AB1144+AC1144</f>
        <v>55.3554502</v>
      </c>
      <c r="AJ1144" s="47">
        <f>AD1144+AE1144+AF1144+AG1144+AH1144</f>
        <v>44.644549699999992</v>
      </c>
      <c r="AK1144" s="46">
        <v>10.8923673</v>
      </c>
      <c r="AL1144" s="46">
        <v>53.542036500000002</v>
      </c>
      <c r="AM1144" s="46">
        <v>6.3256414000000003</v>
      </c>
      <c r="AN1144" s="46">
        <v>0.1775052</v>
      </c>
      <c r="AO1144" s="46">
        <v>20.751976800000001</v>
      </c>
      <c r="AP1144" s="46">
        <v>5.9867678</v>
      </c>
      <c r="AQ1144" s="46">
        <v>2.3237049999999999</v>
      </c>
      <c r="AR1144" s="48">
        <f>AK1144+AL1144</f>
        <v>64.434403799999998</v>
      </c>
      <c r="AS1144" s="48">
        <f>AM1144+AN1144+AO1144+AP1144+AQ1144</f>
        <v>35.565596200000002</v>
      </c>
    </row>
    <row r="1145" spans="2:45" ht="15" hidden="1" customHeight="1" x14ac:dyDescent="0.25">
      <c r="B1145" s="35">
        <v>1139</v>
      </c>
      <c r="C1145" s="36" t="s">
        <v>31</v>
      </c>
      <c r="D1145" s="36" t="s">
        <v>344</v>
      </c>
      <c r="E1145" s="36" t="s">
        <v>378</v>
      </c>
      <c r="F1145" s="36" t="s">
        <v>379</v>
      </c>
      <c r="G1145" s="37" t="s">
        <v>25</v>
      </c>
      <c r="H1145" s="38">
        <v>2981</v>
      </c>
      <c r="I1145" s="38">
        <v>455</v>
      </c>
      <c r="J1145" s="38">
        <v>2394</v>
      </c>
      <c r="K1145" s="38">
        <v>19</v>
      </c>
      <c r="L1145" s="38">
        <v>4</v>
      </c>
      <c r="M1145" s="38">
        <v>78</v>
      </c>
      <c r="N1145" s="38">
        <v>21</v>
      </c>
      <c r="O1145" s="38">
        <v>10</v>
      </c>
      <c r="P1145" s="38"/>
      <c r="Q1145" s="38"/>
      <c r="R1145" s="38">
        <v>3589</v>
      </c>
      <c r="S1145" s="38">
        <v>540</v>
      </c>
      <c r="T1145" s="38">
        <v>2953</v>
      </c>
      <c r="U1145" s="38">
        <v>5</v>
      </c>
      <c r="V1145" s="38">
        <v>1</v>
      </c>
      <c r="W1145" s="38">
        <v>57</v>
      </c>
      <c r="X1145" s="38">
        <v>15</v>
      </c>
      <c r="Y1145" s="38">
        <v>18</v>
      </c>
      <c r="Z1145" s="38"/>
      <c r="AA1145" s="38"/>
      <c r="AB1145" s="39">
        <v>15.263334499999999</v>
      </c>
      <c r="AC1145" s="39">
        <v>80.308621299999999</v>
      </c>
      <c r="AD1145" s="39">
        <v>0.63736999999999999</v>
      </c>
      <c r="AE1145" s="39">
        <v>0.1341832</v>
      </c>
      <c r="AF1145" s="39">
        <v>2.6165715999999999</v>
      </c>
      <c r="AG1145" s="39">
        <v>0.70446160000000002</v>
      </c>
      <c r="AH1145" s="39">
        <v>0.33545789999999998</v>
      </c>
      <c r="AI1145" s="39"/>
      <c r="AJ1145" s="39"/>
      <c r="AK1145" s="39">
        <v>15.045973800000001</v>
      </c>
      <c r="AL1145" s="39">
        <v>82.2791864</v>
      </c>
      <c r="AM1145" s="39">
        <v>0.13931460000000001</v>
      </c>
      <c r="AN1145" s="39">
        <v>2.7862899999999999E-2</v>
      </c>
      <c r="AO1145" s="39">
        <v>1.5881860999999999</v>
      </c>
      <c r="AP1145" s="39">
        <v>0.41794369999999997</v>
      </c>
      <c r="AQ1145" s="39">
        <v>0.50153250000000005</v>
      </c>
      <c r="AR1145" s="40"/>
      <c r="AS1145" s="40"/>
    </row>
    <row r="1146" spans="2:45" ht="15" hidden="1" customHeight="1" x14ac:dyDescent="0.25">
      <c r="B1146" s="35">
        <v>1140</v>
      </c>
      <c r="C1146" s="36" t="s">
        <v>31</v>
      </c>
      <c r="D1146" s="36" t="s">
        <v>344</v>
      </c>
      <c r="E1146" s="36" t="s">
        <v>378</v>
      </c>
      <c r="F1146" s="36" t="s">
        <v>379</v>
      </c>
      <c r="G1146" s="37" t="s">
        <v>26</v>
      </c>
      <c r="H1146" s="38">
        <v>2294</v>
      </c>
      <c r="I1146" s="38">
        <v>30</v>
      </c>
      <c r="J1146" s="38">
        <v>41</v>
      </c>
      <c r="K1146" s="38">
        <v>727</v>
      </c>
      <c r="L1146" s="38">
        <v>51</v>
      </c>
      <c r="M1146" s="38">
        <v>969</v>
      </c>
      <c r="N1146" s="38">
        <v>269</v>
      </c>
      <c r="O1146" s="38">
        <v>207</v>
      </c>
      <c r="P1146" s="38"/>
      <c r="Q1146" s="38"/>
      <c r="R1146" s="38">
        <v>2608</v>
      </c>
      <c r="S1146" s="38">
        <v>135</v>
      </c>
      <c r="T1146" s="38">
        <v>365</v>
      </c>
      <c r="U1146" s="38">
        <v>387</v>
      </c>
      <c r="V1146" s="38">
        <v>10</v>
      </c>
      <c r="W1146" s="38">
        <v>1229</v>
      </c>
      <c r="X1146" s="38">
        <v>356</v>
      </c>
      <c r="Y1146" s="38">
        <v>126</v>
      </c>
      <c r="Z1146" s="38"/>
      <c r="AA1146" s="38"/>
      <c r="AB1146" s="39">
        <v>1.3077593999999999</v>
      </c>
      <c r="AC1146" s="39">
        <v>1.7872710999999999</v>
      </c>
      <c r="AD1146" s="39">
        <v>31.691368799999999</v>
      </c>
      <c r="AE1146" s="39">
        <v>2.2231909000000001</v>
      </c>
      <c r="AF1146" s="39">
        <v>42.240627699999997</v>
      </c>
      <c r="AG1146" s="39">
        <v>11.7262424</v>
      </c>
      <c r="AH1146" s="39">
        <v>9.0235397000000006</v>
      </c>
      <c r="AI1146" s="39"/>
      <c r="AJ1146" s="39"/>
      <c r="AK1146" s="39">
        <v>5.1763804000000002</v>
      </c>
      <c r="AL1146" s="39">
        <v>13.9953988</v>
      </c>
      <c r="AM1146" s="39">
        <v>14.8389571</v>
      </c>
      <c r="AN1146" s="39">
        <v>0.38343559999999999</v>
      </c>
      <c r="AO1146" s="39">
        <v>47.124233099999998</v>
      </c>
      <c r="AP1146" s="39">
        <v>13.6503067</v>
      </c>
      <c r="AQ1146" s="39">
        <v>4.8312882999999998</v>
      </c>
      <c r="AR1146" s="40"/>
      <c r="AS1146" s="40"/>
    </row>
    <row r="1147" spans="2:45" ht="15" customHeight="1" x14ac:dyDescent="0.25">
      <c r="B1147" s="41">
        <v>1141</v>
      </c>
      <c r="C1147" s="42" t="s">
        <v>31</v>
      </c>
      <c r="D1147" s="51" t="s">
        <v>344</v>
      </c>
      <c r="E1147" s="51" t="s">
        <v>378</v>
      </c>
      <c r="F1147" s="51" t="s">
        <v>380</v>
      </c>
      <c r="G1147" s="52" t="s">
        <v>380</v>
      </c>
      <c r="H1147" s="43">
        <v>576</v>
      </c>
      <c r="I1147" s="43">
        <v>11</v>
      </c>
      <c r="J1147" s="43">
        <v>0</v>
      </c>
      <c r="K1147" s="43">
        <v>112</v>
      </c>
      <c r="L1147" s="43">
        <v>26</v>
      </c>
      <c r="M1147" s="43">
        <v>346</v>
      </c>
      <c r="N1147" s="43">
        <v>49</v>
      </c>
      <c r="O1147" s="43">
        <v>32</v>
      </c>
      <c r="P1147" s="44">
        <f>K1147+L1147+M1147+N1147+O1147</f>
        <v>565</v>
      </c>
      <c r="Q1147" s="44">
        <f>I1147+J1147</f>
        <v>11</v>
      </c>
      <c r="R1147" s="43">
        <v>795</v>
      </c>
      <c r="S1147" s="43">
        <v>20</v>
      </c>
      <c r="T1147" s="43">
        <v>44</v>
      </c>
      <c r="U1147" s="43">
        <v>150</v>
      </c>
      <c r="V1147" s="43">
        <v>5</v>
      </c>
      <c r="W1147" s="43">
        <v>403</v>
      </c>
      <c r="X1147" s="43">
        <v>127</v>
      </c>
      <c r="Y1147" s="43">
        <v>46</v>
      </c>
      <c r="Z1147" s="45">
        <f>U1147+V1147+W1147+X1147+Y1147</f>
        <v>731</v>
      </c>
      <c r="AA1147" s="45">
        <f>S1147+T1147</f>
        <v>64</v>
      </c>
      <c r="AB1147" s="46">
        <v>1.9097222</v>
      </c>
      <c r="AC1147" s="46">
        <v>0</v>
      </c>
      <c r="AD1147" s="46">
        <v>19.444444399999998</v>
      </c>
      <c r="AE1147" s="46">
        <v>4.5138889000000004</v>
      </c>
      <c r="AF1147" s="46">
        <v>60.069444400000002</v>
      </c>
      <c r="AG1147" s="46">
        <v>8.5069444000000001</v>
      </c>
      <c r="AH1147" s="46">
        <v>5.5555555999999999</v>
      </c>
      <c r="AI1147" s="47">
        <f>AB1147+AC1147</f>
        <v>1.9097222</v>
      </c>
      <c r="AJ1147" s="47">
        <f>AD1147+AE1147+AF1147+AG1147+AH1147</f>
        <v>98.090277700000001</v>
      </c>
      <c r="AK1147" s="46">
        <v>2.5157232999999999</v>
      </c>
      <c r="AL1147" s="46">
        <v>5.5345912000000004</v>
      </c>
      <c r="AM1147" s="46">
        <v>18.867924500000001</v>
      </c>
      <c r="AN1147" s="46">
        <v>0.62893080000000001</v>
      </c>
      <c r="AO1147" s="46">
        <v>50.691823900000003</v>
      </c>
      <c r="AP1147" s="46">
        <v>15.974842799999999</v>
      </c>
      <c r="AQ1147" s="46">
        <v>5.7861634999999998</v>
      </c>
      <c r="AR1147" s="48">
        <f>AK1147+AL1147</f>
        <v>8.0503145000000007</v>
      </c>
      <c r="AS1147" s="48">
        <f>AM1147+AN1147+AO1147+AP1147+AQ1147</f>
        <v>91.949685500000001</v>
      </c>
    </row>
    <row r="1148" spans="2:45" ht="15" hidden="1" customHeight="1" x14ac:dyDescent="0.25">
      <c r="B1148" s="35">
        <v>1142</v>
      </c>
      <c r="C1148" s="36" t="s">
        <v>31</v>
      </c>
      <c r="D1148" s="36" t="s">
        <v>344</v>
      </c>
      <c r="E1148" s="36" t="s">
        <v>378</v>
      </c>
      <c r="F1148" s="36" t="s">
        <v>380</v>
      </c>
      <c r="G1148" s="37" t="s">
        <v>25</v>
      </c>
      <c r="H1148" s="38"/>
      <c r="I1148" s="38"/>
      <c r="J1148" s="38"/>
      <c r="K1148" s="38"/>
      <c r="L1148" s="38"/>
      <c r="M1148" s="38"/>
      <c r="N1148" s="38"/>
      <c r="O1148" s="38"/>
      <c r="P1148" s="38"/>
      <c r="Q1148" s="38"/>
      <c r="R1148" s="38"/>
      <c r="S1148" s="38"/>
      <c r="T1148" s="38"/>
      <c r="U1148" s="38"/>
      <c r="V1148" s="38"/>
      <c r="W1148" s="38"/>
      <c r="X1148" s="38"/>
      <c r="Y1148" s="38"/>
      <c r="Z1148" s="38"/>
      <c r="AA1148" s="38"/>
      <c r="AB1148" s="39"/>
      <c r="AC1148" s="39"/>
      <c r="AD1148" s="39"/>
      <c r="AE1148" s="39"/>
      <c r="AF1148" s="39"/>
      <c r="AG1148" s="39"/>
      <c r="AH1148" s="39"/>
      <c r="AI1148" s="39"/>
      <c r="AJ1148" s="39"/>
      <c r="AK1148" s="39"/>
      <c r="AL1148" s="39"/>
      <c r="AM1148" s="39"/>
      <c r="AN1148" s="39"/>
      <c r="AO1148" s="39"/>
      <c r="AP1148" s="39"/>
      <c r="AQ1148" s="39"/>
      <c r="AR1148" s="40"/>
      <c r="AS1148" s="40"/>
    </row>
    <row r="1149" spans="2:45" ht="15" hidden="1" customHeight="1" x14ac:dyDescent="0.25">
      <c r="B1149" s="35">
        <v>1143</v>
      </c>
      <c r="C1149" s="36" t="s">
        <v>31</v>
      </c>
      <c r="D1149" s="36" t="s">
        <v>344</v>
      </c>
      <c r="E1149" s="36" t="s">
        <v>378</v>
      </c>
      <c r="F1149" s="36" t="s">
        <v>380</v>
      </c>
      <c r="G1149" s="37" t="s">
        <v>26</v>
      </c>
      <c r="H1149" s="38">
        <v>576</v>
      </c>
      <c r="I1149" s="38">
        <v>11</v>
      </c>
      <c r="J1149" s="38">
        <v>0</v>
      </c>
      <c r="K1149" s="38">
        <v>112</v>
      </c>
      <c r="L1149" s="38">
        <v>26</v>
      </c>
      <c r="M1149" s="38">
        <v>346</v>
      </c>
      <c r="N1149" s="38">
        <v>49</v>
      </c>
      <c r="O1149" s="38">
        <v>32</v>
      </c>
      <c r="P1149" s="38"/>
      <c r="Q1149" s="38"/>
      <c r="R1149" s="38">
        <v>795</v>
      </c>
      <c r="S1149" s="38">
        <v>20</v>
      </c>
      <c r="T1149" s="38">
        <v>44</v>
      </c>
      <c r="U1149" s="38">
        <v>150</v>
      </c>
      <c r="V1149" s="38">
        <v>5</v>
      </c>
      <c r="W1149" s="38">
        <v>403</v>
      </c>
      <c r="X1149" s="38">
        <v>127</v>
      </c>
      <c r="Y1149" s="38">
        <v>46</v>
      </c>
      <c r="Z1149" s="38"/>
      <c r="AA1149" s="38"/>
      <c r="AB1149" s="39">
        <v>1.9097222</v>
      </c>
      <c r="AC1149" s="39">
        <v>0</v>
      </c>
      <c r="AD1149" s="39">
        <v>19.444444399999998</v>
      </c>
      <c r="AE1149" s="39">
        <v>4.5138889000000004</v>
      </c>
      <c r="AF1149" s="39">
        <v>60.069444400000002</v>
      </c>
      <c r="AG1149" s="39">
        <v>8.5069444000000001</v>
      </c>
      <c r="AH1149" s="39">
        <v>5.5555555999999999</v>
      </c>
      <c r="AI1149" s="39"/>
      <c r="AJ1149" s="39"/>
      <c r="AK1149" s="39">
        <v>2.5157232999999999</v>
      </c>
      <c r="AL1149" s="39">
        <v>5.5345912000000004</v>
      </c>
      <c r="AM1149" s="39">
        <v>18.867924500000001</v>
      </c>
      <c r="AN1149" s="39">
        <v>0.62893080000000001</v>
      </c>
      <c r="AO1149" s="39">
        <v>50.691823900000003</v>
      </c>
      <c r="AP1149" s="39">
        <v>15.974842799999999</v>
      </c>
      <c r="AQ1149" s="39">
        <v>5.7861634999999998</v>
      </c>
      <c r="AR1149" s="40"/>
      <c r="AS1149" s="40"/>
    </row>
    <row r="1150" spans="2:45" ht="15" customHeight="1" x14ac:dyDescent="0.25">
      <c r="B1150" s="41">
        <v>1144</v>
      </c>
      <c r="C1150" s="42" t="s">
        <v>31</v>
      </c>
      <c r="D1150" s="51" t="s">
        <v>344</v>
      </c>
      <c r="E1150" s="51" t="s">
        <v>378</v>
      </c>
      <c r="F1150" s="51" t="s">
        <v>381</v>
      </c>
      <c r="G1150" s="52" t="s">
        <v>381</v>
      </c>
      <c r="H1150" s="43">
        <v>870</v>
      </c>
      <c r="I1150" s="43">
        <v>19</v>
      </c>
      <c r="J1150" s="43">
        <v>170</v>
      </c>
      <c r="K1150" s="43">
        <v>274</v>
      </c>
      <c r="L1150" s="43">
        <v>11</v>
      </c>
      <c r="M1150" s="43">
        <v>321</v>
      </c>
      <c r="N1150" s="43">
        <v>45</v>
      </c>
      <c r="O1150" s="43">
        <v>30</v>
      </c>
      <c r="P1150" s="44">
        <f>K1150+L1150+M1150+N1150+O1150</f>
        <v>681</v>
      </c>
      <c r="Q1150" s="44">
        <f>I1150+J1150</f>
        <v>189</v>
      </c>
      <c r="R1150" s="43">
        <v>991</v>
      </c>
      <c r="S1150" s="43">
        <v>60</v>
      </c>
      <c r="T1150" s="43">
        <v>181</v>
      </c>
      <c r="U1150" s="43">
        <v>119</v>
      </c>
      <c r="V1150" s="43">
        <v>5</v>
      </c>
      <c r="W1150" s="43">
        <v>491</v>
      </c>
      <c r="X1150" s="43">
        <v>112</v>
      </c>
      <c r="Y1150" s="43">
        <v>23</v>
      </c>
      <c r="Z1150" s="45">
        <f>U1150+V1150+W1150+X1150+Y1150</f>
        <v>750</v>
      </c>
      <c r="AA1150" s="45">
        <f>S1150+T1150</f>
        <v>241</v>
      </c>
      <c r="AB1150" s="46">
        <v>2.1839080000000002</v>
      </c>
      <c r="AC1150" s="46">
        <v>19.5402299</v>
      </c>
      <c r="AD1150" s="46">
        <v>31.494252899999999</v>
      </c>
      <c r="AE1150" s="46">
        <v>1.2643678</v>
      </c>
      <c r="AF1150" s="46">
        <v>36.896551700000003</v>
      </c>
      <c r="AG1150" s="46">
        <v>5.1724138000000002</v>
      </c>
      <c r="AH1150" s="46">
        <v>3.4482759000000001</v>
      </c>
      <c r="AI1150" s="47">
        <f>AB1150+AC1150</f>
        <v>21.724137899999999</v>
      </c>
      <c r="AJ1150" s="47">
        <f>AD1150+AE1150+AF1150+AG1150+AH1150</f>
        <v>78.275862099999998</v>
      </c>
      <c r="AK1150" s="46">
        <v>6.0544903999999997</v>
      </c>
      <c r="AL1150" s="46">
        <v>18.264379399999999</v>
      </c>
      <c r="AM1150" s="46">
        <v>12.0080727</v>
      </c>
      <c r="AN1150" s="46">
        <v>0.50454089999999996</v>
      </c>
      <c r="AO1150" s="46">
        <v>49.545913200000001</v>
      </c>
      <c r="AP1150" s="46">
        <v>11.301715400000001</v>
      </c>
      <c r="AQ1150" s="46">
        <v>2.3208880000000001</v>
      </c>
      <c r="AR1150" s="48">
        <f>AK1150+AL1150</f>
        <v>24.318869799999998</v>
      </c>
      <c r="AS1150" s="48">
        <f>AM1150+AN1150+AO1150+AP1150+AQ1150</f>
        <v>75.681130199999998</v>
      </c>
    </row>
    <row r="1151" spans="2:45" ht="15" hidden="1" customHeight="1" x14ac:dyDescent="0.25">
      <c r="B1151" s="35">
        <v>1145</v>
      </c>
      <c r="C1151" s="36" t="s">
        <v>31</v>
      </c>
      <c r="D1151" s="36" t="s">
        <v>344</v>
      </c>
      <c r="E1151" s="36" t="s">
        <v>378</v>
      </c>
      <c r="F1151" s="36" t="s">
        <v>381</v>
      </c>
      <c r="G1151" s="37" t="s">
        <v>25</v>
      </c>
      <c r="H1151" s="38"/>
      <c r="I1151" s="38"/>
      <c r="J1151" s="38"/>
      <c r="K1151" s="38"/>
      <c r="L1151" s="38"/>
      <c r="M1151" s="38"/>
      <c r="N1151" s="38"/>
      <c r="O1151" s="38"/>
      <c r="P1151" s="38"/>
      <c r="Q1151" s="38"/>
      <c r="R1151" s="38"/>
      <c r="S1151" s="38"/>
      <c r="T1151" s="38"/>
      <c r="U1151" s="38"/>
      <c r="V1151" s="38"/>
      <c r="W1151" s="38"/>
      <c r="X1151" s="38"/>
      <c r="Y1151" s="38"/>
      <c r="Z1151" s="38"/>
      <c r="AA1151" s="38"/>
      <c r="AB1151" s="39"/>
      <c r="AC1151" s="39"/>
      <c r="AD1151" s="39"/>
      <c r="AE1151" s="39"/>
      <c r="AF1151" s="39"/>
      <c r="AG1151" s="39"/>
      <c r="AH1151" s="39"/>
      <c r="AI1151" s="39"/>
      <c r="AJ1151" s="39"/>
      <c r="AK1151" s="39"/>
      <c r="AL1151" s="39"/>
      <c r="AM1151" s="39"/>
      <c r="AN1151" s="39"/>
      <c r="AO1151" s="39"/>
      <c r="AP1151" s="39"/>
      <c r="AQ1151" s="39"/>
      <c r="AR1151" s="40"/>
      <c r="AS1151" s="40"/>
    </row>
    <row r="1152" spans="2:45" ht="15" hidden="1" customHeight="1" x14ac:dyDescent="0.25">
      <c r="B1152" s="35">
        <v>1146</v>
      </c>
      <c r="C1152" s="36" t="s">
        <v>31</v>
      </c>
      <c r="D1152" s="36" t="s">
        <v>344</v>
      </c>
      <c r="E1152" s="36" t="s">
        <v>378</v>
      </c>
      <c r="F1152" s="36" t="s">
        <v>381</v>
      </c>
      <c r="G1152" s="37" t="s">
        <v>26</v>
      </c>
      <c r="H1152" s="38">
        <v>870</v>
      </c>
      <c r="I1152" s="38">
        <v>19</v>
      </c>
      <c r="J1152" s="38">
        <v>170</v>
      </c>
      <c r="K1152" s="38">
        <v>274</v>
      </c>
      <c r="L1152" s="38">
        <v>11</v>
      </c>
      <c r="M1152" s="38">
        <v>321</v>
      </c>
      <c r="N1152" s="38">
        <v>45</v>
      </c>
      <c r="O1152" s="38">
        <v>30</v>
      </c>
      <c r="P1152" s="38"/>
      <c r="Q1152" s="38"/>
      <c r="R1152" s="38">
        <v>991</v>
      </c>
      <c r="S1152" s="38">
        <v>60</v>
      </c>
      <c r="T1152" s="38">
        <v>181</v>
      </c>
      <c r="U1152" s="38">
        <v>119</v>
      </c>
      <c r="V1152" s="38">
        <v>5</v>
      </c>
      <c r="W1152" s="38">
        <v>491</v>
      </c>
      <c r="X1152" s="38">
        <v>112</v>
      </c>
      <c r="Y1152" s="38">
        <v>23</v>
      </c>
      <c r="Z1152" s="38"/>
      <c r="AA1152" s="38"/>
      <c r="AB1152" s="39">
        <v>2.1839080000000002</v>
      </c>
      <c r="AC1152" s="39">
        <v>19.5402299</v>
      </c>
      <c r="AD1152" s="39">
        <v>31.494252899999999</v>
      </c>
      <c r="AE1152" s="39">
        <v>1.2643678</v>
      </c>
      <c r="AF1152" s="39">
        <v>36.896551700000003</v>
      </c>
      <c r="AG1152" s="39">
        <v>5.1724138000000002</v>
      </c>
      <c r="AH1152" s="39">
        <v>3.4482759000000001</v>
      </c>
      <c r="AI1152" s="39"/>
      <c r="AJ1152" s="39"/>
      <c r="AK1152" s="39">
        <v>6.0544903999999997</v>
      </c>
      <c r="AL1152" s="39">
        <v>18.264379399999999</v>
      </c>
      <c r="AM1152" s="39">
        <v>12.0080727</v>
      </c>
      <c r="AN1152" s="39">
        <v>0.50454089999999996</v>
      </c>
      <c r="AO1152" s="39">
        <v>49.545913200000001</v>
      </c>
      <c r="AP1152" s="39">
        <v>11.301715400000001</v>
      </c>
      <c r="AQ1152" s="39">
        <v>2.3208880000000001</v>
      </c>
      <c r="AR1152" s="40"/>
      <c r="AS1152" s="40"/>
    </row>
    <row r="1153" spans="2:45" ht="15" customHeight="1" x14ac:dyDescent="0.25">
      <c r="B1153" s="41">
        <v>1147</v>
      </c>
      <c r="C1153" s="42" t="s">
        <v>31</v>
      </c>
      <c r="D1153" s="51" t="s">
        <v>344</v>
      </c>
      <c r="E1153" s="51" t="s">
        <v>378</v>
      </c>
      <c r="F1153" s="51" t="s">
        <v>382</v>
      </c>
      <c r="G1153" s="52" t="s">
        <v>382</v>
      </c>
      <c r="H1153" s="43">
        <v>600</v>
      </c>
      <c r="I1153" s="43">
        <v>14</v>
      </c>
      <c r="J1153" s="43">
        <v>201</v>
      </c>
      <c r="K1153" s="43">
        <v>127</v>
      </c>
      <c r="L1153" s="43">
        <v>10</v>
      </c>
      <c r="M1153" s="43">
        <v>188</v>
      </c>
      <c r="N1153" s="43">
        <v>19</v>
      </c>
      <c r="O1153" s="43">
        <v>41</v>
      </c>
      <c r="P1153" s="44">
        <f>K1153+L1153+M1153+N1153+O1153</f>
        <v>385</v>
      </c>
      <c r="Q1153" s="44">
        <f>I1153+J1153</f>
        <v>215</v>
      </c>
      <c r="R1153" s="43">
        <v>606</v>
      </c>
      <c r="S1153" s="43">
        <v>48</v>
      </c>
      <c r="T1153" s="43">
        <v>226</v>
      </c>
      <c r="U1153" s="43">
        <v>37</v>
      </c>
      <c r="V1153" s="43">
        <v>2</v>
      </c>
      <c r="W1153" s="43">
        <v>239</v>
      </c>
      <c r="X1153" s="43">
        <v>22</v>
      </c>
      <c r="Y1153" s="43">
        <v>32</v>
      </c>
      <c r="Z1153" s="45">
        <f>U1153+V1153+W1153+X1153+Y1153</f>
        <v>332</v>
      </c>
      <c r="AA1153" s="45">
        <f>S1153+T1153</f>
        <v>274</v>
      </c>
      <c r="AB1153" s="46">
        <v>2.3333333000000001</v>
      </c>
      <c r="AC1153" s="46">
        <v>33.5</v>
      </c>
      <c r="AD1153" s="46">
        <v>21.1666667</v>
      </c>
      <c r="AE1153" s="46">
        <v>1.6666666999999999</v>
      </c>
      <c r="AF1153" s="46">
        <v>31.3333333</v>
      </c>
      <c r="AG1153" s="46">
        <v>3.1666666999999999</v>
      </c>
      <c r="AH1153" s="46">
        <v>6.8333332999999996</v>
      </c>
      <c r="AI1153" s="47">
        <f>AB1153+AC1153</f>
        <v>35.8333333</v>
      </c>
      <c r="AJ1153" s="47">
        <f>AD1153+AE1153+AF1153+AG1153+AH1153</f>
        <v>64.166666700000007</v>
      </c>
      <c r="AK1153" s="46">
        <v>7.9207920999999999</v>
      </c>
      <c r="AL1153" s="46">
        <v>37.293729399999997</v>
      </c>
      <c r="AM1153" s="46">
        <v>6.1056106000000003</v>
      </c>
      <c r="AN1153" s="46">
        <v>0.33003300000000002</v>
      </c>
      <c r="AO1153" s="46">
        <v>39.438943899999998</v>
      </c>
      <c r="AP1153" s="46">
        <v>3.630363</v>
      </c>
      <c r="AQ1153" s="46">
        <v>5.2805280999999997</v>
      </c>
      <c r="AR1153" s="48">
        <f>AK1153+AL1153</f>
        <v>45.214521499999996</v>
      </c>
      <c r="AS1153" s="48">
        <f>AM1153+AN1153+AO1153+AP1153+AQ1153</f>
        <v>54.785478599999998</v>
      </c>
    </row>
    <row r="1154" spans="2:45" ht="15" hidden="1" customHeight="1" x14ac:dyDescent="0.25">
      <c r="B1154" s="35">
        <v>1148</v>
      </c>
      <c r="C1154" s="36" t="s">
        <v>31</v>
      </c>
      <c r="D1154" s="36" t="s">
        <v>344</v>
      </c>
      <c r="E1154" s="36" t="s">
        <v>378</v>
      </c>
      <c r="F1154" s="36" t="s">
        <v>382</v>
      </c>
      <c r="G1154" s="37" t="s">
        <v>25</v>
      </c>
      <c r="H1154" s="38"/>
      <c r="I1154" s="38"/>
      <c r="J1154" s="38"/>
      <c r="K1154" s="38"/>
      <c r="L1154" s="38"/>
      <c r="M1154" s="38"/>
      <c r="N1154" s="38"/>
      <c r="O1154" s="38"/>
      <c r="P1154" s="38"/>
      <c r="Q1154" s="38"/>
      <c r="R1154" s="38"/>
      <c r="S1154" s="38"/>
      <c r="T1154" s="38"/>
      <c r="U1154" s="38"/>
      <c r="V1154" s="38"/>
      <c r="W1154" s="38"/>
      <c r="X1154" s="38"/>
      <c r="Y1154" s="38"/>
      <c r="Z1154" s="38"/>
      <c r="AA1154" s="38"/>
      <c r="AB1154" s="39"/>
      <c r="AC1154" s="39"/>
      <c r="AD1154" s="39"/>
      <c r="AE1154" s="39"/>
      <c r="AF1154" s="39"/>
      <c r="AG1154" s="39"/>
      <c r="AH1154" s="39"/>
      <c r="AI1154" s="39"/>
      <c r="AJ1154" s="39"/>
      <c r="AK1154" s="39"/>
      <c r="AL1154" s="39"/>
      <c r="AM1154" s="39"/>
      <c r="AN1154" s="39"/>
      <c r="AO1154" s="39"/>
      <c r="AP1154" s="39"/>
      <c r="AQ1154" s="39"/>
      <c r="AR1154" s="40"/>
      <c r="AS1154" s="40"/>
    </row>
    <row r="1155" spans="2:45" ht="15" hidden="1" customHeight="1" x14ac:dyDescent="0.25">
      <c r="B1155" s="35">
        <v>1149</v>
      </c>
      <c r="C1155" s="36" t="s">
        <v>31</v>
      </c>
      <c r="D1155" s="36" t="s">
        <v>344</v>
      </c>
      <c r="E1155" s="36" t="s">
        <v>378</v>
      </c>
      <c r="F1155" s="36" t="s">
        <v>382</v>
      </c>
      <c r="G1155" s="37" t="s">
        <v>26</v>
      </c>
      <c r="H1155" s="38">
        <v>600</v>
      </c>
      <c r="I1155" s="38">
        <v>14</v>
      </c>
      <c r="J1155" s="38">
        <v>201</v>
      </c>
      <c r="K1155" s="38">
        <v>127</v>
      </c>
      <c r="L1155" s="38">
        <v>10</v>
      </c>
      <c r="M1155" s="38">
        <v>188</v>
      </c>
      <c r="N1155" s="38">
        <v>19</v>
      </c>
      <c r="O1155" s="38">
        <v>41</v>
      </c>
      <c r="P1155" s="38"/>
      <c r="Q1155" s="38"/>
      <c r="R1155" s="38">
        <v>606</v>
      </c>
      <c r="S1155" s="38">
        <v>48</v>
      </c>
      <c r="T1155" s="38">
        <v>226</v>
      </c>
      <c r="U1155" s="38">
        <v>37</v>
      </c>
      <c r="V1155" s="38">
        <v>2</v>
      </c>
      <c r="W1155" s="38">
        <v>239</v>
      </c>
      <c r="X1155" s="38">
        <v>22</v>
      </c>
      <c r="Y1155" s="38">
        <v>32</v>
      </c>
      <c r="Z1155" s="38"/>
      <c r="AA1155" s="38"/>
      <c r="AB1155" s="39">
        <v>2.3333333000000001</v>
      </c>
      <c r="AC1155" s="39">
        <v>33.5</v>
      </c>
      <c r="AD1155" s="39">
        <v>21.1666667</v>
      </c>
      <c r="AE1155" s="39">
        <v>1.6666666999999999</v>
      </c>
      <c r="AF1155" s="39">
        <v>31.3333333</v>
      </c>
      <c r="AG1155" s="39">
        <v>3.1666666999999999</v>
      </c>
      <c r="AH1155" s="39">
        <v>6.8333332999999996</v>
      </c>
      <c r="AI1155" s="39"/>
      <c r="AJ1155" s="39"/>
      <c r="AK1155" s="39">
        <v>7.9207920999999999</v>
      </c>
      <c r="AL1155" s="39">
        <v>37.293729399999997</v>
      </c>
      <c r="AM1155" s="39">
        <v>6.1056106000000003</v>
      </c>
      <c r="AN1155" s="39">
        <v>0.33003300000000002</v>
      </c>
      <c r="AO1155" s="39">
        <v>39.438943899999998</v>
      </c>
      <c r="AP1155" s="39">
        <v>3.630363</v>
      </c>
      <c r="AQ1155" s="39">
        <v>5.2805280999999997</v>
      </c>
      <c r="AR1155" s="40"/>
      <c r="AS1155" s="40"/>
    </row>
    <row r="1156" spans="2:45" ht="15" customHeight="1" x14ac:dyDescent="0.25">
      <c r="B1156" s="41">
        <v>1150</v>
      </c>
      <c r="C1156" s="42" t="s">
        <v>31</v>
      </c>
      <c r="D1156" s="51" t="s">
        <v>344</v>
      </c>
      <c r="E1156" s="51" t="s">
        <v>378</v>
      </c>
      <c r="F1156" s="51" t="s">
        <v>383</v>
      </c>
      <c r="G1156" s="52" t="s">
        <v>383</v>
      </c>
      <c r="H1156" s="43">
        <v>635</v>
      </c>
      <c r="I1156" s="43">
        <v>5</v>
      </c>
      <c r="J1156" s="43">
        <v>186</v>
      </c>
      <c r="K1156" s="43">
        <v>169</v>
      </c>
      <c r="L1156" s="43">
        <v>2</v>
      </c>
      <c r="M1156" s="43">
        <v>157</v>
      </c>
      <c r="N1156" s="43">
        <v>77</v>
      </c>
      <c r="O1156" s="43">
        <v>39</v>
      </c>
      <c r="P1156" s="44">
        <f>K1156+L1156+M1156+N1156+O1156</f>
        <v>444</v>
      </c>
      <c r="Q1156" s="44">
        <f>I1156+J1156</f>
        <v>191</v>
      </c>
      <c r="R1156" s="43">
        <v>749</v>
      </c>
      <c r="S1156" s="43">
        <v>8</v>
      </c>
      <c r="T1156" s="43">
        <v>271</v>
      </c>
      <c r="U1156" s="43">
        <v>116</v>
      </c>
      <c r="V1156" s="43">
        <v>1</v>
      </c>
      <c r="W1156" s="43">
        <v>256</v>
      </c>
      <c r="X1156" s="43">
        <v>89</v>
      </c>
      <c r="Y1156" s="43">
        <v>8</v>
      </c>
      <c r="Z1156" s="45">
        <f>U1156+V1156+W1156+X1156+Y1156</f>
        <v>470</v>
      </c>
      <c r="AA1156" s="45">
        <f>S1156+T1156</f>
        <v>279</v>
      </c>
      <c r="AB1156" s="46">
        <v>0.78740160000000003</v>
      </c>
      <c r="AC1156" s="46">
        <v>29.2913386</v>
      </c>
      <c r="AD1156" s="46">
        <v>26.6141732</v>
      </c>
      <c r="AE1156" s="46">
        <v>0.31496059999999998</v>
      </c>
      <c r="AF1156" s="46">
        <v>24.724409399999999</v>
      </c>
      <c r="AG1156" s="46">
        <v>12.125984300000001</v>
      </c>
      <c r="AH1156" s="46">
        <v>6.1417323000000001</v>
      </c>
      <c r="AI1156" s="47">
        <f>AB1156+AC1156</f>
        <v>30.078740199999999</v>
      </c>
      <c r="AJ1156" s="47">
        <f>AD1156+AE1156+AF1156+AG1156+AH1156</f>
        <v>69.921259800000001</v>
      </c>
      <c r="AK1156" s="46">
        <v>1.0680908</v>
      </c>
      <c r="AL1156" s="46">
        <v>36.1815754</v>
      </c>
      <c r="AM1156" s="46">
        <v>15.487316399999999</v>
      </c>
      <c r="AN1156" s="46">
        <v>0.1335113</v>
      </c>
      <c r="AO1156" s="46">
        <v>34.178905200000003</v>
      </c>
      <c r="AP1156" s="46">
        <v>11.88251</v>
      </c>
      <c r="AQ1156" s="46">
        <v>1.0680908</v>
      </c>
      <c r="AR1156" s="48">
        <f>AK1156+AL1156</f>
        <v>37.2496662</v>
      </c>
      <c r="AS1156" s="48">
        <f>AM1156+AN1156+AO1156+AP1156+AQ1156</f>
        <v>62.750333700000006</v>
      </c>
    </row>
    <row r="1157" spans="2:45" ht="15" hidden="1" customHeight="1" x14ac:dyDescent="0.25">
      <c r="B1157" s="35">
        <v>1151</v>
      </c>
      <c r="C1157" s="36" t="s">
        <v>31</v>
      </c>
      <c r="D1157" s="36" t="s">
        <v>344</v>
      </c>
      <c r="E1157" s="36" t="s">
        <v>378</v>
      </c>
      <c r="F1157" s="36" t="s">
        <v>383</v>
      </c>
      <c r="G1157" s="37" t="s">
        <v>25</v>
      </c>
      <c r="H1157" s="38"/>
      <c r="I1157" s="38"/>
      <c r="J1157" s="38"/>
      <c r="K1157" s="38"/>
      <c r="L1157" s="38"/>
      <c r="M1157" s="38"/>
      <c r="N1157" s="38"/>
      <c r="O1157" s="38"/>
      <c r="P1157" s="38"/>
      <c r="Q1157" s="38"/>
      <c r="R1157" s="38"/>
      <c r="S1157" s="38"/>
      <c r="T1157" s="38"/>
      <c r="U1157" s="38"/>
      <c r="V1157" s="38"/>
      <c r="W1157" s="38"/>
      <c r="X1157" s="38"/>
      <c r="Y1157" s="38"/>
      <c r="Z1157" s="38"/>
      <c r="AA1157" s="38"/>
      <c r="AB1157" s="39"/>
      <c r="AC1157" s="39"/>
      <c r="AD1157" s="39"/>
      <c r="AE1157" s="39"/>
      <c r="AF1157" s="39"/>
      <c r="AG1157" s="39"/>
      <c r="AH1157" s="39"/>
      <c r="AI1157" s="39"/>
      <c r="AJ1157" s="39"/>
      <c r="AK1157" s="39"/>
      <c r="AL1157" s="39"/>
      <c r="AM1157" s="39"/>
      <c r="AN1157" s="39"/>
      <c r="AO1157" s="39"/>
      <c r="AP1157" s="39"/>
      <c r="AQ1157" s="39"/>
      <c r="AR1157" s="40"/>
      <c r="AS1157" s="40"/>
    </row>
    <row r="1158" spans="2:45" ht="15" hidden="1" customHeight="1" x14ac:dyDescent="0.25">
      <c r="B1158" s="35">
        <v>1152</v>
      </c>
      <c r="C1158" s="36" t="s">
        <v>31</v>
      </c>
      <c r="D1158" s="36" t="s">
        <v>344</v>
      </c>
      <c r="E1158" s="36" t="s">
        <v>378</v>
      </c>
      <c r="F1158" s="36" t="s">
        <v>383</v>
      </c>
      <c r="G1158" s="37" t="s">
        <v>26</v>
      </c>
      <c r="H1158" s="38">
        <v>635</v>
      </c>
      <c r="I1158" s="38">
        <v>5</v>
      </c>
      <c r="J1158" s="38">
        <v>186</v>
      </c>
      <c r="K1158" s="38">
        <v>169</v>
      </c>
      <c r="L1158" s="38">
        <v>2</v>
      </c>
      <c r="M1158" s="38">
        <v>157</v>
      </c>
      <c r="N1158" s="38">
        <v>77</v>
      </c>
      <c r="O1158" s="38">
        <v>39</v>
      </c>
      <c r="P1158" s="38"/>
      <c r="Q1158" s="38"/>
      <c r="R1158" s="38">
        <v>749</v>
      </c>
      <c r="S1158" s="38">
        <v>8</v>
      </c>
      <c r="T1158" s="38">
        <v>271</v>
      </c>
      <c r="U1158" s="38">
        <v>116</v>
      </c>
      <c r="V1158" s="38">
        <v>1</v>
      </c>
      <c r="W1158" s="38">
        <v>256</v>
      </c>
      <c r="X1158" s="38">
        <v>89</v>
      </c>
      <c r="Y1158" s="38">
        <v>8</v>
      </c>
      <c r="Z1158" s="38"/>
      <c r="AA1158" s="38"/>
      <c r="AB1158" s="39">
        <v>0.78740160000000003</v>
      </c>
      <c r="AC1158" s="39">
        <v>29.2913386</v>
      </c>
      <c r="AD1158" s="39">
        <v>26.6141732</v>
      </c>
      <c r="AE1158" s="39">
        <v>0.31496059999999998</v>
      </c>
      <c r="AF1158" s="39">
        <v>24.724409399999999</v>
      </c>
      <c r="AG1158" s="39">
        <v>12.125984300000001</v>
      </c>
      <c r="AH1158" s="39">
        <v>6.1417323000000001</v>
      </c>
      <c r="AI1158" s="39"/>
      <c r="AJ1158" s="39"/>
      <c r="AK1158" s="39">
        <v>1.0680908</v>
      </c>
      <c r="AL1158" s="39">
        <v>36.1815754</v>
      </c>
      <c r="AM1158" s="39">
        <v>15.487316399999999</v>
      </c>
      <c r="AN1158" s="39">
        <v>0.1335113</v>
      </c>
      <c r="AO1158" s="39">
        <v>34.178905200000003</v>
      </c>
      <c r="AP1158" s="39">
        <v>11.88251</v>
      </c>
      <c r="AQ1158" s="39">
        <v>1.0680908</v>
      </c>
      <c r="AR1158" s="40"/>
      <c r="AS1158" s="40"/>
    </row>
    <row r="1159" spans="2:45" ht="15" hidden="1" customHeight="1" x14ac:dyDescent="0.25">
      <c r="B1159" s="30">
        <v>1153</v>
      </c>
      <c r="C1159" s="31" t="s">
        <v>29</v>
      </c>
      <c r="D1159" s="50" t="s">
        <v>344</v>
      </c>
      <c r="E1159" s="50" t="s">
        <v>384</v>
      </c>
      <c r="F1159" s="50"/>
      <c r="G1159" s="31" t="s">
        <v>384</v>
      </c>
      <c r="H1159" s="32">
        <v>9507</v>
      </c>
      <c r="I1159" s="32">
        <v>546</v>
      </c>
      <c r="J1159" s="32">
        <v>4181</v>
      </c>
      <c r="K1159" s="32">
        <v>932</v>
      </c>
      <c r="L1159" s="32">
        <v>250</v>
      </c>
      <c r="M1159" s="32">
        <v>2917</v>
      </c>
      <c r="N1159" s="32">
        <v>425</v>
      </c>
      <c r="O1159" s="32">
        <v>256</v>
      </c>
      <c r="P1159" s="32"/>
      <c r="Q1159" s="32"/>
      <c r="R1159" s="32">
        <v>12199</v>
      </c>
      <c r="S1159" s="32">
        <v>1208</v>
      </c>
      <c r="T1159" s="32">
        <v>6358</v>
      </c>
      <c r="U1159" s="32">
        <v>366</v>
      </c>
      <c r="V1159" s="32">
        <v>45</v>
      </c>
      <c r="W1159" s="32">
        <v>3495</v>
      </c>
      <c r="X1159" s="32">
        <v>569</v>
      </c>
      <c r="Y1159" s="32">
        <v>158</v>
      </c>
      <c r="Z1159" s="32"/>
      <c r="AA1159" s="32"/>
      <c r="AB1159" s="33">
        <v>5.7431365999999997</v>
      </c>
      <c r="AC1159" s="33">
        <v>43.978121399999999</v>
      </c>
      <c r="AD1159" s="33">
        <v>9.8033028000000009</v>
      </c>
      <c r="AE1159" s="33">
        <v>2.6296412999999998</v>
      </c>
      <c r="AF1159" s="33">
        <v>30.682654899999999</v>
      </c>
      <c r="AG1159" s="33">
        <v>4.4703901999999998</v>
      </c>
      <c r="AH1159" s="33">
        <v>2.6927527000000002</v>
      </c>
      <c r="AI1159" s="33"/>
      <c r="AJ1159" s="33"/>
      <c r="AK1159" s="33">
        <v>9.9024509999999992</v>
      </c>
      <c r="AL1159" s="33">
        <v>52.119026099999999</v>
      </c>
      <c r="AM1159" s="33">
        <v>3.0002458999999999</v>
      </c>
      <c r="AN1159" s="33">
        <v>0.36888270000000001</v>
      </c>
      <c r="AO1159" s="33">
        <v>28.649889300000002</v>
      </c>
      <c r="AP1159" s="33">
        <v>4.6643166999999996</v>
      </c>
      <c r="AQ1159" s="33">
        <v>1.2951881000000001</v>
      </c>
      <c r="AR1159" s="34"/>
      <c r="AS1159" s="34"/>
    </row>
    <row r="1160" spans="2:45" ht="15" hidden="1" customHeight="1" x14ac:dyDescent="0.25">
      <c r="B1160" s="35">
        <v>1154</v>
      </c>
      <c r="C1160" s="36" t="s">
        <v>29</v>
      </c>
      <c r="D1160" s="36" t="s">
        <v>344</v>
      </c>
      <c r="E1160" s="36" t="s">
        <v>384</v>
      </c>
      <c r="F1160" s="36"/>
      <c r="G1160" s="37" t="s">
        <v>25</v>
      </c>
      <c r="H1160" s="38">
        <v>4185</v>
      </c>
      <c r="I1160" s="38">
        <v>440</v>
      </c>
      <c r="J1160" s="38">
        <v>3402</v>
      </c>
      <c r="K1160" s="38">
        <v>34</v>
      </c>
      <c r="L1160" s="38">
        <v>9</v>
      </c>
      <c r="M1160" s="38">
        <v>246</v>
      </c>
      <c r="N1160" s="38">
        <v>21</v>
      </c>
      <c r="O1160" s="38">
        <v>33</v>
      </c>
      <c r="P1160" s="38"/>
      <c r="Q1160" s="38"/>
      <c r="R1160" s="38">
        <v>5420</v>
      </c>
      <c r="S1160" s="38">
        <v>807</v>
      </c>
      <c r="T1160" s="38">
        <v>4368</v>
      </c>
      <c r="U1160" s="38">
        <v>12</v>
      </c>
      <c r="V1160" s="38">
        <v>3</v>
      </c>
      <c r="W1160" s="38">
        <v>190</v>
      </c>
      <c r="X1160" s="38">
        <v>11</v>
      </c>
      <c r="Y1160" s="38">
        <v>29</v>
      </c>
      <c r="Z1160" s="38"/>
      <c r="AA1160" s="38"/>
      <c r="AB1160" s="39">
        <v>10.5137395</v>
      </c>
      <c r="AC1160" s="39">
        <v>81.290322599999996</v>
      </c>
      <c r="AD1160" s="39">
        <v>0.81242530000000002</v>
      </c>
      <c r="AE1160" s="39">
        <v>0.21505379999999999</v>
      </c>
      <c r="AF1160" s="39">
        <v>5.8781362000000001</v>
      </c>
      <c r="AG1160" s="39">
        <v>0.50179209999999996</v>
      </c>
      <c r="AH1160" s="39">
        <v>0.78853050000000002</v>
      </c>
      <c r="AI1160" s="39"/>
      <c r="AJ1160" s="39"/>
      <c r="AK1160" s="39">
        <v>14.8892989</v>
      </c>
      <c r="AL1160" s="39">
        <v>80.590405899999993</v>
      </c>
      <c r="AM1160" s="39">
        <v>0.22140219999999999</v>
      </c>
      <c r="AN1160" s="39">
        <v>5.53506E-2</v>
      </c>
      <c r="AO1160" s="39">
        <v>3.5055350999999999</v>
      </c>
      <c r="AP1160" s="39">
        <v>0.20295199999999999</v>
      </c>
      <c r="AQ1160" s="39">
        <v>0.53505539999999996</v>
      </c>
      <c r="AR1160" s="40"/>
      <c r="AS1160" s="40"/>
    </row>
    <row r="1161" spans="2:45" ht="15" hidden="1" customHeight="1" x14ac:dyDescent="0.25">
      <c r="B1161" s="35">
        <v>1155</v>
      </c>
      <c r="C1161" s="36" t="s">
        <v>29</v>
      </c>
      <c r="D1161" s="36" t="s">
        <v>344</v>
      </c>
      <c r="E1161" s="36" t="s">
        <v>384</v>
      </c>
      <c r="F1161" s="36"/>
      <c r="G1161" s="37" t="s">
        <v>26</v>
      </c>
      <c r="H1161" s="38">
        <v>5322</v>
      </c>
      <c r="I1161" s="38">
        <v>106</v>
      </c>
      <c r="J1161" s="38">
        <v>779</v>
      </c>
      <c r="K1161" s="38">
        <v>898</v>
      </c>
      <c r="L1161" s="38">
        <v>241</v>
      </c>
      <c r="M1161" s="38">
        <v>2671</v>
      </c>
      <c r="N1161" s="38">
        <v>404</v>
      </c>
      <c r="O1161" s="38">
        <v>223</v>
      </c>
      <c r="P1161" s="38"/>
      <c r="Q1161" s="38"/>
      <c r="R1161" s="38">
        <v>6779</v>
      </c>
      <c r="S1161" s="38">
        <v>401</v>
      </c>
      <c r="T1161" s="38">
        <v>1990</v>
      </c>
      <c r="U1161" s="38">
        <v>354</v>
      </c>
      <c r="V1161" s="38">
        <v>42</v>
      </c>
      <c r="W1161" s="38">
        <v>3305</v>
      </c>
      <c r="X1161" s="38">
        <v>558</v>
      </c>
      <c r="Y1161" s="38">
        <v>129</v>
      </c>
      <c r="Z1161" s="38"/>
      <c r="AA1161" s="38"/>
      <c r="AB1161" s="39">
        <v>1.9917324000000001</v>
      </c>
      <c r="AC1161" s="39">
        <v>14.6373544</v>
      </c>
      <c r="AD1161" s="39">
        <v>16.8733559</v>
      </c>
      <c r="AE1161" s="39">
        <v>4.5283727999999996</v>
      </c>
      <c r="AF1161" s="39">
        <v>50.187899299999998</v>
      </c>
      <c r="AG1161" s="39">
        <v>7.5911312000000004</v>
      </c>
      <c r="AH1161" s="39">
        <v>4.1901541</v>
      </c>
      <c r="AI1161" s="39"/>
      <c r="AJ1161" s="39"/>
      <c r="AK1161" s="39">
        <v>5.9153266999999996</v>
      </c>
      <c r="AL1161" s="39">
        <v>29.355362100000001</v>
      </c>
      <c r="AM1161" s="39">
        <v>5.2220091000000002</v>
      </c>
      <c r="AN1161" s="39">
        <v>0.61956040000000001</v>
      </c>
      <c r="AO1161" s="39">
        <v>48.753503500000001</v>
      </c>
      <c r="AP1161" s="39">
        <v>8.2313025999999994</v>
      </c>
      <c r="AQ1161" s="39">
        <v>1.9029354999999999</v>
      </c>
      <c r="AR1161" s="40"/>
      <c r="AS1161" s="40"/>
    </row>
    <row r="1162" spans="2:45" ht="15" customHeight="1" x14ac:dyDescent="0.25">
      <c r="B1162" s="41">
        <v>1156</v>
      </c>
      <c r="C1162" s="42" t="s">
        <v>31</v>
      </c>
      <c r="D1162" s="51" t="s">
        <v>344</v>
      </c>
      <c r="E1162" s="51" t="s">
        <v>384</v>
      </c>
      <c r="F1162" s="51" t="s">
        <v>385</v>
      </c>
      <c r="G1162" s="52" t="s">
        <v>385</v>
      </c>
      <c r="H1162" s="43">
        <v>3099</v>
      </c>
      <c r="I1162" s="43">
        <v>217</v>
      </c>
      <c r="J1162" s="43">
        <v>908</v>
      </c>
      <c r="K1162" s="43">
        <v>331</v>
      </c>
      <c r="L1162" s="43">
        <v>67</v>
      </c>
      <c r="M1162" s="43">
        <v>1283</v>
      </c>
      <c r="N1162" s="43">
        <v>205</v>
      </c>
      <c r="O1162" s="43">
        <v>88</v>
      </c>
      <c r="P1162" s="44">
        <f>K1162+L1162+M1162+N1162+O1162</f>
        <v>1974</v>
      </c>
      <c r="Q1162" s="44">
        <f>I1162+J1162</f>
        <v>1125</v>
      </c>
      <c r="R1162" s="43">
        <v>4052</v>
      </c>
      <c r="S1162" s="43">
        <v>446</v>
      </c>
      <c r="T1162" s="43">
        <v>1678</v>
      </c>
      <c r="U1162" s="43">
        <v>146</v>
      </c>
      <c r="V1162" s="43">
        <v>7</v>
      </c>
      <c r="W1162" s="43">
        <v>1500</v>
      </c>
      <c r="X1162" s="43">
        <v>208</v>
      </c>
      <c r="Y1162" s="43">
        <v>67</v>
      </c>
      <c r="Z1162" s="45">
        <f>U1162+V1162+W1162+X1162+Y1162</f>
        <v>1928</v>
      </c>
      <c r="AA1162" s="45">
        <f>S1162+T1162</f>
        <v>2124</v>
      </c>
      <c r="AB1162" s="46">
        <v>7.0022587999999999</v>
      </c>
      <c r="AC1162" s="46">
        <v>29.2997741</v>
      </c>
      <c r="AD1162" s="46">
        <v>10.6808648</v>
      </c>
      <c r="AE1162" s="46">
        <v>2.1619877000000001</v>
      </c>
      <c r="AF1162" s="46">
        <v>41.400451799999999</v>
      </c>
      <c r="AG1162" s="46">
        <v>6.6150371000000003</v>
      </c>
      <c r="AH1162" s="46">
        <v>2.8396257</v>
      </c>
      <c r="AI1162" s="47">
        <f>AB1162+AC1162</f>
        <v>36.3020329</v>
      </c>
      <c r="AJ1162" s="47">
        <f>AD1162+AE1162+AF1162+AG1162+AH1162</f>
        <v>63.6979671</v>
      </c>
      <c r="AK1162" s="46">
        <v>11.0069102</v>
      </c>
      <c r="AL1162" s="46">
        <v>41.411648599999999</v>
      </c>
      <c r="AM1162" s="46">
        <v>3.6031588999999999</v>
      </c>
      <c r="AN1162" s="46">
        <v>0.1727542</v>
      </c>
      <c r="AO1162" s="46">
        <v>37.018756199999999</v>
      </c>
      <c r="AP1162" s="46">
        <v>5.1332674999999997</v>
      </c>
      <c r="AQ1162" s="46">
        <v>1.6535044000000001</v>
      </c>
      <c r="AR1162" s="48">
        <f>AK1162+AL1162</f>
        <v>52.4185588</v>
      </c>
      <c r="AS1162" s="48">
        <f>AM1162+AN1162+AO1162+AP1162+AQ1162</f>
        <v>47.5814412</v>
      </c>
    </row>
    <row r="1163" spans="2:45" ht="15" hidden="1" customHeight="1" x14ac:dyDescent="0.25">
      <c r="B1163" s="35">
        <v>1157</v>
      </c>
      <c r="C1163" s="36" t="s">
        <v>31</v>
      </c>
      <c r="D1163" s="36" t="s">
        <v>344</v>
      </c>
      <c r="E1163" s="36" t="s">
        <v>384</v>
      </c>
      <c r="F1163" s="36" t="s">
        <v>385</v>
      </c>
      <c r="G1163" s="37" t="s">
        <v>25</v>
      </c>
      <c r="H1163" s="38">
        <v>1290</v>
      </c>
      <c r="I1163" s="38">
        <v>189</v>
      </c>
      <c r="J1163" s="38">
        <v>883</v>
      </c>
      <c r="K1163" s="38">
        <v>14</v>
      </c>
      <c r="L1163" s="38">
        <v>6</v>
      </c>
      <c r="M1163" s="38">
        <v>157</v>
      </c>
      <c r="N1163" s="38">
        <v>19</v>
      </c>
      <c r="O1163" s="38">
        <v>22</v>
      </c>
      <c r="P1163" s="38"/>
      <c r="Q1163" s="38"/>
      <c r="R1163" s="38">
        <v>1760</v>
      </c>
      <c r="S1163" s="38">
        <v>341</v>
      </c>
      <c r="T1163" s="38">
        <v>1345</v>
      </c>
      <c r="U1163" s="38">
        <v>2</v>
      </c>
      <c r="V1163" s="38">
        <v>0</v>
      </c>
      <c r="W1163" s="38">
        <v>47</v>
      </c>
      <c r="X1163" s="38">
        <v>7</v>
      </c>
      <c r="Y1163" s="38">
        <v>18</v>
      </c>
      <c r="Z1163" s="38"/>
      <c r="AA1163" s="38"/>
      <c r="AB1163" s="39">
        <v>14.6511628</v>
      </c>
      <c r="AC1163" s="39">
        <v>68.449612400000007</v>
      </c>
      <c r="AD1163" s="39">
        <v>1.0852713</v>
      </c>
      <c r="AE1163" s="39">
        <v>0.46511629999999998</v>
      </c>
      <c r="AF1163" s="39">
        <v>12.170542599999999</v>
      </c>
      <c r="AG1163" s="39">
        <v>1.4728682</v>
      </c>
      <c r="AH1163" s="39">
        <v>1.7054263999999999</v>
      </c>
      <c r="AI1163" s="39"/>
      <c r="AJ1163" s="39"/>
      <c r="AK1163" s="39">
        <v>19.375</v>
      </c>
      <c r="AL1163" s="39">
        <v>76.420454500000005</v>
      </c>
      <c r="AM1163" s="39">
        <v>0.1136364</v>
      </c>
      <c r="AN1163" s="39">
        <v>0</v>
      </c>
      <c r="AO1163" s="39">
        <v>2.6704545</v>
      </c>
      <c r="AP1163" s="39">
        <v>0.39772730000000001</v>
      </c>
      <c r="AQ1163" s="39">
        <v>1.0227272999999999</v>
      </c>
      <c r="AR1163" s="40"/>
      <c r="AS1163" s="40"/>
    </row>
    <row r="1164" spans="2:45" ht="15" hidden="1" customHeight="1" x14ac:dyDescent="0.25">
      <c r="B1164" s="35">
        <v>1158</v>
      </c>
      <c r="C1164" s="36" t="s">
        <v>31</v>
      </c>
      <c r="D1164" s="36" t="s">
        <v>344</v>
      </c>
      <c r="E1164" s="36" t="s">
        <v>384</v>
      </c>
      <c r="F1164" s="36" t="s">
        <v>385</v>
      </c>
      <c r="G1164" s="37" t="s">
        <v>26</v>
      </c>
      <c r="H1164" s="38">
        <v>1809</v>
      </c>
      <c r="I1164" s="38">
        <v>28</v>
      </c>
      <c r="J1164" s="38">
        <v>25</v>
      </c>
      <c r="K1164" s="38">
        <v>317</v>
      </c>
      <c r="L1164" s="38">
        <v>61</v>
      </c>
      <c r="M1164" s="38">
        <v>1126</v>
      </c>
      <c r="N1164" s="38">
        <v>186</v>
      </c>
      <c r="O1164" s="38">
        <v>66</v>
      </c>
      <c r="P1164" s="38"/>
      <c r="Q1164" s="38"/>
      <c r="R1164" s="38">
        <v>2292</v>
      </c>
      <c r="S1164" s="38">
        <v>105</v>
      </c>
      <c r="T1164" s="38">
        <v>333</v>
      </c>
      <c r="U1164" s="38">
        <v>144</v>
      </c>
      <c r="V1164" s="38">
        <v>7</v>
      </c>
      <c r="W1164" s="38">
        <v>1453</v>
      </c>
      <c r="X1164" s="38">
        <v>201</v>
      </c>
      <c r="Y1164" s="38">
        <v>49</v>
      </c>
      <c r="Z1164" s="38"/>
      <c r="AA1164" s="38"/>
      <c r="AB1164" s="39">
        <v>1.5478164999999999</v>
      </c>
      <c r="AC1164" s="39">
        <v>1.3819790000000001</v>
      </c>
      <c r="AD1164" s="39">
        <v>17.523493599999998</v>
      </c>
      <c r="AE1164" s="39">
        <v>3.3720287</v>
      </c>
      <c r="AF1164" s="39">
        <v>62.244333900000001</v>
      </c>
      <c r="AG1164" s="39">
        <v>10.2819237</v>
      </c>
      <c r="AH1164" s="39">
        <v>3.6484245</v>
      </c>
      <c r="AI1164" s="39"/>
      <c r="AJ1164" s="39"/>
      <c r="AK1164" s="39">
        <v>4.5811517999999998</v>
      </c>
      <c r="AL1164" s="39">
        <v>14.528795799999999</v>
      </c>
      <c r="AM1164" s="39">
        <v>6.2827225000000002</v>
      </c>
      <c r="AN1164" s="39">
        <v>0.30541010000000002</v>
      </c>
      <c r="AO1164" s="39">
        <v>63.3944154</v>
      </c>
      <c r="AP1164" s="39">
        <v>8.7696334999999994</v>
      </c>
      <c r="AQ1164" s="39">
        <v>2.1378708999999998</v>
      </c>
      <c r="AR1164" s="40"/>
      <c r="AS1164" s="40"/>
    </row>
    <row r="1165" spans="2:45" ht="15" customHeight="1" x14ac:dyDescent="0.25">
      <c r="B1165" s="41">
        <v>1159</v>
      </c>
      <c r="C1165" s="42" t="s">
        <v>31</v>
      </c>
      <c r="D1165" s="51" t="s">
        <v>344</v>
      </c>
      <c r="E1165" s="51" t="s">
        <v>384</v>
      </c>
      <c r="F1165" s="51" t="s">
        <v>386</v>
      </c>
      <c r="G1165" s="52" t="s">
        <v>386</v>
      </c>
      <c r="H1165" s="43">
        <v>2714</v>
      </c>
      <c r="I1165" s="43">
        <v>191</v>
      </c>
      <c r="J1165" s="43">
        <v>1120</v>
      </c>
      <c r="K1165" s="43">
        <v>283</v>
      </c>
      <c r="L1165" s="43">
        <v>120</v>
      </c>
      <c r="M1165" s="43">
        <v>809</v>
      </c>
      <c r="N1165" s="43">
        <v>100</v>
      </c>
      <c r="O1165" s="43">
        <v>91</v>
      </c>
      <c r="P1165" s="44">
        <f>K1165+L1165+M1165+N1165+O1165</f>
        <v>1403</v>
      </c>
      <c r="Q1165" s="44">
        <f>I1165+J1165</f>
        <v>1311</v>
      </c>
      <c r="R1165" s="43">
        <v>3050</v>
      </c>
      <c r="S1165" s="43">
        <v>304</v>
      </c>
      <c r="T1165" s="43">
        <v>1763</v>
      </c>
      <c r="U1165" s="43">
        <v>91</v>
      </c>
      <c r="V1165" s="43">
        <v>9</v>
      </c>
      <c r="W1165" s="43">
        <v>752</v>
      </c>
      <c r="X1165" s="43">
        <v>101</v>
      </c>
      <c r="Y1165" s="43">
        <v>30</v>
      </c>
      <c r="Z1165" s="45">
        <f>U1165+V1165+W1165+X1165+Y1165</f>
        <v>983</v>
      </c>
      <c r="AA1165" s="45">
        <f>S1165+T1165</f>
        <v>2067</v>
      </c>
      <c r="AB1165" s="46">
        <v>7.0375829000000003</v>
      </c>
      <c r="AC1165" s="46">
        <v>41.267501799999998</v>
      </c>
      <c r="AD1165" s="46">
        <v>10.427413400000001</v>
      </c>
      <c r="AE1165" s="46">
        <v>4.4215181000000001</v>
      </c>
      <c r="AF1165" s="46">
        <v>29.808400899999999</v>
      </c>
      <c r="AG1165" s="46">
        <v>3.6845984000000001</v>
      </c>
      <c r="AH1165" s="46">
        <v>3.3529844999999998</v>
      </c>
      <c r="AI1165" s="47">
        <f>AB1165+AC1165</f>
        <v>48.305084699999995</v>
      </c>
      <c r="AJ1165" s="47">
        <f>AD1165+AE1165+AF1165+AG1165+AH1165</f>
        <v>51.694915299999998</v>
      </c>
      <c r="AK1165" s="46">
        <v>9.9672131000000004</v>
      </c>
      <c r="AL1165" s="46">
        <v>57.8032787</v>
      </c>
      <c r="AM1165" s="46">
        <v>2.9836065999999999</v>
      </c>
      <c r="AN1165" s="46">
        <v>0.29508200000000001</v>
      </c>
      <c r="AO1165" s="46">
        <v>24.6557377</v>
      </c>
      <c r="AP1165" s="46">
        <v>3.3114754</v>
      </c>
      <c r="AQ1165" s="46">
        <v>0.9836066</v>
      </c>
      <c r="AR1165" s="48">
        <f>AK1165+AL1165</f>
        <v>67.770491800000002</v>
      </c>
      <c r="AS1165" s="48">
        <f>AM1165+AN1165+AO1165+AP1165+AQ1165</f>
        <v>32.229508299999999</v>
      </c>
    </row>
    <row r="1166" spans="2:45" ht="15" hidden="1" customHeight="1" x14ac:dyDescent="0.25">
      <c r="B1166" s="35">
        <v>1160</v>
      </c>
      <c r="C1166" s="36" t="s">
        <v>31</v>
      </c>
      <c r="D1166" s="36" t="s">
        <v>344</v>
      </c>
      <c r="E1166" s="36" t="s">
        <v>384</v>
      </c>
      <c r="F1166" s="36" t="s">
        <v>386</v>
      </c>
      <c r="G1166" s="37" t="s">
        <v>25</v>
      </c>
      <c r="H1166" s="38">
        <v>1002</v>
      </c>
      <c r="I1166" s="38">
        <v>144</v>
      </c>
      <c r="J1166" s="38">
        <v>813</v>
      </c>
      <c r="K1166" s="38">
        <v>13</v>
      </c>
      <c r="L1166" s="38">
        <v>0</v>
      </c>
      <c r="M1166" s="38">
        <v>32</v>
      </c>
      <c r="N1166" s="38">
        <v>0</v>
      </c>
      <c r="O1166" s="38">
        <v>0</v>
      </c>
      <c r="P1166" s="38"/>
      <c r="Q1166" s="38"/>
      <c r="R1166" s="38">
        <v>1181</v>
      </c>
      <c r="S1166" s="38">
        <v>172</v>
      </c>
      <c r="T1166" s="38">
        <v>974</v>
      </c>
      <c r="U1166" s="38">
        <v>1</v>
      </c>
      <c r="V1166" s="38">
        <v>1</v>
      </c>
      <c r="W1166" s="38">
        <v>30</v>
      </c>
      <c r="X1166" s="38">
        <v>1</v>
      </c>
      <c r="Y1166" s="38">
        <v>2</v>
      </c>
      <c r="Z1166" s="38"/>
      <c r="AA1166" s="38"/>
      <c r="AB1166" s="39">
        <v>14.3712575</v>
      </c>
      <c r="AC1166" s="39">
        <v>81.137724599999999</v>
      </c>
      <c r="AD1166" s="39">
        <v>1.2974052</v>
      </c>
      <c r="AE1166" s="39">
        <v>0</v>
      </c>
      <c r="AF1166" s="39">
        <v>3.1936127999999999</v>
      </c>
      <c r="AG1166" s="39">
        <v>0</v>
      </c>
      <c r="AH1166" s="39">
        <v>0</v>
      </c>
      <c r="AI1166" s="39"/>
      <c r="AJ1166" s="39"/>
      <c r="AK1166" s="39">
        <v>14.563928900000001</v>
      </c>
      <c r="AL1166" s="39">
        <v>82.472480899999994</v>
      </c>
      <c r="AM1166" s="39">
        <v>8.4673999999999999E-2</v>
      </c>
      <c r="AN1166" s="39">
        <v>8.4673999999999999E-2</v>
      </c>
      <c r="AO1166" s="39">
        <v>2.5402201999999998</v>
      </c>
      <c r="AP1166" s="39">
        <v>8.4673999999999999E-2</v>
      </c>
      <c r="AQ1166" s="39">
        <v>0.169348</v>
      </c>
      <c r="AR1166" s="40"/>
      <c r="AS1166" s="40"/>
    </row>
    <row r="1167" spans="2:45" ht="15" hidden="1" customHeight="1" x14ac:dyDescent="0.25">
      <c r="B1167" s="35">
        <v>1161</v>
      </c>
      <c r="C1167" s="36" t="s">
        <v>31</v>
      </c>
      <c r="D1167" s="36" t="s">
        <v>344</v>
      </c>
      <c r="E1167" s="36" t="s">
        <v>384</v>
      </c>
      <c r="F1167" s="36" t="s">
        <v>386</v>
      </c>
      <c r="G1167" s="37" t="s">
        <v>26</v>
      </c>
      <c r="H1167" s="38">
        <v>1712</v>
      </c>
      <c r="I1167" s="38">
        <v>47</v>
      </c>
      <c r="J1167" s="38">
        <v>307</v>
      </c>
      <c r="K1167" s="38">
        <v>270</v>
      </c>
      <c r="L1167" s="38">
        <v>120</v>
      </c>
      <c r="M1167" s="38">
        <v>777</v>
      </c>
      <c r="N1167" s="38">
        <v>100</v>
      </c>
      <c r="O1167" s="38">
        <v>91</v>
      </c>
      <c r="P1167" s="38"/>
      <c r="Q1167" s="38"/>
      <c r="R1167" s="38">
        <v>1869</v>
      </c>
      <c r="S1167" s="38">
        <v>132</v>
      </c>
      <c r="T1167" s="38">
        <v>789</v>
      </c>
      <c r="U1167" s="38">
        <v>90</v>
      </c>
      <c r="V1167" s="38">
        <v>8</v>
      </c>
      <c r="W1167" s="38">
        <v>722</v>
      </c>
      <c r="X1167" s="38">
        <v>100</v>
      </c>
      <c r="Y1167" s="38">
        <v>28</v>
      </c>
      <c r="Z1167" s="38"/>
      <c r="AA1167" s="38"/>
      <c r="AB1167" s="39">
        <v>2.7453270999999999</v>
      </c>
      <c r="AC1167" s="39">
        <v>17.932243</v>
      </c>
      <c r="AD1167" s="39">
        <v>15.771027999999999</v>
      </c>
      <c r="AE1167" s="39">
        <v>7.0093458000000002</v>
      </c>
      <c r="AF1167" s="39">
        <v>45.385514000000001</v>
      </c>
      <c r="AG1167" s="39">
        <v>5.8411214999999999</v>
      </c>
      <c r="AH1167" s="39">
        <v>5.3154206000000004</v>
      </c>
      <c r="AI1167" s="39"/>
      <c r="AJ1167" s="39"/>
      <c r="AK1167" s="39">
        <v>7.0626002999999997</v>
      </c>
      <c r="AL1167" s="39">
        <v>42.215088299999998</v>
      </c>
      <c r="AM1167" s="39">
        <v>4.8154092999999998</v>
      </c>
      <c r="AN1167" s="39">
        <v>0.42803639999999998</v>
      </c>
      <c r="AO1167" s="39">
        <v>38.630283599999999</v>
      </c>
      <c r="AP1167" s="39">
        <v>5.3504547999999996</v>
      </c>
      <c r="AQ1167" s="39">
        <v>1.4981272999999999</v>
      </c>
      <c r="AR1167" s="40"/>
      <c r="AS1167" s="40"/>
    </row>
    <row r="1168" spans="2:45" ht="15" customHeight="1" x14ac:dyDescent="0.25">
      <c r="B1168" s="41">
        <v>1162</v>
      </c>
      <c r="C1168" s="42" t="s">
        <v>31</v>
      </c>
      <c r="D1168" s="51" t="s">
        <v>344</v>
      </c>
      <c r="E1168" s="51" t="s">
        <v>384</v>
      </c>
      <c r="F1168" s="51" t="s">
        <v>387</v>
      </c>
      <c r="G1168" s="52" t="s">
        <v>387</v>
      </c>
      <c r="H1168" s="43">
        <v>2964</v>
      </c>
      <c r="I1168" s="43">
        <v>117</v>
      </c>
      <c r="J1168" s="43">
        <v>1895</v>
      </c>
      <c r="K1168" s="43">
        <v>199</v>
      </c>
      <c r="L1168" s="43">
        <v>53</v>
      </c>
      <c r="M1168" s="43">
        <v>580</v>
      </c>
      <c r="N1168" s="43">
        <v>82</v>
      </c>
      <c r="O1168" s="43">
        <v>38</v>
      </c>
      <c r="P1168" s="44">
        <f>K1168+L1168+M1168+N1168+O1168</f>
        <v>952</v>
      </c>
      <c r="Q1168" s="44">
        <f>I1168+J1168</f>
        <v>2012</v>
      </c>
      <c r="R1168" s="43">
        <v>4310</v>
      </c>
      <c r="S1168" s="43">
        <v>385</v>
      </c>
      <c r="T1168" s="43">
        <v>2535</v>
      </c>
      <c r="U1168" s="43">
        <v>106</v>
      </c>
      <c r="V1168" s="43">
        <v>28</v>
      </c>
      <c r="W1168" s="43">
        <v>1007</v>
      </c>
      <c r="X1168" s="43">
        <v>209</v>
      </c>
      <c r="Y1168" s="43">
        <v>40</v>
      </c>
      <c r="Z1168" s="45">
        <f>U1168+V1168+W1168+X1168+Y1168</f>
        <v>1390</v>
      </c>
      <c r="AA1168" s="45">
        <f>S1168+T1168</f>
        <v>2920</v>
      </c>
      <c r="AB1168" s="46">
        <v>3.9473684000000002</v>
      </c>
      <c r="AC1168" s="46">
        <v>63.9338731</v>
      </c>
      <c r="AD1168" s="46">
        <v>6.7139001</v>
      </c>
      <c r="AE1168" s="46">
        <v>1.7881241999999999</v>
      </c>
      <c r="AF1168" s="46">
        <v>19.568151100000001</v>
      </c>
      <c r="AG1168" s="46">
        <v>2.7665316999999998</v>
      </c>
      <c r="AH1168" s="46">
        <v>1.2820513</v>
      </c>
      <c r="AI1168" s="47">
        <f>AB1168+AC1168</f>
        <v>67.881241500000002</v>
      </c>
      <c r="AJ1168" s="47">
        <f>AD1168+AE1168+AF1168+AG1168+AH1168</f>
        <v>32.118758400000004</v>
      </c>
      <c r="AK1168" s="46">
        <v>8.9327146000000006</v>
      </c>
      <c r="AL1168" s="46">
        <v>58.816705300000002</v>
      </c>
      <c r="AM1168" s="46">
        <v>2.4593967999999999</v>
      </c>
      <c r="AN1168" s="46">
        <v>0.64965200000000001</v>
      </c>
      <c r="AO1168" s="46">
        <v>23.364269100000001</v>
      </c>
      <c r="AP1168" s="46">
        <v>4.8491879000000004</v>
      </c>
      <c r="AQ1168" s="46">
        <v>0.92807419999999996</v>
      </c>
      <c r="AR1168" s="48">
        <f>AK1168+AL1168</f>
        <v>67.749419900000007</v>
      </c>
      <c r="AS1168" s="48">
        <f>AM1168+AN1168+AO1168+AP1168+AQ1168</f>
        <v>32.250579999999999</v>
      </c>
    </row>
    <row r="1169" spans="2:45" ht="15" hidden="1" customHeight="1" x14ac:dyDescent="0.25">
      <c r="B1169" s="35">
        <v>1163</v>
      </c>
      <c r="C1169" s="36" t="s">
        <v>31</v>
      </c>
      <c r="D1169" s="36" t="s">
        <v>344</v>
      </c>
      <c r="E1169" s="36" t="s">
        <v>384</v>
      </c>
      <c r="F1169" s="36" t="s">
        <v>387</v>
      </c>
      <c r="G1169" s="37" t="s">
        <v>25</v>
      </c>
      <c r="H1169" s="38">
        <v>1893</v>
      </c>
      <c r="I1169" s="38">
        <v>107</v>
      </c>
      <c r="J1169" s="38">
        <v>1706</v>
      </c>
      <c r="K1169" s="38">
        <v>7</v>
      </c>
      <c r="L1169" s="38">
        <v>3</v>
      </c>
      <c r="M1169" s="38">
        <v>57</v>
      </c>
      <c r="N1169" s="38">
        <v>2</v>
      </c>
      <c r="O1169" s="38">
        <v>11</v>
      </c>
      <c r="P1169" s="38"/>
      <c r="Q1169" s="38"/>
      <c r="R1169" s="38">
        <v>2479</v>
      </c>
      <c r="S1169" s="38">
        <v>294</v>
      </c>
      <c r="T1169" s="38">
        <v>2049</v>
      </c>
      <c r="U1169" s="38">
        <v>9</v>
      </c>
      <c r="V1169" s="38">
        <v>2</v>
      </c>
      <c r="W1169" s="38">
        <v>113</v>
      </c>
      <c r="X1169" s="38">
        <v>3</v>
      </c>
      <c r="Y1169" s="38">
        <v>9</v>
      </c>
      <c r="Z1169" s="38"/>
      <c r="AA1169" s="38"/>
      <c r="AB1169" s="39">
        <v>5.6524036000000004</v>
      </c>
      <c r="AC1169" s="39">
        <v>90.121500299999994</v>
      </c>
      <c r="AD1169" s="39">
        <v>0.36978339999999998</v>
      </c>
      <c r="AE1169" s="39">
        <v>0.1584786</v>
      </c>
      <c r="AF1169" s="39">
        <v>3.0110934999999999</v>
      </c>
      <c r="AG1169" s="39">
        <v>0.10565239999999999</v>
      </c>
      <c r="AH1169" s="39">
        <v>0.58108820000000005</v>
      </c>
      <c r="AI1169" s="39"/>
      <c r="AJ1169" s="39"/>
      <c r="AK1169" s="39">
        <v>11.8596208</v>
      </c>
      <c r="AL1169" s="39">
        <v>82.654296099999996</v>
      </c>
      <c r="AM1169" s="39">
        <v>0.36304959999999997</v>
      </c>
      <c r="AN1169" s="39">
        <v>8.0677700000000005E-2</v>
      </c>
      <c r="AO1169" s="39">
        <v>4.5582896000000002</v>
      </c>
      <c r="AP1169" s="39">
        <v>0.1210165</v>
      </c>
      <c r="AQ1169" s="39">
        <v>0.36304959999999997</v>
      </c>
      <c r="AR1169" s="40"/>
      <c r="AS1169" s="40"/>
    </row>
    <row r="1170" spans="2:45" ht="15" hidden="1" customHeight="1" x14ac:dyDescent="0.25">
      <c r="B1170" s="35">
        <v>1164</v>
      </c>
      <c r="C1170" s="36" t="s">
        <v>31</v>
      </c>
      <c r="D1170" s="36" t="s">
        <v>344</v>
      </c>
      <c r="E1170" s="36" t="s">
        <v>384</v>
      </c>
      <c r="F1170" s="36" t="s">
        <v>387</v>
      </c>
      <c r="G1170" s="37" t="s">
        <v>26</v>
      </c>
      <c r="H1170" s="38">
        <v>1071</v>
      </c>
      <c r="I1170" s="38">
        <v>10</v>
      </c>
      <c r="J1170" s="38">
        <v>189</v>
      </c>
      <c r="K1170" s="38">
        <v>192</v>
      </c>
      <c r="L1170" s="38">
        <v>50</v>
      </c>
      <c r="M1170" s="38">
        <v>523</v>
      </c>
      <c r="N1170" s="38">
        <v>80</v>
      </c>
      <c r="O1170" s="38">
        <v>27</v>
      </c>
      <c r="P1170" s="38"/>
      <c r="Q1170" s="38"/>
      <c r="R1170" s="38">
        <v>1831</v>
      </c>
      <c r="S1170" s="38">
        <v>91</v>
      </c>
      <c r="T1170" s="38">
        <v>486</v>
      </c>
      <c r="U1170" s="38">
        <v>97</v>
      </c>
      <c r="V1170" s="38">
        <v>26</v>
      </c>
      <c r="W1170" s="38">
        <v>894</v>
      </c>
      <c r="X1170" s="38">
        <v>206</v>
      </c>
      <c r="Y1170" s="38">
        <v>31</v>
      </c>
      <c r="Z1170" s="38"/>
      <c r="AA1170" s="38"/>
      <c r="AB1170" s="39">
        <v>0.93370679999999995</v>
      </c>
      <c r="AC1170" s="39">
        <v>17.6470588</v>
      </c>
      <c r="AD1170" s="39">
        <v>17.9271709</v>
      </c>
      <c r="AE1170" s="39">
        <v>4.6685340999999996</v>
      </c>
      <c r="AF1170" s="39">
        <v>48.832866500000002</v>
      </c>
      <c r="AG1170" s="39">
        <v>7.4696544999999999</v>
      </c>
      <c r="AH1170" s="39">
        <v>2.5210083999999999</v>
      </c>
      <c r="AI1170" s="39"/>
      <c r="AJ1170" s="39"/>
      <c r="AK1170" s="39">
        <v>4.9699618000000001</v>
      </c>
      <c r="AL1170" s="39">
        <v>26.5428727</v>
      </c>
      <c r="AM1170" s="39">
        <v>5.2976516</v>
      </c>
      <c r="AN1170" s="39">
        <v>1.4199891</v>
      </c>
      <c r="AO1170" s="39">
        <v>48.825778300000003</v>
      </c>
      <c r="AP1170" s="39">
        <v>11.2506827</v>
      </c>
      <c r="AQ1170" s="39">
        <v>1.6930639000000001</v>
      </c>
      <c r="AR1170" s="40"/>
      <c r="AS1170" s="40"/>
    </row>
    <row r="1171" spans="2:45" ht="15" customHeight="1" x14ac:dyDescent="0.25">
      <c r="B1171" s="41">
        <v>1165</v>
      </c>
      <c r="C1171" s="42" t="s">
        <v>31</v>
      </c>
      <c r="D1171" s="51" t="s">
        <v>344</v>
      </c>
      <c r="E1171" s="51" t="s">
        <v>384</v>
      </c>
      <c r="F1171" s="51" t="s">
        <v>388</v>
      </c>
      <c r="G1171" s="52" t="s">
        <v>388</v>
      </c>
      <c r="H1171" s="43">
        <v>730</v>
      </c>
      <c r="I1171" s="43">
        <v>21</v>
      </c>
      <c r="J1171" s="43">
        <v>258</v>
      </c>
      <c r="K1171" s="43">
        <v>119</v>
      </c>
      <c r="L1171" s="43">
        <v>10</v>
      </c>
      <c r="M1171" s="43">
        <v>245</v>
      </c>
      <c r="N1171" s="43">
        <v>38</v>
      </c>
      <c r="O1171" s="43">
        <v>39</v>
      </c>
      <c r="P1171" s="44">
        <f>K1171+L1171+M1171+N1171+O1171</f>
        <v>451</v>
      </c>
      <c r="Q1171" s="44">
        <f>I1171+J1171</f>
        <v>279</v>
      </c>
      <c r="R1171" s="43">
        <v>787</v>
      </c>
      <c r="S1171" s="43">
        <v>73</v>
      </c>
      <c r="T1171" s="43">
        <v>382</v>
      </c>
      <c r="U1171" s="43">
        <v>23</v>
      </c>
      <c r="V1171" s="43">
        <v>1</v>
      </c>
      <c r="W1171" s="43">
        <v>236</v>
      </c>
      <c r="X1171" s="43">
        <v>51</v>
      </c>
      <c r="Y1171" s="43">
        <v>21</v>
      </c>
      <c r="Z1171" s="45">
        <f>U1171+V1171+W1171+X1171+Y1171</f>
        <v>332</v>
      </c>
      <c r="AA1171" s="45">
        <f>S1171+T1171</f>
        <v>455</v>
      </c>
      <c r="AB1171" s="46">
        <v>2.8767122999999999</v>
      </c>
      <c r="AC1171" s="46">
        <v>35.342465799999999</v>
      </c>
      <c r="AD1171" s="46">
        <v>16.301369900000001</v>
      </c>
      <c r="AE1171" s="46">
        <v>1.3698630000000001</v>
      </c>
      <c r="AF1171" s="46">
        <v>33.561643799999999</v>
      </c>
      <c r="AG1171" s="46">
        <v>5.2054795</v>
      </c>
      <c r="AH1171" s="46">
        <v>5.3424658000000003</v>
      </c>
      <c r="AI1171" s="47">
        <f>AB1171+AC1171</f>
        <v>38.219178100000001</v>
      </c>
      <c r="AJ1171" s="47">
        <f>AD1171+AE1171+AF1171+AG1171+AH1171</f>
        <v>61.780822000000001</v>
      </c>
      <c r="AK1171" s="46">
        <v>9.2757305999999993</v>
      </c>
      <c r="AL1171" s="46">
        <v>48.5387548</v>
      </c>
      <c r="AM1171" s="46">
        <v>2.9224904999999999</v>
      </c>
      <c r="AN1171" s="46">
        <v>0.12706480000000001</v>
      </c>
      <c r="AO1171" s="46">
        <v>29.9872935</v>
      </c>
      <c r="AP1171" s="46">
        <v>6.4803050000000004</v>
      </c>
      <c r="AQ1171" s="46">
        <v>2.6683609000000001</v>
      </c>
      <c r="AR1171" s="48">
        <f>AK1171+AL1171</f>
        <v>57.814485399999995</v>
      </c>
      <c r="AS1171" s="48">
        <f>AM1171+AN1171+AO1171+AP1171+AQ1171</f>
        <v>42.185514700000006</v>
      </c>
    </row>
    <row r="1172" spans="2:45" ht="15" hidden="1" customHeight="1" x14ac:dyDescent="0.25">
      <c r="B1172" s="35">
        <v>1166</v>
      </c>
      <c r="C1172" s="36" t="s">
        <v>31</v>
      </c>
      <c r="D1172" s="36" t="s">
        <v>344</v>
      </c>
      <c r="E1172" s="36" t="s">
        <v>384</v>
      </c>
      <c r="F1172" s="36" t="s">
        <v>388</v>
      </c>
      <c r="G1172" s="37" t="s">
        <v>25</v>
      </c>
      <c r="H1172" s="38"/>
      <c r="I1172" s="38"/>
      <c r="J1172" s="38"/>
      <c r="K1172" s="38"/>
      <c r="L1172" s="38"/>
      <c r="M1172" s="38"/>
      <c r="N1172" s="38"/>
      <c r="O1172" s="38"/>
      <c r="P1172" s="38"/>
      <c r="Q1172" s="38"/>
      <c r="R1172" s="38"/>
      <c r="S1172" s="38"/>
      <c r="T1172" s="38"/>
      <c r="U1172" s="38"/>
      <c r="V1172" s="38"/>
      <c r="W1172" s="38"/>
      <c r="X1172" s="38"/>
      <c r="Y1172" s="38"/>
      <c r="Z1172" s="38"/>
      <c r="AA1172" s="38"/>
      <c r="AB1172" s="39"/>
      <c r="AC1172" s="39"/>
      <c r="AD1172" s="39"/>
      <c r="AE1172" s="39"/>
      <c r="AF1172" s="39"/>
      <c r="AG1172" s="39"/>
      <c r="AH1172" s="39"/>
      <c r="AI1172" s="39"/>
      <c r="AJ1172" s="39"/>
      <c r="AK1172" s="39"/>
      <c r="AL1172" s="39"/>
      <c r="AM1172" s="39"/>
      <c r="AN1172" s="39"/>
      <c r="AO1172" s="39"/>
      <c r="AP1172" s="39"/>
      <c r="AQ1172" s="39"/>
      <c r="AR1172" s="40"/>
      <c r="AS1172" s="40"/>
    </row>
    <row r="1173" spans="2:45" ht="15" hidden="1" customHeight="1" x14ac:dyDescent="0.25">
      <c r="B1173" s="35">
        <v>1167</v>
      </c>
      <c r="C1173" s="36" t="s">
        <v>31</v>
      </c>
      <c r="D1173" s="36" t="s">
        <v>344</v>
      </c>
      <c r="E1173" s="36" t="s">
        <v>384</v>
      </c>
      <c r="F1173" s="36" t="s">
        <v>388</v>
      </c>
      <c r="G1173" s="37" t="s">
        <v>26</v>
      </c>
      <c r="H1173" s="38">
        <v>730</v>
      </c>
      <c r="I1173" s="38">
        <v>21</v>
      </c>
      <c r="J1173" s="38">
        <v>258</v>
      </c>
      <c r="K1173" s="38">
        <v>119</v>
      </c>
      <c r="L1173" s="38">
        <v>10</v>
      </c>
      <c r="M1173" s="38">
        <v>245</v>
      </c>
      <c r="N1173" s="38">
        <v>38</v>
      </c>
      <c r="O1173" s="38">
        <v>39</v>
      </c>
      <c r="P1173" s="38"/>
      <c r="Q1173" s="38"/>
      <c r="R1173" s="38">
        <v>787</v>
      </c>
      <c r="S1173" s="38">
        <v>73</v>
      </c>
      <c r="T1173" s="38">
        <v>382</v>
      </c>
      <c r="U1173" s="38">
        <v>23</v>
      </c>
      <c r="V1173" s="38">
        <v>1</v>
      </c>
      <c r="W1173" s="38">
        <v>236</v>
      </c>
      <c r="X1173" s="38">
        <v>51</v>
      </c>
      <c r="Y1173" s="38">
        <v>21</v>
      </c>
      <c r="Z1173" s="38"/>
      <c r="AA1173" s="38"/>
      <c r="AB1173" s="39">
        <v>2.8767122999999999</v>
      </c>
      <c r="AC1173" s="39">
        <v>35.342465799999999</v>
      </c>
      <c r="AD1173" s="39">
        <v>16.301369900000001</v>
      </c>
      <c r="AE1173" s="39">
        <v>1.3698630000000001</v>
      </c>
      <c r="AF1173" s="39">
        <v>33.561643799999999</v>
      </c>
      <c r="AG1173" s="39">
        <v>5.2054795</v>
      </c>
      <c r="AH1173" s="39">
        <v>5.3424658000000003</v>
      </c>
      <c r="AI1173" s="39"/>
      <c r="AJ1173" s="39"/>
      <c r="AK1173" s="39">
        <v>9.2757305999999993</v>
      </c>
      <c r="AL1173" s="39">
        <v>48.5387548</v>
      </c>
      <c r="AM1173" s="39">
        <v>2.9224904999999999</v>
      </c>
      <c r="AN1173" s="39">
        <v>0.12706480000000001</v>
      </c>
      <c r="AO1173" s="39">
        <v>29.9872935</v>
      </c>
      <c r="AP1173" s="39">
        <v>6.4803050000000004</v>
      </c>
      <c r="AQ1173" s="39">
        <v>2.6683609000000001</v>
      </c>
      <c r="AR1173" s="40"/>
      <c r="AS1173" s="40"/>
    </row>
    <row r="1174" spans="2:45" ht="15" hidden="1" customHeight="1" x14ac:dyDescent="0.25">
      <c r="B1174" s="30">
        <v>1168</v>
      </c>
      <c r="C1174" s="31" t="s">
        <v>29</v>
      </c>
      <c r="D1174" s="50" t="s">
        <v>344</v>
      </c>
      <c r="E1174" s="50" t="s">
        <v>389</v>
      </c>
      <c r="F1174" s="50"/>
      <c r="G1174" s="31" t="s">
        <v>389</v>
      </c>
      <c r="H1174" s="32">
        <v>41546</v>
      </c>
      <c r="I1174" s="32">
        <v>3882</v>
      </c>
      <c r="J1174" s="32">
        <v>19140</v>
      </c>
      <c r="K1174" s="32">
        <v>906</v>
      </c>
      <c r="L1174" s="32">
        <v>162</v>
      </c>
      <c r="M1174" s="32">
        <v>15908</v>
      </c>
      <c r="N1174" s="32">
        <v>1310</v>
      </c>
      <c r="O1174" s="32">
        <v>238</v>
      </c>
      <c r="P1174" s="32"/>
      <c r="Q1174" s="32"/>
      <c r="R1174" s="32">
        <v>51149</v>
      </c>
      <c r="S1174" s="32">
        <v>7164</v>
      </c>
      <c r="T1174" s="32">
        <v>30484</v>
      </c>
      <c r="U1174" s="32">
        <v>291</v>
      </c>
      <c r="V1174" s="32">
        <v>48</v>
      </c>
      <c r="W1174" s="32">
        <v>12409</v>
      </c>
      <c r="X1174" s="32">
        <v>544</v>
      </c>
      <c r="Y1174" s="32">
        <v>209</v>
      </c>
      <c r="Z1174" s="32"/>
      <c r="AA1174" s="32"/>
      <c r="AB1174" s="33">
        <v>9.3438598000000006</v>
      </c>
      <c r="AC1174" s="33">
        <v>46.069417000000001</v>
      </c>
      <c r="AD1174" s="33">
        <v>2.1807154</v>
      </c>
      <c r="AE1174" s="33">
        <v>0.38992919999999998</v>
      </c>
      <c r="AF1174" s="33">
        <v>38.290088099999998</v>
      </c>
      <c r="AG1174" s="33">
        <v>3.1531315000000002</v>
      </c>
      <c r="AH1174" s="33">
        <v>0.57285900000000001</v>
      </c>
      <c r="AI1174" s="33"/>
      <c r="AJ1174" s="33"/>
      <c r="AK1174" s="33">
        <v>14.0061389</v>
      </c>
      <c r="AL1174" s="33">
        <v>59.5984281</v>
      </c>
      <c r="AM1174" s="33">
        <v>0.56892609999999999</v>
      </c>
      <c r="AN1174" s="33">
        <v>9.3843499999999996E-2</v>
      </c>
      <c r="AO1174" s="33">
        <v>24.2604939</v>
      </c>
      <c r="AP1174" s="33">
        <v>1.0635593999999999</v>
      </c>
      <c r="AQ1174" s="33">
        <v>0.40861009999999998</v>
      </c>
      <c r="AR1174" s="34"/>
      <c r="AS1174" s="34"/>
    </row>
    <row r="1175" spans="2:45" ht="15" hidden="1" customHeight="1" x14ac:dyDescent="0.25">
      <c r="B1175" s="35">
        <v>1169</v>
      </c>
      <c r="C1175" s="36" t="s">
        <v>29</v>
      </c>
      <c r="D1175" s="36" t="s">
        <v>344</v>
      </c>
      <c r="E1175" s="36" t="s">
        <v>389</v>
      </c>
      <c r="F1175" s="36"/>
      <c r="G1175" s="37" t="s">
        <v>25</v>
      </c>
      <c r="H1175" s="38">
        <v>34714</v>
      </c>
      <c r="I1175" s="38">
        <v>3846</v>
      </c>
      <c r="J1175" s="38">
        <v>19114</v>
      </c>
      <c r="K1175" s="38">
        <v>760</v>
      </c>
      <c r="L1175" s="38">
        <v>110</v>
      </c>
      <c r="M1175" s="38">
        <v>9782</v>
      </c>
      <c r="N1175" s="38">
        <v>912</v>
      </c>
      <c r="O1175" s="38">
        <v>190</v>
      </c>
      <c r="P1175" s="38"/>
      <c r="Q1175" s="38"/>
      <c r="R1175" s="38">
        <v>45332</v>
      </c>
      <c r="S1175" s="38">
        <v>7026</v>
      </c>
      <c r="T1175" s="38">
        <v>30286</v>
      </c>
      <c r="U1175" s="38">
        <v>226</v>
      </c>
      <c r="V1175" s="38">
        <v>33</v>
      </c>
      <c r="W1175" s="38">
        <v>7305</v>
      </c>
      <c r="X1175" s="38">
        <v>298</v>
      </c>
      <c r="Y1175" s="38">
        <v>158</v>
      </c>
      <c r="Z1175" s="38"/>
      <c r="AA1175" s="38"/>
      <c r="AB1175" s="39">
        <v>11.0791035</v>
      </c>
      <c r="AC1175" s="39">
        <v>55.061358499999997</v>
      </c>
      <c r="AD1175" s="39">
        <v>2.1893183999999999</v>
      </c>
      <c r="AE1175" s="39">
        <v>0.31687500000000002</v>
      </c>
      <c r="AF1175" s="39">
        <v>28.178832700000001</v>
      </c>
      <c r="AG1175" s="39">
        <v>2.6271821000000002</v>
      </c>
      <c r="AH1175" s="39">
        <v>0.54732959999999997</v>
      </c>
      <c r="AI1175" s="39"/>
      <c r="AJ1175" s="39"/>
      <c r="AK1175" s="39">
        <v>15.498985299999999</v>
      </c>
      <c r="AL1175" s="39">
        <v>66.809317899999996</v>
      </c>
      <c r="AM1175" s="39">
        <v>0.49854409999999999</v>
      </c>
      <c r="AN1175" s="39">
        <v>7.2796299999999994E-2</v>
      </c>
      <c r="AO1175" s="39">
        <v>16.114444500000001</v>
      </c>
      <c r="AP1175" s="39">
        <v>0.65737230000000002</v>
      </c>
      <c r="AQ1175" s="39">
        <v>0.34853970000000001</v>
      </c>
      <c r="AR1175" s="40"/>
      <c r="AS1175" s="40"/>
    </row>
    <row r="1176" spans="2:45" ht="15" hidden="1" customHeight="1" x14ac:dyDescent="0.25">
      <c r="B1176" s="35">
        <v>1170</v>
      </c>
      <c r="C1176" s="36" t="s">
        <v>29</v>
      </c>
      <c r="D1176" s="36" t="s">
        <v>344</v>
      </c>
      <c r="E1176" s="36" t="s">
        <v>389</v>
      </c>
      <c r="F1176" s="36"/>
      <c r="G1176" s="37" t="s">
        <v>26</v>
      </c>
      <c r="H1176" s="38">
        <v>6832</v>
      </c>
      <c r="I1176" s="38">
        <v>36</v>
      </c>
      <c r="J1176" s="38">
        <v>26</v>
      </c>
      <c r="K1176" s="38">
        <v>146</v>
      </c>
      <c r="L1176" s="38">
        <v>52</v>
      </c>
      <c r="M1176" s="38">
        <v>6126</v>
      </c>
      <c r="N1176" s="38">
        <v>398</v>
      </c>
      <c r="O1176" s="38">
        <v>48</v>
      </c>
      <c r="P1176" s="38"/>
      <c r="Q1176" s="38"/>
      <c r="R1176" s="38">
        <v>5817</v>
      </c>
      <c r="S1176" s="38">
        <v>138</v>
      </c>
      <c r="T1176" s="38">
        <v>198</v>
      </c>
      <c r="U1176" s="38">
        <v>65</v>
      </c>
      <c r="V1176" s="38">
        <v>15</v>
      </c>
      <c r="W1176" s="38">
        <v>5104</v>
      </c>
      <c r="X1176" s="38">
        <v>246</v>
      </c>
      <c r="Y1176" s="38">
        <v>51</v>
      </c>
      <c r="Z1176" s="38"/>
      <c r="AA1176" s="38"/>
      <c r="AB1176" s="39">
        <v>0.52693210000000001</v>
      </c>
      <c r="AC1176" s="39">
        <v>0.38056210000000001</v>
      </c>
      <c r="AD1176" s="39">
        <v>2.1370022999999998</v>
      </c>
      <c r="AE1176" s="39">
        <v>0.76112409999999997</v>
      </c>
      <c r="AF1176" s="39">
        <v>89.666276300000007</v>
      </c>
      <c r="AG1176" s="39">
        <v>5.8255268999999998</v>
      </c>
      <c r="AH1176" s="39">
        <v>0.70257610000000004</v>
      </c>
      <c r="AI1176" s="39"/>
      <c r="AJ1176" s="39"/>
      <c r="AK1176" s="39">
        <v>2.3723569000000002</v>
      </c>
      <c r="AL1176" s="39">
        <v>3.4038164000000002</v>
      </c>
      <c r="AM1176" s="39">
        <v>1.1174145</v>
      </c>
      <c r="AN1176" s="39">
        <v>0.25786490000000001</v>
      </c>
      <c r="AO1176" s="39">
        <v>87.742822799999999</v>
      </c>
      <c r="AP1176" s="39">
        <v>4.2289839999999996</v>
      </c>
      <c r="AQ1176" s="39">
        <v>0.87674059999999998</v>
      </c>
      <c r="AR1176" s="40"/>
      <c r="AS1176" s="40"/>
    </row>
    <row r="1177" spans="2:45" ht="15" customHeight="1" x14ac:dyDescent="0.25">
      <c r="B1177" s="41">
        <v>1171</v>
      </c>
      <c r="C1177" s="42" t="s">
        <v>31</v>
      </c>
      <c r="D1177" s="51" t="s">
        <v>344</v>
      </c>
      <c r="E1177" s="51" t="s">
        <v>389</v>
      </c>
      <c r="F1177" s="51" t="s">
        <v>390</v>
      </c>
      <c r="G1177" s="52" t="s">
        <v>390</v>
      </c>
      <c r="H1177" s="43">
        <v>26343</v>
      </c>
      <c r="I1177" s="43">
        <v>3279</v>
      </c>
      <c r="J1177" s="43">
        <v>17185</v>
      </c>
      <c r="K1177" s="43">
        <v>411</v>
      </c>
      <c r="L1177" s="43">
        <v>69</v>
      </c>
      <c r="M1177" s="43">
        <v>4714</v>
      </c>
      <c r="N1177" s="43">
        <v>568</v>
      </c>
      <c r="O1177" s="43">
        <v>117</v>
      </c>
      <c r="P1177" s="44">
        <f>K1177+L1177+M1177+N1177+O1177</f>
        <v>5879</v>
      </c>
      <c r="Q1177" s="44">
        <f>I1177+J1177</f>
        <v>20464</v>
      </c>
      <c r="R1177" s="43">
        <v>33384</v>
      </c>
      <c r="S1177" s="43">
        <v>5475</v>
      </c>
      <c r="T1177" s="43">
        <v>24759</v>
      </c>
      <c r="U1177" s="43">
        <v>126</v>
      </c>
      <c r="V1177" s="43">
        <v>19</v>
      </c>
      <c r="W1177" s="43">
        <v>2745</v>
      </c>
      <c r="X1177" s="43">
        <v>162</v>
      </c>
      <c r="Y1177" s="43">
        <v>98</v>
      </c>
      <c r="Z1177" s="45">
        <f>U1177+V1177+W1177+X1177+Y1177</f>
        <v>3150</v>
      </c>
      <c r="AA1177" s="45">
        <f>S1177+T1177</f>
        <v>30234</v>
      </c>
      <c r="AB1177" s="46">
        <v>12.4473295</v>
      </c>
      <c r="AC1177" s="46">
        <v>65.235546400000004</v>
      </c>
      <c r="AD1177" s="46">
        <v>1.5601868000000001</v>
      </c>
      <c r="AE1177" s="46">
        <v>0.26192919999999997</v>
      </c>
      <c r="AF1177" s="46">
        <v>17.8946969</v>
      </c>
      <c r="AG1177" s="46">
        <v>2.1561705</v>
      </c>
      <c r="AH1177" s="46">
        <v>0.4441408</v>
      </c>
      <c r="AI1177" s="47">
        <f>AB1177+AC1177</f>
        <v>77.682875899999999</v>
      </c>
      <c r="AJ1177" s="47">
        <f>AD1177+AE1177+AF1177+AG1177+AH1177</f>
        <v>22.317124200000002</v>
      </c>
      <c r="AK1177" s="46">
        <v>16.4000719</v>
      </c>
      <c r="AL1177" s="46">
        <v>74.164270299999998</v>
      </c>
      <c r="AM1177" s="46">
        <v>0.37742629999999999</v>
      </c>
      <c r="AN1177" s="46">
        <v>5.6913499999999999E-2</v>
      </c>
      <c r="AO1177" s="46">
        <v>8.2225017999999999</v>
      </c>
      <c r="AP1177" s="46">
        <v>0.48526239999999998</v>
      </c>
      <c r="AQ1177" s="46">
        <v>0.29355379999999998</v>
      </c>
      <c r="AR1177" s="48">
        <f>AK1177+AL1177</f>
        <v>90.564342199999999</v>
      </c>
      <c r="AS1177" s="48">
        <f>AM1177+AN1177+AO1177+AP1177+AQ1177</f>
        <v>9.4356577999999995</v>
      </c>
    </row>
    <row r="1178" spans="2:45" ht="15" hidden="1" customHeight="1" x14ac:dyDescent="0.25">
      <c r="B1178" s="35">
        <v>1172</v>
      </c>
      <c r="C1178" s="36" t="s">
        <v>31</v>
      </c>
      <c r="D1178" s="36" t="s">
        <v>344</v>
      </c>
      <c r="E1178" s="36" t="s">
        <v>389</v>
      </c>
      <c r="F1178" s="36" t="s">
        <v>390</v>
      </c>
      <c r="G1178" s="37" t="s">
        <v>25</v>
      </c>
      <c r="H1178" s="38">
        <v>25783</v>
      </c>
      <c r="I1178" s="38">
        <v>3259</v>
      </c>
      <c r="J1178" s="38">
        <v>17175</v>
      </c>
      <c r="K1178" s="38">
        <v>377</v>
      </c>
      <c r="L1178" s="38">
        <v>60</v>
      </c>
      <c r="M1178" s="38">
        <v>4276</v>
      </c>
      <c r="N1178" s="38">
        <v>526</v>
      </c>
      <c r="O1178" s="38">
        <v>110</v>
      </c>
      <c r="P1178" s="38"/>
      <c r="Q1178" s="38"/>
      <c r="R1178" s="38">
        <v>33175</v>
      </c>
      <c r="S1178" s="38">
        <v>5458</v>
      </c>
      <c r="T1178" s="38">
        <v>24743</v>
      </c>
      <c r="U1178" s="38">
        <v>122</v>
      </c>
      <c r="V1178" s="38">
        <v>16</v>
      </c>
      <c r="W1178" s="38">
        <v>2601</v>
      </c>
      <c r="X1178" s="38">
        <v>143</v>
      </c>
      <c r="Y1178" s="38">
        <v>92</v>
      </c>
      <c r="Z1178" s="38"/>
      <c r="AA1178" s="38"/>
      <c r="AB1178" s="39">
        <v>12.6401117</v>
      </c>
      <c r="AC1178" s="39">
        <v>66.613660199999998</v>
      </c>
      <c r="AD1178" s="39">
        <v>1.4622037999999999</v>
      </c>
      <c r="AE1178" s="39">
        <v>0.23271149999999999</v>
      </c>
      <c r="AF1178" s="39">
        <v>16.584571199999999</v>
      </c>
      <c r="AG1178" s="39">
        <v>2.0401039000000001</v>
      </c>
      <c r="AH1178" s="39">
        <v>0.42663770000000001</v>
      </c>
      <c r="AI1178" s="39"/>
      <c r="AJ1178" s="39"/>
      <c r="AK1178" s="39">
        <v>16.452147700000001</v>
      </c>
      <c r="AL1178" s="39">
        <v>74.583270499999998</v>
      </c>
      <c r="AM1178" s="39">
        <v>0.36774679999999998</v>
      </c>
      <c r="AN1178" s="39">
        <v>4.8229099999999997E-2</v>
      </c>
      <c r="AO1178" s="39">
        <v>7.8402411000000001</v>
      </c>
      <c r="AP1178" s="39">
        <v>0.43104749999999997</v>
      </c>
      <c r="AQ1178" s="39">
        <v>0.27731729999999999</v>
      </c>
      <c r="AR1178" s="40"/>
      <c r="AS1178" s="40"/>
    </row>
    <row r="1179" spans="2:45" ht="15" hidden="1" customHeight="1" x14ac:dyDescent="0.25">
      <c r="B1179" s="35">
        <v>1173</v>
      </c>
      <c r="C1179" s="36" t="s">
        <v>31</v>
      </c>
      <c r="D1179" s="36" t="s">
        <v>344</v>
      </c>
      <c r="E1179" s="36" t="s">
        <v>389</v>
      </c>
      <c r="F1179" s="36" t="s">
        <v>390</v>
      </c>
      <c r="G1179" s="37" t="s">
        <v>26</v>
      </c>
      <c r="H1179" s="38">
        <v>560</v>
      </c>
      <c r="I1179" s="38">
        <v>20</v>
      </c>
      <c r="J1179" s="38">
        <v>10</v>
      </c>
      <c r="K1179" s="38">
        <v>34</v>
      </c>
      <c r="L1179" s="38">
        <v>9</v>
      </c>
      <c r="M1179" s="38">
        <v>438</v>
      </c>
      <c r="N1179" s="38">
        <v>42</v>
      </c>
      <c r="O1179" s="38">
        <v>7</v>
      </c>
      <c r="P1179" s="38"/>
      <c r="Q1179" s="38"/>
      <c r="R1179" s="38">
        <v>209</v>
      </c>
      <c r="S1179" s="38">
        <v>17</v>
      </c>
      <c r="T1179" s="38">
        <v>16</v>
      </c>
      <c r="U1179" s="38">
        <v>4</v>
      </c>
      <c r="V1179" s="38">
        <v>3</v>
      </c>
      <c r="W1179" s="38">
        <v>144</v>
      </c>
      <c r="X1179" s="38">
        <v>19</v>
      </c>
      <c r="Y1179" s="38">
        <v>6</v>
      </c>
      <c r="Z1179" s="38"/>
      <c r="AA1179" s="38"/>
      <c r="AB1179" s="39">
        <v>3.5714286</v>
      </c>
      <c r="AC1179" s="39">
        <v>1.7857143</v>
      </c>
      <c r="AD1179" s="39">
        <v>6.0714286</v>
      </c>
      <c r="AE1179" s="39">
        <v>1.6071428999999999</v>
      </c>
      <c r="AF1179" s="39">
        <v>78.214285700000005</v>
      </c>
      <c r="AG1179" s="39">
        <v>7.5</v>
      </c>
      <c r="AH1179" s="39">
        <v>1.25</v>
      </c>
      <c r="AI1179" s="39"/>
      <c r="AJ1179" s="39"/>
      <c r="AK1179" s="39">
        <v>8.1339713000000007</v>
      </c>
      <c r="AL1179" s="39">
        <v>7.6555023999999996</v>
      </c>
      <c r="AM1179" s="39">
        <v>1.9138755999999999</v>
      </c>
      <c r="AN1179" s="39">
        <v>1.4354066999999999</v>
      </c>
      <c r="AO1179" s="39">
        <v>68.899521500000006</v>
      </c>
      <c r="AP1179" s="39">
        <v>9.0909090999999993</v>
      </c>
      <c r="AQ1179" s="39">
        <v>2.8708133999999998</v>
      </c>
      <c r="AR1179" s="40"/>
      <c r="AS1179" s="40"/>
    </row>
    <row r="1180" spans="2:45" ht="15" customHeight="1" x14ac:dyDescent="0.25">
      <c r="B1180" s="41">
        <v>1174</v>
      </c>
      <c r="C1180" s="42" t="s">
        <v>31</v>
      </c>
      <c r="D1180" s="51" t="s">
        <v>344</v>
      </c>
      <c r="E1180" s="51" t="s">
        <v>389</v>
      </c>
      <c r="F1180" s="51" t="s">
        <v>391</v>
      </c>
      <c r="G1180" s="52" t="s">
        <v>391</v>
      </c>
      <c r="H1180" s="43">
        <v>3236</v>
      </c>
      <c r="I1180" s="43">
        <v>74</v>
      </c>
      <c r="J1180" s="43">
        <v>549</v>
      </c>
      <c r="K1180" s="43">
        <v>56</v>
      </c>
      <c r="L1180" s="43">
        <v>10</v>
      </c>
      <c r="M1180" s="43">
        <v>2366</v>
      </c>
      <c r="N1180" s="43">
        <v>165</v>
      </c>
      <c r="O1180" s="43">
        <v>16</v>
      </c>
      <c r="P1180" s="44">
        <f>K1180+L1180+M1180+N1180+O1180</f>
        <v>2613</v>
      </c>
      <c r="Q1180" s="44">
        <f>I1180+J1180</f>
        <v>623</v>
      </c>
      <c r="R1180" s="43">
        <v>4358</v>
      </c>
      <c r="S1180" s="43">
        <v>288</v>
      </c>
      <c r="T1180" s="43">
        <v>1297</v>
      </c>
      <c r="U1180" s="43">
        <v>20</v>
      </c>
      <c r="V1180" s="43">
        <v>11</v>
      </c>
      <c r="W1180" s="43">
        <v>2572</v>
      </c>
      <c r="X1180" s="43">
        <v>141</v>
      </c>
      <c r="Y1180" s="43">
        <v>29</v>
      </c>
      <c r="Z1180" s="45">
        <f>U1180+V1180+W1180+X1180+Y1180</f>
        <v>2773</v>
      </c>
      <c r="AA1180" s="45">
        <f>S1180+T1180</f>
        <v>1585</v>
      </c>
      <c r="AB1180" s="46">
        <v>2.2867738000000002</v>
      </c>
      <c r="AC1180" s="46">
        <v>16.965389399999999</v>
      </c>
      <c r="AD1180" s="46">
        <v>1.7305314999999999</v>
      </c>
      <c r="AE1180" s="46">
        <v>0.30902350000000001</v>
      </c>
      <c r="AF1180" s="46">
        <v>73.114956699999993</v>
      </c>
      <c r="AG1180" s="46">
        <v>5.0988875</v>
      </c>
      <c r="AH1180" s="46">
        <v>0.49443759999999998</v>
      </c>
      <c r="AI1180" s="47">
        <f>AB1180+AC1180</f>
        <v>19.252163199999998</v>
      </c>
      <c r="AJ1180" s="47">
        <f>AD1180+AE1180+AF1180+AG1180+AH1180</f>
        <v>80.747836800000002</v>
      </c>
      <c r="AK1180" s="46">
        <v>6.608536</v>
      </c>
      <c r="AL1180" s="46">
        <v>29.761358399999999</v>
      </c>
      <c r="AM1180" s="46">
        <v>0.4589261</v>
      </c>
      <c r="AN1180" s="46">
        <v>0.25240940000000001</v>
      </c>
      <c r="AO1180" s="46">
        <v>59.017898099999996</v>
      </c>
      <c r="AP1180" s="46">
        <v>3.2354291000000002</v>
      </c>
      <c r="AQ1180" s="46">
        <v>0.66544289999999995</v>
      </c>
      <c r="AR1180" s="48">
        <f>AK1180+AL1180</f>
        <v>36.3698944</v>
      </c>
      <c r="AS1180" s="48">
        <f>AM1180+AN1180+AO1180+AP1180+AQ1180</f>
        <v>63.630105599999993</v>
      </c>
    </row>
    <row r="1181" spans="2:45" ht="15" hidden="1" customHeight="1" x14ac:dyDescent="0.25">
      <c r="B1181" s="35">
        <v>1175</v>
      </c>
      <c r="C1181" s="36" t="s">
        <v>31</v>
      </c>
      <c r="D1181" s="36" t="s">
        <v>344</v>
      </c>
      <c r="E1181" s="36" t="s">
        <v>389</v>
      </c>
      <c r="F1181" s="36" t="s">
        <v>391</v>
      </c>
      <c r="G1181" s="37" t="s">
        <v>25</v>
      </c>
      <c r="H1181" s="38">
        <v>1177</v>
      </c>
      <c r="I1181" s="38">
        <v>71</v>
      </c>
      <c r="J1181" s="38">
        <v>541</v>
      </c>
      <c r="K1181" s="38">
        <v>24</v>
      </c>
      <c r="L1181" s="38">
        <v>1</v>
      </c>
      <c r="M1181" s="38">
        <v>489</v>
      </c>
      <c r="N1181" s="38">
        <v>48</v>
      </c>
      <c r="O1181" s="38">
        <v>3</v>
      </c>
      <c r="P1181" s="38"/>
      <c r="Q1181" s="38"/>
      <c r="R1181" s="38">
        <v>1986</v>
      </c>
      <c r="S1181" s="38">
        <v>231</v>
      </c>
      <c r="T1181" s="38">
        <v>1186</v>
      </c>
      <c r="U1181" s="38">
        <v>9</v>
      </c>
      <c r="V1181" s="38">
        <v>6</v>
      </c>
      <c r="W1181" s="38">
        <v>509</v>
      </c>
      <c r="X1181" s="38">
        <v>34</v>
      </c>
      <c r="Y1181" s="38">
        <v>11</v>
      </c>
      <c r="Z1181" s="38"/>
      <c r="AA1181" s="38"/>
      <c r="AB1181" s="39">
        <v>6.0322855000000004</v>
      </c>
      <c r="AC1181" s="39">
        <v>45.964316099999998</v>
      </c>
      <c r="AD1181" s="39">
        <v>2.0390823999999999</v>
      </c>
      <c r="AE1181" s="39">
        <v>8.4961800000000004E-2</v>
      </c>
      <c r="AF1181" s="39">
        <v>41.546304200000002</v>
      </c>
      <c r="AG1181" s="39">
        <v>4.0781647999999997</v>
      </c>
      <c r="AH1181" s="39">
        <v>0.25488529999999998</v>
      </c>
      <c r="AI1181" s="39"/>
      <c r="AJ1181" s="39"/>
      <c r="AK1181" s="39">
        <v>11.631419899999999</v>
      </c>
      <c r="AL1181" s="39">
        <v>59.718026199999997</v>
      </c>
      <c r="AM1181" s="39">
        <v>0.45317220000000002</v>
      </c>
      <c r="AN1181" s="39">
        <v>0.30211480000000002</v>
      </c>
      <c r="AO1181" s="39">
        <v>25.629405800000001</v>
      </c>
      <c r="AP1181" s="39">
        <v>1.7119838999999999</v>
      </c>
      <c r="AQ1181" s="39">
        <v>0.55387710000000001</v>
      </c>
      <c r="AR1181" s="40"/>
      <c r="AS1181" s="40"/>
    </row>
    <row r="1182" spans="2:45" ht="15" hidden="1" customHeight="1" x14ac:dyDescent="0.25">
      <c r="B1182" s="35">
        <v>1176</v>
      </c>
      <c r="C1182" s="36" t="s">
        <v>31</v>
      </c>
      <c r="D1182" s="36" t="s">
        <v>344</v>
      </c>
      <c r="E1182" s="36" t="s">
        <v>389</v>
      </c>
      <c r="F1182" s="36" t="s">
        <v>391</v>
      </c>
      <c r="G1182" s="37" t="s">
        <v>26</v>
      </c>
      <c r="H1182" s="38">
        <v>2059</v>
      </c>
      <c r="I1182" s="38">
        <v>3</v>
      </c>
      <c r="J1182" s="38">
        <v>8</v>
      </c>
      <c r="K1182" s="38">
        <v>32</v>
      </c>
      <c r="L1182" s="38">
        <v>9</v>
      </c>
      <c r="M1182" s="38">
        <v>1877</v>
      </c>
      <c r="N1182" s="38">
        <v>117</v>
      </c>
      <c r="O1182" s="38">
        <v>13</v>
      </c>
      <c r="P1182" s="38"/>
      <c r="Q1182" s="38"/>
      <c r="R1182" s="38">
        <v>2372</v>
      </c>
      <c r="S1182" s="38">
        <v>57</v>
      </c>
      <c r="T1182" s="38">
        <v>111</v>
      </c>
      <c r="U1182" s="38">
        <v>11</v>
      </c>
      <c r="V1182" s="38">
        <v>5</v>
      </c>
      <c r="W1182" s="38">
        <v>2063</v>
      </c>
      <c r="X1182" s="38">
        <v>107</v>
      </c>
      <c r="Y1182" s="38">
        <v>18</v>
      </c>
      <c r="Z1182" s="38"/>
      <c r="AA1182" s="38"/>
      <c r="AB1182" s="39">
        <v>0.14570179999999999</v>
      </c>
      <c r="AC1182" s="39">
        <v>0.3885381</v>
      </c>
      <c r="AD1182" s="39">
        <v>1.5541525</v>
      </c>
      <c r="AE1182" s="39">
        <v>0.43710539999999998</v>
      </c>
      <c r="AF1182" s="39">
        <v>91.160757599999997</v>
      </c>
      <c r="AG1182" s="39">
        <v>5.6823701</v>
      </c>
      <c r="AH1182" s="39">
        <v>0.63137449999999995</v>
      </c>
      <c r="AI1182" s="39"/>
      <c r="AJ1182" s="39"/>
      <c r="AK1182" s="39">
        <v>2.4030353999999998</v>
      </c>
      <c r="AL1182" s="39">
        <v>4.6795952999999999</v>
      </c>
      <c r="AM1182" s="39">
        <v>0.46374369999999998</v>
      </c>
      <c r="AN1182" s="39">
        <v>0.2107926</v>
      </c>
      <c r="AO1182" s="39">
        <v>86.973018499999995</v>
      </c>
      <c r="AP1182" s="39">
        <v>4.5109611999999997</v>
      </c>
      <c r="AQ1182" s="39">
        <v>0.75885329999999995</v>
      </c>
      <c r="AR1182" s="40"/>
      <c r="AS1182" s="40"/>
    </row>
    <row r="1183" spans="2:45" ht="15" customHeight="1" x14ac:dyDescent="0.25">
      <c r="B1183" s="41">
        <v>1177</v>
      </c>
      <c r="C1183" s="42" t="s">
        <v>31</v>
      </c>
      <c r="D1183" s="51" t="s">
        <v>344</v>
      </c>
      <c r="E1183" s="51" t="s">
        <v>389</v>
      </c>
      <c r="F1183" s="51" t="s">
        <v>392</v>
      </c>
      <c r="G1183" s="52" t="s">
        <v>392</v>
      </c>
      <c r="H1183" s="43">
        <v>5327</v>
      </c>
      <c r="I1183" s="43">
        <v>432</v>
      </c>
      <c r="J1183" s="43">
        <v>1343</v>
      </c>
      <c r="K1183" s="43">
        <v>180</v>
      </c>
      <c r="L1183" s="43">
        <v>38</v>
      </c>
      <c r="M1183" s="43">
        <v>3037</v>
      </c>
      <c r="N1183" s="43">
        <v>235</v>
      </c>
      <c r="O1183" s="43">
        <v>62</v>
      </c>
      <c r="P1183" s="44">
        <f>K1183+L1183+M1183+N1183+O1183</f>
        <v>3552</v>
      </c>
      <c r="Q1183" s="44">
        <f>I1183+J1183</f>
        <v>1775</v>
      </c>
      <c r="R1183" s="43">
        <v>6194</v>
      </c>
      <c r="S1183" s="43">
        <v>917</v>
      </c>
      <c r="T1183" s="43">
        <v>3192</v>
      </c>
      <c r="U1183" s="43">
        <v>31</v>
      </c>
      <c r="V1183" s="43">
        <v>4</v>
      </c>
      <c r="W1183" s="43">
        <v>1962</v>
      </c>
      <c r="X1183" s="43">
        <v>66</v>
      </c>
      <c r="Y1183" s="43">
        <v>22</v>
      </c>
      <c r="Z1183" s="45">
        <f>U1183+V1183+W1183+X1183+Y1183</f>
        <v>2085</v>
      </c>
      <c r="AA1183" s="45">
        <f>S1183+T1183</f>
        <v>4109</v>
      </c>
      <c r="AB1183" s="46">
        <v>8.1096301999999998</v>
      </c>
      <c r="AC1183" s="46">
        <v>25.2111883</v>
      </c>
      <c r="AD1183" s="46">
        <v>3.3790125999999998</v>
      </c>
      <c r="AE1183" s="46">
        <v>0.71334710000000001</v>
      </c>
      <c r="AF1183" s="46">
        <v>57.011451100000002</v>
      </c>
      <c r="AG1183" s="46">
        <v>4.4114886000000002</v>
      </c>
      <c r="AH1183" s="46">
        <v>1.1638820999999999</v>
      </c>
      <c r="AI1183" s="47">
        <f>AB1183+AC1183</f>
        <v>33.320818500000001</v>
      </c>
      <c r="AJ1183" s="47">
        <f>AD1183+AE1183+AF1183+AG1183+AH1183</f>
        <v>66.679181499999999</v>
      </c>
      <c r="AK1183" s="46">
        <v>14.804649700000001</v>
      </c>
      <c r="AL1183" s="46">
        <v>51.5337423</v>
      </c>
      <c r="AM1183" s="46">
        <v>0.50048429999999999</v>
      </c>
      <c r="AN1183" s="46">
        <v>6.45786E-2</v>
      </c>
      <c r="AO1183" s="46">
        <v>31.6758153</v>
      </c>
      <c r="AP1183" s="46">
        <v>1.0655473</v>
      </c>
      <c r="AQ1183" s="46">
        <v>0.35518240000000001</v>
      </c>
      <c r="AR1183" s="48">
        <f>AK1183+AL1183</f>
        <v>66.338391999999999</v>
      </c>
      <c r="AS1183" s="48">
        <f>AM1183+AN1183+AO1183+AP1183+AQ1183</f>
        <v>33.661607899999993</v>
      </c>
    </row>
    <row r="1184" spans="2:45" ht="15" hidden="1" customHeight="1" x14ac:dyDescent="0.25">
      <c r="B1184" s="35">
        <v>1178</v>
      </c>
      <c r="C1184" s="36" t="s">
        <v>31</v>
      </c>
      <c r="D1184" s="36" t="s">
        <v>344</v>
      </c>
      <c r="E1184" s="36" t="s">
        <v>389</v>
      </c>
      <c r="F1184" s="36" t="s">
        <v>392</v>
      </c>
      <c r="G1184" s="37" t="s">
        <v>25</v>
      </c>
      <c r="H1184" s="38">
        <v>4211</v>
      </c>
      <c r="I1184" s="38">
        <v>430</v>
      </c>
      <c r="J1184" s="38">
        <v>1343</v>
      </c>
      <c r="K1184" s="38">
        <v>147</v>
      </c>
      <c r="L1184" s="38">
        <v>27</v>
      </c>
      <c r="M1184" s="38">
        <v>2051</v>
      </c>
      <c r="N1184" s="38">
        <v>159</v>
      </c>
      <c r="O1184" s="38">
        <v>54</v>
      </c>
      <c r="P1184" s="38"/>
      <c r="Q1184" s="38"/>
      <c r="R1184" s="38">
        <v>4954</v>
      </c>
      <c r="S1184" s="38">
        <v>909</v>
      </c>
      <c r="T1184" s="38">
        <v>3189</v>
      </c>
      <c r="U1184" s="38">
        <v>19</v>
      </c>
      <c r="V1184" s="38">
        <v>3</v>
      </c>
      <c r="W1184" s="38">
        <v>787</v>
      </c>
      <c r="X1184" s="38">
        <v>31</v>
      </c>
      <c r="Y1184" s="38">
        <v>16</v>
      </c>
      <c r="Z1184" s="38"/>
      <c r="AA1184" s="38"/>
      <c r="AB1184" s="39">
        <v>10.211351199999999</v>
      </c>
      <c r="AC1184" s="39">
        <v>31.892662099999999</v>
      </c>
      <c r="AD1184" s="39">
        <v>3.4908573000000001</v>
      </c>
      <c r="AE1184" s="39">
        <v>0.64117789999999997</v>
      </c>
      <c r="AF1184" s="39">
        <v>48.705770600000001</v>
      </c>
      <c r="AG1184" s="39">
        <v>3.7758251999999999</v>
      </c>
      <c r="AH1184" s="39">
        <v>1.2823557000000001</v>
      </c>
      <c r="AI1184" s="39"/>
      <c r="AJ1184" s="39"/>
      <c r="AK1184" s="39">
        <v>18.348808999999999</v>
      </c>
      <c r="AL1184" s="39">
        <v>64.372224500000002</v>
      </c>
      <c r="AM1184" s="39">
        <v>0.38352849999999999</v>
      </c>
      <c r="AN1184" s="39">
        <v>6.0557100000000003E-2</v>
      </c>
      <c r="AO1184" s="39">
        <v>15.886152600000001</v>
      </c>
      <c r="AP1184" s="39">
        <v>0.62575700000000001</v>
      </c>
      <c r="AQ1184" s="39">
        <v>0.32297130000000002</v>
      </c>
      <c r="AR1184" s="40"/>
      <c r="AS1184" s="40"/>
    </row>
    <row r="1185" spans="2:45" ht="15" hidden="1" customHeight="1" x14ac:dyDescent="0.25">
      <c r="B1185" s="35">
        <v>1179</v>
      </c>
      <c r="C1185" s="36" t="s">
        <v>31</v>
      </c>
      <c r="D1185" s="36" t="s">
        <v>344</v>
      </c>
      <c r="E1185" s="36" t="s">
        <v>389</v>
      </c>
      <c r="F1185" s="36" t="s">
        <v>392</v>
      </c>
      <c r="G1185" s="37" t="s">
        <v>26</v>
      </c>
      <c r="H1185" s="38">
        <v>1116</v>
      </c>
      <c r="I1185" s="38">
        <v>2</v>
      </c>
      <c r="J1185" s="38">
        <v>0</v>
      </c>
      <c r="K1185" s="38">
        <v>33</v>
      </c>
      <c r="L1185" s="38">
        <v>11</v>
      </c>
      <c r="M1185" s="38">
        <v>986</v>
      </c>
      <c r="N1185" s="38">
        <v>76</v>
      </c>
      <c r="O1185" s="38">
        <v>8</v>
      </c>
      <c r="P1185" s="38"/>
      <c r="Q1185" s="38"/>
      <c r="R1185" s="38">
        <v>1240</v>
      </c>
      <c r="S1185" s="38">
        <v>8</v>
      </c>
      <c r="T1185" s="38">
        <v>3</v>
      </c>
      <c r="U1185" s="38">
        <v>12</v>
      </c>
      <c r="V1185" s="38">
        <v>1</v>
      </c>
      <c r="W1185" s="38">
        <v>1175</v>
      </c>
      <c r="X1185" s="38">
        <v>35</v>
      </c>
      <c r="Y1185" s="38">
        <v>6</v>
      </c>
      <c r="Z1185" s="38"/>
      <c r="AA1185" s="38"/>
      <c r="AB1185" s="39">
        <v>0.1792115</v>
      </c>
      <c r="AC1185" s="39">
        <v>0</v>
      </c>
      <c r="AD1185" s="39">
        <v>2.9569892000000002</v>
      </c>
      <c r="AE1185" s="39">
        <v>0.98566310000000001</v>
      </c>
      <c r="AF1185" s="39">
        <v>88.351254499999996</v>
      </c>
      <c r="AG1185" s="39">
        <v>6.8100357999999996</v>
      </c>
      <c r="AH1185" s="39">
        <v>0.71684590000000004</v>
      </c>
      <c r="AI1185" s="39"/>
      <c r="AJ1185" s="39"/>
      <c r="AK1185" s="39">
        <v>0.64516130000000005</v>
      </c>
      <c r="AL1185" s="39">
        <v>0.2419355</v>
      </c>
      <c r="AM1185" s="39">
        <v>0.96774190000000004</v>
      </c>
      <c r="AN1185" s="39">
        <v>8.06452E-2</v>
      </c>
      <c r="AO1185" s="39">
        <v>94.758064500000003</v>
      </c>
      <c r="AP1185" s="39">
        <v>2.8225806000000002</v>
      </c>
      <c r="AQ1185" s="39">
        <v>0.483871</v>
      </c>
      <c r="AR1185" s="40"/>
      <c r="AS1185" s="40"/>
    </row>
    <row r="1186" spans="2:45" ht="15" customHeight="1" x14ac:dyDescent="0.25">
      <c r="B1186" s="41">
        <v>1180</v>
      </c>
      <c r="C1186" s="42" t="s">
        <v>31</v>
      </c>
      <c r="D1186" s="51" t="s">
        <v>344</v>
      </c>
      <c r="E1186" s="51" t="s">
        <v>389</v>
      </c>
      <c r="F1186" s="51" t="s">
        <v>393</v>
      </c>
      <c r="G1186" s="52" t="s">
        <v>393</v>
      </c>
      <c r="H1186" s="43">
        <v>3163</v>
      </c>
      <c r="I1186" s="43">
        <v>57</v>
      </c>
      <c r="J1186" s="43">
        <v>18</v>
      </c>
      <c r="K1186" s="43">
        <v>151</v>
      </c>
      <c r="L1186" s="43">
        <v>24</v>
      </c>
      <c r="M1186" s="43">
        <v>2706</v>
      </c>
      <c r="N1186" s="43">
        <v>191</v>
      </c>
      <c r="O1186" s="43">
        <v>16</v>
      </c>
      <c r="P1186" s="44">
        <f>K1186+L1186+M1186+N1186+O1186</f>
        <v>3088</v>
      </c>
      <c r="Q1186" s="44">
        <f>I1186+J1186</f>
        <v>75</v>
      </c>
      <c r="R1186" s="43">
        <v>3438</v>
      </c>
      <c r="S1186" s="43">
        <v>326</v>
      </c>
      <c r="T1186" s="43">
        <v>1154</v>
      </c>
      <c r="U1186" s="43">
        <v>14</v>
      </c>
      <c r="V1186" s="43">
        <v>8</v>
      </c>
      <c r="W1186" s="43">
        <v>1833</v>
      </c>
      <c r="X1186" s="43">
        <v>84</v>
      </c>
      <c r="Y1186" s="43">
        <v>19</v>
      </c>
      <c r="Z1186" s="45">
        <f>U1186+V1186+W1186+X1186+Y1186</f>
        <v>1958</v>
      </c>
      <c r="AA1186" s="45">
        <f>S1186+T1186</f>
        <v>1480</v>
      </c>
      <c r="AB1186" s="46">
        <v>1.8020866</v>
      </c>
      <c r="AC1186" s="46">
        <v>0.56908000000000003</v>
      </c>
      <c r="AD1186" s="46">
        <v>4.7739488000000003</v>
      </c>
      <c r="AE1186" s="46">
        <v>0.75877329999999998</v>
      </c>
      <c r="AF1186" s="46">
        <v>85.551691399999996</v>
      </c>
      <c r="AG1186" s="46">
        <v>6.0385710000000001</v>
      </c>
      <c r="AH1186" s="46">
        <v>0.50584890000000005</v>
      </c>
      <c r="AI1186" s="47">
        <f>AB1186+AC1186</f>
        <v>2.3711666</v>
      </c>
      <c r="AJ1186" s="47">
        <f>AD1186+AE1186+AF1186+AG1186+AH1186</f>
        <v>97.628833400000005</v>
      </c>
      <c r="AK1186" s="46">
        <v>9.4822571</v>
      </c>
      <c r="AL1186" s="46">
        <v>33.566026800000003</v>
      </c>
      <c r="AM1186" s="46">
        <v>0.40721350000000001</v>
      </c>
      <c r="AN1186" s="46">
        <v>0.23269339999999999</v>
      </c>
      <c r="AO1186" s="46">
        <v>53.315881300000001</v>
      </c>
      <c r="AP1186" s="46">
        <v>2.4432809999999998</v>
      </c>
      <c r="AQ1186" s="46">
        <v>0.55264690000000005</v>
      </c>
      <c r="AR1186" s="48">
        <f>AK1186+AL1186</f>
        <v>43.048283900000001</v>
      </c>
      <c r="AS1186" s="48">
        <f>AM1186+AN1186+AO1186+AP1186+AQ1186</f>
        <v>56.951716099999999</v>
      </c>
    </row>
    <row r="1187" spans="2:45" ht="15" hidden="1" customHeight="1" x14ac:dyDescent="0.25">
      <c r="B1187" s="35">
        <v>1181</v>
      </c>
      <c r="C1187" s="36" t="s">
        <v>31</v>
      </c>
      <c r="D1187" s="36" t="s">
        <v>344</v>
      </c>
      <c r="E1187" s="36" t="s">
        <v>389</v>
      </c>
      <c r="F1187" s="36" t="s">
        <v>393</v>
      </c>
      <c r="G1187" s="37" t="s">
        <v>25</v>
      </c>
      <c r="H1187" s="38">
        <v>2113</v>
      </c>
      <c r="I1187" s="38">
        <v>49</v>
      </c>
      <c r="J1187" s="38">
        <v>16</v>
      </c>
      <c r="K1187" s="38">
        <v>132</v>
      </c>
      <c r="L1187" s="38">
        <v>15</v>
      </c>
      <c r="M1187" s="38">
        <v>1768</v>
      </c>
      <c r="N1187" s="38">
        <v>124</v>
      </c>
      <c r="O1187" s="38">
        <v>9</v>
      </c>
      <c r="P1187" s="38"/>
      <c r="Q1187" s="38"/>
      <c r="R1187" s="38">
        <v>2870</v>
      </c>
      <c r="S1187" s="38">
        <v>301</v>
      </c>
      <c r="T1187" s="38">
        <v>1102</v>
      </c>
      <c r="U1187" s="38">
        <v>6</v>
      </c>
      <c r="V1187" s="38">
        <v>4</v>
      </c>
      <c r="W1187" s="38">
        <v>1399</v>
      </c>
      <c r="X1187" s="38">
        <v>49</v>
      </c>
      <c r="Y1187" s="38">
        <v>9</v>
      </c>
      <c r="Z1187" s="38"/>
      <c r="AA1187" s="38"/>
      <c r="AB1187" s="39">
        <v>2.3189777999999999</v>
      </c>
      <c r="AC1187" s="39">
        <v>0.75721720000000003</v>
      </c>
      <c r="AD1187" s="39">
        <v>6.2470420999999998</v>
      </c>
      <c r="AE1187" s="39">
        <v>0.70989119999999994</v>
      </c>
      <c r="AF1187" s="39">
        <v>83.672503500000005</v>
      </c>
      <c r="AG1187" s="39">
        <v>5.8684335000000001</v>
      </c>
      <c r="AH1187" s="39">
        <v>0.4259347</v>
      </c>
      <c r="AI1187" s="39"/>
      <c r="AJ1187" s="39"/>
      <c r="AK1187" s="39">
        <v>10.4878049</v>
      </c>
      <c r="AL1187" s="39">
        <v>38.397212500000002</v>
      </c>
      <c r="AM1187" s="39">
        <v>0.2090592</v>
      </c>
      <c r="AN1187" s="39">
        <v>0.13937279999999999</v>
      </c>
      <c r="AO1187" s="39">
        <v>48.745644599999999</v>
      </c>
      <c r="AP1187" s="39">
        <v>1.7073171</v>
      </c>
      <c r="AQ1187" s="39">
        <v>0.3135889</v>
      </c>
      <c r="AR1187" s="40"/>
      <c r="AS1187" s="40"/>
    </row>
    <row r="1188" spans="2:45" ht="15" hidden="1" customHeight="1" x14ac:dyDescent="0.25">
      <c r="B1188" s="35">
        <v>1182</v>
      </c>
      <c r="C1188" s="36" t="s">
        <v>31</v>
      </c>
      <c r="D1188" s="36" t="s">
        <v>344</v>
      </c>
      <c r="E1188" s="36" t="s">
        <v>389</v>
      </c>
      <c r="F1188" s="36" t="s">
        <v>393</v>
      </c>
      <c r="G1188" s="37" t="s">
        <v>26</v>
      </c>
      <c r="H1188" s="38">
        <v>1050</v>
      </c>
      <c r="I1188" s="38">
        <v>8</v>
      </c>
      <c r="J1188" s="38">
        <v>2</v>
      </c>
      <c r="K1188" s="38">
        <v>19</v>
      </c>
      <c r="L1188" s="38">
        <v>9</v>
      </c>
      <c r="M1188" s="38">
        <v>938</v>
      </c>
      <c r="N1188" s="38">
        <v>67</v>
      </c>
      <c r="O1188" s="38">
        <v>7</v>
      </c>
      <c r="P1188" s="38"/>
      <c r="Q1188" s="38"/>
      <c r="R1188" s="38">
        <v>568</v>
      </c>
      <c r="S1188" s="38">
        <v>25</v>
      </c>
      <c r="T1188" s="38">
        <v>52</v>
      </c>
      <c r="U1188" s="38">
        <v>8</v>
      </c>
      <c r="V1188" s="38">
        <v>4</v>
      </c>
      <c r="W1188" s="38">
        <v>434</v>
      </c>
      <c r="X1188" s="38">
        <v>35</v>
      </c>
      <c r="Y1188" s="38">
        <v>10</v>
      </c>
      <c r="Z1188" s="38"/>
      <c r="AA1188" s="38"/>
      <c r="AB1188" s="39">
        <v>0.76190480000000005</v>
      </c>
      <c r="AC1188" s="39">
        <v>0.19047620000000001</v>
      </c>
      <c r="AD1188" s="39">
        <v>1.8095238</v>
      </c>
      <c r="AE1188" s="39">
        <v>0.85714290000000004</v>
      </c>
      <c r="AF1188" s="39">
        <v>89.333333300000007</v>
      </c>
      <c r="AG1188" s="39">
        <v>6.3809524</v>
      </c>
      <c r="AH1188" s="39">
        <v>0.66666669999999995</v>
      </c>
      <c r="AI1188" s="39"/>
      <c r="AJ1188" s="39"/>
      <c r="AK1188" s="39">
        <v>4.4014084999999996</v>
      </c>
      <c r="AL1188" s="39">
        <v>9.1549295999999991</v>
      </c>
      <c r="AM1188" s="39">
        <v>1.4084506999999999</v>
      </c>
      <c r="AN1188" s="39">
        <v>0.7042254</v>
      </c>
      <c r="AO1188" s="39">
        <v>76.408450700000003</v>
      </c>
      <c r="AP1188" s="39">
        <v>6.1619717999999999</v>
      </c>
      <c r="AQ1188" s="39">
        <v>1.7605633999999999</v>
      </c>
      <c r="AR1188" s="40"/>
      <c r="AS1188" s="40"/>
    </row>
    <row r="1189" spans="2:45" ht="15" customHeight="1" x14ac:dyDescent="0.25">
      <c r="B1189" s="41">
        <v>1183</v>
      </c>
      <c r="C1189" s="42" t="s">
        <v>31</v>
      </c>
      <c r="D1189" s="51" t="s">
        <v>344</v>
      </c>
      <c r="E1189" s="51" t="s">
        <v>389</v>
      </c>
      <c r="F1189" s="51" t="s">
        <v>292</v>
      </c>
      <c r="G1189" s="52" t="s">
        <v>292</v>
      </c>
      <c r="H1189" s="43">
        <v>3477</v>
      </c>
      <c r="I1189" s="43">
        <v>40</v>
      </c>
      <c r="J1189" s="43">
        <v>45</v>
      </c>
      <c r="K1189" s="43">
        <v>108</v>
      </c>
      <c r="L1189" s="43">
        <v>21</v>
      </c>
      <c r="M1189" s="43">
        <v>3085</v>
      </c>
      <c r="N1189" s="43">
        <v>151</v>
      </c>
      <c r="O1189" s="43">
        <v>27</v>
      </c>
      <c r="P1189" s="44">
        <f>K1189+L1189+M1189+N1189+O1189</f>
        <v>3392</v>
      </c>
      <c r="Q1189" s="44">
        <f>I1189+J1189</f>
        <v>85</v>
      </c>
      <c r="R1189" s="43">
        <v>3775</v>
      </c>
      <c r="S1189" s="43">
        <v>158</v>
      </c>
      <c r="T1189" s="43">
        <v>82</v>
      </c>
      <c r="U1189" s="43">
        <v>100</v>
      </c>
      <c r="V1189" s="43">
        <v>6</v>
      </c>
      <c r="W1189" s="43">
        <v>3297</v>
      </c>
      <c r="X1189" s="43">
        <v>91</v>
      </c>
      <c r="Y1189" s="43">
        <v>41</v>
      </c>
      <c r="Z1189" s="45">
        <f>U1189+V1189+W1189+X1189+Y1189</f>
        <v>3535</v>
      </c>
      <c r="AA1189" s="45">
        <f>S1189+T1189</f>
        <v>240</v>
      </c>
      <c r="AB1189" s="46">
        <v>1.150417</v>
      </c>
      <c r="AC1189" s="46">
        <v>1.2942191999999999</v>
      </c>
      <c r="AD1189" s="46">
        <v>3.1061260000000002</v>
      </c>
      <c r="AE1189" s="46">
        <v>0.60396890000000003</v>
      </c>
      <c r="AF1189" s="46">
        <v>88.7259131</v>
      </c>
      <c r="AG1189" s="46">
        <v>4.3428243000000002</v>
      </c>
      <c r="AH1189" s="46">
        <v>0.77653150000000004</v>
      </c>
      <c r="AI1189" s="47">
        <f>AB1189+AC1189</f>
        <v>2.4446361999999997</v>
      </c>
      <c r="AJ1189" s="47">
        <f>AD1189+AE1189+AF1189+AG1189+AH1189</f>
        <v>97.555363800000009</v>
      </c>
      <c r="AK1189" s="46">
        <v>4.1854304999999998</v>
      </c>
      <c r="AL1189" s="46">
        <v>2.1721854</v>
      </c>
      <c r="AM1189" s="46">
        <v>2.6490065999999999</v>
      </c>
      <c r="AN1189" s="46">
        <v>0.15894040000000001</v>
      </c>
      <c r="AO1189" s="46">
        <v>87.337748300000001</v>
      </c>
      <c r="AP1189" s="46">
        <v>2.410596</v>
      </c>
      <c r="AQ1189" s="46">
        <v>1.0860927</v>
      </c>
      <c r="AR1189" s="48">
        <f>AK1189+AL1189</f>
        <v>6.3576158999999999</v>
      </c>
      <c r="AS1189" s="48">
        <f>AM1189+AN1189+AO1189+AP1189+AQ1189</f>
        <v>93.642383999999993</v>
      </c>
    </row>
    <row r="1190" spans="2:45" ht="15" hidden="1" customHeight="1" x14ac:dyDescent="0.25">
      <c r="B1190" s="35">
        <v>1184</v>
      </c>
      <c r="C1190" s="36" t="s">
        <v>31</v>
      </c>
      <c r="D1190" s="36" t="s">
        <v>344</v>
      </c>
      <c r="E1190" s="36" t="s">
        <v>389</v>
      </c>
      <c r="F1190" s="36" t="s">
        <v>292</v>
      </c>
      <c r="G1190" s="37" t="s">
        <v>25</v>
      </c>
      <c r="H1190" s="38">
        <v>1430</v>
      </c>
      <c r="I1190" s="38">
        <v>37</v>
      </c>
      <c r="J1190" s="38">
        <v>39</v>
      </c>
      <c r="K1190" s="38">
        <v>80</v>
      </c>
      <c r="L1190" s="38">
        <v>7</v>
      </c>
      <c r="M1190" s="38">
        <v>1198</v>
      </c>
      <c r="N1190" s="38">
        <v>55</v>
      </c>
      <c r="O1190" s="38">
        <v>14</v>
      </c>
      <c r="P1190" s="38"/>
      <c r="Q1190" s="38"/>
      <c r="R1190" s="38">
        <v>2347</v>
      </c>
      <c r="S1190" s="38">
        <v>127</v>
      </c>
      <c r="T1190" s="38">
        <v>66</v>
      </c>
      <c r="U1190" s="38">
        <v>70</v>
      </c>
      <c r="V1190" s="38">
        <v>4</v>
      </c>
      <c r="W1190" s="38">
        <v>2009</v>
      </c>
      <c r="X1190" s="38">
        <v>41</v>
      </c>
      <c r="Y1190" s="38">
        <v>30</v>
      </c>
      <c r="Z1190" s="38"/>
      <c r="AA1190" s="38"/>
      <c r="AB1190" s="39">
        <v>2.5874126</v>
      </c>
      <c r="AC1190" s="39">
        <v>2.7272726999999999</v>
      </c>
      <c r="AD1190" s="39">
        <v>5.5944056</v>
      </c>
      <c r="AE1190" s="39">
        <v>0.48951050000000002</v>
      </c>
      <c r="AF1190" s="39">
        <v>83.776223799999997</v>
      </c>
      <c r="AG1190" s="39">
        <v>3.8461538000000002</v>
      </c>
      <c r="AH1190" s="39">
        <v>0.97902100000000003</v>
      </c>
      <c r="AI1190" s="39"/>
      <c r="AJ1190" s="39"/>
      <c r="AK1190" s="39">
        <v>5.4111631999999998</v>
      </c>
      <c r="AL1190" s="39">
        <v>2.8121006</v>
      </c>
      <c r="AM1190" s="39">
        <v>2.9825309</v>
      </c>
      <c r="AN1190" s="39">
        <v>0.17043030000000001</v>
      </c>
      <c r="AO1190" s="39">
        <v>85.598636600000006</v>
      </c>
      <c r="AP1190" s="39">
        <v>1.7469110000000001</v>
      </c>
      <c r="AQ1190" s="39">
        <v>1.2782275000000001</v>
      </c>
      <c r="AR1190" s="40"/>
      <c r="AS1190" s="40"/>
    </row>
    <row r="1191" spans="2:45" ht="15" hidden="1" customHeight="1" x14ac:dyDescent="0.25">
      <c r="B1191" s="35">
        <v>1185</v>
      </c>
      <c r="C1191" s="36" t="s">
        <v>31</v>
      </c>
      <c r="D1191" s="36" t="s">
        <v>344</v>
      </c>
      <c r="E1191" s="36" t="s">
        <v>389</v>
      </c>
      <c r="F1191" s="36" t="s">
        <v>292</v>
      </c>
      <c r="G1191" s="37" t="s">
        <v>26</v>
      </c>
      <c r="H1191" s="38">
        <v>2047</v>
      </c>
      <c r="I1191" s="38">
        <v>3</v>
      </c>
      <c r="J1191" s="38">
        <v>6</v>
      </c>
      <c r="K1191" s="38">
        <v>28</v>
      </c>
      <c r="L1191" s="38">
        <v>14</v>
      </c>
      <c r="M1191" s="38">
        <v>1887</v>
      </c>
      <c r="N1191" s="38">
        <v>96</v>
      </c>
      <c r="O1191" s="38">
        <v>13</v>
      </c>
      <c r="P1191" s="38"/>
      <c r="Q1191" s="38"/>
      <c r="R1191" s="38">
        <v>1428</v>
      </c>
      <c r="S1191" s="38">
        <v>31</v>
      </c>
      <c r="T1191" s="38">
        <v>16</v>
      </c>
      <c r="U1191" s="38">
        <v>30</v>
      </c>
      <c r="V1191" s="38">
        <v>2</v>
      </c>
      <c r="W1191" s="38">
        <v>1288</v>
      </c>
      <c r="X1191" s="38">
        <v>50</v>
      </c>
      <c r="Y1191" s="38">
        <v>11</v>
      </c>
      <c r="Z1191" s="38"/>
      <c r="AA1191" s="38"/>
      <c r="AB1191" s="39">
        <v>0.14655589999999999</v>
      </c>
      <c r="AC1191" s="39">
        <v>0.29311189999999998</v>
      </c>
      <c r="AD1191" s="39">
        <v>1.3678554000000001</v>
      </c>
      <c r="AE1191" s="39">
        <v>0.68392770000000003</v>
      </c>
      <c r="AF1191" s="39">
        <v>92.183683400000007</v>
      </c>
      <c r="AG1191" s="39">
        <v>4.6897899000000001</v>
      </c>
      <c r="AH1191" s="39">
        <v>0.63507570000000002</v>
      </c>
      <c r="AI1191" s="39"/>
      <c r="AJ1191" s="39"/>
      <c r="AK1191" s="39">
        <v>2.1708683</v>
      </c>
      <c r="AL1191" s="39">
        <v>1.1204482</v>
      </c>
      <c r="AM1191" s="39">
        <v>2.1008403000000002</v>
      </c>
      <c r="AN1191" s="39">
        <v>0.14005600000000001</v>
      </c>
      <c r="AO1191" s="39">
        <v>90.196078400000005</v>
      </c>
      <c r="AP1191" s="39">
        <v>3.5014006000000002</v>
      </c>
      <c r="AQ1191" s="39">
        <v>0.77030810000000005</v>
      </c>
      <c r="AR1191" s="40"/>
      <c r="AS1191" s="40"/>
    </row>
    <row r="1192" spans="2:45" ht="15" hidden="1" customHeight="1" x14ac:dyDescent="0.25">
      <c r="B1192" s="30">
        <v>1186</v>
      </c>
      <c r="C1192" s="31" t="s">
        <v>29</v>
      </c>
      <c r="D1192" s="50" t="s">
        <v>344</v>
      </c>
      <c r="E1192" s="50" t="s">
        <v>394</v>
      </c>
      <c r="F1192" s="50"/>
      <c r="G1192" s="31" t="s">
        <v>394</v>
      </c>
      <c r="H1192" s="32">
        <v>28102</v>
      </c>
      <c r="I1192" s="32">
        <v>1215</v>
      </c>
      <c r="J1192" s="32">
        <v>5522</v>
      </c>
      <c r="K1192" s="32">
        <v>600</v>
      </c>
      <c r="L1192" s="32">
        <v>211</v>
      </c>
      <c r="M1192" s="32">
        <v>19287</v>
      </c>
      <c r="N1192" s="32">
        <v>1031</v>
      </c>
      <c r="O1192" s="32">
        <v>236</v>
      </c>
      <c r="P1192" s="32"/>
      <c r="Q1192" s="32"/>
      <c r="R1192" s="32">
        <v>38255</v>
      </c>
      <c r="S1192" s="32">
        <v>3199</v>
      </c>
      <c r="T1192" s="32">
        <v>11434</v>
      </c>
      <c r="U1192" s="32">
        <v>308</v>
      </c>
      <c r="V1192" s="32">
        <v>40</v>
      </c>
      <c r="W1192" s="32">
        <v>21821</v>
      </c>
      <c r="X1192" s="32">
        <v>1188</v>
      </c>
      <c r="Y1192" s="32">
        <v>265</v>
      </c>
      <c r="Z1192" s="32"/>
      <c r="AA1192" s="32"/>
      <c r="AB1192" s="33">
        <v>4.3235356999999999</v>
      </c>
      <c r="AC1192" s="33">
        <v>19.649847000000001</v>
      </c>
      <c r="AD1192" s="33">
        <v>2.1350794</v>
      </c>
      <c r="AE1192" s="33">
        <v>0.75083619999999995</v>
      </c>
      <c r="AF1192" s="33">
        <v>68.632125799999997</v>
      </c>
      <c r="AG1192" s="33">
        <v>3.6687780000000001</v>
      </c>
      <c r="AH1192" s="33">
        <v>0.83979789999999999</v>
      </c>
      <c r="AI1192" s="33"/>
      <c r="AJ1192" s="33"/>
      <c r="AK1192" s="33">
        <v>8.3623055999999991</v>
      </c>
      <c r="AL1192" s="33">
        <v>29.8889034</v>
      </c>
      <c r="AM1192" s="33">
        <v>0.80512349999999999</v>
      </c>
      <c r="AN1192" s="33">
        <v>0.1045615</v>
      </c>
      <c r="AO1192" s="33">
        <v>57.0409097</v>
      </c>
      <c r="AP1192" s="33">
        <v>3.1054764000000001</v>
      </c>
      <c r="AQ1192" s="33">
        <v>0.69271990000000006</v>
      </c>
      <c r="AR1192" s="34"/>
      <c r="AS1192" s="34"/>
    </row>
    <row r="1193" spans="2:45" ht="15" hidden="1" customHeight="1" x14ac:dyDescent="0.25">
      <c r="B1193" s="35">
        <v>1187</v>
      </c>
      <c r="C1193" s="36" t="s">
        <v>29</v>
      </c>
      <c r="D1193" s="36" t="s">
        <v>344</v>
      </c>
      <c r="E1193" s="36" t="s">
        <v>394</v>
      </c>
      <c r="F1193" s="36"/>
      <c r="G1193" s="37" t="s">
        <v>25</v>
      </c>
      <c r="H1193" s="38">
        <v>12417</v>
      </c>
      <c r="I1193" s="38">
        <v>1084</v>
      </c>
      <c r="J1193" s="38">
        <v>5343</v>
      </c>
      <c r="K1193" s="38">
        <v>162</v>
      </c>
      <c r="L1193" s="38">
        <v>60</v>
      </c>
      <c r="M1193" s="38">
        <v>5484</v>
      </c>
      <c r="N1193" s="38">
        <v>216</v>
      </c>
      <c r="O1193" s="38">
        <v>68</v>
      </c>
      <c r="P1193" s="38"/>
      <c r="Q1193" s="38"/>
      <c r="R1193" s="38">
        <v>18864</v>
      </c>
      <c r="S1193" s="38">
        <v>2834</v>
      </c>
      <c r="T1193" s="38">
        <v>10687</v>
      </c>
      <c r="U1193" s="38">
        <v>76</v>
      </c>
      <c r="V1193" s="38">
        <v>8</v>
      </c>
      <c r="W1193" s="38">
        <v>5072</v>
      </c>
      <c r="X1193" s="38">
        <v>123</v>
      </c>
      <c r="Y1193" s="38">
        <v>64</v>
      </c>
      <c r="Z1193" s="38"/>
      <c r="AA1193" s="38"/>
      <c r="AB1193" s="39">
        <v>8.7299670000000003</v>
      </c>
      <c r="AC1193" s="39">
        <v>43.029717300000002</v>
      </c>
      <c r="AD1193" s="39">
        <v>1.3046629999999999</v>
      </c>
      <c r="AE1193" s="39">
        <v>0.48320849999999999</v>
      </c>
      <c r="AF1193" s="39">
        <v>44.1652573</v>
      </c>
      <c r="AG1193" s="39">
        <v>1.7395506000000001</v>
      </c>
      <c r="AH1193" s="39">
        <v>0.54763629999999996</v>
      </c>
      <c r="AI1193" s="39"/>
      <c r="AJ1193" s="39"/>
      <c r="AK1193" s="39">
        <v>15.0233249</v>
      </c>
      <c r="AL1193" s="39">
        <v>56.652883799999998</v>
      </c>
      <c r="AM1193" s="39">
        <v>0.40288380000000001</v>
      </c>
      <c r="AN1193" s="39">
        <v>4.2408800000000003E-2</v>
      </c>
      <c r="AO1193" s="39">
        <v>26.887192500000001</v>
      </c>
      <c r="AP1193" s="39">
        <v>0.65203560000000005</v>
      </c>
      <c r="AQ1193" s="39">
        <v>0.33927059999999998</v>
      </c>
      <c r="AR1193" s="40"/>
      <c r="AS1193" s="40"/>
    </row>
    <row r="1194" spans="2:45" ht="15" hidden="1" customHeight="1" x14ac:dyDescent="0.25">
      <c r="B1194" s="35">
        <v>1188</v>
      </c>
      <c r="C1194" s="36" t="s">
        <v>29</v>
      </c>
      <c r="D1194" s="36" t="s">
        <v>344</v>
      </c>
      <c r="E1194" s="36" t="s">
        <v>394</v>
      </c>
      <c r="F1194" s="36"/>
      <c r="G1194" s="37" t="s">
        <v>26</v>
      </c>
      <c r="H1194" s="38">
        <v>15685</v>
      </c>
      <c r="I1194" s="38">
        <v>131</v>
      </c>
      <c r="J1194" s="38">
        <v>179</v>
      </c>
      <c r="K1194" s="38">
        <v>438</v>
      </c>
      <c r="L1194" s="38">
        <v>151</v>
      </c>
      <c r="M1194" s="38">
        <v>13803</v>
      </c>
      <c r="N1194" s="38">
        <v>815</v>
      </c>
      <c r="O1194" s="38">
        <v>168</v>
      </c>
      <c r="P1194" s="38"/>
      <c r="Q1194" s="38"/>
      <c r="R1194" s="38">
        <v>19391</v>
      </c>
      <c r="S1194" s="38">
        <v>365</v>
      </c>
      <c r="T1194" s="38">
        <v>747</v>
      </c>
      <c r="U1194" s="38">
        <v>232</v>
      </c>
      <c r="V1194" s="38">
        <v>32</v>
      </c>
      <c r="W1194" s="38">
        <v>16749</v>
      </c>
      <c r="X1194" s="38">
        <v>1065</v>
      </c>
      <c r="Y1194" s="38">
        <v>201</v>
      </c>
      <c r="Z1194" s="38"/>
      <c r="AA1194" s="38"/>
      <c r="AB1194" s="39">
        <v>0.83519290000000002</v>
      </c>
      <c r="AC1194" s="39">
        <v>1.1412176999999999</v>
      </c>
      <c r="AD1194" s="39">
        <v>2.7924769</v>
      </c>
      <c r="AE1194" s="39">
        <v>0.96270319999999998</v>
      </c>
      <c r="AF1194" s="39">
        <v>88.001275100000001</v>
      </c>
      <c r="AG1194" s="39">
        <v>5.1960471999999998</v>
      </c>
      <c r="AH1194" s="39">
        <v>1.0710869999999999</v>
      </c>
      <c r="AI1194" s="39"/>
      <c r="AJ1194" s="39"/>
      <c r="AK1194" s="39">
        <v>1.8823164999999999</v>
      </c>
      <c r="AL1194" s="39">
        <v>3.8523025999999998</v>
      </c>
      <c r="AM1194" s="39">
        <v>1.1964313</v>
      </c>
      <c r="AN1194" s="39">
        <v>0.16502500000000001</v>
      </c>
      <c r="AO1194" s="39">
        <v>86.375122500000003</v>
      </c>
      <c r="AP1194" s="39">
        <v>5.4922386999999997</v>
      </c>
      <c r="AQ1194" s="39">
        <v>1.0365633999999999</v>
      </c>
      <c r="AR1194" s="40"/>
      <c r="AS1194" s="40"/>
    </row>
    <row r="1195" spans="2:45" ht="15" customHeight="1" x14ac:dyDescent="0.25">
      <c r="B1195" s="41">
        <v>1189</v>
      </c>
      <c r="C1195" s="42" t="s">
        <v>31</v>
      </c>
      <c r="D1195" s="51" t="s">
        <v>344</v>
      </c>
      <c r="E1195" s="51" t="s">
        <v>394</v>
      </c>
      <c r="F1195" s="51" t="s">
        <v>395</v>
      </c>
      <c r="G1195" s="52" t="s">
        <v>395</v>
      </c>
      <c r="H1195" s="43">
        <v>4261</v>
      </c>
      <c r="I1195" s="43">
        <v>211</v>
      </c>
      <c r="J1195" s="43">
        <v>1343</v>
      </c>
      <c r="K1195" s="43">
        <v>94</v>
      </c>
      <c r="L1195" s="43">
        <v>32</v>
      </c>
      <c r="M1195" s="43">
        <v>2353</v>
      </c>
      <c r="N1195" s="43">
        <v>186</v>
      </c>
      <c r="O1195" s="43">
        <v>42</v>
      </c>
      <c r="P1195" s="44">
        <f>K1195+L1195+M1195+N1195+O1195</f>
        <v>2707</v>
      </c>
      <c r="Q1195" s="44">
        <f>I1195+J1195</f>
        <v>1554</v>
      </c>
      <c r="R1195" s="43">
        <v>9407</v>
      </c>
      <c r="S1195" s="43">
        <v>603</v>
      </c>
      <c r="T1195" s="43">
        <v>2724</v>
      </c>
      <c r="U1195" s="43">
        <v>91</v>
      </c>
      <c r="V1195" s="43">
        <v>12</v>
      </c>
      <c r="W1195" s="43">
        <v>5384</v>
      </c>
      <c r="X1195" s="43">
        <v>522</v>
      </c>
      <c r="Y1195" s="43">
        <v>71</v>
      </c>
      <c r="Z1195" s="45">
        <f>U1195+V1195+W1195+X1195+Y1195</f>
        <v>6080</v>
      </c>
      <c r="AA1195" s="45">
        <f>S1195+T1195</f>
        <v>3327</v>
      </c>
      <c r="AB1195" s="46">
        <v>4.9518892000000001</v>
      </c>
      <c r="AC1195" s="46">
        <v>31.518422900000001</v>
      </c>
      <c r="AD1195" s="46">
        <v>2.2060548999999998</v>
      </c>
      <c r="AE1195" s="46">
        <v>0.75099740000000004</v>
      </c>
      <c r="AF1195" s="46">
        <v>55.221778899999997</v>
      </c>
      <c r="AG1195" s="46">
        <v>4.3651724999999999</v>
      </c>
      <c r="AH1195" s="46">
        <v>0.98568409999999995</v>
      </c>
      <c r="AI1195" s="47">
        <f>AB1195+AC1195</f>
        <v>36.470312100000001</v>
      </c>
      <c r="AJ1195" s="47">
        <f>AD1195+AE1195+AF1195+AG1195+AH1195</f>
        <v>63.529687799999998</v>
      </c>
      <c r="AK1195" s="46">
        <v>6.4101201000000003</v>
      </c>
      <c r="AL1195" s="46">
        <v>28.957159600000001</v>
      </c>
      <c r="AM1195" s="46">
        <v>0.96736469999999997</v>
      </c>
      <c r="AN1195" s="46">
        <v>0.1275646</v>
      </c>
      <c r="AO1195" s="46">
        <v>57.233974699999997</v>
      </c>
      <c r="AP1195" s="46">
        <v>5.5490592000000003</v>
      </c>
      <c r="AQ1195" s="46">
        <v>0.75475709999999996</v>
      </c>
      <c r="AR1195" s="48">
        <f>AK1195+AL1195</f>
        <v>35.367279699999997</v>
      </c>
      <c r="AS1195" s="48">
        <f>AM1195+AN1195+AO1195+AP1195+AQ1195</f>
        <v>64.632720300000003</v>
      </c>
    </row>
    <row r="1196" spans="2:45" ht="15" hidden="1" customHeight="1" x14ac:dyDescent="0.25">
      <c r="B1196" s="35">
        <v>1190</v>
      </c>
      <c r="C1196" s="36" t="s">
        <v>31</v>
      </c>
      <c r="D1196" s="36" t="s">
        <v>344</v>
      </c>
      <c r="E1196" s="36" t="s">
        <v>394</v>
      </c>
      <c r="F1196" s="36" t="s">
        <v>395</v>
      </c>
      <c r="G1196" s="37" t="s">
        <v>25</v>
      </c>
      <c r="H1196" s="38">
        <v>2292</v>
      </c>
      <c r="I1196" s="38">
        <v>207</v>
      </c>
      <c r="J1196" s="38">
        <v>1340</v>
      </c>
      <c r="K1196" s="38">
        <v>26</v>
      </c>
      <c r="L1196" s="38">
        <v>2</v>
      </c>
      <c r="M1196" s="38">
        <v>628</v>
      </c>
      <c r="N1196" s="38">
        <v>70</v>
      </c>
      <c r="O1196" s="38">
        <v>19</v>
      </c>
      <c r="P1196" s="38"/>
      <c r="Q1196" s="38"/>
      <c r="R1196" s="38">
        <v>4163</v>
      </c>
      <c r="S1196" s="38">
        <v>546</v>
      </c>
      <c r="T1196" s="38">
        <v>2686</v>
      </c>
      <c r="U1196" s="38">
        <v>19</v>
      </c>
      <c r="V1196" s="38">
        <v>4</v>
      </c>
      <c r="W1196" s="38">
        <v>834</v>
      </c>
      <c r="X1196" s="38">
        <v>55</v>
      </c>
      <c r="Y1196" s="38">
        <v>19</v>
      </c>
      <c r="Z1196" s="38"/>
      <c r="AA1196" s="38"/>
      <c r="AB1196" s="39">
        <v>9.0314136000000005</v>
      </c>
      <c r="AC1196" s="39">
        <v>58.464223400000002</v>
      </c>
      <c r="AD1196" s="39">
        <v>1.1343805</v>
      </c>
      <c r="AE1196" s="39">
        <v>8.7260000000000004E-2</v>
      </c>
      <c r="AF1196" s="39">
        <v>27.399650999999999</v>
      </c>
      <c r="AG1196" s="39">
        <v>3.0541011999999998</v>
      </c>
      <c r="AH1196" s="39">
        <v>0.82897030000000005</v>
      </c>
      <c r="AI1196" s="39"/>
      <c r="AJ1196" s="39"/>
      <c r="AK1196" s="39">
        <v>13.1155417</v>
      </c>
      <c r="AL1196" s="39">
        <v>64.520778300000003</v>
      </c>
      <c r="AM1196" s="39">
        <v>0.45640160000000002</v>
      </c>
      <c r="AN1196" s="39">
        <v>9.6084600000000006E-2</v>
      </c>
      <c r="AO1196" s="39">
        <v>20.033629600000001</v>
      </c>
      <c r="AP1196" s="39">
        <v>1.3211626000000001</v>
      </c>
      <c r="AQ1196" s="39">
        <v>0.45640160000000002</v>
      </c>
      <c r="AR1196" s="40"/>
      <c r="AS1196" s="40"/>
    </row>
    <row r="1197" spans="2:45" ht="15" hidden="1" customHeight="1" x14ac:dyDescent="0.25">
      <c r="B1197" s="35">
        <v>1191</v>
      </c>
      <c r="C1197" s="36" t="s">
        <v>31</v>
      </c>
      <c r="D1197" s="36" t="s">
        <v>344</v>
      </c>
      <c r="E1197" s="36" t="s">
        <v>394</v>
      </c>
      <c r="F1197" s="36" t="s">
        <v>395</v>
      </c>
      <c r="G1197" s="37" t="s">
        <v>26</v>
      </c>
      <c r="H1197" s="38">
        <v>1969</v>
      </c>
      <c r="I1197" s="38">
        <v>4</v>
      </c>
      <c r="J1197" s="38">
        <v>3</v>
      </c>
      <c r="K1197" s="38">
        <v>68</v>
      </c>
      <c r="L1197" s="38">
        <v>30</v>
      </c>
      <c r="M1197" s="38">
        <v>1725</v>
      </c>
      <c r="N1197" s="38">
        <v>116</v>
      </c>
      <c r="O1197" s="38">
        <v>23</v>
      </c>
      <c r="P1197" s="38"/>
      <c r="Q1197" s="38"/>
      <c r="R1197" s="38">
        <v>5244</v>
      </c>
      <c r="S1197" s="38">
        <v>57</v>
      </c>
      <c r="T1197" s="38">
        <v>38</v>
      </c>
      <c r="U1197" s="38">
        <v>72</v>
      </c>
      <c r="V1197" s="38">
        <v>8</v>
      </c>
      <c r="W1197" s="38">
        <v>4550</v>
      </c>
      <c r="X1197" s="38">
        <v>467</v>
      </c>
      <c r="Y1197" s="38">
        <v>52</v>
      </c>
      <c r="Z1197" s="38"/>
      <c r="AA1197" s="38"/>
      <c r="AB1197" s="39">
        <v>0.20314879999999999</v>
      </c>
      <c r="AC1197" s="39">
        <v>0.15236160000000001</v>
      </c>
      <c r="AD1197" s="39">
        <v>3.4535296999999998</v>
      </c>
      <c r="AE1197" s="39">
        <v>1.5236160000000001</v>
      </c>
      <c r="AF1197" s="39">
        <v>87.607922799999997</v>
      </c>
      <c r="AG1197" s="39">
        <v>5.8913153999999999</v>
      </c>
      <c r="AH1197" s="39">
        <v>1.1681056000000001</v>
      </c>
      <c r="AI1197" s="39"/>
      <c r="AJ1197" s="39"/>
      <c r="AK1197" s="39">
        <v>1.0869565000000001</v>
      </c>
      <c r="AL1197" s="39">
        <v>0.72463770000000005</v>
      </c>
      <c r="AM1197" s="39">
        <v>1.3729977</v>
      </c>
      <c r="AN1197" s="39">
        <v>0.1525553</v>
      </c>
      <c r="AO1197" s="39">
        <v>86.765827599999994</v>
      </c>
      <c r="AP1197" s="39">
        <v>8.9054157000000007</v>
      </c>
      <c r="AQ1197" s="39">
        <v>0.99160950000000003</v>
      </c>
      <c r="AR1197" s="40"/>
      <c r="AS1197" s="40"/>
    </row>
    <row r="1198" spans="2:45" ht="15" customHeight="1" x14ac:dyDescent="0.25">
      <c r="B1198" s="41">
        <v>1192</v>
      </c>
      <c r="C1198" s="42" t="s">
        <v>31</v>
      </c>
      <c r="D1198" s="51" t="s">
        <v>344</v>
      </c>
      <c r="E1198" s="51" t="s">
        <v>394</v>
      </c>
      <c r="F1198" s="51" t="s">
        <v>396</v>
      </c>
      <c r="G1198" s="52" t="s">
        <v>396</v>
      </c>
      <c r="H1198" s="43">
        <v>3185</v>
      </c>
      <c r="I1198" s="43">
        <v>141</v>
      </c>
      <c r="J1198" s="43">
        <v>1308</v>
      </c>
      <c r="K1198" s="43">
        <v>44</v>
      </c>
      <c r="L1198" s="43">
        <v>14</v>
      </c>
      <c r="M1198" s="43">
        <v>1561</v>
      </c>
      <c r="N1198" s="43">
        <v>92</v>
      </c>
      <c r="O1198" s="43">
        <v>25</v>
      </c>
      <c r="P1198" s="44">
        <f>K1198+L1198+M1198+N1198+O1198</f>
        <v>1736</v>
      </c>
      <c r="Q1198" s="44">
        <f>I1198+J1198</f>
        <v>1449</v>
      </c>
      <c r="R1198" s="43">
        <v>3941</v>
      </c>
      <c r="S1198" s="43">
        <v>303</v>
      </c>
      <c r="T1198" s="43">
        <v>1921</v>
      </c>
      <c r="U1198" s="43">
        <v>20</v>
      </c>
      <c r="V1198" s="43">
        <v>2</v>
      </c>
      <c r="W1198" s="43">
        <v>1587</v>
      </c>
      <c r="X1198" s="43">
        <v>95</v>
      </c>
      <c r="Y1198" s="43">
        <v>13</v>
      </c>
      <c r="Z1198" s="45">
        <f>U1198+V1198+W1198+X1198+Y1198</f>
        <v>1717</v>
      </c>
      <c r="AA1198" s="45">
        <f>S1198+T1198</f>
        <v>2224</v>
      </c>
      <c r="AB1198" s="46">
        <v>4.4270015999999996</v>
      </c>
      <c r="AC1198" s="46">
        <v>41.067503899999998</v>
      </c>
      <c r="AD1198" s="46">
        <v>1.3814757</v>
      </c>
      <c r="AE1198" s="46">
        <v>0.43956040000000002</v>
      </c>
      <c r="AF1198" s="46">
        <v>49.010989000000002</v>
      </c>
      <c r="AG1198" s="46">
        <v>2.8885399999999999</v>
      </c>
      <c r="AH1198" s="46">
        <v>0.7849294</v>
      </c>
      <c r="AI1198" s="47">
        <f>AB1198+AC1198</f>
        <v>45.494505499999995</v>
      </c>
      <c r="AJ1198" s="47">
        <f>AD1198+AE1198+AF1198+AG1198+AH1198</f>
        <v>54.505494500000005</v>
      </c>
      <c r="AK1198" s="46">
        <v>7.6884040000000002</v>
      </c>
      <c r="AL1198" s="46">
        <v>48.743973599999997</v>
      </c>
      <c r="AM1198" s="46">
        <v>0.50748539999999998</v>
      </c>
      <c r="AN1198" s="46">
        <v>5.0748500000000002E-2</v>
      </c>
      <c r="AO1198" s="46">
        <v>40.2689673</v>
      </c>
      <c r="AP1198" s="46">
        <v>2.4105557000000002</v>
      </c>
      <c r="AQ1198" s="46">
        <v>0.32986549999999998</v>
      </c>
      <c r="AR1198" s="48">
        <f>AK1198+AL1198</f>
        <v>56.432377599999995</v>
      </c>
      <c r="AS1198" s="48">
        <f>AM1198+AN1198+AO1198+AP1198+AQ1198</f>
        <v>43.567622399999998</v>
      </c>
    </row>
    <row r="1199" spans="2:45" ht="15" hidden="1" customHeight="1" x14ac:dyDescent="0.25">
      <c r="B1199" s="35">
        <v>1193</v>
      </c>
      <c r="C1199" s="36" t="s">
        <v>31</v>
      </c>
      <c r="D1199" s="36" t="s">
        <v>344</v>
      </c>
      <c r="E1199" s="36" t="s">
        <v>394</v>
      </c>
      <c r="F1199" s="36" t="s">
        <v>396</v>
      </c>
      <c r="G1199" s="37" t="s">
        <v>25</v>
      </c>
      <c r="H1199" s="38">
        <v>1677</v>
      </c>
      <c r="I1199" s="38">
        <v>128</v>
      </c>
      <c r="J1199" s="38">
        <v>1190</v>
      </c>
      <c r="K1199" s="38">
        <v>13</v>
      </c>
      <c r="L1199" s="38">
        <v>5</v>
      </c>
      <c r="M1199" s="38">
        <v>323</v>
      </c>
      <c r="N1199" s="38">
        <v>15</v>
      </c>
      <c r="O1199" s="38">
        <v>3</v>
      </c>
      <c r="P1199" s="38"/>
      <c r="Q1199" s="38"/>
      <c r="R1199" s="38">
        <v>2107</v>
      </c>
      <c r="S1199" s="38">
        <v>243</v>
      </c>
      <c r="T1199" s="38">
        <v>1672</v>
      </c>
      <c r="U1199" s="38">
        <v>10</v>
      </c>
      <c r="V1199" s="38">
        <v>0</v>
      </c>
      <c r="W1199" s="38">
        <v>178</v>
      </c>
      <c r="X1199" s="38">
        <v>3</v>
      </c>
      <c r="Y1199" s="38">
        <v>1</v>
      </c>
      <c r="Z1199" s="38"/>
      <c r="AA1199" s="38"/>
      <c r="AB1199" s="39">
        <v>7.6326774000000004</v>
      </c>
      <c r="AC1199" s="39">
        <v>70.960047700000004</v>
      </c>
      <c r="AD1199" s="39">
        <v>0.77519380000000004</v>
      </c>
      <c r="AE1199" s="39">
        <v>0.29815150000000001</v>
      </c>
      <c r="AF1199" s="39">
        <v>19.260584399999999</v>
      </c>
      <c r="AG1199" s="39">
        <v>0.89445439999999998</v>
      </c>
      <c r="AH1199" s="39">
        <v>0.17889089999999999</v>
      </c>
      <c r="AI1199" s="39"/>
      <c r="AJ1199" s="39"/>
      <c r="AK1199" s="39">
        <v>11.5329853</v>
      </c>
      <c r="AL1199" s="39">
        <v>79.354532500000005</v>
      </c>
      <c r="AM1199" s="39">
        <v>0.47460839999999999</v>
      </c>
      <c r="AN1199" s="39">
        <v>0</v>
      </c>
      <c r="AO1199" s="39">
        <v>8.4480304000000004</v>
      </c>
      <c r="AP1199" s="39">
        <v>0.1423825</v>
      </c>
      <c r="AQ1199" s="39">
        <v>4.7460799999999997E-2</v>
      </c>
      <c r="AR1199" s="40"/>
      <c r="AS1199" s="40"/>
    </row>
    <row r="1200" spans="2:45" ht="15" hidden="1" customHeight="1" x14ac:dyDescent="0.25">
      <c r="B1200" s="35">
        <v>1194</v>
      </c>
      <c r="C1200" s="36" t="s">
        <v>31</v>
      </c>
      <c r="D1200" s="36" t="s">
        <v>344</v>
      </c>
      <c r="E1200" s="36" t="s">
        <v>394</v>
      </c>
      <c r="F1200" s="36" t="s">
        <v>396</v>
      </c>
      <c r="G1200" s="37" t="s">
        <v>26</v>
      </c>
      <c r="H1200" s="38">
        <v>1508</v>
      </c>
      <c r="I1200" s="38">
        <v>13</v>
      </c>
      <c r="J1200" s="38">
        <v>118</v>
      </c>
      <c r="K1200" s="38">
        <v>31</v>
      </c>
      <c r="L1200" s="38">
        <v>9</v>
      </c>
      <c r="M1200" s="38">
        <v>1238</v>
      </c>
      <c r="N1200" s="38">
        <v>77</v>
      </c>
      <c r="O1200" s="38">
        <v>22</v>
      </c>
      <c r="P1200" s="38"/>
      <c r="Q1200" s="38"/>
      <c r="R1200" s="38">
        <v>1834</v>
      </c>
      <c r="S1200" s="38">
        <v>60</v>
      </c>
      <c r="T1200" s="38">
        <v>249</v>
      </c>
      <c r="U1200" s="38">
        <v>10</v>
      </c>
      <c r="V1200" s="38">
        <v>2</v>
      </c>
      <c r="W1200" s="38">
        <v>1409</v>
      </c>
      <c r="X1200" s="38">
        <v>92</v>
      </c>
      <c r="Y1200" s="38">
        <v>12</v>
      </c>
      <c r="Z1200" s="38"/>
      <c r="AA1200" s="38"/>
      <c r="AB1200" s="39">
        <v>0.86206899999999997</v>
      </c>
      <c r="AC1200" s="39">
        <v>7.8249336999999999</v>
      </c>
      <c r="AD1200" s="39">
        <v>2.0557029</v>
      </c>
      <c r="AE1200" s="39">
        <v>0.59681700000000004</v>
      </c>
      <c r="AF1200" s="39">
        <v>82.095490699999999</v>
      </c>
      <c r="AG1200" s="39">
        <v>5.1061008000000001</v>
      </c>
      <c r="AH1200" s="39">
        <v>1.4588859000000001</v>
      </c>
      <c r="AI1200" s="39"/>
      <c r="AJ1200" s="39"/>
      <c r="AK1200" s="39">
        <v>3.2715375999999998</v>
      </c>
      <c r="AL1200" s="39">
        <v>13.5768811</v>
      </c>
      <c r="AM1200" s="39">
        <v>0.54525630000000003</v>
      </c>
      <c r="AN1200" s="39">
        <v>0.1090513</v>
      </c>
      <c r="AO1200" s="39">
        <v>76.826608500000006</v>
      </c>
      <c r="AP1200" s="39">
        <v>5.0163577000000004</v>
      </c>
      <c r="AQ1200" s="39">
        <v>0.65430750000000004</v>
      </c>
      <c r="AR1200" s="40"/>
      <c r="AS1200" s="40"/>
    </row>
    <row r="1201" spans="2:45" ht="15" customHeight="1" x14ac:dyDescent="0.25">
      <c r="B1201" s="41">
        <v>1195</v>
      </c>
      <c r="C1201" s="42" t="s">
        <v>31</v>
      </c>
      <c r="D1201" s="51" t="s">
        <v>344</v>
      </c>
      <c r="E1201" s="51" t="s">
        <v>394</v>
      </c>
      <c r="F1201" s="51" t="s">
        <v>397</v>
      </c>
      <c r="G1201" s="52" t="s">
        <v>397</v>
      </c>
      <c r="H1201" s="43">
        <v>12767</v>
      </c>
      <c r="I1201" s="43">
        <v>486</v>
      </c>
      <c r="J1201" s="43">
        <v>1303</v>
      </c>
      <c r="K1201" s="43">
        <v>259</v>
      </c>
      <c r="L1201" s="43">
        <v>118</v>
      </c>
      <c r="M1201" s="43">
        <v>10062</v>
      </c>
      <c r="N1201" s="43">
        <v>443</v>
      </c>
      <c r="O1201" s="43">
        <v>96</v>
      </c>
      <c r="P1201" s="44">
        <f>K1201+L1201+M1201+N1201+O1201</f>
        <v>10978</v>
      </c>
      <c r="Q1201" s="44">
        <f>I1201+J1201</f>
        <v>1789</v>
      </c>
      <c r="R1201" s="43">
        <v>14448</v>
      </c>
      <c r="S1201" s="43">
        <v>1143</v>
      </c>
      <c r="T1201" s="43">
        <v>3712</v>
      </c>
      <c r="U1201" s="43">
        <v>122</v>
      </c>
      <c r="V1201" s="43">
        <v>17</v>
      </c>
      <c r="W1201" s="43">
        <v>9052</v>
      </c>
      <c r="X1201" s="43">
        <v>311</v>
      </c>
      <c r="Y1201" s="43">
        <v>91</v>
      </c>
      <c r="Z1201" s="45">
        <f>U1201+V1201+W1201+X1201+Y1201</f>
        <v>9593</v>
      </c>
      <c r="AA1201" s="45">
        <f>S1201+T1201</f>
        <v>4855</v>
      </c>
      <c r="AB1201" s="46">
        <v>3.8066890999999998</v>
      </c>
      <c r="AC1201" s="46">
        <v>10.205999800000001</v>
      </c>
      <c r="AD1201" s="46">
        <v>2.0286677000000002</v>
      </c>
      <c r="AE1201" s="46">
        <v>0.92425789999999997</v>
      </c>
      <c r="AF1201" s="46">
        <v>78.812563600000004</v>
      </c>
      <c r="AG1201" s="46">
        <v>3.4698832999999998</v>
      </c>
      <c r="AH1201" s="46">
        <v>0.75193860000000001</v>
      </c>
      <c r="AI1201" s="47">
        <f>AB1201+AC1201</f>
        <v>14.012688900000001</v>
      </c>
      <c r="AJ1201" s="47">
        <f>AD1201+AE1201+AF1201+AG1201+AH1201</f>
        <v>85.987311100000014</v>
      </c>
      <c r="AK1201" s="46">
        <v>7.9111295999999998</v>
      </c>
      <c r="AL1201" s="46">
        <v>25.692137299999999</v>
      </c>
      <c r="AM1201" s="46">
        <v>0.84440749999999998</v>
      </c>
      <c r="AN1201" s="46">
        <v>0.1176633</v>
      </c>
      <c r="AO1201" s="46">
        <v>62.652270199999997</v>
      </c>
      <c r="AP1201" s="46">
        <v>2.1525471</v>
      </c>
      <c r="AQ1201" s="46">
        <v>0.62984499999999999</v>
      </c>
      <c r="AR1201" s="48">
        <f>AK1201+AL1201</f>
        <v>33.603266900000001</v>
      </c>
      <c r="AS1201" s="48">
        <f>AM1201+AN1201+AO1201+AP1201+AQ1201</f>
        <v>66.396733100000006</v>
      </c>
    </row>
    <row r="1202" spans="2:45" ht="15" hidden="1" customHeight="1" x14ac:dyDescent="0.25">
      <c r="B1202" s="35">
        <v>1196</v>
      </c>
      <c r="C1202" s="36" t="s">
        <v>31</v>
      </c>
      <c r="D1202" s="36" t="s">
        <v>344</v>
      </c>
      <c r="E1202" s="36" t="s">
        <v>394</v>
      </c>
      <c r="F1202" s="36" t="s">
        <v>397</v>
      </c>
      <c r="G1202" s="37" t="s">
        <v>25</v>
      </c>
      <c r="H1202" s="38">
        <v>4926</v>
      </c>
      <c r="I1202" s="38">
        <v>461</v>
      </c>
      <c r="J1202" s="38">
        <v>1269</v>
      </c>
      <c r="K1202" s="38">
        <v>55</v>
      </c>
      <c r="L1202" s="38">
        <v>39</v>
      </c>
      <c r="M1202" s="38">
        <v>3013</v>
      </c>
      <c r="N1202" s="38">
        <v>66</v>
      </c>
      <c r="O1202" s="38">
        <v>23</v>
      </c>
      <c r="P1202" s="38"/>
      <c r="Q1202" s="38"/>
      <c r="R1202" s="38">
        <v>7582</v>
      </c>
      <c r="S1202" s="38">
        <v>1073</v>
      </c>
      <c r="T1202" s="38">
        <v>3563</v>
      </c>
      <c r="U1202" s="38">
        <v>28</v>
      </c>
      <c r="V1202" s="38">
        <v>3</v>
      </c>
      <c r="W1202" s="38">
        <v>2845</v>
      </c>
      <c r="X1202" s="38">
        <v>45</v>
      </c>
      <c r="Y1202" s="38">
        <v>25</v>
      </c>
      <c r="Z1202" s="38"/>
      <c r="AA1202" s="38"/>
      <c r="AB1202" s="39">
        <v>9.3585059000000008</v>
      </c>
      <c r="AC1202" s="39">
        <v>25.7612667</v>
      </c>
      <c r="AD1202" s="39">
        <v>1.1165246</v>
      </c>
      <c r="AE1202" s="39">
        <v>0.79171740000000002</v>
      </c>
      <c r="AF1202" s="39">
        <v>61.165245599999999</v>
      </c>
      <c r="AG1202" s="39">
        <v>1.3398295</v>
      </c>
      <c r="AH1202" s="39">
        <v>0.4669103</v>
      </c>
      <c r="AI1202" s="39"/>
      <c r="AJ1202" s="39"/>
      <c r="AK1202" s="39">
        <v>14.1519388</v>
      </c>
      <c r="AL1202" s="39">
        <v>46.992877900000003</v>
      </c>
      <c r="AM1202" s="39">
        <v>0.3692957</v>
      </c>
      <c r="AN1202" s="39">
        <v>3.9567400000000003E-2</v>
      </c>
      <c r="AO1202" s="39">
        <v>37.523080999999998</v>
      </c>
      <c r="AP1202" s="39">
        <v>0.59351089999999995</v>
      </c>
      <c r="AQ1202" s="39">
        <v>0.32972829999999997</v>
      </c>
      <c r="AR1202" s="40"/>
      <c r="AS1202" s="40"/>
    </row>
    <row r="1203" spans="2:45" ht="15" hidden="1" customHeight="1" x14ac:dyDescent="0.25">
      <c r="B1203" s="35">
        <v>1197</v>
      </c>
      <c r="C1203" s="36" t="s">
        <v>31</v>
      </c>
      <c r="D1203" s="36" t="s">
        <v>344</v>
      </c>
      <c r="E1203" s="36" t="s">
        <v>394</v>
      </c>
      <c r="F1203" s="36" t="s">
        <v>397</v>
      </c>
      <c r="G1203" s="37" t="s">
        <v>26</v>
      </c>
      <c r="H1203" s="38">
        <v>7841</v>
      </c>
      <c r="I1203" s="38">
        <v>25</v>
      </c>
      <c r="J1203" s="38">
        <v>34</v>
      </c>
      <c r="K1203" s="38">
        <v>204</v>
      </c>
      <c r="L1203" s="38">
        <v>79</v>
      </c>
      <c r="M1203" s="38">
        <v>7049</v>
      </c>
      <c r="N1203" s="38">
        <v>377</v>
      </c>
      <c r="O1203" s="38">
        <v>73</v>
      </c>
      <c r="P1203" s="38"/>
      <c r="Q1203" s="38"/>
      <c r="R1203" s="38">
        <v>6866</v>
      </c>
      <c r="S1203" s="38">
        <v>70</v>
      </c>
      <c r="T1203" s="38">
        <v>149</v>
      </c>
      <c r="U1203" s="38">
        <v>94</v>
      </c>
      <c r="V1203" s="38">
        <v>14</v>
      </c>
      <c r="W1203" s="38">
        <v>6207</v>
      </c>
      <c r="X1203" s="38">
        <v>266</v>
      </c>
      <c r="Y1203" s="38">
        <v>66</v>
      </c>
      <c r="Z1203" s="38"/>
      <c r="AA1203" s="38"/>
      <c r="AB1203" s="39">
        <v>0.31883689999999998</v>
      </c>
      <c r="AC1203" s="39">
        <v>0.43361820000000001</v>
      </c>
      <c r="AD1203" s="39">
        <v>2.601709</v>
      </c>
      <c r="AE1203" s="39">
        <v>1.0075246</v>
      </c>
      <c r="AF1203" s="39">
        <v>89.899247500000001</v>
      </c>
      <c r="AG1203" s="39">
        <v>4.8080601999999999</v>
      </c>
      <c r="AH1203" s="39">
        <v>0.93100369999999999</v>
      </c>
      <c r="AI1203" s="39"/>
      <c r="AJ1203" s="39"/>
      <c r="AK1203" s="39">
        <v>1.0195164999999999</v>
      </c>
      <c r="AL1203" s="39">
        <v>2.1701136000000001</v>
      </c>
      <c r="AM1203" s="39">
        <v>1.369065</v>
      </c>
      <c r="AN1203" s="39">
        <v>0.20390330000000001</v>
      </c>
      <c r="AO1203" s="39">
        <v>90.401980800000004</v>
      </c>
      <c r="AP1203" s="39">
        <v>3.8741625000000002</v>
      </c>
      <c r="AQ1203" s="39">
        <v>0.96125839999999996</v>
      </c>
      <c r="AR1203" s="40"/>
      <c r="AS1203" s="40"/>
    </row>
    <row r="1204" spans="2:45" ht="15" customHeight="1" x14ac:dyDescent="0.25">
      <c r="B1204" s="41">
        <v>1198</v>
      </c>
      <c r="C1204" s="42" t="s">
        <v>31</v>
      </c>
      <c r="D1204" s="51" t="s">
        <v>344</v>
      </c>
      <c r="E1204" s="51" t="s">
        <v>394</v>
      </c>
      <c r="F1204" s="51" t="s">
        <v>398</v>
      </c>
      <c r="G1204" s="52" t="s">
        <v>398</v>
      </c>
      <c r="H1204" s="43">
        <v>1146</v>
      </c>
      <c r="I1204" s="43">
        <v>3</v>
      </c>
      <c r="J1204" s="43">
        <v>18</v>
      </c>
      <c r="K1204" s="43">
        <v>31</v>
      </c>
      <c r="L1204" s="43">
        <v>0</v>
      </c>
      <c r="M1204" s="43">
        <v>1008</v>
      </c>
      <c r="N1204" s="43">
        <v>72</v>
      </c>
      <c r="O1204" s="43">
        <v>14</v>
      </c>
      <c r="P1204" s="44">
        <f>K1204+L1204+M1204+N1204+O1204</f>
        <v>1125</v>
      </c>
      <c r="Q1204" s="44">
        <f>I1204+J1204</f>
        <v>21</v>
      </c>
      <c r="R1204" s="43">
        <v>1475</v>
      </c>
      <c r="S1204" s="43">
        <v>6</v>
      </c>
      <c r="T1204" s="43">
        <v>4</v>
      </c>
      <c r="U1204" s="43">
        <v>25</v>
      </c>
      <c r="V1204" s="43">
        <v>2</v>
      </c>
      <c r="W1204" s="43">
        <v>1370</v>
      </c>
      <c r="X1204" s="43">
        <v>62</v>
      </c>
      <c r="Y1204" s="43">
        <v>6</v>
      </c>
      <c r="Z1204" s="45">
        <f>U1204+V1204+W1204+X1204+Y1204</f>
        <v>1465</v>
      </c>
      <c r="AA1204" s="45">
        <f>S1204+T1204</f>
        <v>10</v>
      </c>
      <c r="AB1204" s="46">
        <v>0.26178010000000002</v>
      </c>
      <c r="AC1204" s="46">
        <v>1.5706806</v>
      </c>
      <c r="AD1204" s="46">
        <v>2.7050611</v>
      </c>
      <c r="AE1204" s="46">
        <v>0</v>
      </c>
      <c r="AF1204" s="46">
        <v>87.958115199999995</v>
      </c>
      <c r="AG1204" s="46">
        <v>6.2827225000000002</v>
      </c>
      <c r="AH1204" s="46">
        <v>1.2216404999999999</v>
      </c>
      <c r="AI1204" s="47">
        <f>AB1204+AC1204</f>
        <v>1.8324606999999999</v>
      </c>
      <c r="AJ1204" s="47">
        <f>AD1204+AE1204+AF1204+AG1204+AH1204</f>
        <v>98.167539300000001</v>
      </c>
      <c r="AK1204" s="46">
        <v>0.40677970000000002</v>
      </c>
      <c r="AL1204" s="46">
        <v>0.27118639999999999</v>
      </c>
      <c r="AM1204" s="46">
        <v>1.6949152999999999</v>
      </c>
      <c r="AN1204" s="46">
        <v>0.1355932</v>
      </c>
      <c r="AO1204" s="46">
        <v>92.881355900000003</v>
      </c>
      <c r="AP1204" s="46">
        <v>4.2033898000000001</v>
      </c>
      <c r="AQ1204" s="46">
        <v>0.40677970000000002</v>
      </c>
      <c r="AR1204" s="48">
        <f>AK1204+AL1204</f>
        <v>0.67796610000000002</v>
      </c>
      <c r="AS1204" s="48">
        <f>AM1204+AN1204+AO1204+AP1204+AQ1204</f>
        <v>99.322033899999994</v>
      </c>
    </row>
    <row r="1205" spans="2:45" ht="15" hidden="1" customHeight="1" x14ac:dyDescent="0.25">
      <c r="B1205" s="35">
        <v>1199</v>
      </c>
      <c r="C1205" s="36" t="s">
        <v>31</v>
      </c>
      <c r="D1205" s="36" t="s">
        <v>344</v>
      </c>
      <c r="E1205" s="36" t="s">
        <v>394</v>
      </c>
      <c r="F1205" s="36" t="s">
        <v>398</v>
      </c>
      <c r="G1205" s="37" t="s">
        <v>25</v>
      </c>
      <c r="H1205" s="38"/>
      <c r="I1205" s="38"/>
      <c r="J1205" s="38"/>
      <c r="K1205" s="38"/>
      <c r="L1205" s="38"/>
      <c r="M1205" s="38"/>
      <c r="N1205" s="38"/>
      <c r="O1205" s="38"/>
      <c r="P1205" s="38"/>
      <c r="Q1205" s="38"/>
      <c r="R1205" s="38"/>
      <c r="S1205" s="38"/>
      <c r="T1205" s="38"/>
      <c r="U1205" s="38"/>
      <c r="V1205" s="38"/>
      <c r="W1205" s="38"/>
      <c r="X1205" s="38"/>
      <c r="Y1205" s="38"/>
      <c r="Z1205" s="38"/>
      <c r="AA1205" s="38"/>
      <c r="AB1205" s="39"/>
      <c r="AC1205" s="39"/>
      <c r="AD1205" s="39"/>
      <c r="AE1205" s="39"/>
      <c r="AF1205" s="39"/>
      <c r="AG1205" s="39"/>
      <c r="AH1205" s="39"/>
      <c r="AI1205" s="39"/>
      <c r="AJ1205" s="39"/>
      <c r="AK1205" s="39"/>
      <c r="AL1205" s="39"/>
      <c r="AM1205" s="39"/>
      <c r="AN1205" s="39"/>
      <c r="AO1205" s="39"/>
      <c r="AP1205" s="39"/>
      <c r="AQ1205" s="39"/>
      <c r="AR1205" s="40"/>
      <c r="AS1205" s="40"/>
    </row>
    <row r="1206" spans="2:45" ht="15" hidden="1" customHeight="1" x14ac:dyDescent="0.25">
      <c r="B1206" s="35">
        <v>1200</v>
      </c>
      <c r="C1206" s="36" t="s">
        <v>31</v>
      </c>
      <c r="D1206" s="36" t="s">
        <v>344</v>
      </c>
      <c r="E1206" s="36" t="s">
        <v>394</v>
      </c>
      <c r="F1206" s="36" t="s">
        <v>398</v>
      </c>
      <c r="G1206" s="37" t="s">
        <v>26</v>
      </c>
      <c r="H1206" s="38">
        <v>1146</v>
      </c>
      <c r="I1206" s="38">
        <v>3</v>
      </c>
      <c r="J1206" s="38">
        <v>18</v>
      </c>
      <c r="K1206" s="38">
        <v>31</v>
      </c>
      <c r="L1206" s="38">
        <v>0</v>
      </c>
      <c r="M1206" s="38">
        <v>1008</v>
      </c>
      <c r="N1206" s="38">
        <v>72</v>
      </c>
      <c r="O1206" s="38">
        <v>14</v>
      </c>
      <c r="P1206" s="38"/>
      <c r="Q1206" s="38"/>
      <c r="R1206" s="38">
        <v>1475</v>
      </c>
      <c r="S1206" s="38">
        <v>6</v>
      </c>
      <c r="T1206" s="38">
        <v>4</v>
      </c>
      <c r="U1206" s="38">
        <v>25</v>
      </c>
      <c r="V1206" s="38">
        <v>2</v>
      </c>
      <c r="W1206" s="38">
        <v>1370</v>
      </c>
      <c r="X1206" s="38">
        <v>62</v>
      </c>
      <c r="Y1206" s="38">
        <v>6</v>
      </c>
      <c r="Z1206" s="38"/>
      <c r="AA1206" s="38"/>
      <c r="AB1206" s="39">
        <v>0.26178010000000002</v>
      </c>
      <c r="AC1206" s="39">
        <v>1.5706806</v>
      </c>
      <c r="AD1206" s="39">
        <v>2.7050611</v>
      </c>
      <c r="AE1206" s="39">
        <v>0</v>
      </c>
      <c r="AF1206" s="39">
        <v>87.958115199999995</v>
      </c>
      <c r="AG1206" s="39">
        <v>6.2827225000000002</v>
      </c>
      <c r="AH1206" s="39">
        <v>1.2216404999999999</v>
      </c>
      <c r="AI1206" s="39"/>
      <c r="AJ1206" s="39"/>
      <c r="AK1206" s="39">
        <v>0.40677970000000002</v>
      </c>
      <c r="AL1206" s="39">
        <v>0.27118639999999999</v>
      </c>
      <c r="AM1206" s="39">
        <v>1.6949152999999999</v>
      </c>
      <c r="AN1206" s="39">
        <v>0.1355932</v>
      </c>
      <c r="AO1206" s="39">
        <v>92.881355900000003</v>
      </c>
      <c r="AP1206" s="39">
        <v>4.2033898000000001</v>
      </c>
      <c r="AQ1206" s="39">
        <v>0.40677970000000002</v>
      </c>
      <c r="AR1206" s="40"/>
      <c r="AS1206" s="40"/>
    </row>
    <row r="1207" spans="2:45" ht="15" customHeight="1" x14ac:dyDescent="0.25">
      <c r="B1207" s="41">
        <v>1201</v>
      </c>
      <c r="C1207" s="42" t="s">
        <v>31</v>
      </c>
      <c r="D1207" s="51" t="s">
        <v>344</v>
      </c>
      <c r="E1207" s="51" t="s">
        <v>394</v>
      </c>
      <c r="F1207" s="51" t="s">
        <v>399</v>
      </c>
      <c r="G1207" s="52" t="s">
        <v>399</v>
      </c>
      <c r="H1207" s="43">
        <v>1685</v>
      </c>
      <c r="I1207" s="43">
        <v>98</v>
      </c>
      <c r="J1207" s="43">
        <v>226</v>
      </c>
      <c r="K1207" s="43">
        <v>68</v>
      </c>
      <c r="L1207" s="43">
        <v>14</v>
      </c>
      <c r="M1207" s="43">
        <v>1194</v>
      </c>
      <c r="N1207" s="43">
        <v>60</v>
      </c>
      <c r="O1207" s="43">
        <v>25</v>
      </c>
      <c r="P1207" s="44">
        <f>K1207+L1207+M1207+N1207+O1207</f>
        <v>1361</v>
      </c>
      <c r="Q1207" s="44">
        <f>I1207+J1207</f>
        <v>324</v>
      </c>
      <c r="R1207" s="43">
        <v>2433</v>
      </c>
      <c r="S1207" s="43">
        <v>243</v>
      </c>
      <c r="T1207" s="43">
        <v>811</v>
      </c>
      <c r="U1207" s="43">
        <v>18</v>
      </c>
      <c r="V1207" s="43">
        <v>2</v>
      </c>
      <c r="W1207" s="43">
        <v>1302</v>
      </c>
      <c r="X1207" s="43">
        <v>37</v>
      </c>
      <c r="Y1207" s="43">
        <v>20</v>
      </c>
      <c r="Z1207" s="45">
        <f>U1207+V1207+W1207+X1207+Y1207</f>
        <v>1379</v>
      </c>
      <c r="AA1207" s="45">
        <f>S1207+T1207</f>
        <v>1054</v>
      </c>
      <c r="AB1207" s="46">
        <v>5.8160236999999997</v>
      </c>
      <c r="AC1207" s="46">
        <v>13.4124629</v>
      </c>
      <c r="AD1207" s="46">
        <v>4.0356082999999998</v>
      </c>
      <c r="AE1207" s="46">
        <v>0.8308605</v>
      </c>
      <c r="AF1207" s="46">
        <v>70.860534099999995</v>
      </c>
      <c r="AG1207" s="46">
        <v>3.5608309</v>
      </c>
      <c r="AH1207" s="46">
        <v>1.4836795</v>
      </c>
      <c r="AI1207" s="47">
        <f>AB1207+AC1207</f>
        <v>19.2284866</v>
      </c>
      <c r="AJ1207" s="47">
        <f>AD1207+AE1207+AF1207+AG1207+AH1207</f>
        <v>80.771513299999995</v>
      </c>
      <c r="AK1207" s="46">
        <v>9.9876695000000009</v>
      </c>
      <c r="AL1207" s="46">
        <v>33.3333333</v>
      </c>
      <c r="AM1207" s="46">
        <v>0.73982740000000002</v>
      </c>
      <c r="AN1207" s="46">
        <v>8.2202999999999998E-2</v>
      </c>
      <c r="AO1207" s="46">
        <v>53.514180000000003</v>
      </c>
      <c r="AP1207" s="46">
        <v>1.5207562999999999</v>
      </c>
      <c r="AQ1207" s="46">
        <v>0.82203040000000005</v>
      </c>
      <c r="AR1207" s="48">
        <f>AK1207+AL1207</f>
        <v>43.321002800000002</v>
      </c>
      <c r="AS1207" s="48">
        <f>AM1207+AN1207+AO1207+AP1207+AQ1207</f>
        <v>56.678997100000011</v>
      </c>
    </row>
    <row r="1208" spans="2:45" ht="15" hidden="1" customHeight="1" x14ac:dyDescent="0.25">
      <c r="B1208" s="35">
        <v>1202</v>
      </c>
      <c r="C1208" s="36" t="s">
        <v>31</v>
      </c>
      <c r="D1208" s="36" t="s">
        <v>344</v>
      </c>
      <c r="E1208" s="36" t="s">
        <v>394</v>
      </c>
      <c r="F1208" s="36" t="s">
        <v>399</v>
      </c>
      <c r="G1208" s="37" t="s">
        <v>25</v>
      </c>
      <c r="H1208" s="38">
        <v>1446</v>
      </c>
      <c r="I1208" s="38">
        <v>98</v>
      </c>
      <c r="J1208" s="38">
        <v>225</v>
      </c>
      <c r="K1208" s="38">
        <v>53</v>
      </c>
      <c r="L1208" s="38">
        <v>9</v>
      </c>
      <c r="M1208" s="38">
        <v>1002</v>
      </c>
      <c r="N1208" s="38">
        <v>38</v>
      </c>
      <c r="O1208" s="38">
        <v>21</v>
      </c>
      <c r="P1208" s="38"/>
      <c r="Q1208" s="38"/>
      <c r="R1208" s="38">
        <v>1959</v>
      </c>
      <c r="S1208" s="38">
        <v>239</v>
      </c>
      <c r="T1208" s="38">
        <v>808</v>
      </c>
      <c r="U1208" s="38">
        <v>16</v>
      </c>
      <c r="V1208" s="38">
        <v>1</v>
      </c>
      <c r="W1208" s="38">
        <v>865</v>
      </c>
      <c r="X1208" s="38">
        <v>17</v>
      </c>
      <c r="Y1208" s="38">
        <v>13</v>
      </c>
      <c r="Z1208" s="38"/>
      <c r="AA1208" s="38"/>
      <c r="AB1208" s="39">
        <v>6.7773167000000001</v>
      </c>
      <c r="AC1208" s="39">
        <v>15.560166000000001</v>
      </c>
      <c r="AD1208" s="39">
        <v>3.6652835000000001</v>
      </c>
      <c r="AE1208" s="39">
        <v>0.62240660000000003</v>
      </c>
      <c r="AF1208" s="39">
        <v>69.294605799999999</v>
      </c>
      <c r="AG1208" s="39">
        <v>2.6279390999999999</v>
      </c>
      <c r="AH1208" s="39">
        <v>1.4522822</v>
      </c>
      <c r="AI1208" s="39"/>
      <c r="AJ1208" s="39"/>
      <c r="AK1208" s="39">
        <v>12.200102100000001</v>
      </c>
      <c r="AL1208" s="39">
        <v>41.245533399999999</v>
      </c>
      <c r="AM1208" s="39">
        <v>0.8167432</v>
      </c>
      <c r="AN1208" s="39">
        <v>5.1046500000000002E-2</v>
      </c>
      <c r="AO1208" s="39">
        <v>44.155181200000001</v>
      </c>
      <c r="AP1208" s="39">
        <v>0.8677897</v>
      </c>
      <c r="AQ1208" s="39">
        <v>0.66360390000000002</v>
      </c>
      <c r="AR1208" s="40"/>
      <c r="AS1208" s="40"/>
    </row>
    <row r="1209" spans="2:45" ht="15" hidden="1" customHeight="1" x14ac:dyDescent="0.25">
      <c r="B1209" s="35">
        <v>1203</v>
      </c>
      <c r="C1209" s="36" t="s">
        <v>31</v>
      </c>
      <c r="D1209" s="36" t="s">
        <v>344</v>
      </c>
      <c r="E1209" s="36" t="s">
        <v>394</v>
      </c>
      <c r="F1209" s="36" t="s">
        <v>399</v>
      </c>
      <c r="G1209" s="37" t="s">
        <v>26</v>
      </c>
      <c r="H1209" s="38">
        <v>239</v>
      </c>
      <c r="I1209" s="38">
        <v>0</v>
      </c>
      <c r="J1209" s="38">
        <v>1</v>
      </c>
      <c r="K1209" s="38">
        <v>15</v>
      </c>
      <c r="L1209" s="38">
        <v>5</v>
      </c>
      <c r="M1209" s="38">
        <v>192</v>
      </c>
      <c r="N1209" s="38">
        <v>22</v>
      </c>
      <c r="O1209" s="38">
        <v>4</v>
      </c>
      <c r="P1209" s="38"/>
      <c r="Q1209" s="38"/>
      <c r="R1209" s="38">
        <v>474</v>
      </c>
      <c r="S1209" s="38">
        <v>4</v>
      </c>
      <c r="T1209" s="38">
        <v>3</v>
      </c>
      <c r="U1209" s="38">
        <v>2</v>
      </c>
      <c r="V1209" s="38">
        <v>1</v>
      </c>
      <c r="W1209" s="38">
        <v>437</v>
      </c>
      <c r="X1209" s="38">
        <v>20</v>
      </c>
      <c r="Y1209" s="38">
        <v>7</v>
      </c>
      <c r="Z1209" s="38"/>
      <c r="AA1209" s="38"/>
      <c r="AB1209" s="39">
        <v>0</v>
      </c>
      <c r="AC1209" s="39">
        <v>0.41841</v>
      </c>
      <c r="AD1209" s="39">
        <v>6.2761506000000002</v>
      </c>
      <c r="AE1209" s="39">
        <v>2.0920502000000001</v>
      </c>
      <c r="AF1209" s="39">
        <v>80.334727999999998</v>
      </c>
      <c r="AG1209" s="39">
        <v>9.2050208999999992</v>
      </c>
      <c r="AH1209" s="39">
        <v>1.6736401999999999</v>
      </c>
      <c r="AI1209" s="39"/>
      <c r="AJ1209" s="39"/>
      <c r="AK1209" s="39">
        <v>0.84388189999999996</v>
      </c>
      <c r="AL1209" s="39">
        <v>0.63291140000000001</v>
      </c>
      <c r="AM1209" s="39">
        <v>0.42194090000000001</v>
      </c>
      <c r="AN1209" s="39">
        <v>0.21097050000000001</v>
      </c>
      <c r="AO1209" s="39">
        <v>92.194092800000007</v>
      </c>
      <c r="AP1209" s="39">
        <v>4.2194092999999997</v>
      </c>
      <c r="AQ1209" s="39">
        <v>1.4767931999999999</v>
      </c>
      <c r="AR1209" s="40"/>
      <c r="AS1209" s="40"/>
    </row>
    <row r="1210" spans="2:45" ht="15" customHeight="1" x14ac:dyDescent="0.25">
      <c r="B1210" s="41">
        <v>1204</v>
      </c>
      <c r="C1210" s="42" t="s">
        <v>31</v>
      </c>
      <c r="D1210" s="51" t="s">
        <v>344</v>
      </c>
      <c r="E1210" s="51" t="s">
        <v>394</v>
      </c>
      <c r="F1210" s="51" t="s">
        <v>400</v>
      </c>
      <c r="G1210" s="52" t="s">
        <v>400</v>
      </c>
      <c r="H1210" s="43">
        <v>5058</v>
      </c>
      <c r="I1210" s="43">
        <v>276</v>
      </c>
      <c r="J1210" s="43">
        <v>1324</v>
      </c>
      <c r="K1210" s="43">
        <v>104</v>
      </c>
      <c r="L1210" s="43">
        <v>33</v>
      </c>
      <c r="M1210" s="43">
        <v>3109</v>
      </c>
      <c r="N1210" s="43">
        <v>178</v>
      </c>
      <c r="O1210" s="43">
        <v>34</v>
      </c>
      <c r="P1210" s="44">
        <f>K1210+L1210+M1210+N1210+O1210</f>
        <v>3458</v>
      </c>
      <c r="Q1210" s="44">
        <f>I1210+J1210</f>
        <v>1600</v>
      </c>
      <c r="R1210" s="43">
        <v>6551</v>
      </c>
      <c r="S1210" s="43">
        <v>901</v>
      </c>
      <c r="T1210" s="43">
        <v>2262</v>
      </c>
      <c r="U1210" s="43">
        <v>32</v>
      </c>
      <c r="V1210" s="43">
        <v>5</v>
      </c>
      <c r="W1210" s="43">
        <v>3126</v>
      </c>
      <c r="X1210" s="43">
        <v>161</v>
      </c>
      <c r="Y1210" s="43">
        <v>64</v>
      </c>
      <c r="Z1210" s="45">
        <f>U1210+V1210+W1210+X1210+Y1210</f>
        <v>3388</v>
      </c>
      <c r="AA1210" s="45">
        <f>S1210+T1210</f>
        <v>3163</v>
      </c>
      <c r="AB1210" s="46">
        <v>5.4567022999999999</v>
      </c>
      <c r="AC1210" s="46">
        <v>26.1763543</v>
      </c>
      <c r="AD1210" s="46">
        <v>2.0561487000000001</v>
      </c>
      <c r="AE1210" s="46">
        <v>0.65243180000000001</v>
      </c>
      <c r="AF1210" s="46">
        <v>61.466982999999999</v>
      </c>
      <c r="AG1210" s="46">
        <v>3.5191775000000001</v>
      </c>
      <c r="AH1210" s="46">
        <v>0.67220250000000004</v>
      </c>
      <c r="AI1210" s="47">
        <f>AB1210+AC1210</f>
        <v>31.6330566</v>
      </c>
      <c r="AJ1210" s="47">
        <f>AD1210+AE1210+AF1210+AG1210+AH1210</f>
        <v>68.366943499999991</v>
      </c>
      <c r="AK1210" s="46">
        <v>13.753625400000001</v>
      </c>
      <c r="AL1210" s="46">
        <v>34.529079500000002</v>
      </c>
      <c r="AM1210" s="46">
        <v>0.48847499999999999</v>
      </c>
      <c r="AN1210" s="46">
        <v>7.6324199999999995E-2</v>
      </c>
      <c r="AO1210" s="46">
        <v>47.717905700000003</v>
      </c>
      <c r="AP1210" s="46">
        <v>2.4576400999999999</v>
      </c>
      <c r="AQ1210" s="46">
        <v>0.97695010000000004</v>
      </c>
      <c r="AR1210" s="48">
        <f>AK1210+AL1210</f>
        <v>48.282704899999999</v>
      </c>
      <c r="AS1210" s="48">
        <f>AM1210+AN1210+AO1210+AP1210+AQ1210</f>
        <v>51.717295100000008</v>
      </c>
    </row>
    <row r="1211" spans="2:45" ht="15" hidden="1" customHeight="1" x14ac:dyDescent="0.25">
      <c r="B1211" s="35">
        <v>1205</v>
      </c>
      <c r="C1211" s="36" t="s">
        <v>31</v>
      </c>
      <c r="D1211" s="36" t="s">
        <v>344</v>
      </c>
      <c r="E1211" s="36" t="s">
        <v>394</v>
      </c>
      <c r="F1211" s="36" t="s">
        <v>400</v>
      </c>
      <c r="G1211" s="37" t="s">
        <v>25</v>
      </c>
      <c r="H1211" s="38">
        <v>2076</v>
      </c>
      <c r="I1211" s="38">
        <v>190</v>
      </c>
      <c r="J1211" s="38">
        <v>1319</v>
      </c>
      <c r="K1211" s="38">
        <v>15</v>
      </c>
      <c r="L1211" s="38">
        <v>5</v>
      </c>
      <c r="M1211" s="38">
        <v>518</v>
      </c>
      <c r="N1211" s="38">
        <v>27</v>
      </c>
      <c r="O1211" s="38">
        <v>2</v>
      </c>
      <c r="P1211" s="38"/>
      <c r="Q1211" s="38"/>
      <c r="R1211" s="38">
        <v>3053</v>
      </c>
      <c r="S1211" s="38">
        <v>733</v>
      </c>
      <c r="T1211" s="38">
        <v>1958</v>
      </c>
      <c r="U1211" s="38">
        <v>3</v>
      </c>
      <c r="V1211" s="38">
        <v>0</v>
      </c>
      <c r="W1211" s="38">
        <v>350</v>
      </c>
      <c r="X1211" s="38">
        <v>3</v>
      </c>
      <c r="Y1211" s="38">
        <v>6</v>
      </c>
      <c r="Z1211" s="38"/>
      <c r="AA1211" s="38"/>
      <c r="AB1211" s="39">
        <v>9.1522158000000005</v>
      </c>
      <c r="AC1211" s="39">
        <v>63.535645500000001</v>
      </c>
      <c r="AD1211" s="39">
        <v>0.72254339999999995</v>
      </c>
      <c r="AE1211" s="39">
        <v>0.2408478</v>
      </c>
      <c r="AF1211" s="39">
        <v>24.951830399999999</v>
      </c>
      <c r="AG1211" s="39">
        <v>1.300578</v>
      </c>
      <c r="AH1211" s="39">
        <v>9.6339099999999997E-2</v>
      </c>
      <c r="AI1211" s="39"/>
      <c r="AJ1211" s="39"/>
      <c r="AK1211" s="39">
        <v>24.009171299999998</v>
      </c>
      <c r="AL1211" s="39">
        <v>64.133639000000002</v>
      </c>
      <c r="AM1211" s="39">
        <v>9.8264000000000004E-2</v>
      </c>
      <c r="AN1211" s="39">
        <v>0</v>
      </c>
      <c r="AO1211" s="39">
        <v>11.4641336</v>
      </c>
      <c r="AP1211" s="39">
        <v>9.8264000000000004E-2</v>
      </c>
      <c r="AQ1211" s="39">
        <v>0.19652800000000001</v>
      </c>
      <c r="AR1211" s="40"/>
      <c r="AS1211" s="40"/>
    </row>
    <row r="1212" spans="2:45" ht="15" hidden="1" customHeight="1" x14ac:dyDescent="0.25">
      <c r="B1212" s="35">
        <v>1206</v>
      </c>
      <c r="C1212" s="36" t="s">
        <v>31</v>
      </c>
      <c r="D1212" s="36" t="s">
        <v>344</v>
      </c>
      <c r="E1212" s="36" t="s">
        <v>394</v>
      </c>
      <c r="F1212" s="36" t="s">
        <v>400</v>
      </c>
      <c r="G1212" s="37" t="s">
        <v>26</v>
      </c>
      <c r="H1212" s="38">
        <v>2982</v>
      </c>
      <c r="I1212" s="38">
        <v>86</v>
      </c>
      <c r="J1212" s="38">
        <v>5</v>
      </c>
      <c r="K1212" s="38">
        <v>89</v>
      </c>
      <c r="L1212" s="38">
        <v>28</v>
      </c>
      <c r="M1212" s="38">
        <v>2591</v>
      </c>
      <c r="N1212" s="38">
        <v>151</v>
      </c>
      <c r="O1212" s="38">
        <v>32</v>
      </c>
      <c r="P1212" s="38"/>
      <c r="Q1212" s="38"/>
      <c r="R1212" s="38">
        <v>3498</v>
      </c>
      <c r="S1212" s="38">
        <v>168</v>
      </c>
      <c r="T1212" s="38">
        <v>304</v>
      </c>
      <c r="U1212" s="38">
        <v>29</v>
      </c>
      <c r="V1212" s="38">
        <v>5</v>
      </c>
      <c r="W1212" s="38">
        <v>2776</v>
      </c>
      <c r="X1212" s="38">
        <v>158</v>
      </c>
      <c r="Y1212" s="38">
        <v>58</v>
      </c>
      <c r="Z1212" s="38"/>
      <c r="AA1212" s="38"/>
      <c r="AB1212" s="39">
        <v>2.8839705000000002</v>
      </c>
      <c r="AC1212" s="39">
        <v>0.16767270000000001</v>
      </c>
      <c r="AD1212" s="39">
        <v>2.9845741000000001</v>
      </c>
      <c r="AE1212" s="39">
        <v>0.93896710000000005</v>
      </c>
      <c r="AF1212" s="39">
        <v>86.887994599999999</v>
      </c>
      <c r="AG1212" s="39">
        <v>5.0637156000000001</v>
      </c>
      <c r="AH1212" s="39">
        <v>1.0731052999999999</v>
      </c>
      <c r="AI1212" s="39"/>
      <c r="AJ1212" s="39"/>
      <c r="AK1212" s="39">
        <v>4.8027443999999999</v>
      </c>
      <c r="AL1212" s="39">
        <v>8.6906803999999998</v>
      </c>
      <c r="AM1212" s="39">
        <v>0.82904520000000004</v>
      </c>
      <c r="AN1212" s="39">
        <v>0.1429388</v>
      </c>
      <c r="AO1212" s="39">
        <v>79.359634099999994</v>
      </c>
      <c r="AP1212" s="39">
        <v>4.5168667999999998</v>
      </c>
      <c r="AQ1212" s="39">
        <v>1.6580903</v>
      </c>
      <c r="AR1212" s="40"/>
      <c r="AS1212" s="40"/>
    </row>
    <row r="1213" spans="2:45" ht="15" hidden="1" customHeight="1" x14ac:dyDescent="0.25">
      <c r="B1213" s="30">
        <v>1207</v>
      </c>
      <c r="C1213" s="31" t="s">
        <v>29</v>
      </c>
      <c r="D1213" s="50" t="s">
        <v>344</v>
      </c>
      <c r="E1213" s="50" t="s">
        <v>401</v>
      </c>
      <c r="F1213" s="50"/>
      <c r="G1213" s="31" t="s">
        <v>401</v>
      </c>
      <c r="H1213" s="32">
        <v>3215</v>
      </c>
      <c r="I1213" s="32">
        <v>155</v>
      </c>
      <c r="J1213" s="32">
        <v>605</v>
      </c>
      <c r="K1213" s="32">
        <v>103</v>
      </c>
      <c r="L1213" s="32">
        <v>15</v>
      </c>
      <c r="M1213" s="32">
        <v>2101</v>
      </c>
      <c r="N1213" s="32">
        <v>181</v>
      </c>
      <c r="O1213" s="32">
        <v>55</v>
      </c>
      <c r="P1213" s="32"/>
      <c r="Q1213" s="32"/>
      <c r="R1213" s="32">
        <v>4145</v>
      </c>
      <c r="S1213" s="32">
        <v>177</v>
      </c>
      <c r="T1213" s="32">
        <v>742</v>
      </c>
      <c r="U1213" s="32">
        <v>86</v>
      </c>
      <c r="V1213" s="32">
        <v>7</v>
      </c>
      <c r="W1213" s="32">
        <v>2959</v>
      </c>
      <c r="X1213" s="32">
        <v>145</v>
      </c>
      <c r="Y1213" s="32">
        <v>29</v>
      </c>
      <c r="Z1213" s="32"/>
      <c r="AA1213" s="32"/>
      <c r="AB1213" s="33">
        <v>4.8211509000000001</v>
      </c>
      <c r="AC1213" s="33">
        <v>18.818040400000001</v>
      </c>
      <c r="AD1213" s="33">
        <v>3.2037325000000001</v>
      </c>
      <c r="AE1213" s="33">
        <v>0.46656300000000001</v>
      </c>
      <c r="AF1213" s="33">
        <v>65.349922199999995</v>
      </c>
      <c r="AG1213" s="33">
        <v>5.6298599999999999</v>
      </c>
      <c r="AH1213" s="33">
        <v>1.7107308999999999</v>
      </c>
      <c r="AI1213" s="33"/>
      <c r="AJ1213" s="33"/>
      <c r="AK1213" s="33">
        <v>4.2702051000000001</v>
      </c>
      <c r="AL1213" s="33">
        <v>17.901085599999998</v>
      </c>
      <c r="AM1213" s="33">
        <v>2.0747889000000002</v>
      </c>
      <c r="AN1213" s="33">
        <v>0.16887820000000001</v>
      </c>
      <c r="AO1213" s="33">
        <v>71.387213500000001</v>
      </c>
      <c r="AP1213" s="33">
        <v>3.4981906</v>
      </c>
      <c r="AQ1213" s="33">
        <v>0.69963810000000004</v>
      </c>
      <c r="AR1213" s="34"/>
      <c r="AS1213" s="34"/>
    </row>
    <row r="1214" spans="2:45" ht="15" hidden="1" customHeight="1" x14ac:dyDescent="0.25">
      <c r="B1214" s="35">
        <v>1208</v>
      </c>
      <c r="C1214" s="36" t="s">
        <v>29</v>
      </c>
      <c r="D1214" s="36" t="s">
        <v>344</v>
      </c>
      <c r="E1214" s="36" t="s">
        <v>401</v>
      </c>
      <c r="F1214" s="36"/>
      <c r="G1214" s="37" t="s">
        <v>25</v>
      </c>
      <c r="H1214" s="38">
        <v>1501</v>
      </c>
      <c r="I1214" s="38">
        <v>144</v>
      </c>
      <c r="J1214" s="38">
        <v>593</v>
      </c>
      <c r="K1214" s="38">
        <v>43</v>
      </c>
      <c r="L1214" s="38">
        <v>2</v>
      </c>
      <c r="M1214" s="38">
        <v>672</v>
      </c>
      <c r="N1214" s="38">
        <v>34</v>
      </c>
      <c r="O1214" s="38">
        <v>13</v>
      </c>
      <c r="P1214" s="38"/>
      <c r="Q1214" s="38"/>
      <c r="R1214" s="38">
        <v>2079</v>
      </c>
      <c r="S1214" s="38">
        <v>145</v>
      </c>
      <c r="T1214" s="38">
        <v>734</v>
      </c>
      <c r="U1214" s="38">
        <v>39</v>
      </c>
      <c r="V1214" s="38">
        <v>5</v>
      </c>
      <c r="W1214" s="38">
        <v>1084</v>
      </c>
      <c r="X1214" s="38">
        <v>54</v>
      </c>
      <c r="Y1214" s="38">
        <v>18</v>
      </c>
      <c r="Z1214" s="38"/>
      <c r="AA1214" s="38"/>
      <c r="AB1214" s="39">
        <v>9.5936043000000009</v>
      </c>
      <c r="AC1214" s="39">
        <v>39.5069953</v>
      </c>
      <c r="AD1214" s="39">
        <v>2.8647567999999999</v>
      </c>
      <c r="AE1214" s="39">
        <v>0.13324449999999999</v>
      </c>
      <c r="AF1214" s="39">
        <v>44.770153200000003</v>
      </c>
      <c r="AG1214" s="39">
        <v>2.2651566000000001</v>
      </c>
      <c r="AH1214" s="39">
        <v>0.86608929999999995</v>
      </c>
      <c r="AI1214" s="39"/>
      <c r="AJ1214" s="39"/>
      <c r="AK1214" s="39">
        <v>6.974507</v>
      </c>
      <c r="AL1214" s="39">
        <v>35.305435299999999</v>
      </c>
      <c r="AM1214" s="39">
        <v>1.8759018999999999</v>
      </c>
      <c r="AN1214" s="39">
        <v>0.2405002</v>
      </c>
      <c r="AO1214" s="39">
        <v>52.140452099999997</v>
      </c>
      <c r="AP1214" s="39">
        <v>2.5974026000000001</v>
      </c>
      <c r="AQ1214" s="39">
        <v>0.86580089999999998</v>
      </c>
      <c r="AR1214" s="40"/>
      <c r="AS1214" s="40"/>
    </row>
    <row r="1215" spans="2:45" ht="15" hidden="1" customHeight="1" x14ac:dyDescent="0.25">
      <c r="B1215" s="35">
        <v>1209</v>
      </c>
      <c r="C1215" s="36" t="s">
        <v>29</v>
      </c>
      <c r="D1215" s="36" t="s">
        <v>344</v>
      </c>
      <c r="E1215" s="36" t="s">
        <v>401</v>
      </c>
      <c r="F1215" s="36"/>
      <c r="G1215" s="37" t="s">
        <v>26</v>
      </c>
      <c r="H1215" s="38">
        <v>1714</v>
      </c>
      <c r="I1215" s="38">
        <v>11</v>
      </c>
      <c r="J1215" s="38">
        <v>12</v>
      </c>
      <c r="K1215" s="38">
        <v>60</v>
      </c>
      <c r="L1215" s="38">
        <v>13</v>
      </c>
      <c r="M1215" s="38">
        <v>1429</v>
      </c>
      <c r="N1215" s="38">
        <v>147</v>
      </c>
      <c r="O1215" s="38">
        <v>42</v>
      </c>
      <c r="P1215" s="38"/>
      <c r="Q1215" s="38"/>
      <c r="R1215" s="38">
        <v>2066</v>
      </c>
      <c r="S1215" s="38">
        <v>32</v>
      </c>
      <c r="T1215" s="38">
        <v>8</v>
      </c>
      <c r="U1215" s="38">
        <v>47</v>
      </c>
      <c r="V1215" s="38">
        <v>2</v>
      </c>
      <c r="W1215" s="38">
        <v>1875</v>
      </c>
      <c r="X1215" s="38">
        <v>91</v>
      </c>
      <c r="Y1215" s="38">
        <v>11</v>
      </c>
      <c r="Z1215" s="38"/>
      <c r="AA1215" s="38"/>
      <c r="AB1215" s="39">
        <v>0.64177360000000006</v>
      </c>
      <c r="AC1215" s="39">
        <v>0.70011670000000004</v>
      </c>
      <c r="AD1215" s="39">
        <v>3.5005834</v>
      </c>
      <c r="AE1215" s="39">
        <v>0.75845969999999996</v>
      </c>
      <c r="AF1215" s="39">
        <v>83.372228699999994</v>
      </c>
      <c r="AG1215" s="39">
        <v>8.5764294000000003</v>
      </c>
      <c r="AH1215" s="39">
        <v>2.4504084000000002</v>
      </c>
      <c r="AI1215" s="39"/>
      <c r="AJ1215" s="39"/>
      <c r="AK1215" s="39">
        <v>1.5488866999999999</v>
      </c>
      <c r="AL1215" s="39">
        <v>0.3872217</v>
      </c>
      <c r="AM1215" s="39">
        <v>2.2749274000000002</v>
      </c>
      <c r="AN1215" s="39">
        <v>9.68054E-2</v>
      </c>
      <c r="AO1215" s="39">
        <v>90.755082299999998</v>
      </c>
      <c r="AP1215" s="39">
        <v>4.4046466999999998</v>
      </c>
      <c r="AQ1215" s="39">
        <v>0.53242979999999995</v>
      </c>
      <c r="AR1215" s="40"/>
      <c r="AS1215" s="40"/>
    </row>
    <row r="1216" spans="2:45" ht="15" customHeight="1" x14ac:dyDescent="0.25">
      <c r="B1216" s="41">
        <v>1210</v>
      </c>
      <c r="C1216" s="42" t="s">
        <v>31</v>
      </c>
      <c r="D1216" s="51" t="s">
        <v>344</v>
      </c>
      <c r="E1216" s="51" t="s">
        <v>401</v>
      </c>
      <c r="F1216" s="51" t="s">
        <v>402</v>
      </c>
      <c r="G1216" s="52" t="s">
        <v>402</v>
      </c>
      <c r="H1216" s="43">
        <v>3215</v>
      </c>
      <c r="I1216" s="43">
        <v>155</v>
      </c>
      <c r="J1216" s="43">
        <v>605</v>
      </c>
      <c r="K1216" s="43">
        <v>103</v>
      </c>
      <c r="L1216" s="43">
        <v>15</v>
      </c>
      <c r="M1216" s="43">
        <v>2101</v>
      </c>
      <c r="N1216" s="43">
        <v>181</v>
      </c>
      <c r="O1216" s="43">
        <v>55</v>
      </c>
      <c r="P1216" s="44">
        <f>K1216+L1216+M1216+N1216+O1216</f>
        <v>2455</v>
      </c>
      <c r="Q1216" s="44">
        <f>I1216+J1216</f>
        <v>760</v>
      </c>
      <c r="R1216" s="43">
        <v>4145</v>
      </c>
      <c r="S1216" s="43">
        <v>177</v>
      </c>
      <c r="T1216" s="43">
        <v>742</v>
      </c>
      <c r="U1216" s="43">
        <v>86</v>
      </c>
      <c r="V1216" s="43">
        <v>7</v>
      </c>
      <c r="W1216" s="43">
        <v>2959</v>
      </c>
      <c r="X1216" s="43">
        <v>145</v>
      </c>
      <c r="Y1216" s="43">
        <v>29</v>
      </c>
      <c r="Z1216" s="45">
        <f>U1216+V1216+W1216+X1216+Y1216</f>
        <v>3226</v>
      </c>
      <c r="AA1216" s="45">
        <f>S1216+T1216</f>
        <v>919</v>
      </c>
      <c r="AB1216" s="46">
        <v>4.8211509000000001</v>
      </c>
      <c r="AC1216" s="46">
        <v>18.818040400000001</v>
      </c>
      <c r="AD1216" s="46">
        <v>3.2037325000000001</v>
      </c>
      <c r="AE1216" s="46">
        <v>0.46656300000000001</v>
      </c>
      <c r="AF1216" s="46">
        <v>65.349922199999995</v>
      </c>
      <c r="AG1216" s="46">
        <v>5.6298599999999999</v>
      </c>
      <c r="AH1216" s="46">
        <v>1.7107308999999999</v>
      </c>
      <c r="AI1216" s="47">
        <f>AB1216+AC1216</f>
        <v>23.6391913</v>
      </c>
      <c r="AJ1216" s="47">
        <f>AD1216+AE1216+AF1216+AG1216+AH1216</f>
        <v>76.360808599999984</v>
      </c>
      <c r="AK1216" s="46">
        <v>4.2702051000000001</v>
      </c>
      <c r="AL1216" s="46">
        <v>17.901085599999998</v>
      </c>
      <c r="AM1216" s="46">
        <v>2.0747889000000002</v>
      </c>
      <c r="AN1216" s="46">
        <v>0.16887820000000001</v>
      </c>
      <c r="AO1216" s="46">
        <v>71.387213500000001</v>
      </c>
      <c r="AP1216" s="46">
        <v>3.4981906</v>
      </c>
      <c r="AQ1216" s="46">
        <v>0.69963810000000004</v>
      </c>
      <c r="AR1216" s="48">
        <f>AK1216+AL1216</f>
        <v>22.1712907</v>
      </c>
      <c r="AS1216" s="48">
        <f>AM1216+AN1216+AO1216+AP1216+AQ1216</f>
        <v>77.8287093</v>
      </c>
    </row>
    <row r="1217" spans="2:45" ht="15" hidden="1" customHeight="1" x14ac:dyDescent="0.25">
      <c r="B1217" s="35">
        <v>1211</v>
      </c>
      <c r="C1217" s="36" t="s">
        <v>31</v>
      </c>
      <c r="D1217" s="36" t="s">
        <v>344</v>
      </c>
      <c r="E1217" s="36" t="s">
        <v>401</v>
      </c>
      <c r="F1217" s="36" t="s">
        <v>402</v>
      </c>
      <c r="G1217" s="37" t="s">
        <v>25</v>
      </c>
      <c r="H1217" s="38">
        <v>1501</v>
      </c>
      <c r="I1217" s="38">
        <v>144</v>
      </c>
      <c r="J1217" s="38">
        <v>593</v>
      </c>
      <c r="K1217" s="38">
        <v>43</v>
      </c>
      <c r="L1217" s="38">
        <v>2</v>
      </c>
      <c r="M1217" s="38">
        <v>672</v>
      </c>
      <c r="N1217" s="38">
        <v>34</v>
      </c>
      <c r="O1217" s="38">
        <v>13</v>
      </c>
      <c r="P1217" s="38"/>
      <c r="Q1217" s="38"/>
      <c r="R1217" s="38">
        <v>2079</v>
      </c>
      <c r="S1217" s="38">
        <v>145</v>
      </c>
      <c r="T1217" s="38">
        <v>734</v>
      </c>
      <c r="U1217" s="38">
        <v>39</v>
      </c>
      <c r="V1217" s="38">
        <v>5</v>
      </c>
      <c r="W1217" s="38">
        <v>1084</v>
      </c>
      <c r="X1217" s="38">
        <v>54</v>
      </c>
      <c r="Y1217" s="38">
        <v>18</v>
      </c>
      <c r="Z1217" s="38"/>
      <c r="AA1217" s="38"/>
      <c r="AB1217" s="39">
        <v>9.5936043000000009</v>
      </c>
      <c r="AC1217" s="39">
        <v>39.5069953</v>
      </c>
      <c r="AD1217" s="39">
        <v>2.8647567999999999</v>
      </c>
      <c r="AE1217" s="39">
        <v>0.13324449999999999</v>
      </c>
      <c r="AF1217" s="39">
        <v>44.770153200000003</v>
      </c>
      <c r="AG1217" s="39">
        <v>2.2651566000000001</v>
      </c>
      <c r="AH1217" s="39">
        <v>0.86608929999999995</v>
      </c>
      <c r="AI1217" s="39"/>
      <c r="AJ1217" s="39"/>
      <c r="AK1217" s="39">
        <v>6.974507</v>
      </c>
      <c r="AL1217" s="39">
        <v>35.305435299999999</v>
      </c>
      <c r="AM1217" s="39">
        <v>1.8759018999999999</v>
      </c>
      <c r="AN1217" s="39">
        <v>0.2405002</v>
      </c>
      <c r="AO1217" s="39">
        <v>52.140452099999997</v>
      </c>
      <c r="AP1217" s="39">
        <v>2.5974026000000001</v>
      </c>
      <c r="AQ1217" s="39">
        <v>0.86580089999999998</v>
      </c>
      <c r="AR1217" s="40"/>
      <c r="AS1217" s="40"/>
    </row>
    <row r="1218" spans="2:45" ht="15" hidden="1" customHeight="1" x14ac:dyDescent="0.25">
      <c r="B1218" s="35">
        <v>1212</v>
      </c>
      <c r="C1218" s="36" t="s">
        <v>31</v>
      </c>
      <c r="D1218" s="36" t="s">
        <v>344</v>
      </c>
      <c r="E1218" s="36" t="s">
        <v>401</v>
      </c>
      <c r="F1218" s="36" t="s">
        <v>402</v>
      </c>
      <c r="G1218" s="37" t="s">
        <v>26</v>
      </c>
      <c r="H1218" s="38">
        <v>1714</v>
      </c>
      <c r="I1218" s="38">
        <v>11</v>
      </c>
      <c r="J1218" s="38">
        <v>12</v>
      </c>
      <c r="K1218" s="38">
        <v>60</v>
      </c>
      <c r="L1218" s="38">
        <v>13</v>
      </c>
      <c r="M1218" s="38">
        <v>1429</v>
      </c>
      <c r="N1218" s="38">
        <v>147</v>
      </c>
      <c r="O1218" s="38">
        <v>42</v>
      </c>
      <c r="P1218" s="38"/>
      <c r="Q1218" s="38"/>
      <c r="R1218" s="38">
        <v>2066</v>
      </c>
      <c r="S1218" s="38">
        <v>32</v>
      </c>
      <c r="T1218" s="38">
        <v>8</v>
      </c>
      <c r="U1218" s="38">
        <v>47</v>
      </c>
      <c r="V1218" s="38">
        <v>2</v>
      </c>
      <c r="W1218" s="38">
        <v>1875</v>
      </c>
      <c r="X1218" s="38">
        <v>91</v>
      </c>
      <c r="Y1218" s="38">
        <v>11</v>
      </c>
      <c r="Z1218" s="38"/>
      <c r="AA1218" s="38"/>
      <c r="AB1218" s="39">
        <v>0.64177360000000006</v>
      </c>
      <c r="AC1218" s="39">
        <v>0.70011670000000004</v>
      </c>
      <c r="AD1218" s="39">
        <v>3.5005834</v>
      </c>
      <c r="AE1218" s="39">
        <v>0.75845969999999996</v>
      </c>
      <c r="AF1218" s="39">
        <v>83.372228699999994</v>
      </c>
      <c r="AG1218" s="39">
        <v>8.5764294000000003</v>
      </c>
      <c r="AH1218" s="39">
        <v>2.4504084000000002</v>
      </c>
      <c r="AI1218" s="39"/>
      <c r="AJ1218" s="39"/>
      <c r="AK1218" s="39">
        <v>1.5488866999999999</v>
      </c>
      <c r="AL1218" s="39">
        <v>0.3872217</v>
      </c>
      <c r="AM1218" s="39">
        <v>2.2749274000000002</v>
      </c>
      <c r="AN1218" s="39">
        <v>9.68054E-2</v>
      </c>
      <c r="AO1218" s="39">
        <v>90.755082299999998</v>
      </c>
      <c r="AP1218" s="39">
        <v>4.4046466999999998</v>
      </c>
      <c r="AQ1218" s="39">
        <v>0.53242979999999995</v>
      </c>
      <c r="AR1218" s="40"/>
      <c r="AS1218" s="40"/>
    </row>
    <row r="1219" spans="2:45" ht="15" hidden="1" customHeight="1" x14ac:dyDescent="0.25">
      <c r="B1219" s="30">
        <v>1213</v>
      </c>
      <c r="C1219" s="31" t="s">
        <v>29</v>
      </c>
      <c r="D1219" s="50" t="s">
        <v>344</v>
      </c>
      <c r="E1219" s="50" t="s">
        <v>403</v>
      </c>
      <c r="F1219" s="50"/>
      <c r="G1219" s="31" t="s">
        <v>403</v>
      </c>
      <c r="H1219" s="32">
        <v>6422</v>
      </c>
      <c r="I1219" s="32">
        <v>446</v>
      </c>
      <c r="J1219" s="32">
        <v>3372</v>
      </c>
      <c r="K1219" s="32">
        <v>804</v>
      </c>
      <c r="L1219" s="32">
        <v>99</v>
      </c>
      <c r="M1219" s="32">
        <v>1284</v>
      </c>
      <c r="N1219" s="32">
        <v>286</v>
      </c>
      <c r="O1219" s="32">
        <v>131</v>
      </c>
      <c r="P1219" s="32"/>
      <c r="Q1219" s="32"/>
      <c r="R1219" s="32">
        <v>7743</v>
      </c>
      <c r="S1219" s="32">
        <v>704</v>
      </c>
      <c r="T1219" s="32">
        <v>4530</v>
      </c>
      <c r="U1219" s="32">
        <v>183</v>
      </c>
      <c r="V1219" s="32">
        <v>17</v>
      </c>
      <c r="W1219" s="32">
        <v>2018</v>
      </c>
      <c r="X1219" s="32">
        <v>217</v>
      </c>
      <c r="Y1219" s="32">
        <v>74</v>
      </c>
      <c r="Z1219" s="32"/>
      <c r="AA1219" s="32"/>
      <c r="AB1219" s="33">
        <v>6.944877</v>
      </c>
      <c r="AC1219" s="33">
        <v>52.507007199999997</v>
      </c>
      <c r="AD1219" s="33">
        <v>12.519464299999999</v>
      </c>
      <c r="AE1219" s="33">
        <v>1.5415757999999999</v>
      </c>
      <c r="AF1219" s="33">
        <v>19.9937714</v>
      </c>
      <c r="AG1219" s="33">
        <v>4.4534412999999997</v>
      </c>
      <c r="AH1219" s="33">
        <v>2.039863</v>
      </c>
      <c r="AI1219" s="33"/>
      <c r="AJ1219" s="33"/>
      <c r="AK1219" s="33">
        <v>9.0920831999999994</v>
      </c>
      <c r="AL1219" s="33">
        <v>58.5044556</v>
      </c>
      <c r="AM1219" s="33">
        <v>2.3634249999999999</v>
      </c>
      <c r="AN1219" s="33">
        <v>0.2195531</v>
      </c>
      <c r="AO1219" s="33">
        <v>26.0622498</v>
      </c>
      <c r="AP1219" s="33">
        <v>2.8025313000000001</v>
      </c>
      <c r="AQ1219" s="33">
        <v>0.95570189999999999</v>
      </c>
      <c r="AR1219" s="34"/>
      <c r="AS1219" s="34"/>
    </row>
    <row r="1220" spans="2:45" ht="15" hidden="1" customHeight="1" x14ac:dyDescent="0.25">
      <c r="B1220" s="35">
        <v>1214</v>
      </c>
      <c r="C1220" s="36" t="s">
        <v>29</v>
      </c>
      <c r="D1220" s="36" t="s">
        <v>344</v>
      </c>
      <c r="E1220" s="36" t="s">
        <v>403</v>
      </c>
      <c r="F1220" s="36"/>
      <c r="G1220" s="37" t="s">
        <v>25</v>
      </c>
      <c r="H1220" s="38">
        <v>2423</v>
      </c>
      <c r="I1220" s="38">
        <v>287</v>
      </c>
      <c r="J1220" s="38">
        <v>1991</v>
      </c>
      <c r="K1220" s="38">
        <v>31</v>
      </c>
      <c r="L1220" s="38">
        <v>18</v>
      </c>
      <c r="M1220" s="38">
        <v>83</v>
      </c>
      <c r="N1220" s="38">
        <v>11</v>
      </c>
      <c r="O1220" s="38">
        <v>2</v>
      </c>
      <c r="P1220" s="38"/>
      <c r="Q1220" s="38"/>
      <c r="R1220" s="38">
        <v>3217</v>
      </c>
      <c r="S1220" s="38">
        <v>411</v>
      </c>
      <c r="T1220" s="38">
        <v>2619</v>
      </c>
      <c r="U1220" s="38">
        <v>16</v>
      </c>
      <c r="V1220" s="38">
        <v>1</v>
      </c>
      <c r="W1220" s="38">
        <v>143</v>
      </c>
      <c r="X1220" s="38">
        <v>14</v>
      </c>
      <c r="Y1220" s="38">
        <v>13</v>
      </c>
      <c r="Z1220" s="38"/>
      <c r="AA1220" s="38"/>
      <c r="AB1220" s="39">
        <v>11.844820500000001</v>
      </c>
      <c r="AC1220" s="39">
        <v>82.170862600000007</v>
      </c>
      <c r="AD1220" s="39">
        <v>1.2794057000000001</v>
      </c>
      <c r="AE1220" s="39">
        <v>0.74288069999999995</v>
      </c>
      <c r="AF1220" s="39">
        <v>3.4255056000000002</v>
      </c>
      <c r="AG1220" s="39">
        <v>0.45398270000000002</v>
      </c>
      <c r="AH1220" s="39">
        <v>8.2542299999999999E-2</v>
      </c>
      <c r="AI1220" s="39"/>
      <c r="AJ1220" s="39"/>
      <c r="AK1220" s="39">
        <v>12.7758781</v>
      </c>
      <c r="AL1220" s="39">
        <v>81.411252700000006</v>
      </c>
      <c r="AM1220" s="39">
        <v>0.49735780000000002</v>
      </c>
      <c r="AN1220" s="39">
        <v>3.1084899999999999E-2</v>
      </c>
      <c r="AO1220" s="39">
        <v>4.4451352000000002</v>
      </c>
      <c r="AP1220" s="39">
        <v>0.43518810000000002</v>
      </c>
      <c r="AQ1220" s="39">
        <v>0.4041032</v>
      </c>
      <c r="AR1220" s="40"/>
      <c r="AS1220" s="40"/>
    </row>
    <row r="1221" spans="2:45" ht="15" hidden="1" customHeight="1" x14ac:dyDescent="0.25">
      <c r="B1221" s="35">
        <v>1215</v>
      </c>
      <c r="C1221" s="36" t="s">
        <v>29</v>
      </c>
      <c r="D1221" s="36" t="s">
        <v>344</v>
      </c>
      <c r="E1221" s="36" t="s">
        <v>403</v>
      </c>
      <c r="F1221" s="36"/>
      <c r="G1221" s="37" t="s">
        <v>26</v>
      </c>
      <c r="H1221" s="38">
        <v>3999</v>
      </c>
      <c r="I1221" s="38">
        <v>159</v>
      </c>
      <c r="J1221" s="38">
        <v>1381</v>
      </c>
      <c r="K1221" s="38">
        <v>773</v>
      </c>
      <c r="L1221" s="38">
        <v>81</v>
      </c>
      <c r="M1221" s="38">
        <v>1201</v>
      </c>
      <c r="N1221" s="38">
        <v>275</v>
      </c>
      <c r="O1221" s="38">
        <v>129</v>
      </c>
      <c r="P1221" s="38"/>
      <c r="Q1221" s="38"/>
      <c r="R1221" s="38">
        <v>4526</v>
      </c>
      <c r="S1221" s="38">
        <v>293</v>
      </c>
      <c r="T1221" s="38">
        <v>1911</v>
      </c>
      <c r="U1221" s="38">
        <v>167</v>
      </c>
      <c r="V1221" s="38">
        <v>16</v>
      </c>
      <c r="W1221" s="38">
        <v>1875</v>
      </c>
      <c r="X1221" s="38">
        <v>203</v>
      </c>
      <c r="Y1221" s="38">
        <v>61</v>
      </c>
      <c r="Z1221" s="38"/>
      <c r="AA1221" s="38"/>
      <c r="AB1221" s="39">
        <v>3.975994</v>
      </c>
      <c r="AC1221" s="39">
        <v>34.533633399999999</v>
      </c>
      <c r="AD1221" s="39">
        <v>19.329832499999998</v>
      </c>
      <c r="AE1221" s="39">
        <v>2.0255063999999998</v>
      </c>
      <c r="AF1221" s="39">
        <v>30.032508100000001</v>
      </c>
      <c r="AG1221" s="39">
        <v>6.8767192000000001</v>
      </c>
      <c r="AH1221" s="39">
        <v>3.2258065</v>
      </c>
      <c r="AI1221" s="39"/>
      <c r="AJ1221" s="39"/>
      <c r="AK1221" s="39">
        <v>6.4737074999999997</v>
      </c>
      <c r="AL1221" s="39">
        <v>42.222713200000001</v>
      </c>
      <c r="AM1221" s="39">
        <v>3.6897923000000001</v>
      </c>
      <c r="AN1221" s="39">
        <v>0.35351300000000002</v>
      </c>
      <c r="AO1221" s="39">
        <v>41.4273089</v>
      </c>
      <c r="AP1221" s="39">
        <v>4.4851966000000001</v>
      </c>
      <c r="AQ1221" s="39">
        <v>1.3477684000000001</v>
      </c>
      <c r="AR1221" s="40"/>
      <c r="AS1221" s="40"/>
    </row>
    <row r="1222" spans="2:45" ht="15" customHeight="1" x14ac:dyDescent="0.25">
      <c r="B1222" s="41">
        <v>1216</v>
      </c>
      <c r="C1222" s="42" t="s">
        <v>31</v>
      </c>
      <c r="D1222" s="51" t="s">
        <v>344</v>
      </c>
      <c r="E1222" s="51" t="s">
        <v>403</v>
      </c>
      <c r="F1222" s="51" t="s">
        <v>404</v>
      </c>
      <c r="G1222" s="52" t="s">
        <v>404</v>
      </c>
      <c r="H1222" s="43">
        <v>4639</v>
      </c>
      <c r="I1222" s="43">
        <v>242</v>
      </c>
      <c r="J1222" s="43">
        <v>2414</v>
      </c>
      <c r="K1222" s="43">
        <v>632</v>
      </c>
      <c r="L1222" s="43">
        <v>56</v>
      </c>
      <c r="M1222" s="43">
        <v>953</v>
      </c>
      <c r="N1222" s="43">
        <v>251</v>
      </c>
      <c r="O1222" s="43">
        <v>91</v>
      </c>
      <c r="P1222" s="44">
        <f>K1222+L1222+M1222+N1222+O1222</f>
        <v>1983</v>
      </c>
      <c r="Q1222" s="44">
        <f>I1222+J1222</f>
        <v>2656</v>
      </c>
      <c r="R1222" s="43">
        <v>5754</v>
      </c>
      <c r="S1222" s="43">
        <v>554</v>
      </c>
      <c r="T1222" s="43">
        <v>3154</v>
      </c>
      <c r="U1222" s="43">
        <v>143</v>
      </c>
      <c r="V1222" s="43">
        <v>11</v>
      </c>
      <c r="W1222" s="43">
        <v>1661</v>
      </c>
      <c r="X1222" s="43">
        <v>167</v>
      </c>
      <c r="Y1222" s="43">
        <v>64</v>
      </c>
      <c r="Z1222" s="45">
        <f>U1222+V1222+W1222+X1222+Y1222</f>
        <v>2046</v>
      </c>
      <c r="AA1222" s="45">
        <f>S1222+T1222</f>
        <v>3708</v>
      </c>
      <c r="AB1222" s="46">
        <v>5.2166414999999997</v>
      </c>
      <c r="AC1222" s="46">
        <v>52.037076999999996</v>
      </c>
      <c r="AD1222" s="46">
        <v>13.623625799999999</v>
      </c>
      <c r="AE1222" s="46">
        <v>1.2071567000000001</v>
      </c>
      <c r="AF1222" s="46">
        <v>20.5432205</v>
      </c>
      <c r="AG1222" s="46">
        <v>5.4106487999999997</v>
      </c>
      <c r="AH1222" s="46">
        <v>1.9616297</v>
      </c>
      <c r="AI1222" s="47">
        <f>AB1222+AC1222</f>
        <v>57.253718499999998</v>
      </c>
      <c r="AJ1222" s="47">
        <f>AD1222+AE1222+AF1222+AG1222+AH1222</f>
        <v>42.746281500000002</v>
      </c>
      <c r="AK1222" s="46">
        <v>9.6280847999999999</v>
      </c>
      <c r="AL1222" s="46">
        <v>54.814042399999998</v>
      </c>
      <c r="AM1222" s="46">
        <v>2.4852276999999998</v>
      </c>
      <c r="AN1222" s="46">
        <v>0.19117139999999999</v>
      </c>
      <c r="AO1222" s="46">
        <v>28.866875199999999</v>
      </c>
      <c r="AP1222" s="46">
        <v>2.9023287999999998</v>
      </c>
      <c r="AQ1222" s="46">
        <v>1.1122696999999999</v>
      </c>
      <c r="AR1222" s="48">
        <f>AK1222+AL1222</f>
        <v>64.442127200000002</v>
      </c>
      <c r="AS1222" s="48">
        <f>AM1222+AN1222+AO1222+AP1222+AQ1222</f>
        <v>35.557872799999998</v>
      </c>
    </row>
    <row r="1223" spans="2:45" ht="15" hidden="1" customHeight="1" x14ac:dyDescent="0.25">
      <c r="B1223" s="35">
        <v>1217</v>
      </c>
      <c r="C1223" s="36" t="s">
        <v>31</v>
      </c>
      <c r="D1223" s="36" t="s">
        <v>344</v>
      </c>
      <c r="E1223" s="36" t="s">
        <v>403</v>
      </c>
      <c r="F1223" s="36" t="s">
        <v>404</v>
      </c>
      <c r="G1223" s="37" t="s">
        <v>25</v>
      </c>
      <c r="H1223" s="38">
        <v>1507</v>
      </c>
      <c r="I1223" s="38">
        <v>121</v>
      </c>
      <c r="J1223" s="38">
        <v>1356</v>
      </c>
      <c r="K1223" s="38">
        <v>7</v>
      </c>
      <c r="L1223" s="38">
        <v>1</v>
      </c>
      <c r="M1223" s="38">
        <v>14</v>
      </c>
      <c r="N1223" s="38">
        <v>7</v>
      </c>
      <c r="O1223" s="38">
        <v>1</v>
      </c>
      <c r="P1223" s="38"/>
      <c r="Q1223" s="38"/>
      <c r="R1223" s="38">
        <v>2031</v>
      </c>
      <c r="S1223" s="38">
        <v>307</v>
      </c>
      <c r="T1223" s="38">
        <v>1628</v>
      </c>
      <c r="U1223" s="38">
        <v>9</v>
      </c>
      <c r="V1223" s="38">
        <v>0</v>
      </c>
      <c r="W1223" s="38">
        <v>73</v>
      </c>
      <c r="X1223" s="38">
        <v>4</v>
      </c>
      <c r="Y1223" s="38">
        <v>10</v>
      </c>
      <c r="Z1223" s="38"/>
      <c r="AA1223" s="38"/>
      <c r="AB1223" s="39">
        <v>8.0291970999999993</v>
      </c>
      <c r="AC1223" s="39">
        <v>89.980092900000002</v>
      </c>
      <c r="AD1223" s="39">
        <v>0.464499</v>
      </c>
      <c r="AE1223" s="39">
        <v>6.6356999999999999E-2</v>
      </c>
      <c r="AF1223" s="39">
        <v>0.92899799999999999</v>
      </c>
      <c r="AG1223" s="39">
        <v>0.464499</v>
      </c>
      <c r="AH1223" s="39">
        <v>6.6356999999999999E-2</v>
      </c>
      <c r="AI1223" s="39"/>
      <c r="AJ1223" s="39"/>
      <c r="AK1223" s="39">
        <v>15.1157065</v>
      </c>
      <c r="AL1223" s="39">
        <v>80.1575579</v>
      </c>
      <c r="AM1223" s="39">
        <v>0.44313150000000001</v>
      </c>
      <c r="AN1223" s="39">
        <v>0</v>
      </c>
      <c r="AO1223" s="39">
        <v>3.5942885000000002</v>
      </c>
      <c r="AP1223" s="39">
        <v>0.19694729999999999</v>
      </c>
      <c r="AQ1223" s="39">
        <v>0.49236829999999998</v>
      </c>
      <c r="AR1223" s="40"/>
      <c r="AS1223" s="40"/>
    </row>
    <row r="1224" spans="2:45" ht="15" hidden="1" customHeight="1" x14ac:dyDescent="0.25">
      <c r="B1224" s="35">
        <v>1218</v>
      </c>
      <c r="C1224" s="36" t="s">
        <v>31</v>
      </c>
      <c r="D1224" s="36" t="s">
        <v>344</v>
      </c>
      <c r="E1224" s="36" t="s">
        <v>403</v>
      </c>
      <c r="F1224" s="36" t="s">
        <v>404</v>
      </c>
      <c r="G1224" s="37" t="s">
        <v>26</v>
      </c>
      <c r="H1224" s="38">
        <v>3132</v>
      </c>
      <c r="I1224" s="38">
        <v>121</v>
      </c>
      <c r="J1224" s="38">
        <v>1058</v>
      </c>
      <c r="K1224" s="38">
        <v>625</v>
      </c>
      <c r="L1224" s="38">
        <v>55</v>
      </c>
      <c r="M1224" s="38">
        <v>939</v>
      </c>
      <c r="N1224" s="38">
        <v>244</v>
      </c>
      <c r="O1224" s="38">
        <v>90</v>
      </c>
      <c r="P1224" s="38"/>
      <c r="Q1224" s="38"/>
      <c r="R1224" s="38">
        <v>3723</v>
      </c>
      <c r="S1224" s="38">
        <v>247</v>
      </c>
      <c r="T1224" s="38">
        <v>1526</v>
      </c>
      <c r="U1224" s="38">
        <v>134</v>
      </c>
      <c r="V1224" s="38">
        <v>11</v>
      </c>
      <c r="W1224" s="38">
        <v>1588</v>
      </c>
      <c r="X1224" s="38">
        <v>163</v>
      </c>
      <c r="Y1224" s="38">
        <v>54</v>
      </c>
      <c r="Z1224" s="38"/>
      <c r="AA1224" s="38"/>
      <c r="AB1224" s="39">
        <v>3.8633460999999998</v>
      </c>
      <c r="AC1224" s="39">
        <v>33.780332100000003</v>
      </c>
      <c r="AD1224" s="39">
        <v>19.955300099999999</v>
      </c>
      <c r="AE1224" s="39">
        <v>1.7560663999999999</v>
      </c>
      <c r="AF1224" s="39">
        <v>29.980842899999999</v>
      </c>
      <c r="AG1224" s="39">
        <v>7.7905492000000001</v>
      </c>
      <c r="AH1224" s="39">
        <v>2.8735632</v>
      </c>
      <c r="AI1224" s="39"/>
      <c r="AJ1224" s="39"/>
      <c r="AK1224" s="39">
        <v>6.6344345999999996</v>
      </c>
      <c r="AL1224" s="39">
        <v>40.988450200000003</v>
      </c>
      <c r="AM1224" s="39">
        <v>3.5992478999999999</v>
      </c>
      <c r="AN1224" s="39">
        <v>0.29546070000000002</v>
      </c>
      <c r="AO1224" s="39">
        <v>42.653773800000003</v>
      </c>
      <c r="AP1224" s="39">
        <v>4.3781895999999998</v>
      </c>
      <c r="AQ1224" s="39">
        <v>1.4504432</v>
      </c>
      <c r="AR1224" s="40"/>
      <c r="AS1224" s="40"/>
    </row>
    <row r="1225" spans="2:45" ht="15" customHeight="1" x14ac:dyDescent="0.25">
      <c r="B1225" s="41">
        <v>1219</v>
      </c>
      <c r="C1225" s="42" t="s">
        <v>31</v>
      </c>
      <c r="D1225" s="51" t="s">
        <v>344</v>
      </c>
      <c r="E1225" s="51" t="s">
        <v>403</v>
      </c>
      <c r="F1225" s="51" t="s">
        <v>405</v>
      </c>
      <c r="G1225" s="52" t="s">
        <v>405</v>
      </c>
      <c r="H1225" s="43">
        <v>1783</v>
      </c>
      <c r="I1225" s="43">
        <v>204</v>
      </c>
      <c r="J1225" s="43">
        <v>958</v>
      </c>
      <c r="K1225" s="43">
        <v>172</v>
      </c>
      <c r="L1225" s="43">
        <v>43</v>
      </c>
      <c r="M1225" s="43">
        <v>331</v>
      </c>
      <c r="N1225" s="43">
        <v>35</v>
      </c>
      <c r="O1225" s="43">
        <v>40</v>
      </c>
      <c r="P1225" s="44">
        <f>K1225+L1225+M1225+N1225+O1225</f>
        <v>621</v>
      </c>
      <c r="Q1225" s="44">
        <f>I1225+J1225</f>
        <v>1162</v>
      </c>
      <c r="R1225" s="43">
        <v>1989</v>
      </c>
      <c r="S1225" s="43">
        <v>150</v>
      </c>
      <c r="T1225" s="43">
        <v>1376</v>
      </c>
      <c r="U1225" s="43">
        <v>40</v>
      </c>
      <c r="V1225" s="43">
        <v>6</v>
      </c>
      <c r="W1225" s="43">
        <v>357</v>
      </c>
      <c r="X1225" s="43">
        <v>50</v>
      </c>
      <c r="Y1225" s="43">
        <v>10</v>
      </c>
      <c r="Z1225" s="45">
        <f>U1225+V1225+W1225+X1225+Y1225</f>
        <v>463</v>
      </c>
      <c r="AA1225" s="45">
        <f>S1225+T1225</f>
        <v>1526</v>
      </c>
      <c r="AB1225" s="46">
        <v>11.4413909</v>
      </c>
      <c r="AC1225" s="46">
        <v>53.729669100000002</v>
      </c>
      <c r="AD1225" s="46">
        <v>9.6466629000000008</v>
      </c>
      <c r="AE1225" s="46">
        <v>2.4116656999999999</v>
      </c>
      <c r="AF1225" s="46">
        <v>18.564217599999999</v>
      </c>
      <c r="AG1225" s="46">
        <v>1.9629837000000001</v>
      </c>
      <c r="AH1225" s="46">
        <v>2.2434099999999999</v>
      </c>
      <c r="AI1225" s="47">
        <f>AB1225+AC1225</f>
        <v>65.171059999999997</v>
      </c>
      <c r="AJ1225" s="47">
        <f>AD1225+AE1225+AF1225+AG1225+AH1225</f>
        <v>34.828939900000002</v>
      </c>
      <c r="AK1225" s="46">
        <v>7.5414781</v>
      </c>
      <c r="AL1225" s="46">
        <v>69.180492700000002</v>
      </c>
      <c r="AM1225" s="46">
        <v>2.0110608000000001</v>
      </c>
      <c r="AN1225" s="46">
        <v>0.30165910000000001</v>
      </c>
      <c r="AO1225" s="46">
        <v>17.948717899999998</v>
      </c>
      <c r="AP1225" s="46">
        <v>2.5138259999999999</v>
      </c>
      <c r="AQ1225" s="46">
        <v>0.50276520000000002</v>
      </c>
      <c r="AR1225" s="48">
        <f>AK1225+AL1225</f>
        <v>76.721970800000008</v>
      </c>
      <c r="AS1225" s="48">
        <f>AM1225+AN1225+AO1225+AP1225+AQ1225</f>
        <v>23.278028999999997</v>
      </c>
    </row>
    <row r="1226" spans="2:45" ht="15" hidden="1" customHeight="1" x14ac:dyDescent="0.25">
      <c r="B1226" s="35">
        <v>1220</v>
      </c>
      <c r="C1226" s="36" t="s">
        <v>31</v>
      </c>
      <c r="D1226" s="36" t="s">
        <v>344</v>
      </c>
      <c r="E1226" s="36" t="s">
        <v>403</v>
      </c>
      <c r="F1226" s="36" t="s">
        <v>405</v>
      </c>
      <c r="G1226" s="37" t="s">
        <v>25</v>
      </c>
      <c r="H1226" s="38">
        <v>916</v>
      </c>
      <c r="I1226" s="38">
        <v>166</v>
      </c>
      <c r="J1226" s="38">
        <v>635</v>
      </c>
      <c r="K1226" s="38">
        <v>24</v>
      </c>
      <c r="L1226" s="38">
        <v>17</v>
      </c>
      <c r="M1226" s="38">
        <v>69</v>
      </c>
      <c r="N1226" s="38">
        <v>4</v>
      </c>
      <c r="O1226" s="38">
        <v>1</v>
      </c>
      <c r="P1226" s="38"/>
      <c r="Q1226" s="38"/>
      <c r="R1226" s="38">
        <v>1186</v>
      </c>
      <c r="S1226" s="38">
        <v>104</v>
      </c>
      <c r="T1226" s="38">
        <v>991</v>
      </c>
      <c r="U1226" s="38">
        <v>7</v>
      </c>
      <c r="V1226" s="38">
        <v>1</v>
      </c>
      <c r="W1226" s="38">
        <v>70</v>
      </c>
      <c r="X1226" s="38">
        <v>10</v>
      </c>
      <c r="Y1226" s="38">
        <v>3</v>
      </c>
      <c r="Z1226" s="38"/>
      <c r="AA1226" s="38"/>
      <c r="AB1226" s="39">
        <v>18.122270700000001</v>
      </c>
      <c r="AC1226" s="39">
        <v>69.323144099999993</v>
      </c>
      <c r="AD1226" s="39">
        <v>2.6200872999999998</v>
      </c>
      <c r="AE1226" s="39">
        <v>1.8558952</v>
      </c>
      <c r="AF1226" s="39">
        <v>7.5327510999999996</v>
      </c>
      <c r="AG1226" s="39">
        <v>0.43668119999999999</v>
      </c>
      <c r="AH1226" s="39">
        <v>0.1091703</v>
      </c>
      <c r="AI1226" s="39"/>
      <c r="AJ1226" s="39"/>
      <c r="AK1226" s="39">
        <v>8.7689713000000005</v>
      </c>
      <c r="AL1226" s="39">
        <v>83.558178799999993</v>
      </c>
      <c r="AM1226" s="39">
        <v>0.59021920000000005</v>
      </c>
      <c r="AN1226" s="39">
        <v>8.4317000000000003E-2</v>
      </c>
      <c r="AO1226" s="39">
        <v>5.9021922</v>
      </c>
      <c r="AP1226" s="39">
        <v>0.84317030000000004</v>
      </c>
      <c r="AQ1226" s="39">
        <v>0.25295109999999998</v>
      </c>
      <c r="AR1226" s="40"/>
      <c r="AS1226" s="40"/>
    </row>
    <row r="1227" spans="2:45" ht="15" hidden="1" customHeight="1" x14ac:dyDescent="0.25">
      <c r="B1227" s="35">
        <v>1221</v>
      </c>
      <c r="C1227" s="36" t="s">
        <v>31</v>
      </c>
      <c r="D1227" s="36" t="s">
        <v>344</v>
      </c>
      <c r="E1227" s="36" t="s">
        <v>403</v>
      </c>
      <c r="F1227" s="36" t="s">
        <v>405</v>
      </c>
      <c r="G1227" s="37" t="s">
        <v>26</v>
      </c>
      <c r="H1227" s="38">
        <v>867</v>
      </c>
      <c r="I1227" s="38">
        <v>38</v>
      </c>
      <c r="J1227" s="38">
        <v>323</v>
      </c>
      <c r="K1227" s="38">
        <v>148</v>
      </c>
      <c r="L1227" s="38">
        <v>26</v>
      </c>
      <c r="M1227" s="38">
        <v>262</v>
      </c>
      <c r="N1227" s="38">
        <v>31</v>
      </c>
      <c r="O1227" s="38">
        <v>39</v>
      </c>
      <c r="P1227" s="38"/>
      <c r="Q1227" s="38"/>
      <c r="R1227" s="38">
        <v>803</v>
      </c>
      <c r="S1227" s="38">
        <v>46</v>
      </c>
      <c r="T1227" s="38">
        <v>385</v>
      </c>
      <c r="U1227" s="38">
        <v>33</v>
      </c>
      <c r="V1227" s="38">
        <v>5</v>
      </c>
      <c r="W1227" s="38">
        <v>287</v>
      </c>
      <c r="X1227" s="38">
        <v>40</v>
      </c>
      <c r="Y1227" s="38">
        <v>7</v>
      </c>
      <c r="Z1227" s="38"/>
      <c r="AA1227" s="38"/>
      <c r="AB1227" s="39">
        <v>4.3829295999999998</v>
      </c>
      <c r="AC1227" s="39">
        <v>37.254902000000001</v>
      </c>
      <c r="AD1227" s="39">
        <v>17.070357600000001</v>
      </c>
      <c r="AE1227" s="39">
        <v>2.9988465999999998</v>
      </c>
      <c r="AF1227" s="39">
        <v>30.219146500000001</v>
      </c>
      <c r="AG1227" s="39">
        <v>3.5755479000000001</v>
      </c>
      <c r="AH1227" s="39">
        <v>4.4982699000000004</v>
      </c>
      <c r="AI1227" s="39"/>
      <c r="AJ1227" s="39"/>
      <c r="AK1227" s="39">
        <v>5.7285180999999996</v>
      </c>
      <c r="AL1227" s="39">
        <v>47.9452055</v>
      </c>
      <c r="AM1227" s="39">
        <v>4.1095889999999997</v>
      </c>
      <c r="AN1227" s="39">
        <v>0.62266500000000002</v>
      </c>
      <c r="AO1227" s="39">
        <v>35.740971399999999</v>
      </c>
      <c r="AP1227" s="39">
        <v>4.9813200000000002</v>
      </c>
      <c r="AQ1227" s="39">
        <v>0.87173100000000003</v>
      </c>
      <c r="AR1227" s="40"/>
      <c r="AS1227" s="40"/>
    </row>
    <row r="1228" spans="2:45" ht="15" hidden="1" customHeight="1" x14ac:dyDescent="0.25">
      <c r="B1228" s="30">
        <v>1222</v>
      </c>
      <c r="C1228" s="31" t="s">
        <v>29</v>
      </c>
      <c r="D1228" s="50" t="s">
        <v>344</v>
      </c>
      <c r="E1228" s="50" t="s">
        <v>406</v>
      </c>
      <c r="F1228" s="50"/>
      <c r="G1228" s="31" t="s">
        <v>406</v>
      </c>
      <c r="H1228" s="32">
        <v>9927</v>
      </c>
      <c r="I1228" s="32">
        <v>993</v>
      </c>
      <c r="J1228" s="32">
        <v>4082</v>
      </c>
      <c r="K1228" s="32">
        <v>195</v>
      </c>
      <c r="L1228" s="32">
        <v>23</v>
      </c>
      <c r="M1228" s="32">
        <v>4151</v>
      </c>
      <c r="N1228" s="32">
        <v>340</v>
      </c>
      <c r="O1228" s="32">
        <v>143</v>
      </c>
      <c r="P1228" s="32"/>
      <c r="Q1228" s="32"/>
      <c r="R1228" s="32">
        <v>12246</v>
      </c>
      <c r="S1228" s="32">
        <v>1579</v>
      </c>
      <c r="T1228" s="32">
        <v>5748</v>
      </c>
      <c r="U1228" s="32">
        <v>190</v>
      </c>
      <c r="V1228" s="32">
        <v>9</v>
      </c>
      <c r="W1228" s="32">
        <v>4181</v>
      </c>
      <c r="X1228" s="32">
        <v>407</v>
      </c>
      <c r="Y1228" s="32">
        <v>132</v>
      </c>
      <c r="Z1228" s="32"/>
      <c r="AA1228" s="32"/>
      <c r="AB1228" s="33">
        <v>10.003022100000001</v>
      </c>
      <c r="AC1228" s="33">
        <v>41.120177300000002</v>
      </c>
      <c r="AD1228" s="33">
        <v>1.9643397</v>
      </c>
      <c r="AE1228" s="33">
        <v>0.23169129999999999</v>
      </c>
      <c r="AF1228" s="33">
        <v>41.8152513</v>
      </c>
      <c r="AG1228" s="33">
        <v>3.4250025000000002</v>
      </c>
      <c r="AH1228" s="33">
        <v>1.4405158</v>
      </c>
      <c r="AI1228" s="33"/>
      <c r="AJ1228" s="33"/>
      <c r="AK1228" s="33">
        <v>12.8940062</v>
      </c>
      <c r="AL1228" s="33">
        <v>46.937775600000002</v>
      </c>
      <c r="AM1228" s="33">
        <v>1.5515270000000001</v>
      </c>
      <c r="AN1228" s="33">
        <v>7.34934E-2</v>
      </c>
      <c r="AO1228" s="33">
        <v>34.141760599999998</v>
      </c>
      <c r="AP1228" s="33">
        <v>3.3235342000000001</v>
      </c>
      <c r="AQ1228" s="33">
        <v>1.0779030000000001</v>
      </c>
      <c r="AR1228" s="34"/>
      <c r="AS1228" s="34"/>
    </row>
    <row r="1229" spans="2:45" ht="15" hidden="1" customHeight="1" x14ac:dyDescent="0.25">
      <c r="B1229" s="35">
        <v>1223</v>
      </c>
      <c r="C1229" s="36" t="s">
        <v>29</v>
      </c>
      <c r="D1229" s="36" t="s">
        <v>344</v>
      </c>
      <c r="E1229" s="36" t="s">
        <v>406</v>
      </c>
      <c r="F1229" s="36"/>
      <c r="G1229" s="37" t="s">
        <v>25</v>
      </c>
      <c r="H1229" s="38">
        <v>8064</v>
      </c>
      <c r="I1229" s="38">
        <v>970</v>
      </c>
      <c r="J1229" s="38">
        <v>4040</v>
      </c>
      <c r="K1229" s="38">
        <v>159</v>
      </c>
      <c r="L1229" s="38">
        <v>16</v>
      </c>
      <c r="M1229" s="38">
        <v>2605</v>
      </c>
      <c r="N1229" s="38">
        <v>158</v>
      </c>
      <c r="O1229" s="38">
        <v>116</v>
      </c>
      <c r="P1229" s="38"/>
      <c r="Q1229" s="38"/>
      <c r="R1229" s="38">
        <v>9184</v>
      </c>
      <c r="S1229" s="38">
        <v>1495</v>
      </c>
      <c r="T1229" s="38">
        <v>5667</v>
      </c>
      <c r="U1229" s="38">
        <v>118</v>
      </c>
      <c r="V1229" s="38">
        <v>3</v>
      </c>
      <c r="W1229" s="38">
        <v>1769</v>
      </c>
      <c r="X1229" s="38">
        <v>82</v>
      </c>
      <c r="Y1229" s="38">
        <v>50</v>
      </c>
      <c r="Z1229" s="38"/>
      <c r="AA1229" s="38"/>
      <c r="AB1229" s="39">
        <v>12.028769799999999</v>
      </c>
      <c r="AC1229" s="39">
        <v>50.099206299999999</v>
      </c>
      <c r="AD1229" s="39">
        <v>1.9717262</v>
      </c>
      <c r="AE1229" s="39">
        <v>0.1984127</v>
      </c>
      <c r="AF1229" s="39">
        <v>32.304067500000002</v>
      </c>
      <c r="AG1229" s="39">
        <v>1.9593254</v>
      </c>
      <c r="AH1229" s="39">
        <v>1.4384920999999999</v>
      </c>
      <c r="AI1229" s="39"/>
      <c r="AJ1229" s="39"/>
      <c r="AK1229" s="39">
        <v>16.278310099999999</v>
      </c>
      <c r="AL1229" s="39">
        <v>61.7051394</v>
      </c>
      <c r="AM1229" s="39">
        <v>1.2848432000000001</v>
      </c>
      <c r="AN1229" s="39">
        <v>3.26655E-2</v>
      </c>
      <c r="AO1229" s="39">
        <v>19.261759600000001</v>
      </c>
      <c r="AP1229" s="39">
        <v>0.89285709999999996</v>
      </c>
      <c r="AQ1229" s="39">
        <v>0.5444251</v>
      </c>
      <c r="AR1229" s="40"/>
      <c r="AS1229" s="40"/>
    </row>
    <row r="1230" spans="2:45" ht="15" hidden="1" customHeight="1" x14ac:dyDescent="0.25">
      <c r="B1230" s="35">
        <v>1224</v>
      </c>
      <c r="C1230" s="36" t="s">
        <v>29</v>
      </c>
      <c r="D1230" s="36" t="s">
        <v>344</v>
      </c>
      <c r="E1230" s="36" t="s">
        <v>406</v>
      </c>
      <c r="F1230" s="36"/>
      <c r="G1230" s="37" t="s">
        <v>26</v>
      </c>
      <c r="H1230" s="38">
        <v>1863</v>
      </c>
      <c r="I1230" s="38">
        <v>23</v>
      </c>
      <c r="J1230" s="38">
        <v>42</v>
      </c>
      <c r="K1230" s="38">
        <v>36</v>
      </c>
      <c r="L1230" s="38">
        <v>7</v>
      </c>
      <c r="M1230" s="38">
        <v>1546</v>
      </c>
      <c r="N1230" s="38">
        <v>182</v>
      </c>
      <c r="O1230" s="38">
        <v>27</v>
      </c>
      <c r="P1230" s="38"/>
      <c r="Q1230" s="38"/>
      <c r="R1230" s="38">
        <v>3062</v>
      </c>
      <c r="S1230" s="38">
        <v>84</v>
      </c>
      <c r="T1230" s="38">
        <v>81</v>
      </c>
      <c r="U1230" s="38">
        <v>72</v>
      </c>
      <c r="V1230" s="38">
        <v>6</v>
      </c>
      <c r="W1230" s="38">
        <v>2412</v>
      </c>
      <c r="X1230" s="38">
        <v>325</v>
      </c>
      <c r="Y1230" s="38">
        <v>82</v>
      </c>
      <c r="Z1230" s="38"/>
      <c r="AA1230" s="38"/>
      <c r="AB1230" s="39">
        <v>1.2345679000000001</v>
      </c>
      <c r="AC1230" s="39">
        <v>2.2544282999999998</v>
      </c>
      <c r="AD1230" s="39">
        <v>1.9323671</v>
      </c>
      <c r="AE1230" s="39">
        <v>0.37573810000000002</v>
      </c>
      <c r="AF1230" s="39">
        <v>82.984433699999997</v>
      </c>
      <c r="AG1230" s="39">
        <v>9.7691894999999995</v>
      </c>
      <c r="AH1230" s="39">
        <v>1.4492754000000001</v>
      </c>
      <c r="AI1230" s="39"/>
      <c r="AJ1230" s="39"/>
      <c r="AK1230" s="39">
        <v>2.7433049999999999</v>
      </c>
      <c r="AL1230" s="39">
        <v>2.6453297999999998</v>
      </c>
      <c r="AM1230" s="39">
        <v>2.3514043</v>
      </c>
      <c r="AN1230" s="39">
        <v>0.1959504</v>
      </c>
      <c r="AO1230" s="39">
        <v>78.772044399999999</v>
      </c>
      <c r="AP1230" s="39">
        <v>10.613977800000001</v>
      </c>
      <c r="AQ1230" s="39">
        <v>2.6779882000000002</v>
      </c>
      <c r="AR1230" s="40"/>
      <c r="AS1230" s="40"/>
    </row>
    <row r="1231" spans="2:45" ht="15" customHeight="1" x14ac:dyDescent="0.25">
      <c r="B1231" s="41">
        <v>1225</v>
      </c>
      <c r="C1231" s="42" t="s">
        <v>31</v>
      </c>
      <c r="D1231" s="51" t="s">
        <v>344</v>
      </c>
      <c r="E1231" s="51" t="s">
        <v>406</v>
      </c>
      <c r="F1231" s="51" t="s">
        <v>407</v>
      </c>
      <c r="G1231" s="52" t="s">
        <v>407</v>
      </c>
      <c r="H1231" s="43">
        <v>4554</v>
      </c>
      <c r="I1231" s="43">
        <v>407</v>
      </c>
      <c r="J1231" s="43">
        <v>1430</v>
      </c>
      <c r="K1231" s="43">
        <v>112</v>
      </c>
      <c r="L1231" s="43">
        <v>19</v>
      </c>
      <c r="M1231" s="43">
        <v>2307</v>
      </c>
      <c r="N1231" s="43">
        <v>165</v>
      </c>
      <c r="O1231" s="43">
        <v>114</v>
      </c>
      <c r="P1231" s="44">
        <f>K1231+L1231+M1231+N1231+O1231</f>
        <v>2717</v>
      </c>
      <c r="Q1231" s="44">
        <f>I1231+J1231</f>
        <v>1837</v>
      </c>
      <c r="R1231" s="43">
        <v>4859</v>
      </c>
      <c r="S1231" s="43">
        <v>625</v>
      </c>
      <c r="T1231" s="43">
        <v>2039</v>
      </c>
      <c r="U1231" s="43">
        <v>84</v>
      </c>
      <c r="V1231" s="43">
        <v>4</v>
      </c>
      <c r="W1231" s="43">
        <v>1897</v>
      </c>
      <c r="X1231" s="43">
        <v>161</v>
      </c>
      <c r="Y1231" s="43">
        <v>49</v>
      </c>
      <c r="Z1231" s="45">
        <f>U1231+V1231+W1231+X1231+Y1231</f>
        <v>2195</v>
      </c>
      <c r="AA1231" s="45">
        <f>S1231+T1231</f>
        <v>2664</v>
      </c>
      <c r="AB1231" s="46">
        <v>8.9371980999999998</v>
      </c>
      <c r="AC1231" s="46">
        <v>31.400966199999999</v>
      </c>
      <c r="AD1231" s="46">
        <v>2.4593764</v>
      </c>
      <c r="AE1231" s="46">
        <v>0.41721560000000002</v>
      </c>
      <c r="AF1231" s="46">
        <v>50.658761499999997</v>
      </c>
      <c r="AG1231" s="46">
        <v>3.6231884000000001</v>
      </c>
      <c r="AH1231" s="46">
        <v>2.5032937999999998</v>
      </c>
      <c r="AI1231" s="47">
        <f>AB1231+AC1231</f>
        <v>40.338164300000003</v>
      </c>
      <c r="AJ1231" s="47">
        <f>AD1231+AE1231+AF1231+AG1231+AH1231</f>
        <v>59.661835700000005</v>
      </c>
      <c r="AK1231" s="46">
        <v>12.862729</v>
      </c>
      <c r="AL1231" s="46">
        <v>41.963366899999997</v>
      </c>
      <c r="AM1231" s="46">
        <v>1.7287508</v>
      </c>
      <c r="AN1231" s="46">
        <v>8.2321500000000006E-2</v>
      </c>
      <c r="AO1231" s="46">
        <v>39.040954900000003</v>
      </c>
      <c r="AP1231" s="46">
        <v>3.3134389999999998</v>
      </c>
      <c r="AQ1231" s="46">
        <v>1.0084379999999999</v>
      </c>
      <c r="AR1231" s="48">
        <f>AK1231+AL1231</f>
        <v>54.826095899999999</v>
      </c>
      <c r="AS1231" s="48">
        <f>AM1231+AN1231+AO1231+AP1231+AQ1231</f>
        <v>45.173904200000003</v>
      </c>
    </row>
    <row r="1232" spans="2:45" ht="15" hidden="1" customHeight="1" x14ac:dyDescent="0.25">
      <c r="B1232" s="35">
        <v>1226</v>
      </c>
      <c r="C1232" s="36" t="s">
        <v>31</v>
      </c>
      <c r="D1232" s="36" t="s">
        <v>344</v>
      </c>
      <c r="E1232" s="36" t="s">
        <v>406</v>
      </c>
      <c r="F1232" s="36" t="s">
        <v>407</v>
      </c>
      <c r="G1232" s="37" t="s">
        <v>25</v>
      </c>
      <c r="H1232" s="38">
        <v>3590</v>
      </c>
      <c r="I1232" s="38">
        <v>386</v>
      </c>
      <c r="J1232" s="38">
        <v>1393</v>
      </c>
      <c r="K1232" s="38">
        <v>82</v>
      </c>
      <c r="L1232" s="38">
        <v>13</v>
      </c>
      <c r="M1232" s="38">
        <v>1547</v>
      </c>
      <c r="N1232" s="38">
        <v>72</v>
      </c>
      <c r="O1232" s="38">
        <v>97</v>
      </c>
      <c r="P1232" s="38"/>
      <c r="Q1232" s="38"/>
      <c r="R1232" s="38">
        <v>3361</v>
      </c>
      <c r="S1232" s="38">
        <v>558</v>
      </c>
      <c r="T1232" s="38">
        <v>1979</v>
      </c>
      <c r="U1232" s="38">
        <v>43</v>
      </c>
      <c r="V1232" s="38">
        <v>1</v>
      </c>
      <c r="W1232" s="38">
        <v>742</v>
      </c>
      <c r="X1232" s="38">
        <v>24</v>
      </c>
      <c r="Y1232" s="38">
        <v>14</v>
      </c>
      <c r="Z1232" s="38"/>
      <c r="AA1232" s="38"/>
      <c r="AB1232" s="39">
        <v>10.752089099999999</v>
      </c>
      <c r="AC1232" s="39">
        <v>38.802228399999997</v>
      </c>
      <c r="AD1232" s="39">
        <v>2.2841225999999999</v>
      </c>
      <c r="AE1232" s="39">
        <v>0.36211700000000002</v>
      </c>
      <c r="AF1232" s="39">
        <v>43.091921999999997</v>
      </c>
      <c r="AG1232" s="39">
        <v>2.0055710000000002</v>
      </c>
      <c r="AH1232" s="39">
        <v>2.7019498999999998</v>
      </c>
      <c r="AI1232" s="39"/>
      <c r="AJ1232" s="39"/>
      <c r="AK1232" s="39">
        <v>16.602201699999998</v>
      </c>
      <c r="AL1232" s="39">
        <v>58.881285300000002</v>
      </c>
      <c r="AM1232" s="39">
        <v>1.2793810999999999</v>
      </c>
      <c r="AN1232" s="39">
        <v>2.9753000000000002E-2</v>
      </c>
      <c r="AO1232" s="39">
        <v>22.076762899999999</v>
      </c>
      <c r="AP1232" s="39">
        <v>0.71407319999999996</v>
      </c>
      <c r="AQ1232" s="39">
        <v>0.41654269999999999</v>
      </c>
      <c r="AR1232" s="40"/>
      <c r="AS1232" s="40"/>
    </row>
    <row r="1233" spans="2:45" ht="15" hidden="1" customHeight="1" x14ac:dyDescent="0.25">
      <c r="B1233" s="35">
        <v>1227</v>
      </c>
      <c r="C1233" s="36" t="s">
        <v>31</v>
      </c>
      <c r="D1233" s="36" t="s">
        <v>344</v>
      </c>
      <c r="E1233" s="36" t="s">
        <v>406</v>
      </c>
      <c r="F1233" s="36" t="s">
        <v>407</v>
      </c>
      <c r="G1233" s="37" t="s">
        <v>26</v>
      </c>
      <c r="H1233" s="38">
        <v>964</v>
      </c>
      <c r="I1233" s="38">
        <v>21</v>
      </c>
      <c r="J1233" s="38">
        <v>37</v>
      </c>
      <c r="K1233" s="38">
        <v>30</v>
      </c>
      <c r="L1233" s="38">
        <v>6</v>
      </c>
      <c r="M1233" s="38">
        <v>760</v>
      </c>
      <c r="N1233" s="38">
        <v>93</v>
      </c>
      <c r="O1233" s="38">
        <v>17</v>
      </c>
      <c r="P1233" s="38"/>
      <c r="Q1233" s="38"/>
      <c r="R1233" s="38">
        <v>1498</v>
      </c>
      <c r="S1233" s="38">
        <v>67</v>
      </c>
      <c r="T1233" s="38">
        <v>60</v>
      </c>
      <c r="U1233" s="38">
        <v>41</v>
      </c>
      <c r="V1233" s="38">
        <v>3</v>
      </c>
      <c r="W1233" s="38">
        <v>1155</v>
      </c>
      <c r="X1233" s="38">
        <v>137</v>
      </c>
      <c r="Y1233" s="38">
        <v>35</v>
      </c>
      <c r="Z1233" s="38"/>
      <c r="AA1233" s="38"/>
      <c r="AB1233" s="39">
        <v>2.1784232000000001</v>
      </c>
      <c r="AC1233" s="39">
        <v>3.8381742999999999</v>
      </c>
      <c r="AD1233" s="39">
        <v>3.1120331999999999</v>
      </c>
      <c r="AE1233" s="39">
        <v>0.62240660000000003</v>
      </c>
      <c r="AF1233" s="39">
        <v>78.838174300000006</v>
      </c>
      <c r="AG1233" s="39">
        <v>9.6473028999999997</v>
      </c>
      <c r="AH1233" s="39">
        <v>1.7634855</v>
      </c>
      <c r="AI1233" s="39"/>
      <c r="AJ1233" s="39"/>
      <c r="AK1233" s="39">
        <v>4.4726302000000002</v>
      </c>
      <c r="AL1233" s="39">
        <v>4.0053405</v>
      </c>
      <c r="AM1233" s="39">
        <v>2.7369826000000002</v>
      </c>
      <c r="AN1233" s="39">
        <v>0.200267</v>
      </c>
      <c r="AO1233" s="39">
        <v>77.102803699999996</v>
      </c>
      <c r="AP1233" s="39">
        <v>9.1455274000000006</v>
      </c>
      <c r="AQ1233" s="39">
        <v>2.3364486000000002</v>
      </c>
      <c r="AR1233" s="40"/>
      <c r="AS1233" s="40"/>
    </row>
    <row r="1234" spans="2:45" ht="15" customHeight="1" x14ac:dyDescent="0.25">
      <c r="B1234" s="41">
        <v>1228</v>
      </c>
      <c r="C1234" s="42" t="s">
        <v>31</v>
      </c>
      <c r="D1234" s="51" t="s">
        <v>344</v>
      </c>
      <c r="E1234" s="51" t="s">
        <v>406</v>
      </c>
      <c r="F1234" s="51" t="s">
        <v>408</v>
      </c>
      <c r="G1234" s="52" t="s">
        <v>408</v>
      </c>
      <c r="H1234" s="43">
        <v>3881</v>
      </c>
      <c r="I1234" s="43">
        <v>577</v>
      </c>
      <c r="J1234" s="43">
        <v>2642</v>
      </c>
      <c r="K1234" s="43">
        <v>37</v>
      </c>
      <c r="L1234" s="43">
        <v>3</v>
      </c>
      <c r="M1234" s="43">
        <v>592</v>
      </c>
      <c r="N1234" s="43">
        <v>16</v>
      </c>
      <c r="O1234" s="43">
        <v>14</v>
      </c>
      <c r="P1234" s="44">
        <f>K1234+L1234+M1234+N1234+O1234</f>
        <v>662</v>
      </c>
      <c r="Q1234" s="44">
        <f>I1234+J1234</f>
        <v>3219</v>
      </c>
      <c r="R1234" s="43">
        <v>4954</v>
      </c>
      <c r="S1234" s="43">
        <v>856</v>
      </c>
      <c r="T1234" s="43">
        <v>3523</v>
      </c>
      <c r="U1234" s="43">
        <v>58</v>
      </c>
      <c r="V1234" s="43">
        <v>3</v>
      </c>
      <c r="W1234" s="43">
        <v>473</v>
      </c>
      <c r="X1234" s="43">
        <v>21</v>
      </c>
      <c r="Y1234" s="43">
        <v>20</v>
      </c>
      <c r="Z1234" s="45">
        <f>U1234+V1234+W1234+X1234+Y1234</f>
        <v>575</v>
      </c>
      <c r="AA1234" s="45">
        <f>S1234+T1234</f>
        <v>4379</v>
      </c>
      <c r="AB1234" s="46">
        <v>14.867302199999999</v>
      </c>
      <c r="AC1234" s="46">
        <v>68.075238299999995</v>
      </c>
      <c r="AD1234" s="46">
        <v>0.9533625</v>
      </c>
      <c r="AE1234" s="46">
        <v>7.7299699999999999E-2</v>
      </c>
      <c r="AF1234" s="46">
        <v>15.2538006</v>
      </c>
      <c r="AG1234" s="46">
        <v>0.41226489999999999</v>
      </c>
      <c r="AH1234" s="46">
        <v>0.36073179999999999</v>
      </c>
      <c r="AI1234" s="47">
        <f>AB1234+AC1234</f>
        <v>82.942540499999993</v>
      </c>
      <c r="AJ1234" s="47">
        <f>AD1234+AE1234+AF1234+AG1234+AH1234</f>
        <v>17.0574595</v>
      </c>
      <c r="AK1234" s="46">
        <v>17.278966499999999</v>
      </c>
      <c r="AL1234" s="46">
        <v>71.114251100000004</v>
      </c>
      <c r="AM1234" s="46">
        <v>1.1707711000000001</v>
      </c>
      <c r="AN1234" s="46">
        <v>6.0557100000000003E-2</v>
      </c>
      <c r="AO1234" s="46">
        <v>9.5478401000000002</v>
      </c>
      <c r="AP1234" s="46">
        <v>0.4238999</v>
      </c>
      <c r="AQ1234" s="46">
        <v>0.40371420000000002</v>
      </c>
      <c r="AR1234" s="48">
        <f>AK1234+AL1234</f>
        <v>88.3932176</v>
      </c>
      <c r="AS1234" s="48">
        <f>AM1234+AN1234+AO1234+AP1234+AQ1234</f>
        <v>11.6067824</v>
      </c>
    </row>
    <row r="1235" spans="2:45" ht="15" hidden="1" customHeight="1" x14ac:dyDescent="0.25">
      <c r="B1235" s="35">
        <v>1229</v>
      </c>
      <c r="C1235" s="36" t="s">
        <v>31</v>
      </c>
      <c r="D1235" s="36" t="s">
        <v>344</v>
      </c>
      <c r="E1235" s="36" t="s">
        <v>406</v>
      </c>
      <c r="F1235" s="36" t="s">
        <v>408</v>
      </c>
      <c r="G1235" s="37" t="s">
        <v>25</v>
      </c>
      <c r="H1235" s="38">
        <v>3817</v>
      </c>
      <c r="I1235" s="38">
        <v>577</v>
      </c>
      <c r="J1235" s="38">
        <v>2642</v>
      </c>
      <c r="K1235" s="38">
        <v>36</v>
      </c>
      <c r="L1235" s="38">
        <v>2</v>
      </c>
      <c r="M1235" s="38">
        <v>532</v>
      </c>
      <c r="N1235" s="38">
        <v>14</v>
      </c>
      <c r="O1235" s="38">
        <v>14</v>
      </c>
      <c r="P1235" s="38"/>
      <c r="Q1235" s="38"/>
      <c r="R1235" s="38">
        <v>4821</v>
      </c>
      <c r="S1235" s="38">
        <v>851</v>
      </c>
      <c r="T1235" s="38">
        <v>3505</v>
      </c>
      <c r="U1235" s="38">
        <v>47</v>
      </c>
      <c r="V1235" s="38">
        <v>2</v>
      </c>
      <c r="W1235" s="38">
        <v>390</v>
      </c>
      <c r="X1235" s="38">
        <v>7</v>
      </c>
      <c r="Y1235" s="38">
        <v>19</v>
      </c>
      <c r="Z1235" s="38"/>
      <c r="AA1235" s="38"/>
      <c r="AB1235" s="39">
        <v>15.1165837</v>
      </c>
      <c r="AC1235" s="39">
        <v>69.216662299999996</v>
      </c>
      <c r="AD1235" s="39">
        <v>0.94314909999999996</v>
      </c>
      <c r="AE1235" s="39">
        <v>5.2397199999999998E-2</v>
      </c>
      <c r="AF1235" s="39">
        <v>13.937647399999999</v>
      </c>
      <c r="AG1235" s="39">
        <v>0.3667802</v>
      </c>
      <c r="AH1235" s="39">
        <v>0.3667802</v>
      </c>
      <c r="AI1235" s="39"/>
      <c r="AJ1235" s="39"/>
      <c r="AK1235" s="39">
        <v>17.6519394</v>
      </c>
      <c r="AL1235" s="39">
        <v>72.702758799999998</v>
      </c>
      <c r="AM1235" s="39">
        <v>0.97490149999999998</v>
      </c>
      <c r="AN1235" s="39">
        <v>4.14852E-2</v>
      </c>
      <c r="AO1235" s="39">
        <v>8.0896080000000001</v>
      </c>
      <c r="AP1235" s="39">
        <v>0.1451981</v>
      </c>
      <c r="AQ1235" s="39">
        <v>0.39410909999999999</v>
      </c>
      <c r="AR1235" s="40"/>
      <c r="AS1235" s="40"/>
    </row>
    <row r="1236" spans="2:45" ht="15" hidden="1" customHeight="1" x14ac:dyDescent="0.25">
      <c r="B1236" s="35">
        <v>1230</v>
      </c>
      <c r="C1236" s="36" t="s">
        <v>31</v>
      </c>
      <c r="D1236" s="36" t="s">
        <v>344</v>
      </c>
      <c r="E1236" s="36" t="s">
        <v>406</v>
      </c>
      <c r="F1236" s="36" t="s">
        <v>408</v>
      </c>
      <c r="G1236" s="37" t="s">
        <v>26</v>
      </c>
      <c r="H1236" s="38">
        <v>64</v>
      </c>
      <c r="I1236" s="38">
        <v>0</v>
      </c>
      <c r="J1236" s="38">
        <v>0</v>
      </c>
      <c r="K1236" s="38">
        <v>1</v>
      </c>
      <c r="L1236" s="38">
        <v>1</v>
      </c>
      <c r="M1236" s="38">
        <v>60</v>
      </c>
      <c r="N1236" s="38">
        <v>2</v>
      </c>
      <c r="O1236" s="38">
        <v>0</v>
      </c>
      <c r="P1236" s="38"/>
      <c r="Q1236" s="38"/>
      <c r="R1236" s="38">
        <v>133</v>
      </c>
      <c r="S1236" s="38">
        <v>5</v>
      </c>
      <c r="T1236" s="38">
        <v>18</v>
      </c>
      <c r="U1236" s="38">
        <v>11</v>
      </c>
      <c r="V1236" s="38">
        <v>1</v>
      </c>
      <c r="W1236" s="38">
        <v>83</v>
      </c>
      <c r="X1236" s="38">
        <v>14</v>
      </c>
      <c r="Y1236" s="38">
        <v>1</v>
      </c>
      <c r="Z1236" s="38"/>
      <c r="AA1236" s="38"/>
      <c r="AB1236" s="39">
        <v>0</v>
      </c>
      <c r="AC1236" s="39">
        <v>0</v>
      </c>
      <c r="AD1236" s="39">
        <v>1.5625</v>
      </c>
      <c r="AE1236" s="39">
        <v>1.5625</v>
      </c>
      <c r="AF1236" s="39">
        <v>93.75</v>
      </c>
      <c r="AG1236" s="39">
        <v>3.125</v>
      </c>
      <c r="AH1236" s="39">
        <v>0</v>
      </c>
      <c r="AI1236" s="39"/>
      <c r="AJ1236" s="39"/>
      <c r="AK1236" s="39">
        <v>3.7593985000000001</v>
      </c>
      <c r="AL1236" s="39">
        <v>13.5338346</v>
      </c>
      <c r="AM1236" s="39">
        <v>8.2706766999999992</v>
      </c>
      <c r="AN1236" s="39">
        <v>0.75187970000000004</v>
      </c>
      <c r="AO1236" s="39">
        <v>62.406014999999996</v>
      </c>
      <c r="AP1236" s="39">
        <v>10.526315800000001</v>
      </c>
      <c r="AQ1236" s="39">
        <v>0.75187970000000004</v>
      </c>
      <c r="AR1236" s="40"/>
      <c r="AS1236" s="40"/>
    </row>
    <row r="1237" spans="2:45" ht="15" customHeight="1" x14ac:dyDescent="0.25">
      <c r="B1237" s="41">
        <v>1231</v>
      </c>
      <c r="C1237" s="42" t="s">
        <v>31</v>
      </c>
      <c r="D1237" s="51" t="s">
        <v>344</v>
      </c>
      <c r="E1237" s="51" t="s">
        <v>406</v>
      </c>
      <c r="F1237" s="51" t="s">
        <v>409</v>
      </c>
      <c r="G1237" s="52" t="s">
        <v>409</v>
      </c>
      <c r="H1237" s="43">
        <v>1492</v>
      </c>
      <c r="I1237" s="43">
        <v>9</v>
      </c>
      <c r="J1237" s="43">
        <v>10</v>
      </c>
      <c r="K1237" s="43">
        <v>46</v>
      </c>
      <c r="L1237" s="43">
        <v>1</v>
      </c>
      <c r="M1237" s="43">
        <v>1252</v>
      </c>
      <c r="N1237" s="43">
        <v>159</v>
      </c>
      <c r="O1237" s="43">
        <v>15</v>
      </c>
      <c r="P1237" s="44">
        <f>K1237+L1237+M1237+N1237+O1237</f>
        <v>1473</v>
      </c>
      <c r="Q1237" s="44">
        <f>I1237+J1237</f>
        <v>19</v>
      </c>
      <c r="R1237" s="43">
        <v>2433</v>
      </c>
      <c r="S1237" s="43">
        <v>98</v>
      </c>
      <c r="T1237" s="43">
        <v>186</v>
      </c>
      <c r="U1237" s="43">
        <v>48</v>
      </c>
      <c r="V1237" s="43">
        <v>2</v>
      </c>
      <c r="W1237" s="43">
        <v>1811</v>
      </c>
      <c r="X1237" s="43">
        <v>225</v>
      </c>
      <c r="Y1237" s="43">
        <v>63</v>
      </c>
      <c r="Z1237" s="45">
        <f>U1237+V1237+W1237+X1237+Y1237</f>
        <v>2149</v>
      </c>
      <c r="AA1237" s="45">
        <f>S1237+T1237</f>
        <v>284</v>
      </c>
      <c r="AB1237" s="46">
        <v>0.60321720000000001</v>
      </c>
      <c r="AC1237" s="46">
        <v>0.67024130000000004</v>
      </c>
      <c r="AD1237" s="46">
        <v>3.0831099000000002</v>
      </c>
      <c r="AE1237" s="46">
        <v>6.7024100000000003E-2</v>
      </c>
      <c r="AF1237" s="46">
        <v>83.914209099999994</v>
      </c>
      <c r="AG1237" s="46">
        <v>10.656836500000001</v>
      </c>
      <c r="AH1237" s="46">
        <v>1.0053619</v>
      </c>
      <c r="AI1237" s="47">
        <f>AB1237+AC1237</f>
        <v>1.2734585</v>
      </c>
      <c r="AJ1237" s="47">
        <f>AD1237+AE1237+AF1237+AG1237+AH1237</f>
        <v>98.726541499999982</v>
      </c>
      <c r="AK1237" s="46">
        <v>4.0279489999999996</v>
      </c>
      <c r="AL1237" s="46">
        <v>7.6448828999999998</v>
      </c>
      <c r="AM1237" s="46">
        <v>1.9728730000000001</v>
      </c>
      <c r="AN1237" s="46">
        <v>8.2202999999999998E-2</v>
      </c>
      <c r="AO1237" s="46">
        <v>74.434854099999995</v>
      </c>
      <c r="AP1237" s="46">
        <v>9.2478421999999991</v>
      </c>
      <c r="AQ1237" s="46">
        <v>2.5893958000000001</v>
      </c>
      <c r="AR1237" s="48">
        <f>AK1237+AL1237</f>
        <v>11.672831899999998</v>
      </c>
      <c r="AS1237" s="48">
        <f>AM1237+AN1237+AO1237+AP1237+AQ1237</f>
        <v>88.327168099999994</v>
      </c>
    </row>
    <row r="1238" spans="2:45" ht="15" hidden="1" customHeight="1" x14ac:dyDescent="0.25">
      <c r="B1238" s="35">
        <v>1232</v>
      </c>
      <c r="C1238" s="36" t="s">
        <v>31</v>
      </c>
      <c r="D1238" s="36" t="s">
        <v>344</v>
      </c>
      <c r="E1238" s="36" t="s">
        <v>406</v>
      </c>
      <c r="F1238" s="36" t="s">
        <v>409</v>
      </c>
      <c r="G1238" s="37" t="s">
        <v>25</v>
      </c>
      <c r="H1238" s="38">
        <v>657</v>
      </c>
      <c r="I1238" s="38">
        <v>7</v>
      </c>
      <c r="J1238" s="38">
        <v>5</v>
      </c>
      <c r="K1238" s="38">
        <v>41</v>
      </c>
      <c r="L1238" s="38">
        <v>1</v>
      </c>
      <c r="M1238" s="38">
        <v>526</v>
      </c>
      <c r="N1238" s="38">
        <v>72</v>
      </c>
      <c r="O1238" s="38">
        <v>5</v>
      </c>
      <c r="P1238" s="38"/>
      <c r="Q1238" s="38"/>
      <c r="R1238" s="38">
        <v>1002</v>
      </c>
      <c r="S1238" s="38">
        <v>86</v>
      </c>
      <c r="T1238" s="38">
        <v>183</v>
      </c>
      <c r="U1238" s="38">
        <v>28</v>
      </c>
      <c r="V1238" s="38">
        <v>0</v>
      </c>
      <c r="W1238" s="38">
        <v>637</v>
      </c>
      <c r="X1238" s="38">
        <v>51</v>
      </c>
      <c r="Y1238" s="38">
        <v>17</v>
      </c>
      <c r="Z1238" s="38"/>
      <c r="AA1238" s="38"/>
      <c r="AB1238" s="39">
        <v>1.0654490000000001</v>
      </c>
      <c r="AC1238" s="39">
        <v>0.76103500000000002</v>
      </c>
      <c r="AD1238" s="39">
        <v>6.2404871000000002</v>
      </c>
      <c r="AE1238" s="39">
        <v>0.15220700000000001</v>
      </c>
      <c r="AF1238" s="39">
        <v>80.060882800000002</v>
      </c>
      <c r="AG1238" s="39">
        <v>10.9589041</v>
      </c>
      <c r="AH1238" s="39">
        <v>0.76103500000000002</v>
      </c>
      <c r="AI1238" s="39"/>
      <c r="AJ1238" s="39"/>
      <c r="AK1238" s="39">
        <v>8.5828343</v>
      </c>
      <c r="AL1238" s="39">
        <v>18.263473099999999</v>
      </c>
      <c r="AM1238" s="39">
        <v>2.7944111999999999</v>
      </c>
      <c r="AN1238" s="39">
        <v>0</v>
      </c>
      <c r="AO1238" s="39">
        <v>63.572854300000003</v>
      </c>
      <c r="AP1238" s="39">
        <v>5.0898203999999998</v>
      </c>
      <c r="AQ1238" s="39">
        <v>1.6966068000000001</v>
      </c>
      <c r="AR1238" s="40"/>
      <c r="AS1238" s="40"/>
    </row>
    <row r="1239" spans="2:45" ht="15" hidden="1" customHeight="1" x14ac:dyDescent="0.25">
      <c r="B1239" s="35">
        <v>1233</v>
      </c>
      <c r="C1239" s="36" t="s">
        <v>31</v>
      </c>
      <c r="D1239" s="36" t="s">
        <v>344</v>
      </c>
      <c r="E1239" s="36" t="s">
        <v>406</v>
      </c>
      <c r="F1239" s="36" t="s">
        <v>409</v>
      </c>
      <c r="G1239" s="37" t="s">
        <v>26</v>
      </c>
      <c r="H1239" s="38">
        <v>835</v>
      </c>
      <c r="I1239" s="38">
        <v>2</v>
      </c>
      <c r="J1239" s="38">
        <v>5</v>
      </c>
      <c r="K1239" s="38">
        <v>5</v>
      </c>
      <c r="L1239" s="38">
        <v>0</v>
      </c>
      <c r="M1239" s="38">
        <v>726</v>
      </c>
      <c r="N1239" s="38">
        <v>87</v>
      </c>
      <c r="O1239" s="38">
        <v>10</v>
      </c>
      <c r="P1239" s="38"/>
      <c r="Q1239" s="38"/>
      <c r="R1239" s="38">
        <v>1431</v>
      </c>
      <c r="S1239" s="38">
        <v>12</v>
      </c>
      <c r="T1239" s="38">
        <v>3</v>
      </c>
      <c r="U1239" s="38">
        <v>20</v>
      </c>
      <c r="V1239" s="38">
        <v>2</v>
      </c>
      <c r="W1239" s="38">
        <v>1174</v>
      </c>
      <c r="X1239" s="38">
        <v>174</v>
      </c>
      <c r="Y1239" s="38">
        <v>46</v>
      </c>
      <c r="Z1239" s="38"/>
      <c r="AA1239" s="38"/>
      <c r="AB1239" s="39">
        <v>0.23952100000000001</v>
      </c>
      <c r="AC1239" s="39">
        <v>0.59880239999999996</v>
      </c>
      <c r="AD1239" s="39">
        <v>0.59880239999999996</v>
      </c>
      <c r="AE1239" s="39">
        <v>0</v>
      </c>
      <c r="AF1239" s="39">
        <v>86.946107799999993</v>
      </c>
      <c r="AG1239" s="39">
        <v>10.4191617</v>
      </c>
      <c r="AH1239" s="39">
        <v>1.1976047999999999</v>
      </c>
      <c r="AI1239" s="39"/>
      <c r="AJ1239" s="39"/>
      <c r="AK1239" s="39">
        <v>0.83857440000000005</v>
      </c>
      <c r="AL1239" s="39">
        <v>0.20964360000000001</v>
      </c>
      <c r="AM1239" s="39">
        <v>1.397624</v>
      </c>
      <c r="AN1239" s="39">
        <v>0.13976240000000001</v>
      </c>
      <c r="AO1239" s="39">
        <v>82.040531099999995</v>
      </c>
      <c r="AP1239" s="39">
        <v>12.159329100000001</v>
      </c>
      <c r="AQ1239" s="39">
        <v>3.2145353000000001</v>
      </c>
      <c r="AR1239" s="40"/>
      <c r="AS1239" s="40"/>
    </row>
    <row r="1240" spans="2:45" ht="15" hidden="1" customHeight="1" x14ac:dyDescent="0.25">
      <c r="B1240" s="30">
        <v>1234</v>
      </c>
      <c r="C1240" s="31" t="s">
        <v>29</v>
      </c>
      <c r="D1240" s="50" t="s">
        <v>344</v>
      </c>
      <c r="E1240" s="50" t="s">
        <v>410</v>
      </c>
      <c r="F1240" s="50"/>
      <c r="G1240" s="31" t="s">
        <v>410</v>
      </c>
      <c r="H1240" s="32">
        <v>11164</v>
      </c>
      <c r="I1240" s="32">
        <v>521</v>
      </c>
      <c r="J1240" s="32">
        <v>1099</v>
      </c>
      <c r="K1240" s="32">
        <v>910</v>
      </c>
      <c r="L1240" s="32">
        <v>87</v>
      </c>
      <c r="M1240" s="32">
        <v>7793</v>
      </c>
      <c r="N1240" s="32">
        <v>573</v>
      </c>
      <c r="O1240" s="32">
        <v>181</v>
      </c>
      <c r="P1240" s="32"/>
      <c r="Q1240" s="32"/>
      <c r="R1240" s="32">
        <v>18897</v>
      </c>
      <c r="S1240" s="32">
        <v>758</v>
      </c>
      <c r="T1240" s="32">
        <v>1577</v>
      </c>
      <c r="U1240" s="32">
        <v>448</v>
      </c>
      <c r="V1240" s="32">
        <v>54</v>
      </c>
      <c r="W1240" s="32">
        <v>14939</v>
      </c>
      <c r="X1240" s="32">
        <v>889</v>
      </c>
      <c r="Y1240" s="32">
        <v>232</v>
      </c>
      <c r="Z1240" s="32"/>
      <c r="AA1240" s="32"/>
      <c r="AB1240" s="33">
        <v>4.6667861000000004</v>
      </c>
      <c r="AC1240" s="33">
        <v>9.8441419000000003</v>
      </c>
      <c r="AD1240" s="33">
        <v>8.1512002999999993</v>
      </c>
      <c r="AE1240" s="33">
        <v>0.77929059999999994</v>
      </c>
      <c r="AF1240" s="33">
        <v>69.804729499999993</v>
      </c>
      <c r="AG1240" s="33">
        <v>5.1325690000000002</v>
      </c>
      <c r="AH1240" s="33">
        <v>1.6212827000000001</v>
      </c>
      <c r="AI1240" s="33"/>
      <c r="AJ1240" s="33"/>
      <c r="AK1240" s="33">
        <v>4.0112186999999997</v>
      </c>
      <c r="AL1240" s="33">
        <v>8.3452400000000004</v>
      </c>
      <c r="AM1240" s="33">
        <v>2.3707467000000002</v>
      </c>
      <c r="AN1240" s="33">
        <v>0.2857596</v>
      </c>
      <c r="AO1240" s="33">
        <v>79.054876399999998</v>
      </c>
      <c r="AP1240" s="33">
        <v>4.7044503999999998</v>
      </c>
      <c r="AQ1240" s="33">
        <v>1.2277081000000001</v>
      </c>
      <c r="AR1240" s="34"/>
      <c r="AS1240" s="34"/>
    </row>
    <row r="1241" spans="2:45" ht="15" hidden="1" customHeight="1" x14ac:dyDescent="0.25">
      <c r="B1241" s="35">
        <v>1235</v>
      </c>
      <c r="C1241" s="36" t="s">
        <v>29</v>
      </c>
      <c r="D1241" s="36" t="s">
        <v>344</v>
      </c>
      <c r="E1241" s="36" t="s">
        <v>410</v>
      </c>
      <c r="F1241" s="36"/>
      <c r="G1241" s="37" t="s">
        <v>25</v>
      </c>
      <c r="H1241" s="38">
        <v>6119</v>
      </c>
      <c r="I1241" s="38">
        <v>506</v>
      </c>
      <c r="J1241" s="38">
        <v>1081</v>
      </c>
      <c r="K1241" s="38">
        <v>703</v>
      </c>
      <c r="L1241" s="38">
        <v>26</v>
      </c>
      <c r="M1241" s="38">
        <v>3455</v>
      </c>
      <c r="N1241" s="38">
        <v>233</v>
      </c>
      <c r="O1241" s="38">
        <v>115</v>
      </c>
      <c r="P1241" s="38"/>
      <c r="Q1241" s="38"/>
      <c r="R1241" s="38">
        <v>8236</v>
      </c>
      <c r="S1241" s="38">
        <v>657</v>
      </c>
      <c r="T1241" s="38">
        <v>1538</v>
      </c>
      <c r="U1241" s="38">
        <v>307</v>
      </c>
      <c r="V1241" s="38">
        <v>24</v>
      </c>
      <c r="W1241" s="38">
        <v>5411</v>
      </c>
      <c r="X1241" s="38">
        <v>165</v>
      </c>
      <c r="Y1241" s="38">
        <v>134</v>
      </c>
      <c r="Z1241" s="38"/>
      <c r="AA1241" s="38"/>
      <c r="AB1241" s="39">
        <v>8.2693250999999997</v>
      </c>
      <c r="AC1241" s="39">
        <v>17.666285299999998</v>
      </c>
      <c r="AD1241" s="39">
        <v>11.4888054</v>
      </c>
      <c r="AE1241" s="39">
        <v>0.42490600000000001</v>
      </c>
      <c r="AF1241" s="39">
        <v>56.463474400000003</v>
      </c>
      <c r="AG1241" s="39">
        <v>3.8078116999999998</v>
      </c>
      <c r="AH1241" s="39">
        <v>1.8793921</v>
      </c>
      <c r="AI1241" s="39"/>
      <c r="AJ1241" s="39"/>
      <c r="AK1241" s="39">
        <v>7.9771733999999999</v>
      </c>
      <c r="AL1241" s="39">
        <v>18.674113599999998</v>
      </c>
      <c r="AM1241" s="39">
        <v>3.7275375999999998</v>
      </c>
      <c r="AN1241" s="39">
        <v>0.29140359999999998</v>
      </c>
      <c r="AO1241" s="39">
        <v>65.6993686</v>
      </c>
      <c r="AP1241" s="39">
        <v>2.0033997000000001</v>
      </c>
      <c r="AQ1241" s="39">
        <v>1.6270034</v>
      </c>
      <c r="AR1241" s="40"/>
      <c r="AS1241" s="40"/>
    </row>
    <row r="1242" spans="2:45" ht="15" hidden="1" customHeight="1" x14ac:dyDescent="0.25">
      <c r="B1242" s="35">
        <v>1236</v>
      </c>
      <c r="C1242" s="36" t="s">
        <v>29</v>
      </c>
      <c r="D1242" s="36" t="s">
        <v>344</v>
      </c>
      <c r="E1242" s="36" t="s">
        <v>410</v>
      </c>
      <c r="F1242" s="36"/>
      <c r="G1242" s="37" t="s">
        <v>26</v>
      </c>
      <c r="H1242" s="38">
        <v>5045</v>
      </c>
      <c r="I1242" s="38">
        <v>15</v>
      </c>
      <c r="J1242" s="38">
        <v>18</v>
      </c>
      <c r="K1242" s="38">
        <v>207</v>
      </c>
      <c r="L1242" s="38">
        <v>61</v>
      </c>
      <c r="M1242" s="38">
        <v>4338</v>
      </c>
      <c r="N1242" s="38">
        <v>340</v>
      </c>
      <c r="O1242" s="38">
        <v>66</v>
      </c>
      <c r="P1242" s="38"/>
      <c r="Q1242" s="38"/>
      <c r="R1242" s="38">
        <v>10661</v>
      </c>
      <c r="S1242" s="38">
        <v>101</v>
      </c>
      <c r="T1242" s="38">
        <v>39</v>
      </c>
      <c r="U1242" s="38">
        <v>141</v>
      </c>
      <c r="V1242" s="38">
        <v>30</v>
      </c>
      <c r="W1242" s="38">
        <v>9528</v>
      </c>
      <c r="X1242" s="38">
        <v>724</v>
      </c>
      <c r="Y1242" s="38">
        <v>98</v>
      </c>
      <c r="Z1242" s="38"/>
      <c r="AA1242" s="38"/>
      <c r="AB1242" s="39">
        <v>0.29732409999999998</v>
      </c>
      <c r="AC1242" s="39">
        <v>0.35678890000000002</v>
      </c>
      <c r="AD1242" s="39">
        <v>4.1030723</v>
      </c>
      <c r="AE1242" s="39">
        <v>1.2091179000000001</v>
      </c>
      <c r="AF1242" s="39">
        <v>85.986124899999993</v>
      </c>
      <c r="AG1242" s="39">
        <v>6.7393459</v>
      </c>
      <c r="AH1242" s="39">
        <v>1.3082260000000001</v>
      </c>
      <c r="AI1242" s="39"/>
      <c r="AJ1242" s="39"/>
      <c r="AK1242" s="39">
        <v>0.94737830000000001</v>
      </c>
      <c r="AL1242" s="39">
        <v>0.36581930000000001</v>
      </c>
      <c r="AM1242" s="39">
        <v>1.3225776</v>
      </c>
      <c r="AN1242" s="39">
        <v>0.28139950000000002</v>
      </c>
      <c r="AO1242" s="39">
        <v>89.372479100000007</v>
      </c>
      <c r="AP1242" s="39">
        <v>6.7911077999999998</v>
      </c>
      <c r="AQ1242" s="39">
        <v>0.91923829999999995</v>
      </c>
      <c r="AR1242" s="40"/>
      <c r="AS1242" s="40"/>
    </row>
    <row r="1243" spans="2:45" ht="15" customHeight="1" x14ac:dyDescent="0.25">
      <c r="B1243" s="41">
        <v>1237</v>
      </c>
      <c r="C1243" s="42" t="s">
        <v>31</v>
      </c>
      <c r="D1243" s="51" t="s">
        <v>344</v>
      </c>
      <c r="E1243" s="51" t="s">
        <v>410</v>
      </c>
      <c r="F1243" s="51" t="s">
        <v>411</v>
      </c>
      <c r="G1243" s="52" t="s">
        <v>411</v>
      </c>
      <c r="H1243" s="43">
        <v>5521</v>
      </c>
      <c r="I1243" s="43">
        <v>355</v>
      </c>
      <c r="J1243" s="43">
        <v>870</v>
      </c>
      <c r="K1243" s="43">
        <v>440</v>
      </c>
      <c r="L1243" s="43">
        <v>33</v>
      </c>
      <c r="M1243" s="43">
        <v>3376</v>
      </c>
      <c r="N1243" s="43">
        <v>321</v>
      </c>
      <c r="O1243" s="43">
        <v>126</v>
      </c>
      <c r="P1243" s="44">
        <f>K1243+L1243+M1243+N1243+O1243</f>
        <v>4296</v>
      </c>
      <c r="Q1243" s="44">
        <f>I1243+J1243</f>
        <v>1225</v>
      </c>
      <c r="R1243" s="43">
        <v>10803</v>
      </c>
      <c r="S1243" s="43">
        <v>531</v>
      </c>
      <c r="T1243" s="43">
        <v>1501</v>
      </c>
      <c r="U1243" s="43">
        <v>121</v>
      </c>
      <c r="V1243" s="43">
        <v>30</v>
      </c>
      <c r="W1243" s="43">
        <v>8046</v>
      </c>
      <c r="X1243" s="43">
        <v>449</v>
      </c>
      <c r="Y1243" s="43">
        <v>125</v>
      </c>
      <c r="Z1243" s="45">
        <f>U1243+V1243+W1243+X1243+Y1243</f>
        <v>8771</v>
      </c>
      <c r="AA1243" s="45">
        <f>S1243+T1243</f>
        <v>2032</v>
      </c>
      <c r="AB1243" s="46">
        <v>6.4299945999999997</v>
      </c>
      <c r="AC1243" s="46">
        <v>15.758014899999999</v>
      </c>
      <c r="AD1243" s="46">
        <v>7.9695707000000002</v>
      </c>
      <c r="AE1243" s="46">
        <v>0.59771779999999997</v>
      </c>
      <c r="AF1243" s="46">
        <v>61.148342700000001</v>
      </c>
      <c r="AG1243" s="46">
        <v>5.8141641000000002</v>
      </c>
      <c r="AH1243" s="46">
        <v>2.2821953000000001</v>
      </c>
      <c r="AI1243" s="47">
        <f>AB1243+AC1243</f>
        <v>22.1880095</v>
      </c>
      <c r="AJ1243" s="47">
        <f>AD1243+AE1243+AF1243+AG1243+AH1243</f>
        <v>77.811990600000001</v>
      </c>
      <c r="AK1243" s="46">
        <v>4.9153013000000003</v>
      </c>
      <c r="AL1243" s="46">
        <v>13.894288599999999</v>
      </c>
      <c r="AM1243" s="46">
        <v>1.1200592</v>
      </c>
      <c r="AN1243" s="46">
        <v>0.27770060000000002</v>
      </c>
      <c r="AO1243" s="46">
        <v>74.479311300000006</v>
      </c>
      <c r="AP1243" s="46">
        <v>4.1562529000000001</v>
      </c>
      <c r="AQ1243" s="46">
        <v>1.1570860000000001</v>
      </c>
      <c r="AR1243" s="48">
        <f>AK1243+AL1243</f>
        <v>18.809589899999999</v>
      </c>
      <c r="AS1243" s="48">
        <f>AM1243+AN1243+AO1243+AP1243+AQ1243</f>
        <v>81.190410000000014</v>
      </c>
    </row>
    <row r="1244" spans="2:45" ht="15" hidden="1" customHeight="1" x14ac:dyDescent="0.25">
      <c r="B1244" s="35">
        <v>1238</v>
      </c>
      <c r="C1244" s="36" t="s">
        <v>31</v>
      </c>
      <c r="D1244" s="36" t="s">
        <v>344</v>
      </c>
      <c r="E1244" s="36" t="s">
        <v>410</v>
      </c>
      <c r="F1244" s="36" t="s">
        <v>411</v>
      </c>
      <c r="G1244" s="37" t="s">
        <v>25</v>
      </c>
      <c r="H1244" s="38">
        <v>4016</v>
      </c>
      <c r="I1244" s="38">
        <v>345</v>
      </c>
      <c r="J1244" s="38">
        <v>863</v>
      </c>
      <c r="K1244" s="38">
        <v>370</v>
      </c>
      <c r="L1244" s="38">
        <v>10</v>
      </c>
      <c r="M1244" s="38">
        <v>2144</v>
      </c>
      <c r="N1244" s="38">
        <v>187</v>
      </c>
      <c r="O1244" s="38">
        <v>97</v>
      </c>
      <c r="P1244" s="38"/>
      <c r="Q1244" s="38"/>
      <c r="R1244" s="38">
        <v>6193</v>
      </c>
      <c r="S1244" s="38">
        <v>498</v>
      </c>
      <c r="T1244" s="38">
        <v>1483</v>
      </c>
      <c r="U1244" s="38">
        <v>86</v>
      </c>
      <c r="V1244" s="38">
        <v>13</v>
      </c>
      <c r="W1244" s="38">
        <v>3919</v>
      </c>
      <c r="X1244" s="38">
        <v>115</v>
      </c>
      <c r="Y1244" s="38">
        <v>79</v>
      </c>
      <c r="Z1244" s="38"/>
      <c r="AA1244" s="38"/>
      <c r="AB1244" s="39">
        <v>8.5906374999999997</v>
      </c>
      <c r="AC1244" s="39">
        <v>21.489043800000001</v>
      </c>
      <c r="AD1244" s="39">
        <v>9.2131474000000004</v>
      </c>
      <c r="AE1244" s="39">
        <v>0.249004</v>
      </c>
      <c r="AF1244" s="39">
        <v>53.386454200000003</v>
      </c>
      <c r="AG1244" s="39">
        <v>4.6563745000000001</v>
      </c>
      <c r="AH1244" s="39">
        <v>2.4153386000000001</v>
      </c>
      <c r="AI1244" s="39"/>
      <c r="AJ1244" s="39"/>
      <c r="AK1244" s="39">
        <v>8.0413370000000004</v>
      </c>
      <c r="AL1244" s="39">
        <v>23.9463911</v>
      </c>
      <c r="AM1244" s="39">
        <v>1.3886646</v>
      </c>
      <c r="AN1244" s="39">
        <v>0.2099144</v>
      </c>
      <c r="AO1244" s="39">
        <v>63.281123800000003</v>
      </c>
      <c r="AP1244" s="39">
        <v>1.8569351999999999</v>
      </c>
      <c r="AQ1244" s="39">
        <v>1.2756338</v>
      </c>
      <c r="AR1244" s="40"/>
      <c r="AS1244" s="40"/>
    </row>
    <row r="1245" spans="2:45" ht="15" hidden="1" customHeight="1" x14ac:dyDescent="0.25">
      <c r="B1245" s="35">
        <v>1239</v>
      </c>
      <c r="C1245" s="36" t="s">
        <v>31</v>
      </c>
      <c r="D1245" s="36" t="s">
        <v>344</v>
      </c>
      <c r="E1245" s="36" t="s">
        <v>410</v>
      </c>
      <c r="F1245" s="36" t="s">
        <v>411</v>
      </c>
      <c r="G1245" s="37" t="s">
        <v>26</v>
      </c>
      <c r="H1245" s="38">
        <v>1505</v>
      </c>
      <c r="I1245" s="38">
        <v>10</v>
      </c>
      <c r="J1245" s="38">
        <v>7</v>
      </c>
      <c r="K1245" s="38">
        <v>70</v>
      </c>
      <c r="L1245" s="38">
        <v>23</v>
      </c>
      <c r="M1245" s="38">
        <v>1232</v>
      </c>
      <c r="N1245" s="38">
        <v>134</v>
      </c>
      <c r="O1245" s="38">
        <v>29</v>
      </c>
      <c r="P1245" s="38"/>
      <c r="Q1245" s="38"/>
      <c r="R1245" s="38">
        <v>4610</v>
      </c>
      <c r="S1245" s="38">
        <v>33</v>
      </c>
      <c r="T1245" s="38">
        <v>18</v>
      </c>
      <c r="U1245" s="38">
        <v>35</v>
      </c>
      <c r="V1245" s="38">
        <v>17</v>
      </c>
      <c r="W1245" s="38">
        <v>4127</v>
      </c>
      <c r="X1245" s="38">
        <v>334</v>
      </c>
      <c r="Y1245" s="38">
        <v>46</v>
      </c>
      <c r="Z1245" s="38"/>
      <c r="AA1245" s="38"/>
      <c r="AB1245" s="39">
        <v>0.66445180000000004</v>
      </c>
      <c r="AC1245" s="39">
        <v>0.46511629999999998</v>
      </c>
      <c r="AD1245" s="39">
        <v>4.6511627999999998</v>
      </c>
      <c r="AE1245" s="39">
        <v>1.5282392</v>
      </c>
      <c r="AF1245" s="39">
        <v>81.860465099999999</v>
      </c>
      <c r="AG1245" s="39">
        <v>8.9036545</v>
      </c>
      <c r="AH1245" s="39">
        <v>1.9269103000000001</v>
      </c>
      <c r="AI1245" s="39"/>
      <c r="AJ1245" s="39"/>
      <c r="AK1245" s="39">
        <v>0.71583509999999995</v>
      </c>
      <c r="AL1245" s="39">
        <v>0.39045550000000001</v>
      </c>
      <c r="AM1245" s="39">
        <v>0.75921910000000004</v>
      </c>
      <c r="AN1245" s="39">
        <v>0.36876360000000002</v>
      </c>
      <c r="AO1245" s="39">
        <v>89.5227766</v>
      </c>
      <c r="AP1245" s="39">
        <v>7.2451192999999998</v>
      </c>
      <c r="AQ1245" s="39">
        <v>0.99783080000000002</v>
      </c>
      <c r="AR1245" s="40"/>
      <c r="AS1245" s="40"/>
    </row>
    <row r="1246" spans="2:45" ht="15" customHeight="1" x14ac:dyDescent="0.25">
      <c r="B1246" s="41">
        <v>1240</v>
      </c>
      <c r="C1246" s="42" t="s">
        <v>31</v>
      </c>
      <c r="D1246" s="51" t="s">
        <v>344</v>
      </c>
      <c r="E1246" s="51" t="s">
        <v>410</v>
      </c>
      <c r="F1246" s="51" t="s">
        <v>412</v>
      </c>
      <c r="G1246" s="52" t="s">
        <v>412</v>
      </c>
      <c r="H1246" s="43">
        <v>1182</v>
      </c>
      <c r="I1246" s="43">
        <v>119</v>
      </c>
      <c r="J1246" s="43">
        <v>197</v>
      </c>
      <c r="K1246" s="43">
        <v>211</v>
      </c>
      <c r="L1246" s="43">
        <v>11</v>
      </c>
      <c r="M1246" s="43">
        <v>592</v>
      </c>
      <c r="N1246" s="43">
        <v>35</v>
      </c>
      <c r="O1246" s="43">
        <v>17</v>
      </c>
      <c r="P1246" s="44">
        <f>K1246+L1246+M1246+N1246+O1246</f>
        <v>866</v>
      </c>
      <c r="Q1246" s="44">
        <f>I1246+J1246</f>
        <v>316</v>
      </c>
      <c r="R1246" s="43">
        <v>1640</v>
      </c>
      <c r="S1246" s="43">
        <v>80</v>
      </c>
      <c r="T1246" s="43">
        <v>25</v>
      </c>
      <c r="U1246" s="43">
        <v>215</v>
      </c>
      <c r="V1246" s="43">
        <v>11</v>
      </c>
      <c r="W1246" s="43">
        <v>1197</v>
      </c>
      <c r="X1246" s="43">
        <v>61</v>
      </c>
      <c r="Y1246" s="43">
        <v>51</v>
      </c>
      <c r="Z1246" s="45">
        <f>U1246+V1246+W1246+X1246+Y1246</f>
        <v>1535</v>
      </c>
      <c r="AA1246" s="45">
        <f>S1246+T1246</f>
        <v>105</v>
      </c>
      <c r="AB1246" s="46">
        <v>10.0676819</v>
      </c>
      <c r="AC1246" s="46">
        <v>16.6666667</v>
      </c>
      <c r="AD1246" s="46">
        <v>17.8510998</v>
      </c>
      <c r="AE1246" s="46">
        <v>0.93062610000000001</v>
      </c>
      <c r="AF1246" s="46">
        <v>50.084602400000001</v>
      </c>
      <c r="AG1246" s="46">
        <v>2.9610829000000001</v>
      </c>
      <c r="AH1246" s="46">
        <v>1.4382402999999999</v>
      </c>
      <c r="AI1246" s="47">
        <f>AB1246+AC1246</f>
        <v>26.734348600000001</v>
      </c>
      <c r="AJ1246" s="47">
        <f>AD1246+AE1246+AF1246+AG1246+AH1246</f>
        <v>73.265651500000004</v>
      </c>
      <c r="AK1246" s="46">
        <v>4.8780488000000002</v>
      </c>
      <c r="AL1246" s="46">
        <v>1.5243902</v>
      </c>
      <c r="AM1246" s="46">
        <v>13.1097561</v>
      </c>
      <c r="AN1246" s="46">
        <v>0.67073170000000004</v>
      </c>
      <c r="AO1246" s="46">
        <v>72.9878049</v>
      </c>
      <c r="AP1246" s="46">
        <v>3.7195122</v>
      </c>
      <c r="AQ1246" s="46">
        <v>3.1097560999999998</v>
      </c>
      <c r="AR1246" s="48">
        <f>AK1246+AL1246</f>
        <v>6.4024390000000002</v>
      </c>
      <c r="AS1246" s="48">
        <f>AM1246+AN1246+AO1246+AP1246+AQ1246</f>
        <v>93.597560999999999</v>
      </c>
    </row>
    <row r="1247" spans="2:45" ht="15" hidden="1" customHeight="1" x14ac:dyDescent="0.25">
      <c r="B1247" s="35">
        <v>1241</v>
      </c>
      <c r="C1247" s="36" t="s">
        <v>31</v>
      </c>
      <c r="D1247" s="36" t="s">
        <v>344</v>
      </c>
      <c r="E1247" s="36" t="s">
        <v>410</v>
      </c>
      <c r="F1247" s="36" t="s">
        <v>412</v>
      </c>
      <c r="G1247" s="37" t="s">
        <v>25</v>
      </c>
      <c r="H1247" s="38">
        <v>1053</v>
      </c>
      <c r="I1247" s="38">
        <v>119</v>
      </c>
      <c r="J1247" s="38">
        <v>197</v>
      </c>
      <c r="K1247" s="38">
        <v>197</v>
      </c>
      <c r="L1247" s="38">
        <v>8</v>
      </c>
      <c r="M1247" s="38">
        <v>495</v>
      </c>
      <c r="N1247" s="38">
        <v>24</v>
      </c>
      <c r="O1247" s="38">
        <v>13</v>
      </c>
      <c r="P1247" s="38"/>
      <c r="Q1247" s="38"/>
      <c r="R1247" s="38">
        <v>1265</v>
      </c>
      <c r="S1247" s="38">
        <v>71</v>
      </c>
      <c r="T1247" s="38">
        <v>25</v>
      </c>
      <c r="U1247" s="38">
        <v>180</v>
      </c>
      <c r="V1247" s="38">
        <v>9</v>
      </c>
      <c r="W1247" s="38">
        <v>903</v>
      </c>
      <c r="X1247" s="38">
        <v>34</v>
      </c>
      <c r="Y1247" s="38">
        <v>43</v>
      </c>
      <c r="Z1247" s="38"/>
      <c r="AA1247" s="38"/>
      <c r="AB1247" s="39">
        <v>11.301044600000001</v>
      </c>
      <c r="AC1247" s="39">
        <v>18.708452000000001</v>
      </c>
      <c r="AD1247" s="39">
        <v>18.708452000000001</v>
      </c>
      <c r="AE1247" s="39">
        <v>0.75973409999999997</v>
      </c>
      <c r="AF1247" s="39">
        <v>47.008547</v>
      </c>
      <c r="AG1247" s="39">
        <v>2.2792023000000001</v>
      </c>
      <c r="AH1247" s="39">
        <v>1.2345679000000001</v>
      </c>
      <c r="AI1247" s="39"/>
      <c r="AJ1247" s="39"/>
      <c r="AK1247" s="39">
        <v>5.6126481999999998</v>
      </c>
      <c r="AL1247" s="39">
        <v>1.9762846000000001</v>
      </c>
      <c r="AM1247" s="39">
        <v>14.229248999999999</v>
      </c>
      <c r="AN1247" s="39">
        <v>0.7114625</v>
      </c>
      <c r="AO1247" s="39">
        <v>71.383399199999999</v>
      </c>
      <c r="AP1247" s="39">
        <v>2.6877469999999999</v>
      </c>
      <c r="AQ1247" s="39">
        <v>3.3992095</v>
      </c>
      <c r="AR1247" s="40"/>
      <c r="AS1247" s="40"/>
    </row>
    <row r="1248" spans="2:45" ht="15" hidden="1" customHeight="1" x14ac:dyDescent="0.25">
      <c r="B1248" s="35">
        <v>1242</v>
      </c>
      <c r="C1248" s="36" t="s">
        <v>31</v>
      </c>
      <c r="D1248" s="36" t="s">
        <v>344</v>
      </c>
      <c r="E1248" s="36" t="s">
        <v>410</v>
      </c>
      <c r="F1248" s="36" t="s">
        <v>412</v>
      </c>
      <c r="G1248" s="37" t="s">
        <v>26</v>
      </c>
      <c r="H1248" s="38">
        <v>129</v>
      </c>
      <c r="I1248" s="38">
        <v>0</v>
      </c>
      <c r="J1248" s="38">
        <v>0</v>
      </c>
      <c r="K1248" s="38">
        <v>14</v>
      </c>
      <c r="L1248" s="38">
        <v>3</v>
      </c>
      <c r="M1248" s="38">
        <v>97</v>
      </c>
      <c r="N1248" s="38">
        <v>11</v>
      </c>
      <c r="O1248" s="38">
        <v>4</v>
      </c>
      <c r="P1248" s="38"/>
      <c r="Q1248" s="38"/>
      <c r="R1248" s="38">
        <v>375</v>
      </c>
      <c r="S1248" s="38">
        <v>9</v>
      </c>
      <c r="T1248" s="38">
        <v>0</v>
      </c>
      <c r="U1248" s="38">
        <v>35</v>
      </c>
      <c r="V1248" s="38">
        <v>2</v>
      </c>
      <c r="W1248" s="38">
        <v>294</v>
      </c>
      <c r="X1248" s="38">
        <v>27</v>
      </c>
      <c r="Y1248" s="38">
        <v>8</v>
      </c>
      <c r="Z1248" s="38"/>
      <c r="AA1248" s="38"/>
      <c r="AB1248" s="39">
        <v>0</v>
      </c>
      <c r="AC1248" s="39">
        <v>0</v>
      </c>
      <c r="AD1248" s="39">
        <v>10.8527132</v>
      </c>
      <c r="AE1248" s="39">
        <v>2.3255813999999999</v>
      </c>
      <c r="AF1248" s="39">
        <v>75.193798400000006</v>
      </c>
      <c r="AG1248" s="39">
        <v>8.5271317999999994</v>
      </c>
      <c r="AH1248" s="39">
        <v>3.1007752000000002</v>
      </c>
      <c r="AI1248" s="39"/>
      <c r="AJ1248" s="39"/>
      <c r="AK1248" s="39">
        <v>2.4</v>
      </c>
      <c r="AL1248" s="39">
        <v>0</v>
      </c>
      <c r="AM1248" s="39">
        <v>9.3333332999999996</v>
      </c>
      <c r="AN1248" s="39">
        <v>0.53333330000000001</v>
      </c>
      <c r="AO1248" s="39">
        <v>78.400000000000006</v>
      </c>
      <c r="AP1248" s="39">
        <v>7.2</v>
      </c>
      <c r="AQ1248" s="39">
        <v>2.1333332999999999</v>
      </c>
      <c r="AR1248" s="40"/>
      <c r="AS1248" s="40"/>
    </row>
    <row r="1249" spans="2:45" ht="15" customHeight="1" x14ac:dyDescent="0.25">
      <c r="B1249" s="41">
        <v>1243</v>
      </c>
      <c r="C1249" s="42" t="s">
        <v>31</v>
      </c>
      <c r="D1249" s="51" t="s">
        <v>344</v>
      </c>
      <c r="E1249" s="51" t="s">
        <v>410</v>
      </c>
      <c r="F1249" s="51" t="s">
        <v>342</v>
      </c>
      <c r="G1249" s="52" t="s">
        <v>342</v>
      </c>
      <c r="H1249" s="43">
        <v>4461</v>
      </c>
      <c r="I1249" s="43">
        <v>47</v>
      </c>
      <c r="J1249" s="43">
        <v>32</v>
      </c>
      <c r="K1249" s="43">
        <v>259</v>
      </c>
      <c r="L1249" s="43">
        <v>43</v>
      </c>
      <c r="M1249" s="43">
        <v>3825</v>
      </c>
      <c r="N1249" s="43">
        <v>217</v>
      </c>
      <c r="O1249" s="43">
        <v>38</v>
      </c>
      <c r="P1249" s="44">
        <f>K1249+L1249+M1249+N1249+O1249</f>
        <v>4382</v>
      </c>
      <c r="Q1249" s="44">
        <f>I1249+J1249</f>
        <v>79</v>
      </c>
      <c r="R1249" s="43">
        <v>6454</v>
      </c>
      <c r="S1249" s="43">
        <v>147</v>
      </c>
      <c r="T1249" s="43">
        <v>51</v>
      </c>
      <c r="U1249" s="43">
        <v>112</v>
      </c>
      <c r="V1249" s="43">
        <v>13</v>
      </c>
      <c r="W1249" s="43">
        <v>5696</v>
      </c>
      <c r="X1249" s="43">
        <v>379</v>
      </c>
      <c r="Y1249" s="43">
        <v>56</v>
      </c>
      <c r="Z1249" s="45">
        <f>U1249+V1249+W1249+X1249+Y1249</f>
        <v>6256</v>
      </c>
      <c r="AA1249" s="45">
        <f>S1249+T1249</f>
        <v>198</v>
      </c>
      <c r="AB1249" s="46">
        <v>1.0535753999999999</v>
      </c>
      <c r="AC1249" s="46">
        <v>0.71732799999999997</v>
      </c>
      <c r="AD1249" s="46">
        <v>5.8058731000000003</v>
      </c>
      <c r="AE1249" s="46">
        <v>0.96390940000000003</v>
      </c>
      <c r="AF1249" s="46">
        <v>85.743106900000001</v>
      </c>
      <c r="AG1249" s="46">
        <v>4.8643802000000003</v>
      </c>
      <c r="AH1249" s="46">
        <v>0.85182690000000005</v>
      </c>
      <c r="AI1249" s="47">
        <f>AB1249+AC1249</f>
        <v>1.7709033999999999</v>
      </c>
      <c r="AJ1249" s="47">
        <f>AD1249+AE1249+AF1249+AG1249+AH1249</f>
        <v>98.229096500000011</v>
      </c>
      <c r="AK1249" s="46">
        <v>2.2776573</v>
      </c>
      <c r="AL1249" s="46">
        <v>0.79020760000000001</v>
      </c>
      <c r="AM1249" s="46">
        <v>1.7353578999999999</v>
      </c>
      <c r="AN1249" s="46">
        <v>0.20142550000000001</v>
      </c>
      <c r="AO1249" s="46">
        <v>88.255345500000004</v>
      </c>
      <c r="AP1249" s="46">
        <v>5.8723272</v>
      </c>
      <c r="AQ1249" s="46">
        <v>0.86767899999999998</v>
      </c>
      <c r="AR1249" s="48">
        <f>AK1249+AL1249</f>
        <v>3.0678649</v>
      </c>
      <c r="AS1249" s="48">
        <f>AM1249+AN1249+AO1249+AP1249+AQ1249</f>
        <v>96.932135099999996</v>
      </c>
    </row>
    <row r="1250" spans="2:45" ht="15" hidden="1" customHeight="1" x14ac:dyDescent="0.25">
      <c r="B1250" s="35">
        <v>1244</v>
      </c>
      <c r="C1250" s="36" t="s">
        <v>31</v>
      </c>
      <c r="D1250" s="36" t="s">
        <v>344</v>
      </c>
      <c r="E1250" s="36" t="s">
        <v>410</v>
      </c>
      <c r="F1250" s="36" t="s">
        <v>342</v>
      </c>
      <c r="G1250" s="37" t="s">
        <v>25</v>
      </c>
      <c r="H1250" s="38">
        <v>1050</v>
      </c>
      <c r="I1250" s="38">
        <v>42</v>
      </c>
      <c r="J1250" s="38">
        <v>21</v>
      </c>
      <c r="K1250" s="38">
        <v>136</v>
      </c>
      <c r="L1250" s="38">
        <v>8</v>
      </c>
      <c r="M1250" s="38">
        <v>816</v>
      </c>
      <c r="N1250" s="38">
        <v>22</v>
      </c>
      <c r="O1250" s="38">
        <v>5</v>
      </c>
      <c r="P1250" s="38"/>
      <c r="Q1250" s="38"/>
      <c r="R1250" s="38">
        <v>778</v>
      </c>
      <c r="S1250" s="38">
        <v>88</v>
      </c>
      <c r="T1250" s="38">
        <v>30</v>
      </c>
      <c r="U1250" s="38">
        <v>41</v>
      </c>
      <c r="V1250" s="38">
        <v>2</v>
      </c>
      <c r="W1250" s="38">
        <v>589</v>
      </c>
      <c r="X1250" s="38">
        <v>16</v>
      </c>
      <c r="Y1250" s="38">
        <v>12</v>
      </c>
      <c r="Z1250" s="38"/>
      <c r="AA1250" s="38"/>
      <c r="AB1250" s="39">
        <v>4</v>
      </c>
      <c r="AC1250" s="39">
        <v>2</v>
      </c>
      <c r="AD1250" s="39">
        <v>12.952381000000001</v>
      </c>
      <c r="AE1250" s="39">
        <v>0.76190480000000005</v>
      </c>
      <c r="AF1250" s="39">
        <v>77.714285700000005</v>
      </c>
      <c r="AG1250" s="39">
        <v>2.0952381</v>
      </c>
      <c r="AH1250" s="39">
        <v>0.47619050000000002</v>
      </c>
      <c r="AI1250" s="39"/>
      <c r="AJ1250" s="39"/>
      <c r="AK1250" s="39">
        <v>11.311054</v>
      </c>
      <c r="AL1250" s="39">
        <v>3.8560411000000001</v>
      </c>
      <c r="AM1250" s="39">
        <v>5.2699229000000001</v>
      </c>
      <c r="AN1250" s="39">
        <v>0.2570694</v>
      </c>
      <c r="AO1250" s="39">
        <v>75.706940900000006</v>
      </c>
      <c r="AP1250" s="39">
        <v>2.0565552999999999</v>
      </c>
      <c r="AQ1250" s="39">
        <v>1.5424165000000001</v>
      </c>
      <c r="AR1250" s="40"/>
      <c r="AS1250" s="40"/>
    </row>
    <row r="1251" spans="2:45" ht="15" hidden="1" customHeight="1" x14ac:dyDescent="0.25">
      <c r="B1251" s="35">
        <v>1245</v>
      </c>
      <c r="C1251" s="36" t="s">
        <v>31</v>
      </c>
      <c r="D1251" s="36" t="s">
        <v>344</v>
      </c>
      <c r="E1251" s="36" t="s">
        <v>410</v>
      </c>
      <c r="F1251" s="36" t="s">
        <v>342</v>
      </c>
      <c r="G1251" s="37" t="s">
        <v>26</v>
      </c>
      <c r="H1251" s="38">
        <v>3411</v>
      </c>
      <c r="I1251" s="38">
        <v>5</v>
      </c>
      <c r="J1251" s="38">
        <v>11</v>
      </c>
      <c r="K1251" s="38">
        <v>123</v>
      </c>
      <c r="L1251" s="38">
        <v>35</v>
      </c>
      <c r="M1251" s="38">
        <v>3009</v>
      </c>
      <c r="N1251" s="38">
        <v>195</v>
      </c>
      <c r="O1251" s="38">
        <v>33</v>
      </c>
      <c r="P1251" s="38"/>
      <c r="Q1251" s="38"/>
      <c r="R1251" s="38">
        <v>5676</v>
      </c>
      <c r="S1251" s="38">
        <v>59</v>
      </c>
      <c r="T1251" s="38">
        <v>21</v>
      </c>
      <c r="U1251" s="38">
        <v>71</v>
      </c>
      <c r="V1251" s="38">
        <v>11</v>
      </c>
      <c r="W1251" s="38">
        <v>5107</v>
      </c>
      <c r="X1251" s="38">
        <v>363</v>
      </c>
      <c r="Y1251" s="38">
        <v>44</v>
      </c>
      <c r="Z1251" s="38"/>
      <c r="AA1251" s="38"/>
      <c r="AB1251" s="39">
        <v>0.14658460000000001</v>
      </c>
      <c r="AC1251" s="39">
        <v>0.3224861</v>
      </c>
      <c r="AD1251" s="39">
        <v>3.6059806999999999</v>
      </c>
      <c r="AE1251" s="39">
        <v>1.0260921000000001</v>
      </c>
      <c r="AF1251" s="39">
        <v>88.214599800000002</v>
      </c>
      <c r="AG1251" s="39">
        <v>5.7167985999999997</v>
      </c>
      <c r="AH1251" s="39">
        <v>0.96745820000000005</v>
      </c>
      <c r="AI1251" s="39"/>
      <c r="AJ1251" s="39"/>
      <c r="AK1251" s="39">
        <v>1.0394644</v>
      </c>
      <c r="AL1251" s="39">
        <v>0.3699789</v>
      </c>
      <c r="AM1251" s="39">
        <v>1.2508809000000001</v>
      </c>
      <c r="AN1251" s="39">
        <v>0.19379840000000001</v>
      </c>
      <c r="AO1251" s="39">
        <v>89.975334700000005</v>
      </c>
      <c r="AP1251" s="39">
        <v>6.3953487999999998</v>
      </c>
      <c r="AQ1251" s="39">
        <v>0.77519380000000004</v>
      </c>
      <c r="AR1251" s="40"/>
      <c r="AS1251" s="40"/>
    </row>
    <row r="1252" spans="2:45" ht="15" hidden="1" customHeight="1" x14ac:dyDescent="0.25">
      <c r="B1252" s="20">
        <v>1246</v>
      </c>
      <c r="C1252" s="21" t="s">
        <v>27</v>
      </c>
      <c r="D1252" s="21" t="s">
        <v>413</v>
      </c>
      <c r="E1252" s="21"/>
      <c r="F1252" s="21"/>
      <c r="G1252" s="21" t="s">
        <v>413</v>
      </c>
      <c r="H1252" s="22">
        <v>93890</v>
      </c>
      <c r="I1252" s="22">
        <v>10224</v>
      </c>
      <c r="J1252" s="22">
        <v>44550</v>
      </c>
      <c r="K1252" s="22">
        <v>1917</v>
      </c>
      <c r="L1252" s="22">
        <v>817</v>
      </c>
      <c r="M1252" s="22">
        <v>31683</v>
      </c>
      <c r="N1252" s="22">
        <v>3507</v>
      </c>
      <c r="O1252" s="22">
        <v>1192</v>
      </c>
      <c r="P1252" s="22">
        <f>K1252+L1252+M1252+N1252+O1252</f>
        <v>39116</v>
      </c>
      <c r="Q1252" s="22">
        <f>I1252+J1252</f>
        <v>54774</v>
      </c>
      <c r="R1252" s="22">
        <v>126668</v>
      </c>
      <c r="S1252" s="22">
        <v>13406</v>
      </c>
      <c r="T1252" s="22">
        <v>61995</v>
      </c>
      <c r="U1252" s="22">
        <v>1090</v>
      </c>
      <c r="V1252" s="22">
        <v>294</v>
      </c>
      <c r="W1252" s="22">
        <v>44391</v>
      </c>
      <c r="X1252" s="22">
        <v>4498</v>
      </c>
      <c r="Y1252" s="22">
        <v>994</v>
      </c>
      <c r="Z1252" s="22">
        <f>U1252+V1252+W1252+X1252+Y1252</f>
        <v>51267</v>
      </c>
      <c r="AA1252" s="22">
        <f>S1252+T1252</f>
        <v>75401</v>
      </c>
      <c r="AB1252" s="23">
        <v>10.8893386</v>
      </c>
      <c r="AC1252" s="23">
        <v>47.449142600000002</v>
      </c>
      <c r="AD1252" s="23">
        <v>2.0417510000000001</v>
      </c>
      <c r="AE1252" s="23">
        <v>0.87016720000000003</v>
      </c>
      <c r="AF1252" s="23">
        <v>33.744807799999997</v>
      </c>
      <c r="AG1252" s="23">
        <v>3.7352221000000001</v>
      </c>
      <c r="AH1252" s="23">
        <v>1.2695708000000001</v>
      </c>
      <c r="AI1252" s="23">
        <f>AB1252+AC1252</f>
        <v>58.338481200000004</v>
      </c>
      <c r="AJ1252" s="23"/>
      <c r="AK1252" s="23">
        <v>10.583572800000001</v>
      </c>
      <c r="AL1252" s="23">
        <v>48.9429059</v>
      </c>
      <c r="AM1252" s="23">
        <v>0.86051730000000004</v>
      </c>
      <c r="AN1252" s="23">
        <v>0.2321028</v>
      </c>
      <c r="AO1252" s="23">
        <v>35.045157400000001</v>
      </c>
      <c r="AP1252" s="23">
        <v>3.5510153</v>
      </c>
      <c r="AQ1252" s="23">
        <v>0.7847286</v>
      </c>
      <c r="AR1252" s="24">
        <f>AK1252+AL1252</f>
        <v>59.526478699999998</v>
      </c>
      <c r="AS1252" s="24"/>
    </row>
    <row r="1253" spans="2:45" ht="15" hidden="1" customHeight="1" x14ac:dyDescent="0.25">
      <c r="B1253" s="25">
        <v>1247</v>
      </c>
      <c r="C1253" s="26" t="s">
        <v>27</v>
      </c>
      <c r="D1253" s="49" t="s">
        <v>413</v>
      </c>
      <c r="E1253" s="49"/>
      <c r="F1253" s="49"/>
      <c r="G1253" s="26" t="s">
        <v>25</v>
      </c>
      <c r="H1253" s="27">
        <v>68598</v>
      </c>
      <c r="I1253" s="27">
        <v>10091</v>
      </c>
      <c r="J1253" s="27">
        <v>44441</v>
      </c>
      <c r="K1253" s="27">
        <v>998</v>
      </c>
      <c r="L1253" s="27">
        <v>235</v>
      </c>
      <c r="M1253" s="27">
        <v>11611</v>
      </c>
      <c r="N1253" s="27">
        <v>773</v>
      </c>
      <c r="O1253" s="27">
        <v>449</v>
      </c>
      <c r="P1253" s="27"/>
      <c r="Q1253" s="27"/>
      <c r="R1253" s="27">
        <v>89529</v>
      </c>
      <c r="S1253" s="27">
        <v>13063</v>
      </c>
      <c r="T1253" s="27">
        <v>61518</v>
      </c>
      <c r="U1253" s="27">
        <v>518</v>
      </c>
      <c r="V1253" s="27">
        <v>72</v>
      </c>
      <c r="W1253" s="27">
        <v>13392</v>
      </c>
      <c r="X1253" s="27">
        <v>584</v>
      </c>
      <c r="Y1253" s="27">
        <v>382</v>
      </c>
      <c r="Z1253" s="27"/>
      <c r="AA1253" s="27"/>
      <c r="AB1253" s="28">
        <v>14.710341400000001</v>
      </c>
      <c r="AC1253" s="28">
        <v>64.784687599999998</v>
      </c>
      <c r="AD1253" s="28">
        <v>1.4548528999999999</v>
      </c>
      <c r="AE1253" s="28">
        <v>0.34257559999999998</v>
      </c>
      <c r="AF1253" s="28">
        <v>16.926149500000001</v>
      </c>
      <c r="AG1253" s="28">
        <v>1.1268549999999999</v>
      </c>
      <c r="AH1253" s="28">
        <v>0.65453799999999995</v>
      </c>
      <c r="AI1253" s="28"/>
      <c r="AJ1253" s="28"/>
      <c r="AK1253" s="28">
        <v>14.590802999999999</v>
      </c>
      <c r="AL1253" s="28">
        <v>68.712930999999998</v>
      </c>
      <c r="AM1253" s="28">
        <v>0.57858350000000003</v>
      </c>
      <c r="AN1253" s="28">
        <v>8.0420900000000003E-2</v>
      </c>
      <c r="AO1253" s="28">
        <v>14.958281700000001</v>
      </c>
      <c r="AP1253" s="28">
        <v>0.65230259999999995</v>
      </c>
      <c r="AQ1253" s="28">
        <v>0.42667739999999998</v>
      </c>
      <c r="AR1253" s="29"/>
      <c r="AS1253" s="29"/>
    </row>
    <row r="1254" spans="2:45" ht="15" hidden="1" customHeight="1" x14ac:dyDescent="0.25">
      <c r="B1254" s="25">
        <v>1248</v>
      </c>
      <c r="C1254" s="26" t="s">
        <v>27</v>
      </c>
      <c r="D1254" s="49" t="s">
        <v>413</v>
      </c>
      <c r="E1254" s="49"/>
      <c r="F1254" s="49"/>
      <c r="G1254" s="26" t="s">
        <v>26</v>
      </c>
      <c r="H1254" s="27">
        <v>25292</v>
      </c>
      <c r="I1254" s="27">
        <v>133</v>
      </c>
      <c r="J1254" s="27">
        <v>109</v>
      </c>
      <c r="K1254" s="27">
        <v>919</v>
      </c>
      <c r="L1254" s="27">
        <v>582</v>
      </c>
      <c r="M1254" s="27">
        <v>20072</v>
      </c>
      <c r="N1254" s="27">
        <v>2734</v>
      </c>
      <c r="O1254" s="27">
        <v>743</v>
      </c>
      <c r="P1254" s="27"/>
      <c r="Q1254" s="27"/>
      <c r="R1254" s="27">
        <v>37139</v>
      </c>
      <c r="S1254" s="27">
        <v>343</v>
      </c>
      <c r="T1254" s="27">
        <v>477</v>
      </c>
      <c r="U1254" s="27">
        <v>572</v>
      </c>
      <c r="V1254" s="27">
        <v>222</v>
      </c>
      <c r="W1254" s="27">
        <v>30999</v>
      </c>
      <c r="X1254" s="27">
        <v>3914</v>
      </c>
      <c r="Y1254" s="27">
        <v>612</v>
      </c>
      <c r="Z1254" s="27"/>
      <c r="AA1254" s="27"/>
      <c r="AB1254" s="28">
        <v>0.52585800000000005</v>
      </c>
      <c r="AC1254" s="28">
        <v>0.43096630000000002</v>
      </c>
      <c r="AD1254" s="28">
        <v>3.6335600000000001</v>
      </c>
      <c r="AE1254" s="28">
        <v>2.3011229000000002</v>
      </c>
      <c r="AF1254" s="28">
        <v>79.361062799999999</v>
      </c>
      <c r="AG1254" s="28">
        <v>10.809742200000001</v>
      </c>
      <c r="AH1254" s="28">
        <v>2.9376878</v>
      </c>
      <c r="AI1254" s="28"/>
      <c r="AJ1254" s="28"/>
      <c r="AK1254" s="28">
        <v>0.92355739999999997</v>
      </c>
      <c r="AL1254" s="28">
        <v>1.2843640999999999</v>
      </c>
      <c r="AM1254" s="28">
        <v>1.5401598999999999</v>
      </c>
      <c r="AN1254" s="28">
        <v>0.59775440000000002</v>
      </c>
      <c r="AO1254" s="28">
        <v>83.4675139</v>
      </c>
      <c r="AP1254" s="28">
        <v>10.538786699999999</v>
      </c>
      <c r="AQ1254" s="28">
        <v>1.6478634000000001</v>
      </c>
      <c r="AR1254" s="29"/>
      <c r="AS1254" s="29"/>
    </row>
    <row r="1255" spans="2:45" ht="15" hidden="1" customHeight="1" x14ac:dyDescent="0.25">
      <c r="B1255" s="30">
        <v>1249</v>
      </c>
      <c r="C1255" s="31" t="s">
        <v>29</v>
      </c>
      <c r="D1255" s="50" t="s">
        <v>413</v>
      </c>
      <c r="E1255" s="50" t="s">
        <v>173</v>
      </c>
      <c r="F1255" s="50"/>
      <c r="G1255" s="31" t="s">
        <v>173</v>
      </c>
      <c r="H1255" s="32">
        <v>25954</v>
      </c>
      <c r="I1255" s="32">
        <v>3583</v>
      </c>
      <c r="J1255" s="32">
        <v>17772</v>
      </c>
      <c r="K1255" s="32">
        <v>199</v>
      </c>
      <c r="L1255" s="32">
        <v>67</v>
      </c>
      <c r="M1255" s="32">
        <v>3889</v>
      </c>
      <c r="N1255" s="32">
        <v>326</v>
      </c>
      <c r="O1255" s="32">
        <v>118</v>
      </c>
      <c r="P1255" s="32"/>
      <c r="Q1255" s="32"/>
      <c r="R1255" s="32">
        <v>34516</v>
      </c>
      <c r="S1255" s="32">
        <v>4650</v>
      </c>
      <c r="T1255" s="32">
        <v>24880</v>
      </c>
      <c r="U1255" s="32">
        <v>133</v>
      </c>
      <c r="V1255" s="32">
        <v>28</v>
      </c>
      <c r="W1255" s="32">
        <v>4179</v>
      </c>
      <c r="X1255" s="32">
        <v>497</v>
      </c>
      <c r="Y1255" s="32">
        <v>149</v>
      </c>
      <c r="Z1255" s="32"/>
      <c r="AA1255" s="32"/>
      <c r="AB1255" s="33">
        <v>13.8051938</v>
      </c>
      <c r="AC1255" s="33">
        <v>68.474994199999998</v>
      </c>
      <c r="AD1255" s="33">
        <v>0.76674120000000001</v>
      </c>
      <c r="AE1255" s="33">
        <v>0.25814900000000002</v>
      </c>
      <c r="AF1255" s="33">
        <v>14.9842028</v>
      </c>
      <c r="AG1255" s="33">
        <v>1.2560684</v>
      </c>
      <c r="AH1255" s="33">
        <v>0.45465050000000001</v>
      </c>
      <c r="AI1255" s="33"/>
      <c r="AJ1255" s="33"/>
      <c r="AK1255" s="33">
        <v>13.472013</v>
      </c>
      <c r="AL1255" s="33">
        <v>72.082512500000007</v>
      </c>
      <c r="AM1255" s="33">
        <v>0.38532850000000002</v>
      </c>
      <c r="AN1255" s="33">
        <v>8.1121799999999994E-2</v>
      </c>
      <c r="AO1255" s="33">
        <v>12.1074284</v>
      </c>
      <c r="AP1255" s="33">
        <v>1.4399119</v>
      </c>
      <c r="AQ1255" s="33">
        <v>0.43168390000000001</v>
      </c>
      <c r="AR1255" s="34"/>
      <c r="AS1255" s="34"/>
    </row>
    <row r="1256" spans="2:45" ht="15" hidden="1" customHeight="1" x14ac:dyDescent="0.25">
      <c r="B1256" s="35">
        <v>1250</v>
      </c>
      <c r="C1256" s="36" t="s">
        <v>29</v>
      </c>
      <c r="D1256" s="36" t="s">
        <v>413</v>
      </c>
      <c r="E1256" s="36" t="s">
        <v>173</v>
      </c>
      <c r="F1256" s="36"/>
      <c r="G1256" s="37" t="s">
        <v>25</v>
      </c>
      <c r="H1256" s="38">
        <v>23580</v>
      </c>
      <c r="I1256" s="38">
        <v>3557</v>
      </c>
      <c r="J1256" s="38">
        <v>17745</v>
      </c>
      <c r="K1256" s="38">
        <v>148</v>
      </c>
      <c r="L1256" s="38">
        <v>31</v>
      </c>
      <c r="M1256" s="38">
        <v>1914</v>
      </c>
      <c r="N1256" s="38">
        <v>105</v>
      </c>
      <c r="O1256" s="38">
        <v>80</v>
      </c>
      <c r="P1256" s="38"/>
      <c r="Q1256" s="38"/>
      <c r="R1256" s="38">
        <v>31030</v>
      </c>
      <c r="S1256" s="38">
        <v>4553</v>
      </c>
      <c r="T1256" s="38">
        <v>24669</v>
      </c>
      <c r="U1256" s="38">
        <v>97</v>
      </c>
      <c r="V1256" s="38">
        <v>20</v>
      </c>
      <c r="W1256" s="38">
        <v>1535</v>
      </c>
      <c r="X1256" s="38">
        <v>80</v>
      </c>
      <c r="Y1256" s="38">
        <v>76</v>
      </c>
      <c r="Z1256" s="38"/>
      <c r="AA1256" s="38"/>
      <c r="AB1256" s="39">
        <v>15.084817599999999</v>
      </c>
      <c r="AC1256" s="39">
        <v>75.254452900000004</v>
      </c>
      <c r="AD1256" s="39">
        <v>0.62765059999999995</v>
      </c>
      <c r="AE1256" s="39">
        <v>0.13146730000000001</v>
      </c>
      <c r="AF1256" s="39">
        <v>8.1170483000000004</v>
      </c>
      <c r="AG1256" s="39">
        <v>0.44529259999999998</v>
      </c>
      <c r="AH1256" s="39">
        <v>0.33927059999999998</v>
      </c>
      <c r="AI1256" s="39"/>
      <c r="AJ1256" s="39"/>
      <c r="AK1256" s="39">
        <v>14.6728972</v>
      </c>
      <c r="AL1256" s="39">
        <v>79.500483399999993</v>
      </c>
      <c r="AM1256" s="39">
        <v>0.31260070000000001</v>
      </c>
      <c r="AN1256" s="39">
        <v>6.4453800000000006E-2</v>
      </c>
      <c r="AO1256" s="39">
        <v>4.9468256999999998</v>
      </c>
      <c r="AP1256" s="39">
        <v>0.25781500000000002</v>
      </c>
      <c r="AQ1256" s="39">
        <v>0.24492430000000001</v>
      </c>
      <c r="AR1256" s="40"/>
      <c r="AS1256" s="40"/>
    </row>
    <row r="1257" spans="2:45" ht="15" hidden="1" customHeight="1" x14ac:dyDescent="0.25">
      <c r="B1257" s="35">
        <v>1251</v>
      </c>
      <c r="C1257" s="36" t="s">
        <v>29</v>
      </c>
      <c r="D1257" s="36" t="s">
        <v>413</v>
      </c>
      <c r="E1257" s="36" t="s">
        <v>173</v>
      </c>
      <c r="F1257" s="36"/>
      <c r="G1257" s="37" t="s">
        <v>26</v>
      </c>
      <c r="H1257" s="38">
        <v>2374</v>
      </c>
      <c r="I1257" s="38">
        <v>26</v>
      </c>
      <c r="J1257" s="38">
        <v>27</v>
      </c>
      <c r="K1257" s="38">
        <v>51</v>
      </c>
      <c r="L1257" s="38">
        <v>36</v>
      </c>
      <c r="M1257" s="38">
        <v>1975</v>
      </c>
      <c r="N1257" s="38">
        <v>221</v>
      </c>
      <c r="O1257" s="38">
        <v>38</v>
      </c>
      <c r="P1257" s="38"/>
      <c r="Q1257" s="38"/>
      <c r="R1257" s="38">
        <v>3486</v>
      </c>
      <c r="S1257" s="38">
        <v>97</v>
      </c>
      <c r="T1257" s="38">
        <v>211</v>
      </c>
      <c r="U1257" s="38">
        <v>36</v>
      </c>
      <c r="V1257" s="38">
        <v>8</v>
      </c>
      <c r="W1257" s="38">
        <v>2644</v>
      </c>
      <c r="X1257" s="38">
        <v>417</v>
      </c>
      <c r="Y1257" s="38">
        <v>73</v>
      </c>
      <c r="Z1257" s="38"/>
      <c r="AA1257" s="38"/>
      <c r="AB1257" s="39">
        <v>1.0951979999999999</v>
      </c>
      <c r="AC1257" s="39">
        <v>1.137321</v>
      </c>
      <c r="AD1257" s="39">
        <v>2.1482730000000001</v>
      </c>
      <c r="AE1257" s="39">
        <v>1.5164280000000001</v>
      </c>
      <c r="AF1257" s="39">
        <v>83.192923300000004</v>
      </c>
      <c r="AG1257" s="39">
        <v>9.3091828000000003</v>
      </c>
      <c r="AH1257" s="39">
        <v>1.6006739999999999</v>
      </c>
      <c r="AI1257" s="39"/>
      <c r="AJ1257" s="39"/>
      <c r="AK1257" s="39">
        <v>2.7825587999999999</v>
      </c>
      <c r="AL1257" s="39">
        <v>6.0527825999999996</v>
      </c>
      <c r="AM1257" s="39">
        <v>1.0327021999999999</v>
      </c>
      <c r="AN1257" s="39">
        <v>0.22948940000000001</v>
      </c>
      <c r="AO1257" s="39">
        <v>75.846242099999998</v>
      </c>
      <c r="AP1257" s="39">
        <v>11.962134300000001</v>
      </c>
      <c r="AQ1257" s="39">
        <v>2.0940905999999999</v>
      </c>
      <c r="AR1257" s="40"/>
      <c r="AS1257" s="40"/>
    </row>
    <row r="1258" spans="2:45" ht="15" customHeight="1" x14ac:dyDescent="0.25">
      <c r="B1258" s="41">
        <v>1252</v>
      </c>
      <c r="C1258" s="42" t="s">
        <v>31</v>
      </c>
      <c r="D1258" s="51" t="s">
        <v>413</v>
      </c>
      <c r="E1258" s="51" t="s">
        <v>173</v>
      </c>
      <c r="F1258" s="51" t="s">
        <v>414</v>
      </c>
      <c r="G1258" s="52" t="s">
        <v>414</v>
      </c>
      <c r="H1258" s="43">
        <v>24724</v>
      </c>
      <c r="I1258" s="43">
        <v>3581</v>
      </c>
      <c r="J1258" s="43">
        <v>17765</v>
      </c>
      <c r="K1258" s="43">
        <v>172</v>
      </c>
      <c r="L1258" s="43">
        <v>58</v>
      </c>
      <c r="M1258" s="43">
        <v>2865</v>
      </c>
      <c r="N1258" s="43">
        <v>187</v>
      </c>
      <c r="O1258" s="43">
        <v>96</v>
      </c>
      <c r="P1258" s="44">
        <f>K1258+L1258+M1258+N1258+O1258</f>
        <v>3378</v>
      </c>
      <c r="Q1258" s="44">
        <f>I1258+J1258</f>
        <v>21346</v>
      </c>
      <c r="R1258" s="43">
        <v>32445</v>
      </c>
      <c r="S1258" s="43">
        <v>4609</v>
      </c>
      <c r="T1258" s="43">
        <v>24867</v>
      </c>
      <c r="U1258" s="43">
        <v>114</v>
      </c>
      <c r="V1258" s="43">
        <v>22</v>
      </c>
      <c r="W1258" s="43">
        <v>2610</v>
      </c>
      <c r="X1258" s="43">
        <v>138</v>
      </c>
      <c r="Y1258" s="43">
        <v>85</v>
      </c>
      <c r="Z1258" s="45">
        <f>U1258+V1258+W1258+X1258+Y1258</f>
        <v>2969</v>
      </c>
      <c r="AA1258" s="45">
        <f>S1258+T1258</f>
        <v>29476</v>
      </c>
      <c r="AB1258" s="46">
        <v>14.4839023</v>
      </c>
      <c r="AC1258" s="46">
        <v>71.853260000000006</v>
      </c>
      <c r="AD1258" s="46">
        <v>0.69568030000000003</v>
      </c>
      <c r="AE1258" s="46">
        <v>0.23458989999999999</v>
      </c>
      <c r="AF1258" s="46">
        <v>11.587930800000001</v>
      </c>
      <c r="AG1258" s="46">
        <v>0.75635010000000003</v>
      </c>
      <c r="AH1258" s="46">
        <v>0.38828669999999998</v>
      </c>
      <c r="AI1258" s="47">
        <f>AB1258+AC1258</f>
        <v>86.337162300000003</v>
      </c>
      <c r="AJ1258" s="47">
        <f>AD1258+AE1258+AF1258+AG1258+AH1258</f>
        <v>13.662837800000002</v>
      </c>
      <c r="AK1258" s="46">
        <v>14.2055787</v>
      </c>
      <c r="AL1258" s="46">
        <v>76.643550599999998</v>
      </c>
      <c r="AM1258" s="46">
        <v>0.3513638</v>
      </c>
      <c r="AN1258" s="46">
        <v>6.7807099999999995E-2</v>
      </c>
      <c r="AO1258" s="46">
        <v>8.0443827999999993</v>
      </c>
      <c r="AP1258" s="46">
        <v>0.42533520000000002</v>
      </c>
      <c r="AQ1258" s="46">
        <v>0.26198179999999999</v>
      </c>
      <c r="AR1258" s="48">
        <f>AK1258+AL1258</f>
        <v>90.849129300000001</v>
      </c>
      <c r="AS1258" s="48">
        <f>AM1258+AN1258+AO1258+AP1258+AQ1258</f>
        <v>9.1508706999999969</v>
      </c>
    </row>
    <row r="1259" spans="2:45" ht="15" hidden="1" customHeight="1" x14ac:dyDescent="0.25">
      <c r="B1259" s="35">
        <v>1253</v>
      </c>
      <c r="C1259" s="36" t="s">
        <v>31</v>
      </c>
      <c r="D1259" s="36" t="s">
        <v>413</v>
      </c>
      <c r="E1259" s="36" t="s">
        <v>173</v>
      </c>
      <c r="F1259" s="36" t="s">
        <v>414</v>
      </c>
      <c r="G1259" s="37" t="s">
        <v>25</v>
      </c>
      <c r="H1259" s="38">
        <v>23580</v>
      </c>
      <c r="I1259" s="38">
        <v>3557</v>
      </c>
      <c r="J1259" s="38">
        <v>17745</v>
      </c>
      <c r="K1259" s="38">
        <v>148</v>
      </c>
      <c r="L1259" s="38">
        <v>31</v>
      </c>
      <c r="M1259" s="38">
        <v>1914</v>
      </c>
      <c r="N1259" s="38">
        <v>105</v>
      </c>
      <c r="O1259" s="38">
        <v>80</v>
      </c>
      <c r="P1259" s="38"/>
      <c r="Q1259" s="38"/>
      <c r="R1259" s="38">
        <v>31030</v>
      </c>
      <c r="S1259" s="38">
        <v>4553</v>
      </c>
      <c r="T1259" s="38">
        <v>24669</v>
      </c>
      <c r="U1259" s="38">
        <v>97</v>
      </c>
      <c r="V1259" s="38">
        <v>20</v>
      </c>
      <c r="W1259" s="38">
        <v>1535</v>
      </c>
      <c r="X1259" s="38">
        <v>80</v>
      </c>
      <c r="Y1259" s="38">
        <v>76</v>
      </c>
      <c r="Z1259" s="38"/>
      <c r="AA1259" s="38"/>
      <c r="AB1259" s="39">
        <v>15.084817599999999</v>
      </c>
      <c r="AC1259" s="39">
        <v>75.254452900000004</v>
      </c>
      <c r="AD1259" s="39">
        <v>0.62765059999999995</v>
      </c>
      <c r="AE1259" s="39">
        <v>0.13146730000000001</v>
      </c>
      <c r="AF1259" s="39">
        <v>8.1170483000000004</v>
      </c>
      <c r="AG1259" s="39">
        <v>0.44529259999999998</v>
      </c>
      <c r="AH1259" s="39">
        <v>0.33927059999999998</v>
      </c>
      <c r="AI1259" s="39"/>
      <c r="AJ1259" s="39"/>
      <c r="AK1259" s="39">
        <v>14.6728972</v>
      </c>
      <c r="AL1259" s="39">
        <v>79.500483399999993</v>
      </c>
      <c r="AM1259" s="39">
        <v>0.31260070000000001</v>
      </c>
      <c r="AN1259" s="39">
        <v>6.4453800000000006E-2</v>
      </c>
      <c r="AO1259" s="39">
        <v>4.9468256999999998</v>
      </c>
      <c r="AP1259" s="39">
        <v>0.25781500000000002</v>
      </c>
      <c r="AQ1259" s="39">
        <v>0.24492430000000001</v>
      </c>
      <c r="AR1259" s="40"/>
      <c r="AS1259" s="40"/>
    </row>
    <row r="1260" spans="2:45" ht="15" hidden="1" customHeight="1" x14ac:dyDescent="0.25">
      <c r="B1260" s="35">
        <v>1254</v>
      </c>
      <c r="C1260" s="36" t="s">
        <v>31</v>
      </c>
      <c r="D1260" s="36" t="s">
        <v>413</v>
      </c>
      <c r="E1260" s="36" t="s">
        <v>173</v>
      </c>
      <c r="F1260" s="36" t="s">
        <v>414</v>
      </c>
      <c r="G1260" s="37" t="s">
        <v>26</v>
      </c>
      <c r="H1260" s="38">
        <v>1144</v>
      </c>
      <c r="I1260" s="38">
        <v>24</v>
      </c>
      <c r="J1260" s="38">
        <v>20</v>
      </c>
      <c r="K1260" s="38">
        <v>24</v>
      </c>
      <c r="L1260" s="38">
        <v>27</v>
      </c>
      <c r="M1260" s="38">
        <v>951</v>
      </c>
      <c r="N1260" s="38">
        <v>82</v>
      </c>
      <c r="O1260" s="38">
        <v>16</v>
      </c>
      <c r="P1260" s="38"/>
      <c r="Q1260" s="38"/>
      <c r="R1260" s="38">
        <v>1415</v>
      </c>
      <c r="S1260" s="38">
        <v>56</v>
      </c>
      <c r="T1260" s="38">
        <v>198</v>
      </c>
      <c r="U1260" s="38">
        <v>17</v>
      </c>
      <c r="V1260" s="38">
        <v>2</v>
      </c>
      <c r="W1260" s="38">
        <v>1075</v>
      </c>
      <c r="X1260" s="38">
        <v>58</v>
      </c>
      <c r="Y1260" s="38">
        <v>9</v>
      </c>
      <c r="Z1260" s="38"/>
      <c r="AA1260" s="38"/>
      <c r="AB1260" s="39">
        <v>2.0979021000000002</v>
      </c>
      <c r="AC1260" s="39">
        <v>1.7482517</v>
      </c>
      <c r="AD1260" s="39">
        <v>2.0979021000000002</v>
      </c>
      <c r="AE1260" s="39">
        <v>2.3601399000000001</v>
      </c>
      <c r="AF1260" s="39">
        <v>83.129370600000001</v>
      </c>
      <c r="AG1260" s="39">
        <v>7.1678322000000003</v>
      </c>
      <c r="AH1260" s="39">
        <v>1.3986014</v>
      </c>
      <c r="AI1260" s="39"/>
      <c r="AJ1260" s="39"/>
      <c r="AK1260" s="39">
        <v>3.9575971999999999</v>
      </c>
      <c r="AL1260" s="39">
        <v>13.9929329</v>
      </c>
      <c r="AM1260" s="39">
        <v>1.2014134000000001</v>
      </c>
      <c r="AN1260" s="39">
        <v>0.14134279999999999</v>
      </c>
      <c r="AO1260" s="39">
        <v>75.971731399999996</v>
      </c>
      <c r="AP1260" s="39">
        <v>4.0989399000000004</v>
      </c>
      <c r="AQ1260" s="39">
        <v>0.63604240000000001</v>
      </c>
      <c r="AR1260" s="40"/>
      <c r="AS1260" s="40"/>
    </row>
    <row r="1261" spans="2:45" ht="15" customHeight="1" x14ac:dyDescent="0.25">
      <c r="B1261" s="41">
        <v>1255</v>
      </c>
      <c r="C1261" s="42" t="s">
        <v>31</v>
      </c>
      <c r="D1261" s="51" t="s">
        <v>413</v>
      </c>
      <c r="E1261" s="51" t="s">
        <v>173</v>
      </c>
      <c r="F1261" s="51" t="s">
        <v>396</v>
      </c>
      <c r="G1261" s="52" t="s">
        <v>396</v>
      </c>
      <c r="H1261" s="43">
        <v>1230</v>
      </c>
      <c r="I1261" s="43">
        <v>2</v>
      </c>
      <c r="J1261" s="43">
        <v>7</v>
      </c>
      <c r="K1261" s="43">
        <v>27</v>
      </c>
      <c r="L1261" s="43">
        <v>9</v>
      </c>
      <c r="M1261" s="43">
        <v>1024</v>
      </c>
      <c r="N1261" s="43">
        <v>139</v>
      </c>
      <c r="O1261" s="43">
        <v>22</v>
      </c>
      <c r="P1261" s="44">
        <f>K1261+L1261+M1261+N1261+O1261</f>
        <v>1221</v>
      </c>
      <c r="Q1261" s="44">
        <f>I1261+J1261</f>
        <v>9</v>
      </c>
      <c r="R1261" s="43">
        <v>2071</v>
      </c>
      <c r="S1261" s="43">
        <v>41</v>
      </c>
      <c r="T1261" s="43">
        <v>13</v>
      </c>
      <c r="U1261" s="43">
        <v>19</v>
      </c>
      <c r="V1261" s="43">
        <v>6</v>
      </c>
      <c r="W1261" s="43">
        <v>1569</v>
      </c>
      <c r="X1261" s="43">
        <v>359</v>
      </c>
      <c r="Y1261" s="43">
        <v>64</v>
      </c>
      <c r="Z1261" s="45">
        <f>U1261+V1261+W1261+X1261+Y1261</f>
        <v>2017</v>
      </c>
      <c r="AA1261" s="45">
        <f>S1261+T1261</f>
        <v>54</v>
      </c>
      <c r="AB1261" s="46">
        <v>0.16260160000000001</v>
      </c>
      <c r="AC1261" s="46">
        <v>0.56910570000000005</v>
      </c>
      <c r="AD1261" s="46">
        <v>2.195122</v>
      </c>
      <c r="AE1261" s="46">
        <v>0.73170729999999995</v>
      </c>
      <c r="AF1261" s="46">
        <v>83.252032499999999</v>
      </c>
      <c r="AG1261" s="46">
        <v>11.300813</v>
      </c>
      <c r="AH1261" s="46">
        <v>1.7886179</v>
      </c>
      <c r="AI1261" s="47">
        <f>AB1261+AC1261</f>
        <v>0.73170730000000006</v>
      </c>
      <c r="AJ1261" s="47">
        <f>AD1261+AE1261+AF1261+AG1261+AH1261</f>
        <v>99.268292700000003</v>
      </c>
      <c r="AK1261" s="46">
        <v>1.9797199000000001</v>
      </c>
      <c r="AL1261" s="46">
        <v>0.6277161</v>
      </c>
      <c r="AM1261" s="46">
        <v>0.9174312</v>
      </c>
      <c r="AN1261" s="46">
        <v>0.2897151</v>
      </c>
      <c r="AO1261" s="46">
        <v>75.760502200000005</v>
      </c>
      <c r="AP1261" s="46">
        <v>17.334620999999999</v>
      </c>
      <c r="AQ1261" s="46">
        <v>3.0902945000000002</v>
      </c>
      <c r="AR1261" s="48">
        <f>AK1261+AL1261</f>
        <v>2.6074359999999999</v>
      </c>
      <c r="AS1261" s="48">
        <f>AM1261+AN1261+AO1261+AP1261+AQ1261</f>
        <v>97.392564000000007</v>
      </c>
    </row>
    <row r="1262" spans="2:45" ht="15" hidden="1" customHeight="1" x14ac:dyDescent="0.25">
      <c r="B1262" s="35">
        <v>1256</v>
      </c>
      <c r="C1262" s="36" t="s">
        <v>31</v>
      </c>
      <c r="D1262" s="36" t="s">
        <v>413</v>
      </c>
      <c r="E1262" s="36" t="s">
        <v>173</v>
      </c>
      <c r="F1262" s="36" t="s">
        <v>396</v>
      </c>
      <c r="G1262" s="37" t="s">
        <v>25</v>
      </c>
      <c r="H1262" s="38"/>
      <c r="I1262" s="38"/>
      <c r="J1262" s="38"/>
      <c r="K1262" s="38"/>
      <c r="L1262" s="38"/>
      <c r="M1262" s="38"/>
      <c r="N1262" s="38"/>
      <c r="O1262" s="38"/>
      <c r="P1262" s="38"/>
      <c r="Q1262" s="38"/>
      <c r="R1262" s="38"/>
      <c r="S1262" s="38"/>
      <c r="T1262" s="38"/>
      <c r="U1262" s="38"/>
      <c r="V1262" s="38"/>
      <c r="W1262" s="38"/>
      <c r="X1262" s="38"/>
      <c r="Y1262" s="38"/>
      <c r="Z1262" s="38"/>
      <c r="AA1262" s="38"/>
      <c r="AB1262" s="39"/>
      <c r="AC1262" s="39"/>
      <c r="AD1262" s="39"/>
      <c r="AE1262" s="39"/>
      <c r="AF1262" s="39"/>
      <c r="AG1262" s="39"/>
      <c r="AH1262" s="39"/>
      <c r="AI1262" s="39"/>
      <c r="AJ1262" s="39"/>
      <c r="AK1262" s="39"/>
      <c r="AL1262" s="39"/>
      <c r="AM1262" s="39"/>
      <c r="AN1262" s="39"/>
      <c r="AO1262" s="39"/>
      <c r="AP1262" s="39"/>
      <c r="AQ1262" s="39"/>
      <c r="AR1262" s="40"/>
      <c r="AS1262" s="40"/>
    </row>
    <row r="1263" spans="2:45" ht="15" hidden="1" customHeight="1" x14ac:dyDescent="0.25">
      <c r="B1263" s="35">
        <v>1257</v>
      </c>
      <c r="C1263" s="36" t="s">
        <v>31</v>
      </c>
      <c r="D1263" s="36" t="s">
        <v>413</v>
      </c>
      <c r="E1263" s="36" t="s">
        <v>173</v>
      </c>
      <c r="F1263" s="36" t="s">
        <v>396</v>
      </c>
      <c r="G1263" s="37" t="s">
        <v>26</v>
      </c>
      <c r="H1263" s="38">
        <v>1230</v>
      </c>
      <c r="I1263" s="38">
        <v>2</v>
      </c>
      <c r="J1263" s="38">
        <v>7</v>
      </c>
      <c r="K1263" s="38">
        <v>27</v>
      </c>
      <c r="L1263" s="38">
        <v>9</v>
      </c>
      <c r="M1263" s="38">
        <v>1024</v>
      </c>
      <c r="N1263" s="38">
        <v>139</v>
      </c>
      <c r="O1263" s="38">
        <v>22</v>
      </c>
      <c r="P1263" s="38"/>
      <c r="Q1263" s="38"/>
      <c r="R1263" s="38">
        <v>2071</v>
      </c>
      <c r="S1263" s="38">
        <v>41</v>
      </c>
      <c r="T1263" s="38">
        <v>13</v>
      </c>
      <c r="U1263" s="38">
        <v>19</v>
      </c>
      <c r="V1263" s="38">
        <v>6</v>
      </c>
      <c r="W1263" s="38">
        <v>1569</v>
      </c>
      <c r="X1263" s="38">
        <v>359</v>
      </c>
      <c r="Y1263" s="38">
        <v>64</v>
      </c>
      <c r="Z1263" s="38"/>
      <c r="AA1263" s="38"/>
      <c r="AB1263" s="39">
        <v>0.16260160000000001</v>
      </c>
      <c r="AC1263" s="39">
        <v>0.56910570000000005</v>
      </c>
      <c r="AD1263" s="39">
        <v>2.195122</v>
      </c>
      <c r="AE1263" s="39">
        <v>0.73170729999999995</v>
      </c>
      <c r="AF1263" s="39">
        <v>83.252032499999999</v>
      </c>
      <c r="AG1263" s="39">
        <v>11.300813</v>
      </c>
      <c r="AH1263" s="39">
        <v>1.7886179</v>
      </c>
      <c r="AI1263" s="39"/>
      <c r="AJ1263" s="39"/>
      <c r="AK1263" s="39">
        <v>1.9797199000000001</v>
      </c>
      <c r="AL1263" s="39">
        <v>0.6277161</v>
      </c>
      <c r="AM1263" s="39">
        <v>0.9174312</v>
      </c>
      <c r="AN1263" s="39">
        <v>0.2897151</v>
      </c>
      <c r="AO1263" s="39">
        <v>75.760502200000005</v>
      </c>
      <c r="AP1263" s="39">
        <v>17.334620999999999</v>
      </c>
      <c r="AQ1263" s="39">
        <v>3.0902945000000002</v>
      </c>
      <c r="AR1263" s="40"/>
      <c r="AS1263" s="40"/>
    </row>
    <row r="1264" spans="2:45" ht="15" hidden="1" customHeight="1" x14ac:dyDescent="0.25">
      <c r="B1264" s="30">
        <v>1258</v>
      </c>
      <c r="C1264" s="31" t="s">
        <v>29</v>
      </c>
      <c r="D1264" s="50" t="s">
        <v>413</v>
      </c>
      <c r="E1264" s="50" t="s">
        <v>415</v>
      </c>
      <c r="F1264" s="50"/>
      <c r="G1264" s="31" t="s">
        <v>415</v>
      </c>
      <c r="H1264" s="32">
        <v>28849</v>
      </c>
      <c r="I1264" s="32">
        <v>4055</v>
      </c>
      <c r="J1264" s="32">
        <v>18617</v>
      </c>
      <c r="K1264" s="32">
        <v>443</v>
      </c>
      <c r="L1264" s="32">
        <v>223</v>
      </c>
      <c r="M1264" s="32">
        <v>4535</v>
      </c>
      <c r="N1264" s="32">
        <v>688</v>
      </c>
      <c r="O1264" s="32">
        <v>288</v>
      </c>
      <c r="P1264" s="32"/>
      <c r="Q1264" s="32"/>
      <c r="R1264" s="32">
        <v>38333</v>
      </c>
      <c r="S1264" s="32">
        <v>5563</v>
      </c>
      <c r="T1264" s="32">
        <v>22321</v>
      </c>
      <c r="U1264" s="32">
        <v>277</v>
      </c>
      <c r="V1264" s="32">
        <v>61</v>
      </c>
      <c r="W1264" s="32">
        <v>9152</v>
      </c>
      <c r="X1264" s="32">
        <v>739</v>
      </c>
      <c r="Y1264" s="32">
        <v>220</v>
      </c>
      <c r="Z1264" s="32"/>
      <c r="AA1264" s="32"/>
      <c r="AB1264" s="33">
        <v>14.055946499999999</v>
      </c>
      <c r="AC1264" s="33">
        <v>64.532566099999997</v>
      </c>
      <c r="AD1264" s="33">
        <v>1.5355818000000001</v>
      </c>
      <c r="AE1264" s="33">
        <v>0.77299039999999997</v>
      </c>
      <c r="AF1264" s="33">
        <v>15.7197823</v>
      </c>
      <c r="AG1264" s="33">
        <v>2.3848313999999999</v>
      </c>
      <c r="AH1264" s="33">
        <v>0.99830149999999995</v>
      </c>
      <c r="AI1264" s="33"/>
      <c r="AJ1264" s="33"/>
      <c r="AK1264" s="33">
        <v>14.512300099999999</v>
      </c>
      <c r="AL1264" s="33">
        <v>58.229202000000001</v>
      </c>
      <c r="AM1264" s="33">
        <v>0.72261500000000001</v>
      </c>
      <c r="AN1264" s="33">
        <v>0.15913179999999999</v>
      </c>
      <c r="AO1264" s="33">
        <v>23.874990199999999</v>
      </c>
      <c r="AP1264" s="33">
        <v>1.9278428999999999</v>
      </c>
      <c r="AQ1264" s="33">
        <v>0.57391800000000004</v>
      </c>
      <c r="AR1264" s="34"/>
      <c r="AS1264" s="34"/>
    </row>
    <row r="1265" spans="2:45" ht="15" hidden="1" customHeight="1" x14ac:dyDescent="0.25">
      <c r="B1265" s="35">
        <v>1259</v>
      </c>
      <c r="C1265" s="36" t="s">
        <v>29</v>
      </c>
      <c r="D1265" s="36" t="s">
        <v>413</v>
      </c>
      <c r="E1265" s="36" t="s">
        <v>415</v>
      </c>
      <c r="F1265" s="36"/>
      <c r="G1265" s="37" t="s">
        <v>25</v>
      </c>
      <c r="H1265" s="38">
        <v>25042</v>
      </c>
      <c r="I1265" s="38">
        <v>4030</v>
      </c>
      <c r="J1265" s="38">
        <v>18585</v>
      </c>
      <c r="K1265" s="38">
        <v>252</v>
      </c>
      <c r="L1265" s="38">
        <v>123</v>
      </c>
      <c r="M1265" s="38">
        <v>1715</v>
      </c>
      <c r="N1265" s="38">
        <v>207</v>
      </c>
      <c r="O1265" s="38">
        <v>130</v>
      </c>
      <c r="P1265" s="38"/>
      <c r="Q1265" s="38"/>
      <c r="R1265" s="38">
        <v>32914</v>
      </c>
      <c r="S1265" s="38">
        <v>5498</v>
      </c>
      <c r="T1265" s="38">
        <v>22233</v>
      </c>
      <c r="U1265" s="38">
        <v>181</v>
      </c>
      <c r="V1265" s="38">
        <v>31</v>
      </c>
      <c r="W1265" s="38">
        <v>4647</v>
      </c>
      <c r="X1265" s="38">
        <v>211</v>
      </c>
      <c r="Y1265" s="38">
        <v>113</v>
      </c>
      <c r="Z1265" s="38"/>
      <c r="AA1265" s="38"/>
      <c r="AB1265" s="39">
        <v>16.0929638</v>
      </c>
      <c r="AC1265" s="39">
        <v>74.215318300000007</v>
      </c>
      <c r="AD1265" s="39">
        <v>1.0063093999999999</v>
      </c>
      <c r="AE1265" s="39">
        <v>0.49117480000000002</v>
      </c>
      <c r="AF1265" s="39">
        <v>6.8484945000000002</v>
      </c>
      <c r="AG1265" s="39">
        <v>0.82661130000000005</v>
      </c>
      <c r="AH1265" s="39">
        <v>0.51912789999999998</v>
      </c>
      <c r="AI1265" s="39"/>
      <c r="AJ1265" s="39"/>
      <c r="AK1265" s="39">
        <v>16.704138100000002</v>
      </c>
      <c r="AL1265" s="39">
        <v>67.548763399999999</v>
      </c>
      <c r="AM1265" s="39">
        <v>0.54991800000000002</v>
      </c>
      <c r="AN1265" s="39">
        <v>9.4184799999999999E-2</v>
      </c>
      <c r="AO1265" s="39">
        <v>14.1186121</v>
      </c>
      <c r="AP1265" s="39">
        <v>0.64106459999999998</v>
      </c>
      <c r="AQ1265" s="39">
        <v>0.34331899999999999</v>
      </c>
      <c r="AR1265" s="40"/>
      <c r="AS1265" s="40"/>
    </row>
    <row r="1266" spans="2:45" ht="15" hidden="1" customHeight="1" x14ac:dyDescent="0.25">
      <c r="B1266" s="35">
        <v>1260</v>
      </c>
      <c r="C1266" s="36" t="s">
        <v>29</v>
      </c>
      <c r="D1266" s="36" t="s">
        <v>413</v>
      </c>
      <c r="E1266" s="36" t="s">
        <v>415</v>
      </c>
      <c r="F1266" s="36"/>
      <c r="G1266" s="37" t="s">
        <v>26</v>
      </c>
      <c r="H1266" s="38">
        <v>3807</v>
      </c>
      <c r="I1266" s="38">
        <v>25</v>
      </c>
      <c r="J1266" s="38">
        <v>32</v>
      </c>
      <c r="K1266" s="38">
        <v>191</v>
      </c>
      <c r="L1266" s="38">
        <v>100</v>
      </c>
      <c r="M1266" s="38">
        <v>2820</v>
      </c>
      <c r="N1266" s="38">
        <v>481</v>
      </c>
      <c r="O1266" s="38">
        <v>158</v>
      </c>
      <c r="P1266" s="38"/>
      <c r="Q1266" s="38"/>
      <c r="R1266" s="38">
        <v>5419</v>
      </c>
      <c r="S1266" s="38">
        <v>65</v>
      </c>
      <c r="T1266" s="38">
        <v>88</v>
      </c>
      <c r="U1266" s="38">
        <v>96</v>
      </c>
      <c r="V1266" s="38">
        <v>30</v>
      </c>
      <c r="W1266" s="38">
        <v>4505</v>
      </c>
      <c r="X1266" s="38">
        <v>528</v>
      </c>
      <c r="Y1266" s="38">
        <v>107</v>
      </c>
      <c r="Z1266" s="38"/>
      <c r="AA1266" s="38"/>
      <c r="AB1266" s="39">
        <v>0.65668510000000002</v>
      </c>
      <c r="AC1266" s="39">
        <v>0.84055690000000005</v>
      </c>
      <c r="AD1266" s="39">
        <v>5.0170738000000004</v>
      </c>
      <c r="AE1266" s="39">
        <v>2.6267402</v>
      </c>
      <c r="AF1266" s="39">
        <v>74.074074100000004</v>
      </c>
      <c r="AG1266" s="39">
        <v>12.634620399999999</v>
      </c>
      <c r="AH1266" s="39">
        <v>4.1502495000000001</v>
      </c>
      <c r="AI1266" s="39"/>
      <c r="AJ1266" s="39"/>
      <c r="AK1266" s="39">
        <v>1.1994833</v>
      </c>
      <c r="AL1266" s="39">
        <v>1.6239159000000001</v>
      </c>
      <c r="AM1266" s="39">
        <v>1.7715445999999999</v>
      </c>
      <c r="AN1266" s="39">
        <v>0.55360770000000004</v>
      </c>
      <c r="AO1266" s="39">
        <v>83.133419500000002</v>
      </c>
      <c r="AP1266" s="39">
        <v>9.7434951000000005</v>
      </c>
      <c r="AQ1266" s="39">
        <v>1.974534</v>
      </c>
      <c r="AR1266" s="40"/>
      <c r="AS1266" s="40"/>
    </row>
    <row r="1267" spans="2:45" ht="15" customHeight="1" x14ac:dyDescent="0.25">
      <c r="B1267" s="41">
        <v>1261</v>
      </c>
      <c r="C1267" s="42" t="s">
        <v>31</v>
      </c>
      <c r="D1267" s="51" t="s">
        <v>413</v>
      </c>
      <c r="E1267" s="51" t="s">
        <v>415</v>
      </c>
      <c r="F1267" s="51" t="s">
        <v>416</v>
      </c>
      <c r="G1267" s="52" t="s">
        <v>416</v>
      </c>
      <c r="H1267" s="43">
        <v>19588</v>
      </c>
      <c r="I1267" s="43">
        <v>2883</v>
      </c>
      <c r="J1267" s="43">
        <v>12235</v>
      </c>
      <c r="K1267" s="43">
        <v>334</v>
      </c>
      <c r="L1267" s="43">
        <v>167</v>
      </c>
      <c r="M1267" s="43">
        <v>3239</v>
      </c>
      <c r="N1267" s="43">
        <v>497</v>
      </c>
      <c r="O1267" s="43">
        <v>233</v>
      </c>
      <c r="P1267" s="44">
        <f>K1267+L1267+M1267+N1267+O1267</f>
        <v>4470</v>
      </c>
      <c r="Q1267" s="44">
        <f>I1267+J1267</f>
        <v>15118</v>
      </c>
      <c r="R1267" s="43">
        <v>27442</v>
      </c>
      <c r="S1267" s="43">
        <v>3748</v>
      </c>
      <c r="T1267" s="43">
        <v>15793</v>
      </c>
      <c r="U1267" s="43">
        <v>198</v>
      </c>
      <c r="V1267" s="43">
        <v>49</v>
      </c>
      <c r="W1267" s="43">
        <v>6927</v>
      </c>
      <c r="X1267" s="43">
        <v>578</v>
      </c>
      <c r="Y1267" s="43">
        <v>149</v>
      </c>
      <c r="Z1267" s="45">
        <f>U1267+V1267+W1267+X1267+Y1267</f>
        <v>7901</v>
      </c>
      <c r="AA1267" s="45">
        <f>S1267+T1267</f>
        <v>19541</v>
      </c>
      <c r="AB1267" s="46">
        <v>14.718194799999999</v>
      </c>
      <c r="AC1267" s="46">
        <v>62.461711299999997</v>
      </c>
      <c r="AD1267" s="46">
        <v>1.7051255999999999</v>
      </c>
      <c r="AE1267" s="46">
        <v>0.85256279999999995</v>
      </c>
      <c r="AF1267" s="46">
        <v>16.535634099999999</v>
      </c>
      <c r="AG1267" s="46">
        <v>2.5372677000000001</v>
      </c>
      <c r="AH1267" s="46">
        <v>1.1895038</v>
      </c>
      <c r="AI1267" s="47">
        <f>AB1267+AC1267</f>
        <v>77.179906099999997</v>
      </c>
      <c r="AJ1267" s="47">
        <f>AD1267+AE1267+AF1267+AG1267+AH1267</f>
        <v>22.820094000000001</v>
      </c>
      <c r="AK1267" s="46">
        <v>13.6578967</v>
      </c>
      <c r="AL1267" s="46">
        <v>57.550470099999998</v>
      </c>
      <c r="AM1267" s="46">
        <v>0.72152179999999999</v>
      </c>
      <c r="AN1267" s="46">
        <v>0.17855840000000001</v>
      </c>
      <c r="AO1267" s="46">
        <v>25.242329300000002</v>
      </c>
      <c r="AP1267" s="46">
        <v>2.1062604999999999</v>
      </c>
      <c r="AQ1267" s="46">
        <v>0.54296330000000004</v>
      </c>
      <c r="AR1267" s="48">
        <f>AK1267+AL1267</f>
        <v>71.208366799999993</v>
      </c>
      <c r="AS1267" s="48">
        <f>AM1267+AN1267+AO1267+AP1267+AQ1267</f>
        <v>28.791633300000004</v>
      </c>
    </row>
    <row r="1268" spans="2:45" ht="15" hidden="1" customHeight="1" x14ac:dyDescent="0.25">
      <c r="B1268" s="35">
        <v>1262</v>
      </c>
      <c r="C1268" s="36" t="s">
        <v>31</v>
      </c>
      <c r="D1268" s="36" t="s">
        <v>413</v>
      </c>
      <c r="E1268" s="36" t="s">
        <v>415</v>
      </c>
      <c r="F1268" s="36" t="s">
        <v>416</v>
      </c>
      <c r="G1268" s="37" t="s">
        <v>25</v>
      </c>
      <c r="H1268" s="38">
        <v>17142</v>
      </c>
      <c r="I1268" s="38">
        <v>2861</v>
      </c>
      <c r="J1268" s="38">
        <v>12212</v>
      </c>
      <c r="K1268" s="38">
        <v>223</v>
      </c>
      <c r="L1268" s="38">
        <v>109</v>
      </c>
      <c r="M1268" s="38">
        <v>1431</v>
      </c>
      <c r="N1268" s="38">
        <v>192</v>
      </c>
      <c r="O1268" s="38">
        <v>114</v>
      </c>
      <c r="P1268" s="38"/>
      <c r="Q1268" s="38"/>
      <c r="R1268" s="38">
        <v>23889</v>
      </c>
      <c r="S1268" s="38">
        <v>3715</v>
      </c>
      <c r="T1268" s="38">
        <v>15725</v>
      </c>
      <c r="U1268" s="38">
        <v>141</v>
      </c>
      <c r="V1268" s="38">
        <v>28</v>
      </c>
      <c r="W1268" s="38">
        <v>4002</v>
      </c>
      <c r="X1268" s="38">
        <v>189</v>
      </c>
      <c r="Y1268" s="38">
        <v>89</v>
      </c>
      <c r="Z1268" s="38"/>
      <c r="AA1268" s="38"/>
      <c r="AB1268" s="39">
        <v>16.690001200000001</v>
      </c>
      <c r="AC1268" s="39">
        <v>71.240228700000003</v>
      </c>
      <c r="AD1268" s="39">
        <v>1.3008983999999999</v>
      </c>
      <c r="AE1268" s="39">
        <v>0.63586509999999996</v>
      </c>
      <c r="AF1268" s="39">
        <v>8.3479174</v>
      </c>
      <c r="AG1268" s="39">
        <v>1.1200559999999999</v>
      </c>
      <c r="AH1268" s="39">
        <v>0.66503330000000005</v>
      </c>
      <c r="AI1268" s="39"/>
      <c r="AJ1268" s="39"/>
      <c r="AK1268" s="39">
        <v>15.551090500000001</v>
      </c>
      <c r="AL1268" s="39">
        <v>65.825275199999993</v>
      </c>
      <c r="AM1268" s="39">
        <v>0.59022980000000003</v>
      </c>
      <c r="AN1268" s="39">
        <v>0.1172088</v>
      </c>
      <c r="AO1268" s="39">
        <v>16.752480200000001</v>
      </c>
      <c r="AP1268" s="39">
        <v>0.7911591</v>
      </c>
      <c r="AQ1268" s="39">
        <v>0.37255640000000001</v>
      </c>
      <c r="AR1268" s="40"/>
      <c r="AS1268" s="40"/>
    </row>
    <row r="1269" spans="2:45" ht="15" hidden="1" customHeight="1" x14ac:dyDescent="0.25">
      <c r="B1269" s="35">
        <v>1263</v>
      </c>
      <c r="C1269" s="36" t="s">
        <v>31</v>
      </c>
      <c r="D1269" s="36" t="s">
        <v>413</v>
      </c>
      <c r="E1269" s="36" t="s">
        <v>415</v>
      </c>
      <c r="F1269" s="36" t="s">
        <v>416</v>
      </c>
      <c r="G1269" s="37" t="s">
        <v>26</v>
      </c>
      <c r="H1269" s="38">
        <v>2446</v>
      </c>
      <c r="I1269" s="38">
        <v>22</v>
      </c>
      <c r="J1269" s="38">
        <v>23</v>
      </c>
      <c r="K1269" s="38">
        <v>111</v>
      </c>
      <c r="L1269" s="38">
        <v>58</v>
      </c>
      <c r="M1269" s="38">
        <v>1808</v>
      </c>
      <c r="N1269" s="38">
        <v>305</v>
      </c>
      <c r="O1269" s="38">
        <v>119</v>
      </c>
      <c r="P1269" s="38"/>
      <c r="Q1269" s="38"/>
      <c r="R1269" s="38">
        <v>3553</v>
      </c>
      <c r="S1269" s="38">
        <v>33</v>
      </c>
      <c r="T1269" s="38">
        <v>68</v>
      </c>
      <c r="U1269" s="38">
        <v>57</v>
      </c>
      <c r="V1269" s="38">
        <v>21</v>
      </c>
      <c r="W1269" s="38">
        <v>2925</v>
      </c>
      <c r="X1269" s="38">
        <v>389</v>
      </c>
      <c r="Y1269" s="38">
        <v>60</v>
      </c>
      <c r="Z1269" s="38"/>
      <c r="AA1269" s="38"/>
      <c r="AB1269" s="39">
        <v>0.89942759999999999</v>
      </c>
      <c r="AC1269" s="39">
        <v>0.94031070000000005</v>
      </c>
      <c r="AD1269" s="39">
        <v>4.5380212999999996</v>
      </c>
      <c r="AE1269" s="39">
        <v>2.3712182999999998</v>
      </c>
      <c r="AF1269" s="39">
        <v>73.916598500000006</v>
      </c>
      <c r="AG1269" s="39">
        <v>12.469337700000001</v>
      </c>
      <c r="AH1269" s="39">
        <v>4.8650859000000004</v>
      </c>
      <c r="AI1269" s="39"/>
      <c r="AJ1269" s="39"/>
      <c r="AK1269" s="39">
        <v>0.92879259999999997</v>
      </c>
      <c r="AL1269" s="39">
        <v>1.9138755999999999</v>
      </c>
      <c r="AM1269" s="39">
        <v>1.6042780999999999</v>
      </c>
      <c r="AN1269" s="39">
        <v>0.59104979999999996</v>
      </c>
      <c r="AO1269" s="39">
        <v>82.324795899999998</v>
      </c>
      <c r="AP1269" s="39">
        <v>10.948494200000001</v>
      </c>
      <c r="AQ1269" s="39">
        <v>1.6887137999999999</v>
      </c>
      <c r="AR1269" s="40"/>
      <c r="AS1269" s="40"/>
    </row>
    <row r="1270" spans="2:45" ht="15" customHeight="1" x14ac:dyDescent="0.25">
      <c r="B1270" s="41">
        <v>1264</v>
      </c>
      <c r="C1270" s="42" t="s">
        <v>31</v>
      </c>
      <c r="D1270" s="51" t="s">
        <v>413</v>
      </c>
      <c r="E1270" s="51" t="s">
        <v>415</v>
      </c>
      <c r="F1270" s="51" t="s">
        <v>417</v>
      </c>
      <c r="G1270" s="52" t="s">
        <v>417</v>
      </c>
      <c r="H1270" s="43">
        <v>9261</v>
      </c>
      <c r="I1270" s="43">
        <v>1172</v>
      </c>
      <c r="J1270" s="43">
        <v>6382</v>
      </c>
      <c r="K1270" s="43">
        <v>109</v>
      </c>
      <c r="L1270" s="43">
        <v>56</v>
      </c>
      <c r="M1270" s="43">
        <v>1296</v>
      </c>
      <c r="N1270" s="43">
        <v>191</v>
      </c>
      <c r="O1270" s="43">
        <v>55</v>
      </c>
      <c r="P1270" s="44">
        <f>K1270+L1270+M1270+N1270+O1270</f>
        <v>1707</v>
      </c>
      <c r="Q1270" s="44">
        <f>I1270+J1270</f>
        <v>7554</v>
      </c>
      <c r="R1270" s="43">
        <v>10891</v>
      </c>
      <c r="S1270" s="43">
        <v>1815</v>
      </c>
      <c r="T1270" s="43">
        <v>6528</v>
      </c>
      <c r="U1270" s="43">
        <v>79</v>
      </c>
      <c r="V1270" s="43">
        <v>12</v>
      </c>
      <c r="W1270" s="43">
        <v>2225</v>
      </c>
      <c r="X1270" s="43">
        <v>161</v>
      </c>
      <c r="Y1270" s="43">
        <v>71</v>
      </c>
      <c r="Z1270" s="45">
        <f>U1270+V1270+W1270+X1270+Y1270</f>
        <v>2548</v>
      </c>
      <c r="AA1270" s="45">
        <f>S1270+T1270</f>
        <v>8343</v>
      </c>
      <c r="AB1270" s="46">
        <v>12.6552208</v>
      </c>
      <c r="AC1270" s="46">
        <v>68.912644400000005</v>
      </c>
      <c r="AD1270" s="46">
        <v>1.1769787</v>
      </c>
      <c r="AE1270" s="46">
        <v>0.60468630000000001</v>
      </c>
      <c r="AF1270" s="46">
        <v>13.994169100000001</v>
      </c>
      <c r="AG1270" s="46">
        <v>2.0624123000000001</v>
      </c>
      <c r="AH1270" s="46">
        <v>0.59388830000000004</v>
      </c>
      <c r="AI1270" s="47">
        <f>AB1270+AC1270</f>
        <v>81.5678652</v>
      </c>
      <c r="AJ1270" s="47">
        <f>AD1270+AE1270+AF1270+AG1270+AH1270</f>
        <v>18.432134700000002</v>
      </c>
      <c r="AK1270" s="46">
        <v>16.665136400000002</v>
      </c>
      <c r="AL1270" s="46">
        <v>59.9393995</v>
      </c>
      <c r="AM1270" s="46">
        <v>0.72536959999999995</v>
      </c>
      <c r="AN1270" s="46">
        <v>0.11018269999999999</v>
      </c>
      <c r="AO1270" s="46">
        <v>20.429712599999998</v>
      </c>
      <c r="AP1270" s="46">
        <v>1.4782848</v>
      </c>
      <c r="AQ1270" s="46">
        <v>0.6519144</v>
      </c>
      <c r="AR1270" s="48">
        <f>AK1270+AL1270</f>
        <v>76.604535900000002</v>
      </c>
      <c r="AS1270" s="48">
        <f>AM1270+AN1270+AO1270+AP1270+AQ1270</f>
        <v>23.395464099999998</v>
      </c>
    </row>
    <row r="1271" spans="2:45" ht="15" hidden="1" customHeight="1" x14ac:dyDescent="0.25">
      <c r="B1271" s="35">
        <v>1265</v>
      </c>
      <c r="C1271" s="36" t="s">
        <v>31</v>
      </c>
      <c r="D1271" s="36" t="s">
        <v>413</v>
      </c>
      <c r="E1271" s="36" t="s">
        <v>415</v>
      </c>
      <c r="F1271" s="36" t="s">
        <v>417</v>
      </c>
      <c r="G1271" s="37" t="s">
        <v>25</v>
      </c>
      <c r="H1271" s="38">
        <v>7900</v>
      </c>
      <c r="I1271" s="38">
        <v>1169</v>
      </c>
      <c r="J1271" s="38">
        <v>6373</v>
      </c>
      <c r="K1271" s="38">
        <v>29</v>
      </c>
      <c r="L1271" s="38">
        <v>14</v>
      </c>
      <c r="M1271" s="38">
        <v>284</v>
      </c>
      <c r="N1271" s="38">
        <v>15</v>
      </c>
      <c r="O1271" s="38">
        <v>16</v>
      </c>
      <c r="P1271" s="38"/>
      <c r="Q1271" s="38"/>
      <c r="R1271" s="38">
        <v>9025</v>
      </c>
      <c r="S1271" s="38">
        <v>1783</v>
      </c>
      <c r="T1271" s="38">
        <v>6508</v>
      </c>
      <c r="U1271" s="38">
        <v>40</v>
      </c>
      <c r="V1271" s="38">
        <v>3</v>
      </c>
      <c r="W1271" s="38">
        <v>645</v>
      </c>
      <c r="X1271" s="38">
        <v>22</v>
      </c>
      <c r="Y1271" s="38">
        <v>24</v>
      </c>
      <c r="Z1271" s="38"/>
      <c r="AA1271" s="38"/>
      <c r="AB1271" s="39">
        <v>14.7974684</v>
      </c>
      <c r="AC1271" s="39">
        <v>80.670886100000004</v>
      </c>
      <c r="AD1271" s="39">
        <v>0.36708859999999999</v>
      </c>
      <c r="AE1271" s="39">
        <v>0.17721519999999999</v>
      </c>
      <c r="AF1271" s="39">
        <v>3.5949366999999999</v>
      </c>
      <c r="AG1271" s="39">
        <v>0.1898734</v>
      </c>
      <c r="AH1271" s="39">
        <v>0.20253160000000001</v>
      </c>
      <c r="AI1271" s="39"/>
      <c r="AJ1271" s="39"/>
      <c r="AK1271" s="39">
        <v>19.756232700000002</v>
      </c>
      <c r="AL1271" s="39">
        <v>72.110803300000001</v>
      </c>
      <c r="AM1271" s="39">
        <v>0.44321329999999998</v>
      </c>
      <c r="AN1271" s="39">
        <v>3.3241E-2</v>
      </c>
      <c r="AO1271" s="39">
        <v>7.1468144000000002</v>
      </c>
      <c r="AP1271" s="39">
        <v>0.24376729999999999</v>
      </c>
      <c r="AQ1271" s="39">
        <v>0.265928</v>
      </c>
      <c r="AR1271" s="40"/>
      <c r="AS1271" s="40"/>
    </row>
    <row r="1272" spans="2:45" ht="15" hidden="1" customHeight="1" x14ac:dyDescent="0.25">
      <c r="B1272" s="35">
        <v>1266</v>
      </c>
      <c r="C1272" s="36" t="s">
        <v>31</v>
      </c>
      <c r="D1272" s="36" t="s">
        <v>413</v>
      </c>
      <c r="E1272" s="36" t="s">
        <v>415</v>
      </c>
      <c r="F1272" s="36" t="s">
        <v>417</v>
      </c>
      <c r="G1272" s="37" t="s">
        <v>26</v>
      </c>
      <c r="H1272" s="38">
        <v>1361</v>
      </c>
      <c r="I1272" s="38">
        <v>3</v>
      </c>
      <c r="J1272" s="38">
        <v>9</v>
      </c>
      <c r="K1272" s="38">
        <v>80</v>
      </c>
      <c r="L1272" s="38">
        <v>42</v>
      </c>
      <c r="M1272" s="38">
        <v>1012</v>
      </c>
      <c r="N1272" s="38">
        <v>176</v>
      </c>
      <c r="O1272" s="38">
        <v>39</v>
      </c>
      <c r="P1272" s="38"/>
      <c r="Q1272" s="38"/>
      <c r="R1272" s="38">
        <v>1866</v>
      </c>
      <c r="S1272" s="38">
        <v>32</v>
      </c>
      <c r="T1272" s="38">
        <v>20</v>
      </c>
      <c r="U1272" s="38">
        <v>39</v>
      </c>
      <c r="V1272" s="38">
        <v>9</v>
      </c>
      <c r="W1272" s="38">
        <v>1580</v>
      </c>
      <c r="X1272" s="38">
        <v>139</v>
      </c>
      <c r="Y1272" s="38">
        <v>47</v>
      </c>
      <c r="Z1272" s="38"/>
      <c r="AA1272" s="38"/>
      <c r="AB1272" s="39">
        <v>0.22042619999999999</v>
      </c>
      <c r="AC1272" s="39">
        <v>0.66127849999999999</v>
      </c>
      <c r="AD1272" s="39">
        <v>5.8780308999999997</v>
      </c>
      <c r="AE1272" s="39">
        <v>3.0859662000000001</v>
      </c>
      <c r="AF1272" s="39">
        <v>74.357090400000004</v>
      </c>
      <c r="AG1272" s="39">
        <v>12.931667900000001</v>
      </c>
      <c r="AH1272" s="39">
        <v>2.8655400000000002</v>
      </c>
      <c r="AI1272" s="39"/>
      <c r="AJ1272" s="39"/>
      <c r="AK1272" s="39">
        <v>1.7148981999999999</v>
      </c>
      <c r="AL1272" s="39">
        <v>1.0718114000000001</v>
      </c>
      <c r="AM1272" s="39">
        <v>2.0900322</v>
      </c>
      <c r="AN1272" s="39">
        <v>0.4823151</v>
      </c>
      <c r="AO1272" s="39">
        <v>84.673097499999997</v>
      </c>
      <c r="AP1272" s="39">
        <v>7.4490889999999998</v>
      </c>
      <c r="AQ1272" s="39">
        <v>2.5187567</v>
      </c>
      <c r="AR1272" s="40"/>
      <c r="AS1272" s="40"/>
    </row>
    <row r="1273" spans="2:45" ht="15" hidden="1" customHeight="1" x14ac:dyDescent="0.25">
      <c r="B1273" s="30">
        <v>1267</v>
      </c>
      <c r="C1273" s="31" t="s">
        <v>29</v>
      </c>
      <c r="D1273" s="50" t="s">
        <v>413</v>
      </c>
      <c r="E1273" s="50" t="s">
        <v>418</v>
      </c>
      <c r="F1273" s="50"/>
      <c r="G1273" s="31" t="s">
        <v>418</v>
      </c>
      <c r="H1273" s="32">
        <v>19207</v>
      </c>
      <c r="I1273" s="32">
        <v>1058</v>
      </c>
      <c r="J1273" s="32">
        <v>5770</v>
      </c>
      <c r="K1273" s="32">
        <v>590</v>
      </c>
      <c r="L1273" s="32">
        <v>315</v>
      </c>
      <c r="M1273" s="32">
        <v>9946</v>
      </c>
      <c r="N1273" s="32">
        <v>1205</v>
      </c>
      <c r="O1273" s="32">
        <v>323</v>
      </c>
      <c r="P1273" s="32"/>
      <c r="Q1273" s="32"/>
      <c r="R1273" s="32">
        <v>26098</v>
      </c>
      <c r="S1273" s="32">
        <v>1734</v>
      </c>
      <c r="T1273" s="32">
        <v>8336</v>
      </c>
      <c r="U1273" s="32">
        <v>293</v>
      </c>
      <c r="V1273" s="32">
        <v>108</v>
      </c>
      <c r="W1273" s="32">
        <v>13772</v>
      </c>
      <c r="X1273" s="32">
        <v>1618</v>
      </c>
      <c r="Y1273" s="32">
        <v>237</v>
      </c>
      <c r="Z1273" s="32"/>
      <c r="AA1273" s="32"/>
      <c r="AB1273" s="33">
        <v>5.5084084000000004</v>
      </c>
      <c r="AC1273" s="33">
        <v>30.041130800000001</v>
      </c>
      <c r="AD1273" s="33">
        <v>3.0717967000000002</v>
      </c>
      <c r="AE1273" s="33">
        <v>1.6400271</v>
      </c>
      <c r="AF1273" s="33">
        <v>51.783203999999998</v>
      </c>
      <c r="AG1273" s="33">
        <v>6.2737543999999996</v>
      </c>
      <c r="AH1273" s="33">
        <v>1.6816785999999999</v>
      </c>
      <c r="AI1273" s="33"/>
      <c r="AJ1273" s="33"/>
      <c r="AK1273" s="33">
        <v>6.6441872999999996</v>
      </c>
      <c r="AL1273" s="33">
        <v>31.941144900000001</v>
      </c>
      <c r="AM1273" s="33">
        <v>1.1226913999999999</v>
      </c>
      <c r="AN1273" s="33">
        <v>0.41382479999999999</v>
      </c>
      <c r="AO1273" s="33">
        <v>52.770327199999997</v>
      </c>
      <c r="AP1273" s="33">
        <v>6.1997087999999998</v>
      </c>
      <c r="AQ1273" s="33">
        <v>0.90811560000000002</v>
      </c>
      <c r="AR1273" s="34"/>
      <c r="AS1273" s="34"/>
    </row>
    <row r="1274" spans="2:45" ht="15" hidden="1" customHeight="1" x14ac:dyDescent="0.25">
      <c r="B1274" s="35">
        <v>1268</v>
      </c>
      <c r="C1274" s="36" t="s">
        <v>29</v>
      </c>
      <c r="D1274" s="36" t="s">
        <v>413</v>
      </c>
      <c r="E1274" s="36" t="s">
        <v>418</v>
      </c>
      <c r="F1274" s="36"/>
      <c r="G1274" s="37" t="s">
        <v>25</v>
      </c>
      <c r="H1274" s="38">
        <v>10944</v>
      </c>
      <c r="I1274" s="38">
        <v>1032</v>
      </c>
      <c r="J1274" s="38">
        <v>5754</v>
      </c>
      <c r="K1274" s="38">
        <v>222</v>
      </c>
      <c r="L1274" s="38">
        <v>54</v>
      </c>
      <c r="M1274" s="38">
        <v>3578</v>
      </c>
      <c r="N1274" s="38">
        <v>223</v>
      </c>
      <c r="O1274" s="38">
        <v>81</v>
      </c>
      <c r="P1274" s="38"/>
      <c r="Q1274" s="38"/>
      <c r="R1274" s="38">
        <v>13929</v>
      </c>
      <c r="S1274" s="38">
        <v>1680</v>
      </c>
      <c r="T1274" s="38">
        <v>8291</v>
      </c>
      <c r="U1274" s="38">
        <v>97</v>
      </c>
      <c r="V1274" s="38">
        <v>6</v>
      </c>
      <c r="W1274" s="38">
        <v>3612</v>
      </c>
      <c r="X1274" s="38">
        <v>149</v>
      </c>
      <c r="Y1274" s="38">
        <v>94</v>
      </c>
      <c r="Z1274" s="38"/>
      <c r="AA1274" s="38"/>
      <c r="AB1274" s="39">
        <v>9.4298245999999999</v>
      </c>
      <c r="AC1274" s="39">
        <v>52.576754399999999</v>
      </c>
      <c r="AD1274" s="39">
        <v>2.0285088</v>
      </c>
      <c r="AE1274" s="39">
        <v>0.4934211</v>
      </c>
      <c r="AF1274" s="39">
        <v>32.693713500000001</v>
      </c>
      <c r="AG1274" s="39">
        <v>2.0376462000000002</v>
      </c>
      <c r="AH1274" s="39">
        <v>0.7401316</v>
      </c>
      <c r="AI1274" s="39"/>
      <c r="AJ1274" s="39"/>
      <c r="AK1274" s="39">
        <v>12.061167299999999</v>
      </c>
      <c r="AL1274" s="39">
        <v>59.523296700000003</v>
      </c>
      <c r="AM1274" s="39">
        <v>0.69638880000000003</v>
      </c>
      <c r="AN1274" s="39">
        <v>4.3075599999999999E-2</v>
      </c>
      <c r="AO1274" s="39">
        <v>25.931509800000001</v>
      </c>
      <c r="AP1274" s="39">
        <v>1.0697106999999999</v>
      </c>
      <c r="AQ1274" s="39">
        <v>0.67485099999999998</v>
      </c>
      <c r="AR1274" s="40"/>
      <c r="AS1274" s="40"/>
    </row>
    <row r="1275" spans="2:45" ht="15" hidden="1" customHeight="1" x14ac:dyDescent="0.25">
      <c r="B1275" s="35">
        <v>1269</v>
      </c>
      <c r="C1275" s="36" t="s">
        <v>29</v>
      </c>
      <c r="D1275" s="36" t="s">
        <v>413</v>
      </c>
      <c r="E1275" s="36" t="s">
        <v>418</v>
      </c>
      <c r="F1275" s="36"/>
      <c r="G1275" s="37" t="s">
        <v>26</v>
      </c>
      <c r="H1275" s="38">
        <v>8263</v>
      </c>
      <c r="I1275" s="38">
        <v>26</v>
      </c>
      <c r="J1275" s="38">
        <v>16</v>
      </c>
      <c r="K1275" s="38">
        <v>368</v>
      </c>
      <c r="L1275" s="38">
        <v>261</v>
      </c>
      <c r="M1275" s="38">
        <v>6368</v>
      </c>
      <c r="N1275" s="38">
        <v>982</v>
      </c>
      <c r="O1275" s="38">
        <v>242</v>
      </c>
      <c r="P1275" s="38"/>
      <c r="Q1275" s="38"/>
      <c r="R1275" s="38">
        <v>12169</v>
      </c>
      <c r="S1275" s="38">
        <v>54</v>
      </c>
      <c r="T1275" s="38">
        <v>45</v>
      </c>
      <c r="U1275" s="38">
        <v>196</v>
      </c>
      <c r="V1275" s="38">
        <v>102</v>
      </c>
      <c r="W1275" s="38">
        <v>10160</v>
      </c>
      <c r="X1275" s="38">
        <v>1469</v>
      </c>
      <c r="Y1275" s="38">
        <v>143</v>
      </c>
      <c r="Z1275" s="38"/>
      <c r="AA1275" s="38"/>
      <c r="AB1275" s="39">
        <v>0.31465569999999998</v>
      </c>
      <c r="AC1275" s="39">
        <v>0.19363430000000001</v>
      </c>
      <c r="AD1275" s="39">
        <v>4.4535882999999998</v>
      </c>
      <c r="AE1275" s="39">
        <v>3.1586590999999999</v>
      </c>
      <c r="AF1275" s="39">
        <v>77.066440799999995</v>
      </c>
      <c r="AG1275" s="39">
        <v>11.8843035</v>
      </c>
      <c r="AH1275" s="39">
        <v>2.9287184000000002</v>
      </c>
      <c r="AI1275" s="39"/>
      <c r="AJ1275" s="39"/>
      <c r="AK1275" s="39">
        <v>0.44375049999999999</v>
      </c>
      <c r="AL1275" s="39">
        <v>0.36979210000000001</v>
      </c>
      <c r="AM1275" s="39">
        <v>1.6106499999999999</v>
      </c>
      <c r="AN1275" s="39">
        <v>0.83819540000000003</v>
      </c>
      <c r="AO1275" s="39">
        <v>83.490837400000004</v>
      </c>
      <c r="AP1275" s="39">
        <v>12.071657500000001</v>
      </c>
      <c r="AQ1275" s="39">
        <v>1.1751171</v>
      </c>
      <c r="AR1275" s="40"/>
      <c r="AS1275" s="40"/>
    </row>
    <row r="1276" spans="2:45" ht="15" customHeight="1" x14ac:dyDescent="0.25">
      <c r="B1276" s="41">
        <v>1270</v>
      </c>
      <c r="C1276" s="42" t="s">
        <v>31</v>
      </c>
      <c r="D1276" s="51" t="s">
        <v>413</v>
      </c>
      <c r="E1276" s="51" t="s">
        <v>418</v>
      </c>
      <c r="F1276" s="51" t="s">
        <v>419</v>
      </c>
      <c r="G1276" s="52" t="s">
        <v>419</v>
      </c>
      <c r="H1276" s="43">
        <v>2962</v>
      </c>
      <c r="I1276" s="43">
        <v>180</v>
      </c>
      <c r="J1276" s="43">
        <v>781</v>
      </c>
      <c r="K1276" s="43">
        <v>56</v>
      </c>
      <c r="L1276" s="43">
        <v>66</v>
      </c>
      <c r="M1276" s="43">
        <v>1664</v>
      </c>
      <c r="N1276" s="43">
        <v>165</v>
      </c>
      <c r="O1276" s="43">
        <v>50</v>
      </c>
      <c r="P1276" s="44">
        <f>K1276+L1276+M1276+N1276+O1276</f>
        <v>2001</v>
      </c>
      <c r="Q1276" s="44">
        <f>I1276+J1276</f>
        <v>961</v>
      </c>
      <c r="R1276" s="43">
        <v>3417</v>
      </c>
      <c r="S1276" s="43">
        <v>266</v>
      </c>
      <c r="T1276" s="43">
        <v>1393</v>
      </c>
      <c r="U1276" s="43">
        <v>37</v>
      </c>
      <c r="V1276" s="43">
        <v>8</v>
      </c>
      <c r="W1276" s="43">
        <v>1569</v>
      </c>
      <c r="X1276" s="43">
        <v>122</v>
      </c>
      <c r="Y1276" s="43">
        <v>22</v>
      </c>
      <c r="Z1276" s="45">
        <f>U1276+V1276+W1276+X1276+Y1276</f>
        <v>1758</v>
      </c>
      <c r="AA1276" s="45">
        <f>S1276+T1276</f>
        <v>1659</v>
      </c>
      <c r="AB1276" s="46">
        <v>6.076975</v>
      </c>
      <c r="AC1276" s="46">
        <v>26.3673194</v>
      </c>
      <c r="AD1276" s="46">
        <v>1.8906144</v>
      </c>
      <c r="AE1276" s="46">
        <v>2.2282242000000001</v>
      </c>
      <c r="AF1276" s="46">
        <v>56.178257899999998</v>
      </c>
      <c r="AG1276" s="46">
        <v>5.5705603999999997</v>
      </c>
      <c r="AH1276" s="46">
        <v>1.6880485999999999</v>
      </c>
      <c r="AI1276" s="47">
        <f>AB1276+AC1276</f>
        <v>32.444294399999997</v>
      </c>
      <c r="AJ1276" s="47">
        <f>AD1276+AE1276+AF1276+AG1276+AH1276</f>
        <v>67.555705500000002</v>
      </c>
      <c r="AK1276" s="46">
        <v>7.7846064000000004</v>
      </c>
      <c r="AL1276" s="46">
        <v>40.766754499999998</v>
      </c>
      <c r="AM1276" s="46">
        <v>1.0828211999999999</v>
      </c>
      <c r="AN1276" s="46">
        <v>0.23412350000000001</v>
      </c>
      <c r="AO1276" s="46">
        <v>45.917471499999998</v>
      </c>
      <c r="AP1276" s="46">
        <v>3.5703833999999999</v>
      </c>
      <c r="AQ1276" s="46">
        <v>0.64383959999999996</v>
      </c>
      <c r="AR1276" s="48">
        <f>AK1276+AL1276</f>
        <v>48.551360899999999</v>
      </c>
      <c r="AS1276" s="48">
        <f>AM1276+AN1276+AO1276+AP1276+AQ1276</f>
        <v>51.448639199999995</v>
      </c>
    </row>
    <row r="1277" spans="2:45" ht="15" hidden="1" customHeight="1" x14ac:dyDescent="0.25">
      <c r="B1277" s="35">
        <v>1271</v>
      </c>
      <c r="C1277" s="36" t="s">
        <v>31</v>
      </c>
      <c r="D1277" s="36" t="s">
        <v>413</v>
      </c>
      <c r="E1277" s="36" t="s">
        <v>418</v>
      </c>
      <c r="F1277" s="36" t="s">
        <v>419</v>
      </c>
      <c r="G1277" s="37" t="s">
        <v>25</v>
      </c>
      <c r="H1277" s="38">
        <v>1569</v>
      </c>
      <c r="I1277" s="38">
        <v>178</v>
      </c>
      <c r="J1277" s="38">
        <v>779</v>
      </c>
      <c r="K1277" s="38">
        <v>20</v>
      </c>
      <c r="L1277" s="38">
        <v>0</v>
      </c>
      <c r="M1277" s="38">
        <v>547</v>
      </c>
      <c r="N1277" s="38">
        <v>35</v>
      </c>
      <c r="O1277" s="38">
        <v>10</v>
      </c>
      <c r="P1277" s="38"/>
      <c r="Q1277" s="38"/>
      <c r="R1277" s="38">
        <v>1884</v>
      </c>
      <c r="S1277" s="38">
        <v>258</v>
      </c>
      <c r="T1277" s="38">
        <v>1385</v>
      </c>
      <c r="U1277" s="38">
        <v>3</v>
      </c>
      <c r="V1277" s="38">
        <v>0</v>
      </c>
      <c r="W1277" s="38">
        <v>225</v>
      </c>
      <c r="X1277" s="38">
        <v>3</v>
      </c>
      <c r="Y1277" s="38">
        <v>10</v>
      </c>
      <c r="Z1277" s="38"/>
      <c r="AA1277" s="38"/>
      <c r="AB1277" s="39">
        <v>11.344805600000001</v>
      </c>
      <c r="AC1277" s="39">
        <v>49.649458299999999</v>
      </c>
      <c r="AD1277" s="39">
        <v>1.2746972999999999</v>
      </c>
      <c r="AE1277" s="39">
        <v>0</v>
      </c>
      <c r="AF1277" s="39">
        <v>34.862969999999997</v>
      </c>
      <c r="AG1277" s="39">
        <v>2.2307201999999999</v>
      </c>
      <c r="AH1277" s="39">
        <v>0.63734860000000004</v>
      </c>
      <c r="AI1277" s="39"/>
      <c r="AJ1277" s="39"/>
      <c r="AK1277" s="39">
        <v>13.6942675</v>
      </c>
      <c r="AL1277" s="39">
        <v>73.513800399999994</v>
      </c>
      <c r="AM1277" s="39">
        <v>0.15923570000000001</v>
      </c>
      <c r="AN1277" s="39">
        <v>0</v>
      </c>
      <c r="AO1277" s="39">
        <v>11.9426752</v>
      </c>
      <c r="AP1277" s="39">
        <v>0.15923570000000001</v>
      </c>
      <c r="AQ1277" s="39">
        <v>0.53078559999999997</v>
      </c>
      <c r="AR1277" s="40"/>
      <c r="AS1277" s="40"/>
    </row>
    <row r="1278" spans="2:45" ht="15" hidden="1" customHeight="1" x14ac:dyDescent="0.25">
      <c r="B1278" s="35">
        <v>1272</v>
      </c>
      <c r="C1278" s="36" t="s">
        <v>31</v>
      </c>
      <c r="D1278" s="36" t="s">
        <v>413</v>
      </c>
      <c r="E1278" s="36" t="s">
        <v>418</v>
      </c>
      <c r="F1278" s="36" t="s">
        <v>419</v>
      </c>
      <c r="G1278" s="37" t="s">
        <v>26</v>
      </c>
      <c r="H1278" s="38">
        <v>1393</v>
      </c>
      <c r="I1278" s="38">
        <v>2</v>
      </c>
      <c r="J1278" s="38">
        <v>2</v>
      </c>
      <c r="K1278" s="38">
        <v>36</v>
      </c>
      <c r="L1278" s="38">
        <v>66</v>
      </c>
      <c r="M1278" s="38">
        <v>1117</v>
      </c>
      <c r="N1278" s="38">
        <v>130</v>
      </c>
      <c r="O1278" s="38">
        <v>40</v>
      </c>
      <c r="P1278" s="38"/>
      <c r="Q1278" s="38"/>
      <c r="R1278" s="38">
        <v>1533</v>
      </c>
      <c r="S1278" s="38">
        <v>8</v>
      </c>
      <c r="T1278" s="38">
        <v>8</v>
      </c>
      <c r="U1278" s="38">
        <v>34</v>
      </c>
      <c r="V1278" s="38">
        <v>8</v>
      </c>
      <c r="W1278" s="38">
        <v>1344</v>
      </c>
      <c r="X1278" s="38">
        <v>119</v>
      </c>
      <c r="Y1278" s="38">
        <v>12</v>
      </c>
      <c r="Z1278" s="38"/>
      <c r="AA1278" s="38"/>
      <c r="AB1278" s="39">
        <v>0.14357500000000001</v>
      </c>
      <c r="AC1278" s="39">
        <v>0.14357500000000001</v>
      </c>
      <c r="AD1278" s="39">
        <v>2.5843503000000001</v>
      </c>
      <c r="AE1278" s="39">
        <v>4.7379756000000004</v>
      </c>
      <c r="AF1278" s="39">
        <v>80.186647500000007</v>
      </c>
      <c r="AG1278" s="39">
        <v>9.3323762000000006</v>
      </c>
      <c r="AH1278" s="39">
        <v>2.8715004</v>
      </c>
      <c r="AI1278" s="39"/>
      <c r="AJ1278" s="39"/>
      <c r="AK1278" s="39">
        <v>0.5218526</v>
      </c>
      <c r="AL1278" s="39">
        <v>0.5218526</v>
      </c>
      <c r="AM1278" s="39">
        <v>2.2178735000000001</v>
      </c>
      <c r="AN1278" s="39">
        <v>0.5218526</v>
      </c>
      <c r="AO1278" s="39">
        <v>87.671232900000007</v>
      </c>
      <c r="AP1278" s="39">
        <v>7.7625571000000004</v>
      </c>
      <c r="AQ1278" s="39">
        <v>0.78277890000000006</v>
      </c>
      <c r="AR1278" s="40"/>
      <c r="AS1278" s="40"/>
    </row>
    <row r="1279" spans="2:45" ht="15" customHeight="1" x14ac:dyDescent="0.25">
      <c r="B1279" s="41">
        <v>1273</v>
      </c>
      <c r="C1279" s="42" t="s">
        <v>31</v>
      </c>
      <c r="D1279" s="51" t="s">
        <v>413</v>
      </c>
      <c r="E1279" s="51" t="s">
        <v>418</v>
      </c>
      <c r="F1279" s="51" t="s">
        <v>420</v>
      </c>
      <c r="G1279" s="52" t="s">
        <v>420</v>
      </c>
      <c r="H1279" s="43">
        <v>9412</v>
      </c>
      <c r="I1279" s="43">
        <v>368</v>
      </c>
      <c r="J1279" s="43">
        <v>1721</v>
      </c>
      <c r="K1279" s="43">
        <v>393</v>
      </c>
      <c r="L1279" s="43">
        <v>158</v>
      </c>
      <c r="M1279" s="43">
        <v>5990</v>
      </c>
      <c r="N1279" s="43">
        <v>613</v>
      </c>
      <c r="O1279" s="43">
        <v>169</v>
      </c>
      <c r="P1279" s="44">
        <f>K1279+L1279+M1279+N1279+O1279</f>
        <v>7323</v>
      </c>
      <c r="Q1279" s="44">
        <f>I1279+J1279</f>
        <v>2089</v>
      </c>
      <c r="R1279" s="43">
        <v>13051</v>
      </c>
      <c r="S1279" s="43">
        <v>698</v>
      </c>
      <c r="T1279" s="43">
        <v>3184</v>
      </c>
      <c r="U1279" s="43">
        <v>180</v>
      </c>
      <c r="V1279" s="43">
        <v>80</v>
      </c>
      <c r="W1279" s="43">
        <v>7865</v>
      </c>
      <c r="X1279" s="43">
        <v>915</v>
      </c>
      <c r="Y1279" s="43">
        <v>129</v>
      </c>
      <c r="Z1279" s="45">
        <f>U1279+V1279+W1279+X1279+Y1279</f>
        <v>9169</v>
      </c>
      <c r="AA1279" s="45">
        <f>S1279+T1279</f>
        <v>3882</v>
      </c>
      <c r="AB1279" s="46">
        <v>3.9099023000000002</v>
      </c>
      <c r="AC1279" s="46">
        <v>18.285167900000001</v>
      </c>
      <c r="AD1279" s="46">
        <v>4.1755205999999996</v>
      </c>
      <c r="AE1279" s="46">
        <v>1.6787080000000001</v>
      </c>
      <c r="AF1279" s="46">
        <v>63.642158899999998</v>
      </c>
      <c r="AG1279" s="46">
        <v>6.5129621999999996</v>
      </c>
      <c r="AH1279" s="46">
        <v>1.7955801</v>
      </c>
      <c r="AI1279" s="47">
        <f>AB1279+AC1279</f>
        <v>22.1950702</v>
      </c>
      <c r="AJ1279" s="47">
        <f>AD1279+AE1279+AF1279+AG1279+AH1279</f>
        <v>77.804929799999996</v>
      </c>
      <c r="AK1279" s="46">
        <v>5.3482491999999997</v>
      </c>
      <c r="AL1279" s="46">
        <v>24.396598000000001</v>
      </c>
      <c r="AM1279" s="46">
        <v>1.3792047000000001</v>
      </c>
      <c r="AN1279" s="46">
        <v>0.61297979999999996</v>
      </c>
      <c r="AO1279" s="46">
        <v>60.263581299999998</v>
      </c>
      <c r="AP1279" s="46">
        <v>7.0109570000000003</v>
      </c>
      <c r="AQ1279" s="46">
        <v>0.98843000000000003</v>
      </c>
      <c r="AR1279" s="48">
        <f>AK1279+AL1279</f>
        <v>29.744847200000002</v>
      </c>
      <c r="AS1279" s="48">
        <f>AM1279+AN1279+AO1279+AP1279+AQ1279</f>
        <v>70.255152799999991</v>
      </c>
    </row>
    <row r="1280" spans="2:45" ht="15" hidden="1" customHeight="1" x14ac:dyDescent="0.25">
      <c r="B1280" s="35">
        <v>1274</v>
      </c>
      <c r="C1280" s="36" t="s">
        <v>31</v>
      </c>
      <c r="D1280" s="36" t="s">
        <v>413</v>
      </c>
      <c r="E1280" s="36" t="s">
        <v>418</v>
      </c>
      <c r="F1280" s="36" t="s">
        <v>420</v>
      </c>
      <c r="G1280" s="37" t="s">
        <v>25</v>
      </c>
      <c r="H1280" s="38">
        <v>5175</v>
      </c>
      <c r="I1280" s="38">
        <v>358</v>
      </c>
      <c r="J1280" s="38">
        <v>1715</v>
      </c>
      <c r="K1280" s="38">
        <v>168</v>
      </c>
      <c r="L1280" s="38">
        <v>40</v>
      </c>
      <c r="M1280" s="38">
        <v>2703</v>
      </c>
      <c r="N1280" s="38">
        <v>133</v>
      </c>
      <c r="O1280" s="38">
        <v>58</v>
      </c>
      <c r="P1280" s="38"/>
      <c r="Q1280" s="38"/>
      <c r="R1280" s="38">
        <v>6406</v>
      </c>
      <c r="S1280" s="38">
        <v>685</v>
      </c>
      <c r="T1280" s="38">
        <v>3170</v>
      </c>
      <c r="U1280" s="38">
        <v>61</v>
      </c>
      <c r="V1280" s="38">
        <v>0</v>
      </c>
      <c r="W1280" s="38">
        <v>2367</v>
      </c>
      <c r="X1280" s="38">
        <v>78</v>
      </c>
      <c r="Y1280" s="38">
        <v>45</v>
      </c>
      <c r="Z1280" s="38"/>
      <c r="AA1280" s="38"/>
      <c r="AB1280" s="39">
        <v>6.9178743999999996</v>
      </c>
      <c r="AC1280" s="39">
        <v>33.1400966</v>
      </c>
      <c r="AD1280" s="39">
        <v>3.2463768000000002</v>
      </c>
      <c r="AE1280" s="39">
        <v>0.77294689999999999</v>
      </c>
      <c r="AF1280" s="39">
        <v>52.231884100000002</v>
      </c>
      <c r="AG1280" s="39">
        <v>2.5700482999999998</v>
      </c>
      <c r="AH1280" s="39">
        <v>1.1207729</v>
      </c>
      <c r="AI1280" s="39"/>
      <c r="AJ1280" s="39"/>
      <c r="AK1280" s="39">
        <v>10.6931002</v>
      </c>
      <c r="AL1280" s="39">
        <v>49.484857900000002</v>
      </c>
      <c r="AM1280" s="39">
        <v>0.95223230000000003</v>
      </c>
      <c r="AN1280" s="39">
        <v>0</v>
      </c>
      <c r="AO1280" s="39">
        <v>36.949734599999999</v>
      </c>
      <c r="AP1280" s="39">
        <v>1.2176085000000001</v>
      </c>
      <c r="AQ1280" s="39">
        <v>0.70246640000000005</v>
      </c>
      <c r="AR1280" s="40"/>
      <c r="AS1280" s="40"/>
    </row>
    <row r="1281" spans="2:45" ht="15" hidden="1" customHeight="1" x14ac:dyDescent="0.25">
      <c r="B1281" s="35">
        <v>1275</v>
      </c>
      <c r="C1281" s="36" t="s">
        <v>31</v>
      </c>
      <c r="D1281" s="36" t="s">
        <v>413</v>
      </c>
      <c r="E1281" s="36" t="s">
        <v>418</v>
      </c>
      <c r="F1281" s="36" t="s">
        <v>420</v>
      </c>
      <c r="G1281" s="37" t="s">
        <v>26</v>
      </c>
      <c r="H1281" s="38">
        <v>4237</v>
      </c>
      <c r="I1281" s="38">
        <v>10</v>
      </c>
      <c r="J1281" s="38">
        <v>6</v>
      </c>
      <c r="K1281" s="38">
        <v>225</v>
      </c>
      <c r="L1281" s="38">
        <v>118</v>
      </c>
      <c r="M1281" s="38">
        <v>3287</v>
      </c>
      <c r="N1281" s="38">
        <v>480</v>
      </c>
      <c r="O1281" s="38">
        <v>111</v>
      </c>
      <c r="P1281" s="38"/>
      <c r="Q1281" s="38"/>
      <c r="R1281" s="38">
        <v>6645</v>
      </c>
      <c r="S1281" s="38">
        <v>13</v>
      </c>
      <c r="T1281" s="38">
        <v>14</v>
      </c>
      <c r="U1281" s="38">
        <v>119</v>
      </c>
      <c r="V1281" s="38">
        <v>80</v>
      </c>
      <c r="W1281" s="38">
        <v>5498</v>
      </c>
      <c r="X1281" s="38">
        <v>837</v>
      </c>
      <c r="Y1281" s="38">
        <v>84</v>
      </c>
      <c r="Z1281" s="38"/>
      <c r="AA1281" s="38"/>
      <c r="AB1281" s="39">
        <v>0.236016</v>
      </c>
      <c r="AC1281" s="39">
        <v>0.1416096</v>
      </c>
      <c r="AD1281" s="39">
        <v>5.3103610999999997</v>
      </c>
      <c r="AE1281" s="39">
        <v>2.7849894000000002</v>
      </c>
      <c r="AF1281" s="39">
        <v>77.578475299999994</v>
      </c>
      <c r="AG1281" s="39">
        <v>11.3287704</v>
      </c>
      <c r="AH1281" s="39">
        <v>2.6197781</v>
      </c>
      <c r="AI1281" s="39"/>
      <c r="AJ1281" s="39"/>
      <c r="AK1281" s="39">
        <v>0.1956358</v>
      </c>
      <c r="AL1281" s="39">
        <v>0.2106847</v>
      </c>
      <c r="AM1281" s="39">
        <v>1.7908202</v>
      </c>
      <c r="AN1281" s="39">
        <v>1.2039127000000001</v>
      </c>
      <c r="AO1281" s="39">
        <v>82.738901400000003</v>
      </c>
      <c r="AP1281" s="39">
        <v>12.5959368</v>
      </c>
      <c r="AQ1281" s="39">
        <v>1.2641084</v>
      </c>
      <c r="AR1281" s="40"/>
      <c r="AS1281" s="40"/>
    </row>
    <row r="1282" spans="2:45" ht="15" customHeight="1" x14ac:dyDescent="0.25">
      <c r="B1282" s="41">
        <v>1276</v>
      </c>
      <c r="C1282" s="42" t="s">
        <v>31</v>
      </c>
      <c r="D1282" s="51" t="s">
        <v>413</v>
      </c>
      <c r="E1282" s="51" t="s">
        <v>418</v>
      </c>
      <c r="F1282" s="51" t="s">
        <v>368</v>
      </c>
      <c r="G1282" s="52" t="s">
        <v>368</v>
      </c>
      <c r="H1282" s="43">
        <v>1976</v>
      </c>
      <c r="I1282" s="43">
        <v>120</v>
      </c>
      <c r="J1282" s="43">
        <v>711</v>
      </c>
      <c r="K1282" s="43">
        <v>20</v>
      </c>
      <c r="L1282" s="43">
        <v>15</v>
      </c>
      <c r="M1282" s="43">
        <v>946</v>
      </c>
      <c r="N1282" s="43">
        <v>132</v>
      </c>
      <c r="O1282" s="43">
        <v>32</v>
      </c>
      <c r="P1282" s="44">
        <f>K1282+L1282+M1282+N1282+O1282</f>
        <v>1145</v>
      </c>
      <c r="Q1282" s="44">
        <f>I1282+J1282</f>
        <v>831</v>
      </c>
      <c r="R1282" s="43">
        <v>2755</v>
      </c>
      <c r="S1282" s="43">
        <v>158</v>
      </c>
      <c r="T1282" s="43">
        <v>688</v>
      </c>
      <c r="U1282" s="43">
        <v>31</v>
      </c>
      <c r="V1282" s="43">
        <v>4</v>
      </c>
      <c r="W1282" s="43">
        <v>1750</v>
      </c>
      <c r="X1282" s="43">
        <v>103</v>
      </c>
      <c r="Y1282" s="43">
        <v>21</v>
      </c>
      <c r="Z1282" s="45">
        <f>U1282+V1282+W1282+X1282+Y1282</f>
        <v>1909</v>
      </c>
      <c r="AA1282" s="45">
        <f>S1282+T1282</f>
        <v>846</v>
      </c>
      <c r="AB1282" s="46">
        <v>6.0728745000000002</v>
      </c>
      <c r="AC1282" s="46">
        <v>35.981781400000003</v>
      </c>
      <c r="AD1282" s="46">
        <v>1.0121457</v>
      </c>
      <c r="AE1282" s="46">
        <v>0.75910929999999999</v>
      </c>
      <c r="AF1282" s="46">
        <v>47.874493899999997</v>
      </c>
      <c r="AG1282" s="46">
        <v>6.6801618999999999</v>
      </c>
      <c r="AH1282" s="46">
        <v>1.6194332</v>
      </c>
      <c r="AI1282" s="47">
        <f>AB1282+AC1282</f>
        <v>42.0546559</v>
      </c>
      <c r="AJ1282" s="47">
        <f>AD1282+AE1282+AF1282+AG1282+AH1282</f>
        <v>57.945344000000006</v>
      </c>
      <c r="AK1282" s="46">
        <v>5.7350272000000002</v>
      </c>
      <c r="AL1282" s="46">
        <v>24.972776799999998</v>
      </c>
      <c r="AM1282" s="46">
        <v>1.1252268999999999</v>
      </c>
      <c r="AN1282" s="46">
        <v>0.1451906</v>
      </c>
      <c r="AO1282" s="46">
        <v>63.520871100000001</v>
      </c>
      <c r="AP1282" s="46">
        <v>3.7386569999999999</v>
      </c>
      <c r="AQ1282" s="46">
        <v>0.76225050000000005</v>
      </c>
      <c r="AR1282" s="48">
        <f>AK1282+AL1282</f>
        <v>30.707803999999999</v>
      </c>
      <c r="AS1282" s="48">
        <f>AM1282+AN1282+AO1282+AP1282+AQ1282</f>
        <v>69.292196099999998</v>
      </c>
    </row>
    <row r="1283" spans="2:45" ht="15" hidden="1" customHeight="1" x14ac:dyDescent="0.25">
      <c r="B1283" s="35">
        <v>1277</v>
      </c>
      <c r="C1283" s="36" t="s">
        <v>31</v>
      </c>
      <c r="D1283" s="36" t="s">
        <v>413</v>
      </c>
      <c r="E1283" s="36" t="s">
        <v>418</v>
      </c>
      <c r="F1283" s="36" t="s">
        <v>368</v>
      </c>
      <c r="G1283" s="37" t="s">
        <v>25</v>
      </c>
      <c r="H1283" s="38">
        <v>1055</v>
      </c>
      <c r="I1283" s="38">
        <v>111</v>
      </c>
      <c r="J1283" s="38">
        <v>710</v>
      </c>
      <c r="K1283" s="38">
        <v>10</v>
      </c>
      <c r="L1283" s="38">
        <v>0</v>
      </c>
      <c r="M1283" s="38">
        <v>199</v>
      </c>
      <c r="N1283" s="38">
        <v>18</v>
      </c>
      <c r="O1283" s="38">
        <v>7</v>
      </c>
      <c r="P1283" s="38"/>
      <c r="Q1283" s="38"/>
      <c r="R1283" s="38">
        <v>1374</v>
      </c>
      <c r="S1283" s="38">
        <v>140</v>
      </c>
      <c r="T1283" s="38">
        <v>680</v>
      </c>
      <c r="U1283" s="38">
        <v>9</v>
      </c>
      <c r="V1283" s="38">
        <v>2</v>
      </c>
      <c r="W1283" s="38">
        <v>519</v>
      </c>
      <c r="X1283" s="38">
        <v>14</v>
      </c>
      <c r="Y1283" s="38">
        <v>10</v>
      </c>
      <c r="Z1283" s="38"/>
      <c r="AA1283" s="38"/>
      <c r="AB1283" s="39">
        <v>10.521326999999999</v>
      </c>
      <c r="AC1283" s="39">
        <v>67.298578199999994</v>
      </c>
      <c r="AD1283" s="39">
        <v>0.94786729999999997</v>
      </c>
      <c r="AE1283" s="39">
        <v>0</v>
      </c>
      <c r="AF1283" s="39">
        <v>18.8625592</v>
      </c>
      <c r="AG1283" s="39">
        <v>1.7061611000000001</v>
      </c>
      <c r="AH1283" s="39">
        <v>0.66350710000000002</v>
      </c>
      <c r="AI1283" s="39"/>
      <c r="AJ1283" s="39"/>
      <c r="AK1283" s="39">
        <v>10.1892285</v>
      </c>
      <c r="AL1283" s="39">
        <v>49.490538600000001</v>
      </c>
      <c r="AM1283" s="39">
        <v>0.65502179999999999</v>
      </c>
      <c r="AN1283" s="39">
        <v>0.14556040000000001</v>
      </c>
      <c r="AO1283" s="39">
        <v>37.772925800000003</v>
      </c>
      <c r="AP1283" s="39">
        <v>1.0189229</v>
      </c>
      <c r="AQ1283" s="39">
        <v>0.72780199999999995</v>
      </c>
      <c r="AR1283" s="40"/>
      <c r="AS1283" s="40"/>
    </row>
    <row r="1284" spans="2:45" ht="15" hidden="1" customHeight="1" x14ac:dyDescent="0.25">
      <c r="B1284" s="35">
        <v>1278</v>
      </c>
      <c r="C1284" s="36" t="s">
        <v>31</v>
      </c>
      <c r="D1284" s="36" t="s">
        <v>413</v>
      </c>
      <c r="E1284" s="36" t="s">
        <v>418</v>
      </c>
      <c r="F1284" s="36" t="s">
        <v>368</v>
      </c>
      <c r="G1284" s="37" t="s">
        <v>26</v>
      </c>
      <c r="H1284" s="38">
        <v>921</v>
      </c>
      <c r="I1284" s="38">
        <v>9</v>
      </c>
      <c r="J1284" s="38">
        <v>1</v>
      </c>
      <c r="K1284" s="38">
        <v>10</v>
      </c>
      <c r="L1284" s="38">
        <v>15</v>
      </c>
      <c r="M1284" s="38">
        <v>747</v>
      </c>
      <c r="N1284" s="38">
        <v>114</v>
      </c>
      <c r="O1284" s="38">
        <v>25</v>
      </c>
      <c r="P1284" s="38"/>
      <c r="Q1284" s="38"/>
      <c r="R1284" s="38">
        <v>1381</v>
      </c>
      <c r="S1284" s="38">
        <v>18</v>
      </c>
      <c r="T1284" s="38">
        <v>8</v>
      </c>
      <c r="U1284" s="38">
        <v>22</v>
      </c>
      <c r="V1284" s="38">
        <v>2</v>
      </c>
      <c r="W1284" s="38">
        <v>1231</v>
      </c>
      <c r="X1284" s="38">
        <v>89</v>
      </c>
      <c r="Y1284" s="38">
        <v>11</v>
      </c>
      <c r="Z1284" s="38"/>
      <c r="AA1284" s="38"/>
      <c r="AB1284" s="39">
        <v>0.97719869999999998</v>
      </c>
      <c r="AC1284" s="39">
        <v>0.1085776</v>
      </c>
      <c r="AD1284" s="39">
        <v>1.0857763</v>
      </c>
      <c r="AE1284" s="39">
        <v>1.6286645</v>
      </c>
      <c r="AF1284" s="39">
        <v>81.107491899999999</v>
      </c>
      <c r="AG1284" s="39">
        <v>12.377850199999999</v>
      </c>
      <c r="AH1284" s="39">
        <v>2.7144408000000002</v>
      </c>
      <c r="AI1284" s="39"/>
      <c r="AJ1284" s="39"/>
      <c r="AK1284" s="39">
        <v>1.3034033</v>
      </c>
      <c r="AL1284" s="39">
        <v>0.57929039999999998</v>
      </c>
      <c r="AM1284" s="39">
        <v>1.5930485000000001</v>
      </c>
      <c r="AN1284" s="39">
        <v>0.1448226</v>
      </c>
      <c r="AO1284" s="39">
        <v>89.138305599999995</v>
      </c>
      <c r="AP1284" s="39">
        <v>6.4446054000000004</v>
      </c>
      <c r="AQ1284" s="39">
        <v>0.79652429999999996</v>
      </c>
      <c r="AR1284" s="40"/>
      <c r="AS1284" s="40"/>
    </row>
    <row r="1285" spans="2:45" ht="15" customHeight="1" x14ac:dyDescent="0.25">
      <c r="B1285" s="41">
        <v>1279</v>
      </c>
      <c r="C1285" s="42" t="s">
        <v>31</v>
      </c>
      <c r="D1285" s="51" t="s">
        <v>413</v>
      </c>
      <c r="E1285" s="51" t="s">
        <v>418</v>
      </c>
      <c r="F1285" s="51" t="s">
        <v>421</v>
      </c>
      <c r="G1285" s="52" t="s">
        <v>421</v>
      </c>
      <c r="H1285" s="43">
        <v>4857</v>
      </c>
      <c r="I1285" s="43">
        <v>390</v>
      </c>
      <c r="J1285" s="43">
        <v>2557</v>
      </c>
      <c r="K1285" s="43">
        <v>121</v>
      </c>
      <c r="L1285" s="43">
        <v>76</v>
      </c>
      <c r="M1285" s="43">
        <v>1346</v>
      </c>
      <c r="N1285" s="43">
        <v>295</v>
      </c>
      <c r="O1285" s="43">
        <v>72</v>
      </c>
      <c r="P1285" s="44">
        <f>K1285+L1285+M1285+N1285+O1285</f>
        <v>1910</v>
      </c>
      <c r="Q1285" s="44">
        <f>I1285+J1285</f>
        <v>2947</v>
      </c>
      <c r="R1285" s="43">
        <v>6875</v>
      </c>
      <c r="S1285" s="43">
        <v>612</v>
      </c>
      <c r="T1285" s="43">
        <v>3071</v>
      </c>
      <c r="U1285" s="43">
        <v>45</v>
      </c>
      <c r="V1285" s="43">
        <v>16</v>
      </c>
      <c r="W1285" s="43">
        <v>2588</v>
      </c>
      <c r="X1285" s="43">
        <v>478</v>
      </c>
      <c r="Y1285" s="43">
        <v>65</v>
      </c>
      <c r="Z1285" s="45">
        <f>U1285+V1285+W1285+X1285+Y1285</f>
        <v>3192</v>
      </c>
      <c r="AA1285" s="45">
        <f>S1285+T1285</f>
        <v>3683</v>
      </c>
      <c r="AB1285" s="46">
        <v>8.0296479000000005</v>
      </c>
      <c r="AC1285" s="46">
        <v>52.645665999999999</v>
      </c>
      <c r="AD1285" s="46">
        <v>2.4912497</v>
      </c>
      <c r="AE1285" s="46">
        <v>1.5647519000000001</v>
      </c>
      <c r="AF1285" s="46">
        <v>27.7125798</v>
      </c>
      <c r="AG1285" s="46">
        <v>6.0737081000000002</v>
      </c>
      <c r="AH1285" s="46">
        <v>1.4823964999999999</v>
      </c>
      <c r="AI1285" s="47">
        <f>AB1285+AC1285</f>
        <v>60.675313899999999</v>
      </c>
      <c r="AJ1285" s="47">
        <f>AD1285+AE1285+AF1285+AG1285+AH1285</f>
        <v>39.324686</v>
      </c>
      <c r="AK1285" s="46">
        <v>8.9018181999999992</v>
      </c>
      <c r="AL1285" s="46">
        <v>44.6690909</v>
      </c>
      <c r="AM1285" s="46">
        <v>0.6545455</v>
      </c>
      <c r="AN1285" s="46">
        <v>0.2327273</v>
      </c>
      <c r="AO1285" s="46">
        <v>37.643636399999998</v>
      </c>
      <c r="AP1285" s="46">
        <v>6.9527273000000003</v>
      </c>
      <c r="AQ1285" s="46">
        <v>0.94545449999999998</v>
      </c>
      <c r="AR1285" s="48">
        <f>AK1285+AL1285</f>
        <v>53.570909100000002</v>
      </c>
      <c r="AS1285" s="48">
        <f>AM1285+AN1285+AO1285+AP1285+AQ1285</f>
        <v>46.429090999999993</v>
      </c>
    </row>
    <row r="1286" spans="2:45" ht="15" hidden="1" customHeight="1" x14ac:dyDescent="0.25">
      <c r="B1286" s="35">
        <v>1280</v>
      </c>
      <c r="C1286" s="36" t="s">
        <v>31</v>
      </c>
      <c r="D1286" s="36" t="s">
        <v>413</v>
      </c>
      <c r="E1286" s="36" t="s">
        <v>418</v>
      </c>
      <c r="F1286" s="36" t="s">
        <v>421</v>
      </c>
      <c r="G1286" s="37" t="s">
        <v>25</v>
      </c>
      <c r="H1286" s="38">
        <v>3145</v>
      </c>
      <c r="I1286" s="38">
        <v>385</v>
      </c>
      <c r="J1286" s="38">
        <v>2550</v>
      </c>
      <c r="K1286" s="38">
        <v>24</v>
      </c>
      <c r="L1286" s="38">
        <v>14</v>
      </c>
      <c r="M1286" s="38">
        <v>129</v>
      </c>
      <c r="N1286" s="38">
        <v>37</v>
      </c>
      <c r="O1286" s="38">
        <v>6</v>
      </c>
      <c r="P1286" s="38"/>
      <c r="Q1286" s="38"/>
      <c r="R1286" s="38">
        <v>4265</v>
      </c>
      <c r="S1286" s="38">
        <v>597</v>
      </c>
      <c r="T1286" s="38">
        <v>3056</v>
      </c>
      <c r="U1286" s="38">
        <v>24</v>
      </c>
      <c r="V1286" s="38">
        <v>4</v>
      </c>
      <c r="W1286" s="38">
        <v>501</v>
      </c>
      <c r="X1286" s="38">
        <v>54</v>
      </c>
      <c r="Y1286" s="38">
        <v>29</v>
      </c>
      <c r="Z1286" s="38"/>
      <c r="AA1286" s="38"/>
      <c r="AB1286" s="39">
        <v>12.241653400000001</v>
      </c>
      <c r="AC1286" s="39">
        <v>81.081081100000006</v>
      </c>
      <c r="AD1286" s="39">
        <v>0.76311609999999996</v>
      </c>
      <c r="AE1286" s="39">
        <v>0.44515100000000002</v>
      </c>
      <c r="AF1286" s="39">
        <v>4.1017488000000002</v>
      </c>
      <c r="AG1286" s="39">
        <v>1.1764706</v>
      </c>
      <c r="AH1286" s="39">
        <v>0.190779</v>
      </c>
      <c r="AI1286" s="39"/>
      <c r="AJ1286" s="39"/>
      <c r="AK1286" s="39">
        <v>13.9976553</v>
      </c>
      <c r="AL1286" s="39">
        <v>71.652989399999996</v>
      </c>
      <c r="AM1286" s="39">
        <v>0.56271979999999999</v>
      </c>
      <c r="AN1286" s="39">
        <v>9.3786599999999998E-2</v>
      </c>
      <c r="AO1286" s="39">
        <v>11.7467761</v>
      </c>
      <c r="AP1286" s="39">
        <v>1.2661195999999999</v>
      </c>
      <c r="AQ1286" s="39">
        <v>0.67995309999999998</v>
      </c>
      <c r="AR1286" s="40"/>
      <c r="AS1286" s="40"/>
    </row>
    <row r="1287" spans="2:45" ht="15" hidden="1" customHeight="1" x14ac:dyDescent="0.25">
      <c r="B1287" s="35">
        <v>1281</v>
      </c>
      <c r="C1287" s="36" t="s">
        <v>31</v>
      </c>
      <c r="D1287" s="36" t="s">
        <v>413</v>
      </c>
      <c r="E1287" s="36" t="s">
        <v>418</v>
      </c>
      <c r="F1287" s="36" t="s">
        <v>421</v>
      </c>
      <c r="G1287" s="37" t="s">
        <v>26</v>
      </c>
      <c r="H1287" s="38">
        <v>1712</v>
      </c>
      <c r="I1287" s="38">
        <v>5</v>
      </c>
      <c r="J1287" s="38">
        <v>7</v>
      </c>
      <c r="K1287" s="38">
        <v>97</v>
      </c>
      <c r="L1287" s="38">
        <v>62</v>
      </c>
      <c r="M1287" s="38">
        <v>1217</v>
      </c>
      <c r="N1287" s="38">
        <v>258</v>
      </c>
      <c r="O1287" s="38">
        <v>66</v>
      </c>
      <c r="P1287" s="38"/>
      <c r="Q1287" s="38"/>
      <c r="R1287" s="38">
        <v>2610</v>
      </c>
      <c r="S1287" s="38">
        <v>15</v>
      </c>
      <c r="T1287" s="38">
        <v>15</v>
      </c>
      <c r="U1287" s="38">
        <v>21</v>
      </c>
      <c r="V1287" s="38">
        <v>12</v>
      </c>
      <c r="W1287" s="38">
        <v>2087</v>
      </c>
      <c r="X1287" s="38">
        <v>424</v>
      </c>
      <c r="Y1287" s="38">
        <v>36</v>
      </c>
      <c r="Z1287" s="38"/>
      <c r="AA1287" s="38"/>
      <c r="AB1287" s="39">
        <v>0.29205609999999999</v>
      </c>
      <c r="AC1287" s="39">
        <v>0.40887849999999998</v>
      </c>
      <c r="AD1287" s="39">
        <v>5.6658879000000004</v>
      </c>
      <c r="AE1287" s="39">
        <v>3.6214952999999999</v>
      </c>
      <c r="AF1287" s="39">
        <v>71.086448599999997</v>
      </c>
      <c r="AG1287" s="39">
        <v>15.0700935</v>
      </c>
      <c r="AH1287" s="39">
        <v>3.8551402000000001</v>
      </c>
      <c r="AI1287" s="39"/>
      <c r="AJ1287" s="39"/>
      <c r="AK1287" s="39">
        <v>0.57471260000000002</v>
      </c>
      <c r="AL1287" s="39">
        <v>0.57471260000000002</v>
      </c>
      <c r="AM1287" s="39">
        <v>0.80459769999999997</v>
      </c>
      <c r="AN1287" s="39">
        <v>0.45977010000000001</v>
      </c>
      <c r="AO1287" s="39">
        <v>79.961685799999998</v>
      </c>
      <c r="AP1287" s="39">
        <v>16.245210700000001</v>
      </c>
      <c r="AQ1287" s="39">
        <v>1.3793103</v>
      </c>
      <c r="AR1287" s="40"/>
      <c r="AS1287" s="40"/>
    </row>
    <row r="1288" spans="2:45" ht="15" hidden="1" customHeight="1" x14ac:dyDescent="0.25">
      <c r="B1288" s="30">
        <v>1282</v>
      </c>
      <c r="C1288" s="31" t="s">
        <v>29</v>
      </c>
      <c r="D1288" s="50" t="s">
        <v>413</v>
      </c>
      <c r="E1288" s="50" t="s">
        <v>422</v>
      </c>
      <c r="F1288" s="50"/>
      <c r="G1288" s="31" t="s">
        <v>422</v>
      </c>
      <c r="H1288" s="32">
        <v>4368</v>
      </c>
      <c r="I1288" s="32">
        <v>1131</v>
      </c>
      <c r="J1288" s="32">
        <v>349</v>
      </c>
      <c r="K1288" s="32">
        <v>103</v>
      </c>
      <c r="L1288" s="32">
        <v>56</v>
      </c>
      <c r="M1288" s="32">
        <v>2466</v>
      </c>
      <c r="N1288" s="32">
        <v>168</v>
      </c>
      <c r="O1288" s="32">
        <v>95</v>
      </c>
      <c r="P1288" s="32"/>
      <c r="Q1288" s="32"/>
      <c r="R1288" s="32">
        <v>5750</v>
      </c>
      <c r="S1288" s="32">
        <v>431</v>
      </c>
      <c r="T1288" s="32">
        <v>2403</v>
      </c>
      <c r="U1288" s="32">
        <v>52</v>
      </c>
      <c r="V1288" s="32">
        <v>11</v>
      </c>
      <c r="W1288" s="32">
        <v>2566</v>
      </c>
      <c r="X1288" s="32">
        <v>217</v>
      </c>
      <c r="Y1288" s="32">
        <v>70</v>
      </c>
      <c r="Z1288" s="32"/>
      <c r="AA1288" s="32"/>
      <c r="AB1288" s="33">
        <v>25.892857100000001</v>
      </c>
      <c r="AC1288" s="33">
        <v>7.9899266999999998</v>
      </c>
      <c r="AD1288" s="33">
        <v>2.3580586000000001</v>
      </c>
      <c r="AE1288" s="33">
        <v>1.2820513</v>
      </c>
      <c r="AF1288" s="33">
        <v>56.456043999999999</v>
      </c>
      <c r="AG1288" s="33">
        <v>3.8461538000000002</v>
      </c>
      <c r="AH1288" s="33">
        <v>2.1749084000000001</v>
      </c>
      <c r="AI1288" s="33"/>
      <c r="AJ1288" s="33"/>
      <c r="AK1288" s="33">
        <v>7.4956522000000003</v>
      </c>
      <c r="AL1288" s="33">
        <v>41.7913043</v>
      </c>
      <c r="AM1288" s="33">
        <v>0.90434780000000003</v>
      </c>
      <c r="AN1288" s="33">
        <v>0.19130430000000001</v>
      </c>
      <c r="AO1288" s="33">
        <v>44.626086999999998</v>
      </c>
      <c r="AP1288" s="33">
        <v>3.7739129999999999</v>
      </c>
      <c r="AQ1288" s="33">
        <v>1.2173913000000001</v>
      </c>
      <c r="AR1288" s="34"/>
      <c r="AS1288" s="34"/>
    </row>
    <row r="1289" spans="2:45" ht="15" hidden="1" customHeight="1" x14ac:dyDescent="0.25">
      <c r="B1289" s="35">
        <v>1283</v>
      </c>
      <c r="C1289" s="36" t="s">
        <v>29</v>
      </c>
      <c r="D1289" s="36" t="s">
        <v>413</v>
      </c>
      <c r="E1289" s="36" t="s">
        <v>422</v>
      </c>
      <c r="F1289" s="36"/>
      <c r="G1289" s="37" t="s">
        <v>25</v>
      </c>
      <c r="H1289" s="38">
        <v>2407</v>
      </c>
      <c r="I1289" s="38">
        <v>1119</v>
      </c>
      <c r="J1289" s="38">
        <v>348</v>
      </c>
      <c r="K1289" s="38">
        <v>45</v>
      </c>
      <c r="L1289" s="38">
        <v>3</v>
      </c>
      <c r="M1289" s="38">
        <v>839</v>
      </c>
      <c r="N1289" s="38">
        <v>21</v>
      </c>
      <c r="O1289" s="38">
        <v>32</v>
      </c>
      <c r="P1289" s="38"/>
      <c r="Q1289" s="38"/>
      <c r="R1289" s="38">
        <v>3213</v>
      </c>
      <c r="S1289" s="38">
        <v>413</v>
      </c>
      <c r="T1289" s="38">
        <v>2390</v>
      </c>
      <c r="U1289" s="38">
        <v>30</v>
      </c>
      <c r="V1289" s="38">
        <v>0</v>
      </c>
      <c r="W1289" s="38">
        <v>348</v>
      </c>
      <c r="X1289" s="38">
        <v>15</v>
      </c>
      <c r="Y1289" s="38">
        <v>17</v>
      </c>
      <c r="Z1289" s="38"/>
      <c r="AA1289" s="38"/>
      <c r="AB1289" s="39">
        <v>46.489405900000001</v>
      </c>
      <c r="AC1289" s="39">
        <v>14.4578313</v>
      </c>
      <c r="AD1289" s="39">
        <v>1.8695472</v>
      </c>
      <c r="AE1289" s="39">
        <v>0.1246365</v>
      </c>
      <c r="AF1289" s="39">
        <v>34.8566681</v>
      </c>
      <c r="AG1289" s="39">
        <v>0.87245530000000004</v>
      </c>
      <c r="AH1289" s="39">
        <v>1.3294558000000001</v>
      </c>
      <c r="AI1289" s="39"/>
      <c r="AJ1289" s="39"/>
      <c r="AK1289" s="39">
        <v>12.8540305</v>
      </c>
      <c r="AL1289" s="39">
        <v>74.385309699999993</v>
      </c>
      <c r="AM1289" s="39">
        <v>0.93370679999999995</v>
      </c>
      <c r="AN1289" s="39">
        <v>0</v>
      </c>
      <c r="AO1289" s="39">
        <v>10.8309991</v>
      </c>
      <c r="AP1289" s="39">
        <v>0.46685339999999997</v>
      </c>
      <c r="AQ1289" s="39">
        <v>0.52910049999999997</v>
      </c>
      <c r="AR1289" s="40"/>
      <c r="AS1289" s="40"/>
    </row>
    <row r="1290" spans="2:45" ht="15" hidden="1" customHeight="1" x14ac:dyDescent="0.25">
      <c r="B1290" s="35">
        <v>1284</v>
      </c>
      <c r="C1290" s="36" t="s">
        <v>29</v>
      </c>
      <c r="D1290" s="36" t="s">
        <v>413</v>
      </c>
      <c r="E1290" s="36" t="s">
        <v>422</v>
      </c>
      <c r="F1290" s="36"/>
      <c r="G1290" s="37" t="s">
        <v>26</v>
      </c>
      <c r="H1290" s="38">
        <v>1961</v>
      </c>
      <c r="I1290" s="38">
        <v>12</v>
      </c>
      <c r="J1290" s="38">
        <v>1</v>
      </c>
      <c r="K1290" s="38">
        <v>58</v>
      </c>
      <c r="L1290" s="38">
        <v>53</v>
      </c>
      <c r="M1290" s="38">
        <v>1627</v>
      </c>
      <c r="N1290" s="38">
        <v>147</v>
      </c>
      <c r="O1290" s="38">
        <v>63</v>
      </c>
      <c r="P1290" s="38"/>
      <c r="Q1290" s="38"/>
      <c r="R1290" s="38">
        <v>2537</v>
      </c>
      <c r="S1290" s="38">
        <v>18</v>
      </c>
      <c r="T1290" s="38">
        <v>13</v>
      </c>
      <c r="U1290" s="38">
        <v>22</v>
      </c>
      <c r="V1290" s="38">
        <v>11</v>
      </c>
      <c r="W1290" s="38">
        <v>2218</v>
      </c>
      <c r="X1290" s="38">
        <v>202</v>
      </c>
      <c r="Y1290" s="38">
        <v>53</v>
      </c>
      <c r="Z1290" s="38"/>
      <c r="AA1290" s="38"/>
      <c r="AB1290" s="39">
        <v>0.6119327</v>
      </c>
      <c r="AC1290" s="39">
        <v>5.0994400000000002E-2</v>
      </c>
      <c r="AD1290" s="39">
        <v>2.9576747000000001</v>
      </c>
      <c r="AE1290" s="39">
        <v>2.7027027000000001</v>
      </c>
      <c r="AF1290" s="39">
        <v>82.967873499999996</v>
      </c>
      <c r="AG1290" s="39">
        <v>7.4961754000000003</v>
      </c>
      <c r="AH1290" s="39">
        <v>3.2126465999999998</v>
      </c>
      <c r="AI1290" s="39"/>
      <c r="AJ1290" s="39"/>
      <c r="AK1290" s="39">
        <v>0.7094994</v>
      </c>
      <c r="AL1290" s="39">
        <v>0.51241619999999999</v>
      </c>
      <c r="AM1290" s="39">
        <v>0.86716590000000005</v>
      </c>
      <c r="AN1290" s="39">
        <v>0.433583</v>
      </c>
      <c r="AO1290" s="39">
        <v>87.426093800000004</v>
      </c>
      <c r="AP1290" s="39">
        <v>7.9621599999999999</v>
      </c>
      <c r="AQ1290" s="39">
        <v>2.0890816000000001</v>
      </c>
      <c r="AR1290" s="40"/>
      <c r="AS1290" s="40"/>
    </row>
    <row r="1291" spans="2:45" ht="15" customHeight="1" x14ac:dyDescent="0.25">
      <c r="B1291" s="41">
        <v>1285</v>
      </c>
      <c r="C1291" s="42" t="s">
        <v>31</v>
      </c>
      <c r="D1291" s="51" t="s">
        <v>413</v>
      </c>
      <c r="E1291" s="51" t="s">
        <v>422</v>
      </c>
      <c r="F1291" s="51" t="s">
        <v>423</v>
      </c>
      <c r="G1291" s="52" t="s">
        <v>423</v>
      </c>
      <c r="H1291" s="43">
        <v>3430</v>
      </c>
      <c r="I1291" s="43">
        <v>1125</v>
      </c>
      <c r="J1291" s="43">
        <v>348</v>
      </c>
      <c r="K1291" s="43">
        <v>71</v>
      </c>
      <c r="L1291" s="43">
        <v>27</v>
      </c>
      <c r="M1291" s="43">
        <v>1666</v>
      </c>
      <c r="N1291" s="43">
        <v>110</v>
      </c>
      <c r="O1291" s="43">
        <v>83</v>
      </c>
      <c r="P1291" s="44">
        <f>K1291+L1291+M1291+N1291+O1291</f>
        <v>1957</v>
      </c>
      <c r="Q1291" s="44">
        <f>I1291+J1291</f>
        <v>1473</v>
      </c>
      <c r="R1291" s="43">
        <v>4295</v>
      </c>
      <c r="S1291" s="43">
        <v>422</v>
      </c>
      <c r="T1291" s="43">
        <v>2402</v>
      </c>
      <c r="U1291" s="43">
        <v>14</v>
      </c>
      <c r="V1291" s="43">
        <v>5</v>
      </c>
      <c r="W1291" s="43">
        <v>1282</v>
      </c>
      <c r="X1291" s="43">
        <v>142</v>
      </c>
      <c r="Y1291" s="43">
        <v>28</v>
      </c>
      <c r="Z1291" s="45">
        <f>U1291+V1291+W1291+X1291+Y1291</f>
        <v>1471</v>
      </c>
      <c r="AA1291" s="45">
        <f>S1291+T1291</f>
        <v>2824</v>
      </c>
      <c r="AB1291" s="46">
        <v>32.798833799999997</v>
      </c>
      <c r="AC1291" s="46">
        <v>10.145772600000001</v>
      </c>
      <c r="AD1291" s="46">
        <v>2.0699708000000001</v>
      </c>
      <c r="AE1291" s="46">
        <v>0.78717199999999998</v>
      </c>
      <c r="AF1291" s="46">
        <v>48.571428599999997</v>
      </c>
      <c r="AG1291" s="46">
        <v>3.2069971000000002</v>
      </c>
      <c r="AH1291" s="46">
        <v>2.4198251000000002</v>
      </c>
      <c r="AI1291" s="47">
        <f>AB1291+AC1291</f>
        <v>42.944606399999998</v>
      </c>
      <c r="AJ1291" s="47">
        <f>AD1291+AE1291+AF1291+AG1291+AH1291</f>
        <v>57.055393599999995</v>
      </c>
      <c r="AK1291" s="46">
        <v>9.8253783000000006</v>
      </c>
      <c r="AL1291" s="46">
        <v>55.925494800000003</v>
      </c>
      <c r="AM1291" s="46">
        <v>0.32596039999999998</v>
      </c>
      <c r="AN1291" s="46">
        <v>0.1164144</v>
      </c>
      <c r="AO1291" s="46">
        <v>29.848661199999999</v>
      </c>
      <c r="AP1291" s="46">
        <v>3.3061699999999998</v>
      </c>
      <c r="AQ1291" s="46">
        <v>0.65192079999999997</v>
      </c>
      <c r="AR1291" s="48">
        <f>AK1291+AL1291</f>
        <v>65.750873100000007</v>
      </c>
      <c r="AS1291" s="48">
        <f>AM1291+AN1291+AO1291+AP1291+AQ1291</f>
        <v>34.249126799999999</v>
      </c>
    </row>
    <row r="1292" spans="2:45" ht="15" hidden="1" customHeight="1" x14ac:dyDescent="0.25">
      <c r="B1292" s="35">
        <v>1286</v>
      </c>
      <c r="C1292" s="36" t="s">
        <v>31</v>
      </c>
      <c r="D1292" s="36" t="s">
        <v>413</v>
      </c>
      <c r="E1292" s="36" t="s">
        <v>422</v>
      </c>
      <c r="F1292" s="36" t="s">
        <v>423</v>
      </c>
      <c r="G1292" s="37" t="s">
        <v>25</v>
      </c>
      <c r="H1292" s="38">
        <v>2407</v>
      </c>
      <c r="I1292" s="38">
        <v>1119</v>
      </c>
      <c r="J1292" s="38">
        <v>348</v>
      </c>
      <c r="K1292" s="38">
        <v>45</v>
      </c>
      <c r="L1292" s="38">
        <v>3</v>
      </c>
      <c r="M1292" s="38">
        <v>839</v>
      </c>
      <c r="N1292" s="38">
        <v>21</v>
      </c>
      <c r="O1292" s="38">
        <v>32</v>
      </c>
      <c r="P1292" s="38"/>
      <c r="Q1292" s="38"/>
      <c r="R1292" s="38">
        <v>2971</v>
      </c>
      <c r="S1292" s="38">
        <v>409</v>
      </c>
      <c r="T1292" s="38">
        <v>2390</v>
      </c>
      <c r="U1292" s="38">
        <v>11</v>
      </c>
      <c r="V1292" s="38">
        <v>0</v>
      </c>
      <c r="W1292" s="38">
        <v>144</v>
      </c>
      <c r="X1292" s="38">
        <v>7</v>
      </c>
      <c r="Y1292" s="38">
        <v>10</v>
      </c>
      <c r="Z1292" s="38"/>
      <c r="AA1292" s="38"/>
      <c r="AB1292" s="39">
        <v>46.489405900000001</v>
      </c>
      <c r="AC1292" s="39">
        <v>14.4578313</v>
      </c>
      <c r="AD1292" s="39">
        <v>1.8695472</v>
      </c>
      <c r="AE1292" s="39">
        <v>0.1246365</v>
      </c>
      <c r="AF1292" s="39">
        <v>34.8566681</v>
      </c>
      <c r="AG1292" s="39">
        <v>0.87245530000000004</v>
      </c>
      <c r="AH1292" s="39">
        <v>1.3294558000000001</v>
      </c>
      <c r="AI1292" s="39"/>
      <c r="AJ1292" s="39"/>
      <c r="AK1292" s="39">
        <v>13.7664086</v>
      </c>
      <c r="AL1292" s="39">
        <v>80.444294900000003</v>
      </c>
      <c r="AM1292" s="39">
        <v>0.37024570000000001</v>
      </c>
      <c r="AN1292" s="39">
        <v>0</v>
      </c>
      <c r="AO1292" s="39">
        <v>4.8468529</v>
      </c>
      <c r="AP1292" s="39">
        <v>0.23561090000000001</v>
      </c>
      <c r="AQ1292" s="39">
        <v>0.33658700000000003</v>
      </c>
      <c r="AR1292" s="40"/>
      <c r="AS1292" s="40"/>
    </row>
    <row r="1293" spans="2:45" ht="15" hidden="1" customHeight="1" x14ac:dyDescent="0.25">
      <c r="B1293" s="35">
        <v>1287</v>
      </c>
      <c r="C1293" s="36" t="s">
        <v>31</v>
      </c>
      <c r="D1293" s="36" t="s">
        <v>413</v>
      </c>
      <c r="E1293" s="36" t="s">
        <v>422</v>
      </c>
      <c r="F1293" s="36" t="s">
        <v>423</v>
      </c>
      <c r="G1293" s="37" t="s">
        <v>26</v>
      </c>
      <c r="H1293" s="38">
        <v>1023</v>
      </c>
      <c r="I1293" s="38">
        <v>6</v>
      </c>
      <c r="J1293" s="38">
        <v>0</v>
      </c>
      <c r="K1293" s="38">
        <v>26</v>
      </c>
      <c r="L1293" s="38">
        <v>24</v>
      </c>
      <c r="M1293" s="38">
        <v>827</v>
      </c>
      <c r="N1293" s="38">
        <v>89</v>
      </c>
      <c r="O1293" s="38">
        <v>51</v>
      </c>
      <c r="P1293" s="38"/>
      <c r="Q1293" s="38"/>
      <c r="R1293" s="38">
        <v>1324</v>
      </c>
      <c r="S1293" s="38">
        <v>13</v>
      </c>
      <c r="T1293" s="38">
        <v>12</v>
      </c>
      <c r="U1293" s="38">
        <v>3</v>
      </c>
      <c r="V1293" s="38">
        <v>5</v>
      </c>
      <c r="W1293" s="38">
        <v>1138</v>
      </c>
      <c r="X1293" s="38">
        <v>135</v>
      </c>
      <c r="Y1293" s="38">
        <v>18</v>
      </c>
      <c r="Z1293" s="38"/>
      <c r="AA1293" s="38"/>
      <c r="AB1293" s="39">
        <v>0.58651030000000004</v>
      </c>
      <c r="AC1293" s="39">
        <v>0</v>
      </c>
      <c r="AD1293" s="39">
        <v>2.5415445000000001</v>
      </c>
      <c r="AE1293" s="39">
        <v>2.3460410999999999</v>
      </c>
      <c r="AF1293" s="39">
        <v>80.840664700000005</v>
      </c>
      <c r="AG1293" s="39">
        <v>8.6999022000000004</v>
      </c>
      <c r="AH1293" s="39">
        <v>4.9853372</v>
      </c>
      <c r="AI1293" s="39"/>
      <c r="AJ1293" s="39"/>
      <c r="AK1293" s="39">
        <v>0.98187310000000005</v>
      </c>
      <c r="AL1293" s="39">
        <v>0.90634440000000005</v>
      </c>
      <c r="AM1293" s="39">
        <v>0.22658610000000001</v>
      </c>
      <c r="AN1293" s="39">
        <v>0.37764350000000002</v>
      </c>
      <c r="AO1293" s="39">
        <v>85.951661599999994</v>
      </c>
      <c r="AP1293" s="39">
        <v>10.1963746</v>
      </c>
      <c r="AQ1293" s="39">
        <v>1.3595166000000001</v>
      </c>
      <c r="AR1293" s="40"/>
      <c r="AS1293" s="40"/>
    </row>
    <row r="1294" spans="2:45" ht="15" customHeight="1" x14ac:dyDescent="0.25">
      <c r="B1294" s="41">
        <v>1288</v>
      </c>
      <c r="C1294" s="42" t="s">
        <v>31</v>
      </c>
      <c r="D1294" s="51" t="s">
        <v>413</v>
      </c>
      <c r="E1294" s="51" t="s">
        <v>422</v>
      </c>
      <c r="F1294" s="51" t="s">
        <v>424</v>
      </c>
      <c r="G1294" s="52" t="s">
        <v>424</v>
      </c>
      <c r="H1294" s="43">
        <v>938</v>
      </c>
      <c r="I1294" s="43">
        <v>6</v>
      </c>
      <c r="J1294" s="43">
        <v>1</v>
      </c>
      <c r="K1294" s="43">
        <v>32</v>
      </c>
      <c r="L1294" s="43">
        <v>29</v>
      </c>
      <c r="M1294" s="43">
        <v>800</v>
      </c>
      <c r="N1294" s="43">
        <v>58</v>
      </c>
      <c r="O1294" s="43">
        <v>12</v>
      </c>
      <c r="P1294" s="44">
        <f>K1294+L1294+M1294+N1294+O1294</f>
        <v>931</v>
      </c>
      <c r="Q1294" s="44">
        <f>I1294+J1294</f>
        <v>7</v>
      </c>
      <c r="R1294" s="43">
        <v>1455</v>
      </c>
      <c r="S1294" s="43">
        <v>9</v>
      </c>
      <c r="T1294" s="43">
        <v>1</v>
      </c>
      <c r="U1294" s="43">
        <v>38</v>
      </c>
      <c r="V1294" s="43">
        <v>6</v>
      </c>
      <c r="W1294" s="43">
        <v>1284</v>
      </c>
      <c r="X1294" s="43">
        <v>75</v>
      </c>
      <c r="Y1294" s="43">
        <v>42</v>
      </c>
      <c r="Z1294" s="45">
        <f>U1294+V1294+W1294+X1294+Y1294</f>
        <v>1445</v>
      </c>
      <c r="AA1294" s="45">
        <f>S1294+T1294</f>
        <v>10</v>
      </c>
      <c r="AB1294" s="46">
        <v>0.63965879999999997</v>
      </c>
      <c r="AC1294" s="46">
        <v>0.1066098</v>
      </c>
      <c r="AD1294" s="46">
        <v>3.4115139000000001</v>
      </c>
      <c r="AE1294" s="46">
        <v>3.0916844000000001</v>
      </c>
      <c r="AF1294" s="46">
        <v>85.287846500000001</v>
      </c>
      <c r="AG1294" s="46">
        <v>6.1833688999999996</v>
      </c>
      <c r="AH1294" s="46">
        <v>1.2793177</v>
      </c>
      <c r="AI1294" s="47">
        <f>AB1294+AC1294</f>
        <v>0.74626859999999995</v>
      </c>
      <c r="AJ1294" s="47">
        <f>AD1294+AE1294+AF1294+AG1294+AH1294</f>
        <v>99.253731399999992</v>
      </c>
      <c r="AK1294" s="46">
        <v>0.61855669999999996</v>
      </c>
      <c r="AL1294" s="46">
        <v>6.8728499999999998E-2</v>
      </c>
      <c r="AM1294" s="46">
        <v>2.6116838000000002</v>
      </c>
      <c r="AN1294" s="46">
        <v>0.41237109999999999</v>
      </c>
      <c r="AO1294" s="46">
        <v>88.247422700000001</v>
      </c>
      <c r="AP1294" s="46">
        <v>5.1546392000000001</v>
      </c>
      <c r="AQ1294" s="46">
        <v>2.8865978999999999</v>
      </c>
      <c r="AR1294" s="48">
        <f>AK1294+AL1294</f>
        <v>0.68728519999999993</v>
      </c>
      <c r="AS1294" s="48">
        <f>AM1294+AN1294+AO1294+AP1294+AQ1294</f>
        <v>99.312714700000001</v>
      </c>
    </row>
    <row r="1295" spans="2:45" ht="15" hidden="1" customHeight="1" x14ac:dyDescent="0.25">
      <c r="B1295" s="35">
        <v>1289</v>
      </c>
      <c r="C1295" s="36" t="s">
        <v>31</v>
      </c>
      <c r="D1295" s="36" t="s">
        <v>413</v>
      </c>
      <c r="E1295" s="36" t="s">
        <v>422</v>
      </c>
      <c r="F1295" s="36" t="s">
        <v>424</v>
      </c>
      <c r="G1295" s="37" t="s">
        <v>25</v>
      </c>
      <c r="H1295" s="38"/>
      <c r="I1295" s="38"/>
      <c r="J1295" s="38"/>
      <c r="K1295" s="38"/>
      <c r="L1295" s="38"/>
      <c r="M1295" s="38"/>
      <c r="N1295" s="38"/>
      <c r="O1295" s="38"/>
      <c r="P1295" s="38"/>
      <c r="Q1295" s="38"/>
      <c r="R1295" s="38">
        <v>242</v>
      </c>
      <c r="S1295" s="38">
        <v>4</v>
      </c>
      <c r="T1295" s="38">
        <v>0</v>
      </c>
      <c r="U1295" s="38">
        <v>19</v>
      </c>
      <c r="V1295" s="38">
        <v>0</v>
      </c>
      <c r="W1295" s="38">
        <v>204</v>
      </c>
      <c r="X1295" s="38">
        <v>8</v>
      </c>
      <c r="Y1295" s="38">
        <v>7</v>
      </c>
      <c r="Z1295" s="38"/>
      <c r="AA1295" s="38"/>
      <c r="AB1295" s="39"/>
      <c r="AC1295" s="39"/>
      <c r="AD1295" s="39"/>
      <c r="AE1295" s="39"/>
      <c r="AF1295" s="39"/>
      <c r="AG1295" s="39"/>
      <c r="AH1295" s="39"/>
      <c r="AI1295" s="39"/>
      <c r="AJ1295" s="39"/>
      <c r="AK1295" s="39">
        <v>1.6528925999999999</v>
      </c>
      <c r="AL1295" s="39">
        <v>0</v>
      </c>
      <c r="AM1295" s="39">
        <v>7.8512396999999998</v>
      </c>
      <c r="AN1295" s="39">
        <v>0</v>
      </c>
      <c r="AO1295" s="39">
        <v>84.297520700000007</v>
      </c>
      <c r="AP1295" s="39">
        <v>3.3057851</v>
      </c>
      <c r="AQ1295" s="39">
        <v>2.8925619999999999</v>
      </c>
      <c r="AR1295" s="40"/>
      <c r="AS1295" s="40"/>
    </row>
    <row r="1296" spans="2:45" ht="15" hidden="1" customHeight="1" x14ac:dyDescent="0.25">
      <c r="B1296" s="35">
        <v>1290</v>
      </c>
      <c r="C1296" s="36" t="s">
        <v>31</v>
      </c>
      <c r="D1296" s="36" t="s">
        <v>413</v>
      </c>
      <c r="E1296" s="36" t="s">
        <v>422</v>
      </c>
      <c r="F1296" s="36" t="s">
        <v>424</v>
      </c>
      <c r="G1296" s="37" t="s">
        <v>26</v>
      </c>
      <c r="H1296" s="38">
        <v>938</v>
      </c>
      <c r="I1296" s="38">
        <v>6</v>
      </c>
      <c r="J1296" s="38">
        <v>1</v>
      </c>
      <c r="K1296" s="38">
        <v>32</v>
      </c>
      <c r="L1296" s="38">
        <v>29</v>
      </c>
      <c r="M1296" s="38">
        <v>800</v>
      </c>
      <c r="N1296" s="38">
        <v>58</v>
      </c>
      <c r="O1296" s="38">
        <v>12</v>
      </c>
      <c r="P1296" s="38"/>
      <c r="Q1296" s="38"/>
      <c r="R1296" s="38">
        <v>1213</v>
      </c>
      <c r="S1296" s="38">
        <v>5</v>
      </c>
      <c r="T1296" s="38">
        <v>1</v>
      </c>
      <c r="U1296" s="38">
        <v>19</v>
      </c>
      <c r="V1296" s="38">
        <v>6</v>
      </c>
      <c r="W1296" s="38">
        <v>1080</v>
      </c>
      <c r="X1296" s="38">
        <v>67</v>
      </c>
      <c r="Y1296" s="38">
        <v>35</v>
      </c>
      <c r="Z1296" s="38"/>
      <c r="AA1296" s="38"/>
      <c r="AB1296" s="39">
        <v>0.63965879999999997</v>
      </c>
      <c r="AC1296" s="39">
        <v>0.1066098</v>
      </c>
      <c r="AD1296" s="39">
        <v>3.4115139000000001</v>
      </c>
      <c r="AE1296" s="39">
        <v>3.0916844000000001</v>
      </c>
      <c r="AF1296" s="39">
        <v>85.287846500000001</v>
      </c>
      <c r="AG1296" s="39">
        <v>6.1833688999999996</v>
      </c>
      <c r="AH1296" s="39">
        <v>1.2793177</v>
      </c>
      <c r="AI1296" s="39"/>
      <c r="AJ1296" s="39"/>
      <c r="AK1296" s="39">
        <v>0.41220119999999999</v>
      </c>
      <c r="AL1296" s="39">
        <v>8.2440200000000005E-2</v>
      </c>
      <c r="AM1296" s="39">
        <v>1.5663644000000001</v>
      </c>
      <c r="AN1296" s="39">
        <v>0.49464140000000001</v>
      </c>
      <c r="AO1296" s="39">
        <v>89.035449299999996</v>
      </c>
      <c r="AP1296" s="39">
        <v>5.5234955000000001</v>
      </c>
      <c r="AQ1296" s="39">
        <v>2.8854080999999998</v>
      </c>
      <c r="AR1296" s="40"/>
      <c r="AS1296" s="40"/>
    </row>
    <row r="1297" spans="2:45" ht="15" hidden="1" customHeight="1" x14ac:dyDescent="0.25">
      <c r="B1297" s="30">
        <v>1291</v>
      </c>
      <c r="C1297" s="31" t="s">
        <v>29</v>
      </c>
      <c r="D1297" s="50" t="s">
        <v>413</v>
      </c>
      <c r="E1297" s="50" t="s">
        <v>425</v>
      </c>
      <c r="F1297" s="50"/>
      <c r="G1297" s="31" t="s">
        <v>425</v>
      </c>
      <c r="H1297" s="32">
        <v>4005</v>
      </c>
      <c r="I1297" s="32">
        <v>80</v>
      </c>
      <c r="J1297" s="32">
        <v>774</v>
      </c>
      <c r="K1297" s="32">
        <v>147</v>
      </c>
      <c r="L1297" s="32">
        <v>58</v>
      </c>
      <c r="M1297" s="32">
        <v>2577</v>
      </c>
      <c r="N1297" s="32">
        <v>262</v>
      </c>
      <c r="O1297" s="32">
        <v>107</v>
      </c>
      <c r="P1297" s="32"/>
      <c r="Q1297" s="32"/>
      <c r="R1297" s="32">
        <v>5391</v>
      </c>
      <c r="S1297" s="32">
        <v>199</v>
      </c>
      <c r="T1297" s="32">
        <v>1188</v>
      </c>
      <c r="U1297" s="32">
        <v>77</v>
      </c>
      <c r="V1297" s="32">
        <v>22</v>
      </c>
      <c r="W1297" s="32">
        <v>3483</v>
      </c>
      <c r="X1297" s="32">
        <v>352</v>
      </c>
      <c r="Y1297" s="32">
        <v>70</v>
      </c>
      <c r="Z1297" s="32"/>
      <c r="AA1297" s="32"/>
      <c r="AB1297" s="33">
        <v>1.9975031000000001</v>
      </c>
      <c r="AC1297" s="33">
        <v>19.325842699999999</v>
      </c>
      <c r="AD1297" s="33">
        <v>3.6704119999999998</v>
      </c>
      <c r="AE1297" s="33">
        <v>1.4481898</v>
      </c>
      <c r="AF1297" s="33">
        <v>64.344569300000003</v>
      </c>
      <c r="AG1297" s="33">
        <v>6.5418227</v>
      </c>
      <c r="AH1297" s="33">
        <v>2.6716603999999999</v>
      </c>
      <c r="AI1297" s="33"/>
      <c r="AJ1297" s="33"/>
      <c r="AK1297" s="33">
        <v>3.6913374000000001</v>
      </c>
      <c r="AL1297" s="33">
        <v>22.036727899999999</v>
      </c>
      <c r="AM1297" s="33">
        <v>1.4283064000000001</v>
      </c>
      <c r="AN1297" s="33">
        <v>0.40808759999999999</v>
      </c>
      <c r="AO1297" s="33">
        <v>64.607679500000003</v>
      </c>
      <c r="AP1297" s="33">
        <v>6.5294008999999997</v>
      </c>
      <c r="AQ1297" s="33">
        <v>1.2984604</v>
      </c>
      <c r="AR1297" s="34"/>
      <c r="AS1297" s="34"/>
    </row>
    <row r="1298" spans="2:45" ht="15" hidden="1" customHeight="1" x14ac:dyDescent="0.25">
      <c r="B1298" s="35">
        <v>1292</v>
      </c>
      <c r="C1298" s="36" t="s">
        <v>29</v>
      </c>
      <c r="D1298" s="36" t="s">
        <v>413</v>
      </c>
      <c r="E1298" s="36" t="s">
        <v>425</v>
      </c>
      <c r="F1298" s="36"/>
      <c r="G1298" s="37" t="s">
        <v>25</v>
      </c>
      <c r="H1298" s="38">
        <v>2154</v>
      </c>
      <c r="I1298" s="38">
        <v>77</v>
      </c>
      <c r="J1298" s="38">
        <v>773</v>
      </c>
      <c r="K1298" s="38">
        <v>84</v>
      </c>
      <c r="L1298" s="38">
        <v>9</v>
      </c>
      <c r="M1298" s="38">
        <v>1103</v>
      </c>
      <c r="N1298" s="38">
        <v>73</v>
      </c>
      <c r="O1298" s="38">
        <v>35</v>
      </c>
      <c r="P1298" s="38"/>
      <c r="Q1298" s="38"/>
      <c r="R1298" s="38">
        <v>2611</v>
      </c>
      <c r="S1298" s="38">
        <v>182</v>
      </c>
      <c r="T1298" s="38">
        <v>1178</v>
      </c>
      <c r="U1298" s="38">
        <v>24</v>
      </c>
      <c r="V1298" s="38">
        <v>3</v>
      </c>
      <c r="W1298" s="38">
        <v>1134</v>
      </c>
      <c r="X1298" s="38">
        <v>70</v>
      </c>
      <c r="Y1298" s="38">
        <v>20</v>
      </c>
      <c r="Z1298" s="38"/>
      <c r="AA1298" s="38"/>
      <c r="AB1298" s="39">
        <v>3.5747447000000001</v>
      </c>
      <c r="AC1298" s="39">
        <v>35.886722399999996</v>
      </c>
      <c r="AD1298" s="39">
        <v>3.8997213999999998</v>
      </c>
      <c r="AE1298" s="39">
        <v>0.41782730000000001</v>
      </c>
      <c r="AF1298" s="39">
        <v>51.207056600000001</v>
      </c>
      <c r="AG1298" s="39">
        <v>3.3890435999999999</v>
      </c>
      <c r="AH1298" s="39">
        <v>1.6248838999999999</v>
      </c>
      <c r="AI1298" s="39"/>
      <c r="AJ1298" s="39"/>
      <c r="AK1298" s="39">
        <v>6.9705094000000001</v>
      </c>
      <c r="AL1298" s="39">
        <v>45.116813499999999</v>
      </c>
      <c r="AM1298" s="39">
        <v>0.91918809999999995</v>
      </c>
      <c r="AN1298" s="39">
        <v>0.1148985</v>
      </c>
      <c r="AO1298" s="39">
        <v>43.431635399999998</v>
      </c>
      <c r="AP1298" s="39">
        <v>2.6809650999999999</v>
      </c>
      <c r="AQ1298" s="39">
        <v>0.76598999999999995</v>
      </c>
      <c r="AR1298" s="40"/>
      <c r="AS1298" s="40"/>
    </row>
    <row r="1299" spans="2:45" ht="15" hidden="1" customHeight="1" x14ac:dyDescent="0.25">
      <c r="B1299" s="35">
        <v>1293</v>
      </c>
      <c r="C1299" s="36" t="s">
        <v>29</v>
      </c>
      <c r="D1299" s="36" t="s">
        <v>413</v>
      </c>
      <c r="E1299" s="36" t="s">
        <v>425</v>
      </c>
      <c r="F1299" s="36"/>
      <c r="G1299" s="37" t="s">
        <v>26</v>
      </c>
      <c r="H1299" s="38">
        <v>1851</v>
      </c>
      <c r="I1299" s="38">
        <v>3</v>
      </c>
      <c r="J1299" s="38">
        <v>1</v>
      </c>
      <c r="K1299" s="38">
        <v>63</v>
      </c>
      <c r="L1299" s="38">
        <v>49</v>
      </c>
      <c r="M1299" s="38">
        <v>1474</v>
      </c>
      <c r="N1299" s="38">
        <v>189</v>
      </c>
      <c r="O1299" s="38">
        <v>72</v>
      </c>
      <c r="P1299" s="38"/>
      <c r="Q1299" s="38"/>
      <c r="R1299" s="38">
        <v>2780</v>
      </c>
      <c r="S1299" s="38">
        <v>17</v>
      </c>
      <c r="T1299" s="38">
        <v>10</v>
      </c>
      <c r="U1299" s="38">
        <v>53</v>
      </c>
      <c r="V1299" s="38">
        <v>19</v>
      </c>
      <c r="W1299" s="38">
        <v>2349</v>
      </c>
      <c r="X1299" s="38">
        <v>282</v>
      </c>
      <c r="Y1299" s="38">
        <v>50</v>
      </c>
      <c r="Z1299" s="38"/>
      <c r="AA1299" s="38"/>
      <c r="AB1299" s="39">
        <v>0.16207460000000001</v>
      </c>
      <c r="AC1299" s="39">
        <v>5.4024900000000001E-2</v>
      </c>
      <c r="AD1299" s="39">
        <v>3.4035655999999999</v>
      </c>
      <c r="AE1299" s="39">
        <v>2.6472177000000001</v>
      </c>
      <c r="AF1299" s="39">
        <v>79.632631000000003</v>
      </c>
      <c r="AG1299" s="39">
        <v>10.2106969</v>
      </c>
      <c r="AH1299" s="39">
        <v>3.8897892999999999</v>
      </c>
      <c r="AI1299" s="39"/>
      <c r="AJ1299" s="39"/>
      <c r="AK1299" s="39">
        <v>0.61151080000000002</v>
      </c>
      <c r="AL1299" s="39">
        <v>0.35971219999999998</v>
      </c>
      <c r="AM1299" s="39">
        <v>1.9064748</v>
      </c>
      <c r="AN1299" s="39">
        <v>0.68345319999999998</v>
      </c>
      <c r="AO1299" s="39">
        <v>84.496402900000007</v>
      </c>
      <c r="AP1299" s="39">
        <v>10.1438849</v>
      </c>
      <c r="AQ1299" s="39">
        <v>1.7985612</v>
      </c>
      <c r="AR1299" s="40"/>
      <c r="AS1299" s="40"/>
    </row>
    <row r="1300" spans="2:45" ht="15" customHeight="1" x14ac:dyDescent="0.25">
      <c r="B1300" s="41">
        <v>1294</v>
      </c>
      <c r="C1300" s="42" t="s">
        <v>31</v>
      </c>
      <c r="D1300" s="51" t="s">
        <v>413</v>
      </c>
      <c r="E1300" s="51" t="s">
        <v>425</v>
      </c>
      <c r="F1300" s="51" t="s">
        <v>354</v>
      </c>
      <c r="G1300" s="52" t="s">
        <v>354</v>
      </c>
      <c r="H1300" s="43">
        <v>4005</v>
      </c>
      <c r="I1300" s="43">
        <v>80</v>
      </c>
      <c r="J1300" s="43">
        <v>774</v>
      </c>
      <c r="K1300" s="43">
        <v>147</v>
      </c>
      <c r="L1300" s="43">
        <v>58</v>
      </c>
      <c r="M1300" s="43">
        <v>2577</v>
      </c>
      <c r="N1300" s="43">
        <v>262</v>
      </c>
      <c r="O1300" s="43">
        <v>107</v>
      </c>
      <c r="P1300" s="44">
        <f>K1300+L1300+M1300+N1300+O1300</f>
        <v>3151</v>
      </c>
      <c r="Q1300" s="44">
        <f>I1300+J1300</f>
        <v>854</v>
      </c>
      <c r="R1300" s="43">
        <v>5391</v>
      </c>
      <c r="S1300" s="43">
        <v>199</v>
      </c>
      <c r="T1300" s="43">
        <v>1188</v>
      </c>
      <c r="U1300" s="43">
        <v>77</v>
      </c>
      <c r="V1300" s="43">
        <v>22</v>
      </c>
      <c r="W1300" s="43">
        <v>3483</v>
      </c>
      <c r="X1300" s="43">
        <v>352</v>
      </c>
      <c r="Y1300" s="43">
        <v>70</v>
      </c>
      <c r="Z1300" s="45">
        <f>U1300+V1300+W1300+X1300+Y1300</f>
        <v>4004</v>
      </c>
      <c r="AA1300" s="45">
        <f>S1300+T1300</f>
        <v>1387</v>
      </c>
      <c r="AB1300" s="46">
        <v>1.9975031000000001</v>
      </c>
      <c r="AC1300" s="46">
        <v>19.325842699999999</v>
      </c>
      <c r="AD1300" s="46">
        <v>3.6704119999999998</v>
      </c>
      <c r="AE1300" s="46">
        <v>1.4481898</v>
      </c>
      <c r="AF1300" s="46">
        <v>64.344569300000003</v>
      </c>
      <c r="AG1300" s="46">
        <v>6.5418227</v>
      </c>
      <c r="AH1300" s="46">
        <v>2.6716603999999999</v>
      </c>
      <c r="AI1300" s="47">
        <f>AB1300+AC1300</f>
        <v>21.323345799999998</v>
      </c>
      <c r="AJ1300" s="47">
        <f>AD1300+AE1300+AF1300+AG1300+AH1300</f>
        <v>78.676654199999987</v>
      </c>
      <c r="AK1300" s="46">
        <v>3.6913374000000001</v>
      </c>
      <c r="AL1300" s="46">
        <v>22.036727899999999</v>
      </c>
      <c r="AM1300" s="46">
        <v>1.4283064000000001</v>
      </c>
      <c r="AN1300" s="46">
        <v>0.40808759999999999</v>
      </c>
      <c r="AO1300" s="46">
        <v>64.607679500000003</v>
      </c>
      <c r="AP1300" s="46">
        <v>6.5294008999999997</v>
      </c>
      <c r="AQ1300" s="46">
        <v>1.2984604</v>
      </c>
      <c r="AR1300" s="48">
        <f>AK1300+AL1300</f>
        <v>25.728065299999997</v>
      </c>
      <c r="AS1300" s="48">
        <f>AM1300+AN1300+AO1300+AP1300+AQ1300</f>
        <v>74.271934799999997</v>
      </c>
    </row>
    <row r="1301" spans="2:45" ht="15" hidden="1" customHeight="1" x14ac:dyDescent="0.25">
      <c r="B1301" s="35">
        <v>1295</v>
      </c>
      <c r="C1301" s="36" t="s">
        <v>31</v>
      </c>
      <c r="D1301" s="36" t="s">
        <v>413</v>
      </c>
      <c r="E1301" s="36" t="s">
        <v>425</v>
      </c>
      <c r="F1301" s="36" t="s">
        <v>354</v>
      </c>
      <c r="G1301" s="37" t="s">
        <v>25</v>
      </c>
      <c r="H1301" s="38">
        <v>2154</v>
      </c>
      <c r="I1301" s="38">
        <v>77</v>
      </c>
      <c r="J1301" s="38">
        <v>773</v>
      </c>
      <c r="K1301" s="38">
        <v>84</v>
      </c>
      <c r="L1301" s="38">
        <v>9</v>
      </c>
      <c r="M1301" s="38">
        <v>1103</v>
      </c>
      <c r="N1301" s="38">
        <v>73</v>
      </c>
      <c r="O1301" s="38">
        <v>35</v>
      </c>
      <c r="P1301" s="38"/>
      <c r="Q1301" s="38"/>
      <c r="R1301" s="38">
        <v>2611</v>
      </c>
      <c r="S1301" s="38">
        <v>182</v>
      </c>
      <c r="T1301" s="38">
        <v>1178</v>
      </c>
      <c r="U1301" s="38">
        <v>24</v>
      </c>
      <c r="V1301" s="38">
        <v>3</v>
      </c>
      <c r="W1301" s="38">
        <v>1134</v>
      </c>
      <c r="X1301" s="38">
        <v>70</v>
      </c>
      <c r="Y1301" s="38">
        <v>20</v>
      </c>
      <c r="Z1301" s="38"/>
      <c r="AA1301" s="38"/>
      <c r="AB1301" s="39">
        <v>3.5747447000000001</v>
      </c>
      <c r="AC1301" s="39">
        <v>35.886722399999996</v>
      </c>
      <c r="AD1301" s="39">
        <v>3.8997213999999998</v>
      </c>
      <c r="AE1301" s="39">
        <v>0.41782730000000001</v>
      </c>
      <c r="AF1301" s="39">
        <v>51.207056600000001</v>
      </c>
      <c r="AG1301" s="39">
        <v>3.3890435999999999</v>
      </c>
      <c r="AH1301" s="39">
        <v>1.6248838999999999</v>
      </c>
      <c r="AI1301" s="39"/>
      <c r="AJ1301" s="39"/>
      <c r="AK1301" s="39">
        <v>6.9705094000000001</v>
      </c>
      <c r="AL1301" s="39">
        <v>45.116813499999999</v>
      </c>
      <c r="AM1301" s="39">
        <v>0.91918809999999995</v>
      </c>
      <c r="AN1301" s="39">
        <v>0.1148985</v>
      </c>
      <c r="AO1301" s="39">
        <v>43.431635399999998</v>
      </c>
      <c r="AP1301" s="39">
        <v>2.6809650999999999</v>
      </c>
      <c r="AQ1301" s="39">
        <v>0.76598999999999995</v>
      </c>
      <c r="AR1301" s="40"/>
      <c r="AS1301" s="40"/>
    </row>
    <row r="1302" spans="2:45" ht="15" hidden="1" customHeight="1" x14ac:dyDescent="0.25">
      <c r="B1302" s="35">
        <v>1296</v>
      </c>
      <c r="C1302" s="36" t="s">
        <v>31</v>
      </c>
      <c r="D1302" s="36" t="s">
        <v>413</v>
      </c>
      <c r="E1302" s="36" t="s">
        <v>425</v>
      </c>
      <c r="F1302" s="36" t="s">
        <v>354</v>
      </c>
      <c r="G1302" s="37" t="s">
        <v>26</v>
      </c>
      <c r="H1302" s="38">
        <v>1851</v>
      </c>
      <c r="I1302" s="38">
        <v>3</v>
      </c>
      <c r="J1302" s="38">
        <v>1</v>
      </c>
      <c r="K1302" s="38">
        <v>63</v>
      </c>
      <c r="L1302" s="38">
        <v>49</v>
      </c>
      <c r="M1302" s="38">
        <v>1474</v>
      </c>
      <c r="N1302" s="38">
        <v>189</v>
      </c>
      <c r="O1302" s="38">
        <v>72</v>
      </c>
      <c r="P1302" s="38"/>
      <c r="Q1302" s="38"/>
      <c r="R1302" s="38">
        <v>2780</v>
      </c>
      <c r="S1302" s="38">
        <v>17</v>
      </c>
      <c r="T1302" s="38">
        <v>10</v>
      </c>
      <c r="U1302" s="38">
        <v>53</v>
      </c>
      <c r="V1302" s="38">
        <v>19</v>
      </c>
      <c r="W1302" s="38">
        <v>2349</v>
      </c>
      <c r="X1302" s="38">
        <v>282</v>
      </c>
      <c r="Y1302" s="38">
        <v>50</v>
      </c>
      <c r="Z1302" s="38"/>
      <c r="AA1302" s="38"/>
      <c r="AB1302" s="39">
        <v>0.16207460000000001</v>
      </c>
      <c r="AC1302" s="39">
        <v>5.4024900000000001E-2</v>
      </c>
      <c r="AD1302" s="39">
        <v>3.4035655999999999</v>
      </c>
      <c r="AE1302" s="39">
        <v>2.6472177000000001</v>
      </c>
      <c r="AF1302" s="39">
        <v>79.632631000000003</v>
      </c>
      <c r="AG1302" s="39">
        <v>10.2106969</v>
      </c>
      <c r="AH1302" s="39">
        <v>3.8897892999999999</v>
      </c>
      <c r="AI1302" s="39"/>
      <c r="AJ1302" s="39"/>
      <c r="AK1302" s="39">
        <v>0.61151080000000002</v>
      </c>
      <c r="AL1302" s="39">
        <v>0.35971219999999998</v>
      </c>
      <c r="AM1302" s="39">
        <v>1.9064748</v>
      </c>
      <c r="AN1302" s="39">
        <v>0.68345319999999998</v>
      </c>
      <c r="AO1302" s="39">
        <v>84.496402900000007</v>
      </c>
      <c r="AP1302" s="39">
        <v>10.1438849</v>
      </c>
      <c r="AQ1302" s="39">
        <v>1.7985612</v>
      </c>
      <c r="AR1302" s="40"/>
      <c r="AS1302" s="40"/>
    </row>
    <row r="1303" spans="2:45" ht="15" hidden="1" customHeight="1" x14ac:dyDescent="0.25">
      <c r="B1303" s="30">
        <v>1297</v>
      </c>
      <c r="C1303" s="31" t="s">
        <v>29</v>
      </c>
      <c r="D1303" s="50" t="s">
        <v>413</v>
      </c>
      <c r="E1303" s="50" t="s">
        <v>426</v>
      </c>
      <c r="F1303" s="50"/>
      <c r="G1303" s="31" t="s">
        <v>426</v>
      </c>
      <c r="H1303" s="32">
        <v>3860</v>
      </c>
      <c r="I1303" s="32">
        <v>35</v>
      </c>
      <c r="J1303" s="32">
        <v>57</v>
      </c>
      <c r="K1303" s="32">
        <v>86</v>
      </c>
      <c r="L1303" s="32">
        <v>33</v>
      </c>
      <c r="M1303" s="32">
        <v>3106</v>
      </c>
      <c r="N1303" s="32">
        <v>436</v>
      </c>
      <c r="O1303" s="32">
        <v>107</v>
      </c>
      <c r="P1303" s="32"/>
      <c r="Q1303" s="32"/>
      <c r="R1303" s="32">
        <v>6323</v>
      </c>
      <c r="S1303" s="32">
        <v>65</v>
      </c>
      <c r="T1303" s="32">
        <v>146</v>
      </c>
      <c r="U1303" s="32">
        <v>84</v>
      </c>
      <c r="V1303" s="32">
        <v>29</v>
      </c>
      <c r="W1303" s="32">
        <v>5285</v>
      </c>
      <c r="X1303" s="32">
        <v>628</v>
      </c>
      <c r="Y1303" s="32">
        <v>86</v>
      </c>
      <c r="Z1303" s="32"/>
      <c r="AA1303" s="32"/>
      <c r="AB1303" s="33">
        <v>0.90673579999999998</v>
      </c>
      <c r="AC1303" s="33">
        <v>1.4766839</v>
      </c>
      <c r="AD1303" s="33">
        <v>2.2279792999999999</v>
      </c>
      <c r="AE1303" s="33">
        <v>0.85492230000000002</v>
      </c>
      <c r="AF1303" s="33">
        <v>80.466321199999996</v>
      </c>
      <c r="AG1303" s="33">
        <v>11.295336799999999</v>
      </c>
      <c r="AH1303" s="33">
        <v>2.7720207000000001</v>
      </c>
      <c r="AI1303" s="33"/>
      <c r="AJ1303" s="33"/>
      <c r="AK1303" s="33">
        <v>1.0279929999999999</v>
      </c>
      <c r="AL1303" s="33">
        <v>2.3090305</v>
      </c>
      <c r="AM1303" s="33">
        <v>1.3284833</v>
      </c>
      <c r="AN1303" s="33">
        <v>0.45864300000000002</v>
      </c>
      <c r="AO1303" s="33">
        <v>83.583741900000007</v>
      </c>
      <c r="AP1303" s="33">
        <v>9.9319942999999995</v>
      </c>
      <c r="AQ1303" s="33">
        <v>1.3601139</v>
      </c>
      <c r="AR1303" s="34"/>
      <c r="AS1303" s="34"/>
    </row>
    <row r="1304" spans="2:45" ht="15" hidden="1" customHeight="1" x14ac:dyDescent="0.25">
      <c r="B1304" s="35">
        <v>1298</v>
      </c>
      <c r="C1304" s="36" t="s">
        <v>29</v>
      </c>
      <c r="D1304" s="36" t="s">
        <v>413</v>
      </c>
      <c r="E1304" s="36" t="s">
        <v>426</v>
      </c>
      <c r="F1304" s="36"/>
      <c r="G1304" s="37" t="s">
        <v>25</v>
      </c>
      <c r="H1304" s="38">
        <v>550</v>
      </c>
      <c r="I1304" s="38">
        <v>19</v>
      </c>
      <c r="J1304" s="38">
        <v>33</v>
      </c>
      <c r="K1304" s="38">
        <v>26</v>
      </c>
      <c r="L1304" s="38">
        <v>1</v>
      </c>
      <c r="M1304" s="38">
        <v>402</v>
      </c>
      <c r="N1304" s="38">
        <v>45</v>
      </c>
      <c r="O1304" s="38">
        <v>24</v>
      </c>
      <c r="P1304" s="38"/>
      <c r="Q1304" s="38"/>
      <c r="R1304" s="38">
        <v>696</v>
      </c>
      <c r="S1304" s="38">
        <v>31</v>
      </c>
      <c r="T1304" s="38">
        <v>78</v>
      </c>
      <c r="U1304" s="38">
        <v>14</v>
      </c>
      <c r="V1304" s="38">
        <v>5</v>
      </c>
      <c r="W1304" s="38">
        <v>545</v>
      </c>
      <c r="X1304" s="38">
        <v>15</v>
      </c>
      <c r="Y1304" s="38">
        <v>8</v>
      </c>
      <c r="Z1304" s="38"/>
      <c r="AA1304" s="38"/>
      <c r="AB1304" s="39">
        <v>3.4545455</v>
      </c>
      <c r="AC1304" s="39">
        <v>6</v>
      </c>
      <c r="AD1304" s="39">
        <v>4.7272727000000003</v>
      </c>
      <c r="AE1304" s="39">
        <v>0.18181820000000001</v>
      </c>
      <c r="AF1304" s="39">
        <v>73.090909100000005</v>
      </c>
      <c r="AG1304" s="39">
        <v>8.1818182000000004</v>
      </c>
      <c r="AH1304" s="39">
        <v>4.3636363999999999</v>
      </c>
      <c r="AI1304" s="39"/>
      <c r="AJ1304" s="39"/>
      <c r="AK1304" s="39">
        <v>4.4540230000000003</v>
      </c>
      <c r="AL1304" s="39">
        <v>11.2068966</v>
      </c>
      <c r="AM1304" s="39">
        <v>2.0114942999999998</v>
      </c>
      <c r="AN1304" s="39">
        <v>0.7183908</v>
      </c>
      <c r="AO1304" s="39">
        <v>78.304597700000002</v>
      </c>
      <c r="AP1304" s="39">
        <v>2.1551724000000001</v>
      </c>
      <c r="AQ1304" s="39">
        <v>1.1494253000000001</v>
      </c>
      <c r="AR1304" s="40"/>
      <c r="AS1304" s="40"/>
    </row>
    <row r="1305" spans="2:45" ht="15" hidden="1" customHeight="1" x14ac:dyDescent="0.25">
      <c r="B1305" s="35">
        <v>1299</v>
      </c>
      <c r="C1305" s="36" t="s">
        <v>29</v>
      </c>
      <c r="D1305" s="36" t="s">
        <v>413</v>
      </c>
      <c r="E1305" s="36" t="s">
        <v>426</v>
      </c>
      <c r="F1305" s="36"/>
      <c r="G1305" s="37" t="s">
        <v>26</v>
      </c>
      <c r="H1305" s="38">
        <v>3310</v>
      </c>
      <c r="I1305" s="38">
        <v>16</v>
      </c>
      <c r="J1305" s="38">
        <v>24</v>
      </c>
      <c r="K1305" s="38">
        <v>60</v>
      </c>
      <c r="L1305" s="38">
        <v>32</v>
      </c>
      <c r="M1305" s="38">
        <v>2704</v>
      </c>
      <c r="N1305" s="38">
        <v>391</v>
      </c>
      <c r="O1305" s="38">
        <v>83</v>
      </c>
      <c r="P1305" s="38"/>
      <c r="Q1305" s="38"/>
      <c r="R1305" s="38">
        <v>5627</v>
      </c>
      <c r="S1305" s="38">
        <v>34</v>
      </c>
      <c r="T1305" s="38">
        <v>68</v>
      </c>
      <c r="U1305" s="38">
        <v>70</v>
      </c>
      <c r="V1305" s="38">
        <v>24</v>
      </c>
      <c r="W1305" s="38">
        <v>4740</v>
      </c>
      <c r="X1305" s="38">
        <v>613</v>
      </c>
      <c r="Y1305" s="38">
        <v>78</v>
      </c>
      <c r="Z1305" s="38"/>
      <c r="AA1305" s="38"/>
      <c r="AB1305" s="39">
        <v>0.48338370000000003</v>
      </c>
      <c r="AC1305" s="39">
        <v>0.72507549999999998</v>
      </c>
      <c r="AD1305" s="39">
        <v>1.8126888000000001</v>
      </c>
      <c r="AE1305" s="39">
        <v>0.96676740000000005</v>
      </c>
      <c r="AF1305" s="39">
        <v>81.691842899999997</v>
      </c>
      <c r="AG1305" s="39">
        <v>11.8126888</v>
      </c>
      <c r="AH1305" s="39">
        <v>2.5075528999999999</v>
      </c>
      <c r="AI1305" s="39"/>
      <c r="AJ1305" s="39"/>
      <c r="AK1305" s="39">
        <v>0.60422960000000003</v>
      </c>
      <c r="AL1305" s="39">
        <v>1.2084592000000001</v>
      </c>
      <c r="AM1305" s="39">
        <v>1.2440021000000001</v>
      </c>
      <c r="AN1305" s="39">
        <v>0.42651499999999998</v>
      </c>
      <c r="AO1305" s="39">
        <v>84.236715799999999</v>
      </c>
      <c r="AP1305" s="39">
        <v>10.8939044</v>
      </c>
      <c r="AQ1305" s="39">
        <v>1.3861737999999999</v>
      </c>
      <c r="AR1305" s="40"/>
      <c r="AS1305" s="40"/>
    </row>
    <row r="1306" spans="2:45" ht="15" customHeight="1" x14ac:dyDescent="0.25">
      <c r="B1306" s="41">
        <v>1300</v>
      </c>
      <c r="C1306" s="42" t="s">
        <v>31</v>
      </c>
      <c r="D1306" s="51" t="s">
        <v>413</v>
      </c>
      <c r="E1306" s="51" t="s">
        <v>426</v>
      </c>
      <c r="F1306" s="51" t="s">
        <v>427</v>
      </c>
      <c r="G1306" s="52" t="s">
        <v>427</v>
      </c>
      <c r="H1306" s="43">
        <v>864</v>
      </c>
      <c r="I1306" s="43">
        <v>10</v>
      </c>
      <c r="J1306" s="43">
        <v>17</v>
      </c>
      <c r="K1306" s="43">
        <v>9</v>
      </c>
      <c r="L1306" s="43">
        <v>12</v>
      </c>
      <c r="M1306" s="43">
        <v>701</v>
      </c>
      <c r="N1306" s="43">
        <v>93</v>
      </c>
      <c r="O1306" s="43">
        <v>22</v>
      </c>
      <c r="P1306" s="44">
        <f>K1306+L1306+M1306+N1306+O1306</f>
        <v>837</v>
      </c>
      <c r="Q1306" s="44">
        <f>I1306+J1306</f>
        <v>27</v>
      </c>
      <c r="R1306" s="43">
        <v>1053</v>
      </c>
      <c r="S1306" s="43">
        <v>9</v>
      </c>
      <c r="T1306" s="43">
        <v>57</v>
      </c>
      <c r="U1306" s="43">
        <v>26</v>
      </c>
      <c r="V1306" s="43">
        <v>6</v>
      </c>
      <c r="W1306" s="43">
        <v>831</v>
      </c>
      <c r="X1306" s="43">
        <v>112</v>
      </c>
      <c r="Y1306" s="43">
        <v>12</v>
      </c>
      <c r="Z1306" s="45">
        <f>U1306+V1306+W1306+X1306+Y1306</f>
        <v>987</v>
      </c>
      <c r="AA1306" s="45">
        <f>S1306+T1306</f>
        <v>66</v>
      </c>
      <c r="AB1306" s="46">
        <v>1.1574074000000001</v>
      </c>
      <c r="AC1306" s="46">
        <v>1.9675925999999999</v>
      </c>
      <c r="AD1306" s="46">
        <v>1.0416666999999999</v>
      </c>
      <c r="AE1306" s="46">
        <v>1.3888889</v>
      </c>
      <c r="AF1306" s="46">
        <v>81.134259299999997</v>
      </c>
      <c r="AG1306" s="46">
        <v>10.7638889</v>
      </c>
      <c r="AH1306" s="46">
        <v>2.5462962999999998</v>
      </c>
      <c r="AI1306" s="47">
        <f>AB1306+AC1306</f>
        <v>3.125</v>
      </c>
      <c r="AJ1306" s="47">
        <f>AD1306+AE1306+AF1306+AG1306+AH1306</f>
        <v>96.875000099999994</v>
      </c>
      <c r="AK1306" s="46">
        <v>0.85470089999999999</v>
      </c>
      <c r="AL1306" s="46">
        <v>5.4131054000000001</v>
      </c>
      <c r="AM1306" s="46">
        <v>2.4691358000000001</v>
      </c>
      <c r="AN1306" s="46">
        <v>0.56980059999999999</v>
      </c>
      <c r="AO1306" s="46">
        <v>78.917378900000003</v>
      </c>
      <c r="AP1306" s="46">
        <v>10.6362773</v>
      </c>
      <c r="AQ1306" s="46">
        <v>1.1396010999999999</v>
      </c>
      <c r="AR1306" s="48">
        <f>AK1306+AL1306</f>
        <v>6.2678063000000002</v>
      </c>
      <c r="AS1306" s="48">
        <f>AM1306+AN1306+AO1306+AP1306+AQ1306</f>
        <v>93.732193699999996</v>
      </c>
    </row>
    <row r="1307" spans="2:45" ht="15" hidden="1" customHeight="1" x14ac:dyDescent="0.25">
      <c r="B1307" s="35">
        <v>1301</v>
      </c>
      <c r="C1307" s="36" t="s">
        <v>31</v>
      </c>
      <c r="D1307" s="36" t="s">
        <v>413</v>
      </c>
      <c r="E1307" s="36" t="s">
        <v>426</v>
      </c>
      <c r="F1307" s="36" t="s">
        <v>427</v>
      </c>
      <c r="G1307" s="37" t="s">
        <v>25</v>
      </c>
      <c r="H1307" s="38"/>
      <c r="I1307" s="38"/>
      <c r="J1307" s="38"/>
      <c r="K1307" s="38"/>
      <c r="L1307" s="38"/>
      <c r="M1307" s="38"/>
      <c r="N1307" s="38"/>
      <c r="O1307" s="38"/>
      <c r="P1307" s="38"/>
      <c r="Q1307" s="38"/>
      <c r="R1307" s="38"/>
      <c r="S1307" s="38"/>
      <c r="T1307" s="38"/>
      <c r="U1307" s="38"/>
      <c r="V1307" s="38"/>
      <c r="W1307" s="38"/>
      <c r="X1307" s="38"/>
      <c r="Y1307" s="38"/>
      <c r="Z1307" s="38"/>
      <c r="AA1307" s="38"/>
      <c r="AB1307" s="39"/>
      <c r="AC1307" s="39"/>
      <c r="AD1307" s="39"/>
      <c r="AE1307" s="39"/>
      <c r="AF1307" s="39"/>
      <c r="AG1307" s="39"/>
      <c r="AH1307" s="39"/>
      <c r="AI1307" s="39"/>
      <c r="AJ1307" s="39"/>
      <c r="AK1307" s="39"/>
      <c r="AL1307" s="39"/>
      <c r="AM1307" s="39"/>
      <c r="AN1307" s="39"/>
      <c r="AO1307" s="39"/>
      <c r="AP1307" s="39"/>
      <c r="AQ1307" s="39"/>
      <c r="AR1307" s="40"/>
      <c r="AS1307" s="40"/>
    </row>
    <row r="1308" spans="2:45" ht="15" hidden="1" customHeight="1" x14ac:dyDescent="0.25">
      <c r="B1308" s="35">
        <v>1302</v>
      </c>
      <c r="C1308" s="36" t="s">
        <v>31</v>
      </c>
      <c r="D1308" s="36" t="s">
        <v>413</v>
      </c>
      <c r="E1308" s="36" t="s">
        <v>426</v>
      </c>
      <c r="F1308" s="36" t="s">
        <v>427</v>
      </c>
      <c r="G1308" s="37" t="s">
        <v>26</v>
      </c>
      <c r="H1308" s="38">
        <v>864</v>
      </c>
      <c r="I1308" s="38">
        <v>10</v>
      </c>
      <c r="J1308" s="38">
        <v>17</v>
      </c>
      <c r="K1308" s="38">
        <v>9</v>
      </c>
      <c r="L1308" s="38">
        <v>12</v>
      </c>
      <c r="M1308" s="38">
        <v>701</v>
      </c>
      <c r="N1308" s="38">
        <v>93</v>
      </c>
      <c r="O1308" s="38">
        <v>22</v>
      </c>
      <c r="P1308" s="38"/>
      <c r="Q1308" s="38"/>
      <c r="R1308" s="38">
        <v>1053</v>
      </c>
      <c r="S1308" s="38">
        <v>9</v>
      </c>
      <c r="T1308" s="38">
        <v>57</v>
      </c>
      <c r="U1308" s="38">
        <v>26</v>
      </c>
      <c r="V1308" s="38">
        <v>6</v>
      </c>
      <c r="W1308" s="38">
        <v>831</v>
      </c>
      <c r="X1308" s="38">
        <v>112</v>
      </c>
      <c r="Y1308" s="38">
        <v>12</v>
      </c>
      <c r="Z1308" s="38"/>
      <c r="AA1308" s="38"/>
      <c r="AB1308" s="39">
        <v>1.1574074000000001</v>
      </c>
      <c r="AC1308" s="39">
        <v>1.9675925999999999</v>
      </c>
      <c r="AD1308" s="39">
        <v>1.0416666999999999</v>
      </c>
      <c r="AE1308" s="39">
        <v>1.3888889</v>
      </c>
      <c r="AF1308" s="39">
        <v>81.134259299999997</v>
      </c>
      <c r="AG1308" s="39">
        <v>10.7638889</v>
      </c>
      <c r="AH1308" s="39">
        <v>2.5462962999999998</v>
      </c>
      <c r="AI1308" s="39"/>
      <c r="AJ1308" s="39"/>
      <c r="AK1308" s="39">
        <v>0.85470089999999999</v>
      </c>
      <c r="AL1308" s="39">
        <v>5.4131054000000001</v>
      </c>
      <c r="AM1308" s="39">
        <v>2.4691358000000001</v>
      </c>
      <c r="AN1308" s="39">
        <v>0.56980059999999999</v>
      </c>
      <c r="AO1308" s="39">
        <v>78.917378900000003</v>
      </c>
      <c r="AP1308" s="39">
        <v>10.6362773</v>
      </c>
      <c r="AQ1308" s="39">
        <v>1.1396010999999999</v>
      </c>
      <c r="AR1308" s="40"/>
      <c r="AS1308" s="40"/>
    </row>
    <row r="1309" spans="2:45" ht="15" customHeight="1" x14ac:dyDescent="0.25">
      <c r="B1309" s="41">
        <v>1303</v>
      </c>
      <c r="C1309" s="42" t="s">
        <v>31</v>
      </c>
      <c r="D1309" s="51" t="s">
        <v>413</v>
      </c>
      <c r="E1309" s="51" t="s">
        <v>426</v>
      </c>
      <c r="F1309" s="51" t="s">
        <v>428</v>
      </c>
      <c r="G1309" s="52" t="s">
        <v>428</v>
      </c>
      <c r="H1309" s="43">
        <v>2996</v>
      </c>
      <c r="I1309" s="43">
        <v>25</v>
      </c>
      <c r="J1309" s="43">
        <v>40</v>
      </c>
      <c r="K1309" s="43">
        <v>77</v>
      </c>
      <c r="L1309" s="43">
        <v>21</v>
      </c>
      <c r="M1309" s="43">
        <v>2405</v>
      </c>
      <c r="N1309" s="43">
        <v>343</v>
      </c>
      <c r="O1309" s="43">
        <v>85</v>
      </c>
      <c r="P1309" s="44">
        <f>K1309+L1309+M1309+N1309+O1309</f>
        <v>2931</v>
      </c>
      <c r="Q1309" s="44">
        <f>I1309+J1309</f>
        <v>65</v>
      </c>
      <c r="R1309" s="43">
        <v>5270</v>
      </c>
      <c r="S1309" s="43">
        <v>56</v>
      </c>
      <c r="T1309" s="43">
        <v>89</v>
      </c>
      <c r="U1309" s="43">
        <v>58</v>
      </c>
      <c r="V1309" s="43">
        <v>23</v>
      </c>
      <c r="W1309" s="43">
        <v>4454</v>
      </c>
      <c r="X1309" s="43">
        <v>516</v>
      </c>
      <c r="Y1309" s="43">
        <v>74</v>
      </c>
      <c r="Z1309" s="45">
        <f>U1309+V1309+W1309+X1309+Y1309</f>
        <v>5125</v>
      </c>
      <c r="AA1309" s="45">
        <f>S1309+T1309</f>
        <v>145</v>
      </c>
      <c r="AB1309" s="46">
        <v>0.83444589999999996</v>
      </c>
      <c r="AC1309" s="46">
        <v>1.3351135000000001</v>
      </c>
      <c r="AD1309" s="46">
        <v>2.5700935</v>
      </c>
      <c r="AE1309" s="46">
        <v>0.70093459999999996</v>
      </c>
      <c r="AF1309" s="46">
        <v>80.273698300000007</v>
      </c>
      <c r="AG1309" s="46">
        <v>11.4485981</v>
      </c>
      <c r="AH1309" s="46">
        <v>2.8371162000000001</v>
      </c>
      <c r="AI1309" s="47">
        <f>AB1309+AC1309</f>
        <v>2.1695593999999998</v>
      </c>
      <c r="AJ1309" s="47">
        <f>AD1309+AE1309+AF1309+AG1309+AH1309</f>
        <v>97.830440699999997</v>
      </c>
      <c r="AK1309" s="46">
        <v>1.0626186</v>
      </c>
      <c r="AL1309" s="46">
        <v>1.6888046000000001</v>
      </c>
      <c r="AM1309" s="46">
        <v>1.1005693000000001</v>
      </c>
      <c r="AN1309" s="46">
        <v>0.4364326</v>
      </c>
      <c r="AO1309" s="46">
        <v>84.516129000000006</v>
      </c>
      <c r="AP1309" s="46">
        <v>9.7912713</v>
      </c>
      <c r="AQ1309" s="46">
        <v>1.4041745999999999</v>
      </c>
      <c r="AR1309" s="48">
        <f>AK1309+AL1309</f>
        <v>2.7514232000000001</v>
      </c>
      <c r="AS1309" s="48">
        <f>AM1309+AN1309+AO1309+AP1309+AQ1309</f>
        <v>97.248576800000023</v>
      </c>
    </row>
    <row r="1310" spans="2:45" ht="15" hidden="1" customHeight="1" x14ac:dyDescent="0.25">
      <c r="B1310" s="35">
        <v>1304</v>
      </c>
      <c r="C1310" s="36" t="s">
        <v>31</v>
      </c>
      <c r="D1310" s="36" t="s">
        <v>413</v>
      </c>
      <c r="E1310" s="36" t="s">
        <v>426</v>
      </c>
      <c r="F1310" s="36" t="s">
        <v>428</v>
      </c>
      <c r="G1310" s="37" t="s">
        <v>25</v>
      </c>
      <c r="H1310" s="38">
        <v>550</v>
      </c>
      <c r="I1310" s="38">
        <v>19</v>
      </c>
      <c r="J1310" s="38">
        <v>33</v>
      </c>
      <c r="K1310" s="38">
        <v>26</v>
      </c>
      <c r="L1310" s="38">
        <v>1</v>
      </c>
      <c r="M1310" s="38">
        <v>402</v>
      </c>
      <c r="N1310" s="38">
        <v>45</v>
      </c>
      <c r="O1310" s="38">
        <v>24</v>
      </c>
      <c r="P1310" s="38"/>
      <c r="Q1310" s="38"/>
      <c r="R1310" s="38">
        <v>696</v>
      </c>
      <c r="S1310" s="38">
        <v>31</v>
      </c>
      <c r="T1310" s="38">
        <v>78</v>
      </c>
      <c r="U1310" s="38">
        <v>14</v>
      </c>
      <c r="V1310" s="38">
        <v>5</v>
      </c>
      <c r="W1310" s="38">
        <v>545</v>
      </c>
      <c r="X1310" s="38">
        <v>15</v>
      </c>
      <c r="Y1310" s="38">
        <v>8</v>
      </c>
      <c r="Z1310" s="38"/>
      <c r="AA1310" s="38"/>
      <c r="AB1310" s="39">
        <v>3.4545455</v>
      </c>
      <c r="AC1310" s="39">
        <v>6</v>
      </c>
      <c r="AD1310" s="39">
        <v>4.7272727000000003</v>
      </c>
      <c r="AE1310" s="39">
        <v>0.18181820000000001</v>
      </c>
      <c r="AF1310" s="39">
        <v>73.090909100000005</v>
      </c>
      <c r="AG1310" s="39">
        <v>8.1818182000000004</v>
      </c>
      <c r="AH1310" s="39">
        <v>4.3636363999999999</v>
      </c>
      <c r="AI1310" s="39"/>
      <c r="AJ1310" s="39"/>
      <c r="AK1310" s="39">
        <v>4.4540230000000003</v>
      </c>
      <c r="AL1310" s="39">
        <v>11.2068966</v>
      </c>
      <c r="AM1310" s="39">
        <v>2.0114942999999998</v>
      </c>
      <c r="AN1310" s="39">
        <v>0.7183908</v>
      </c>
      <c r="AO1310" s="39">
        <v>78.304597700000002</v>
      </c>
      <c r="AP1310" s="39">
        <v>2.1551724000000001</v>
      </c>
      <c r="AQ1310" s="39">
        <v>1.1494253000000001</v>
      </c>
      <c r="AR1310" s="40"/>
      <c r="AS1310" s="40"/>
    </row>
    <row r="1311" spans="2:45" ht="15" hidden="1" customHeight="1" x14ac:dyDescent="0.25">
      <c r="B1311" s="35">
        <v>1305</v>
      </c>
      <c r="C1311" s="36" t="s">
        <v>31</v>
      </c>
      <c r="D1311" s="36" t="s">
        <v>413</v>
      </c>
      <c r="E1311" s="36" t="s">
        <v>426</v>
      </c>
      <c r="F1311" s="36" t="s">
        <v>428</v>
      </c>
      <c r="G1311" s="37" t="s">
        <v>26</v>
      </c>
      <c r="H1311" s="38">
        <v>2446</v>
      </c>
      <c r="I1311" s="38">
        <v>6</v>
      </c>
      <c r="J1311" s="38">
        <v>7</v>
      </c>
      <c r="K1311" s="38">
        <v>51</v>
      </c>
      <c r="L1311" s="38">
        <v>20</v>
      </c>
      <c r="M1311" s="38">
        <v>2003</v>
      </c>
      <c r="N1311" s="38">
        <v>298</v>
      </c>
      <c r="O1311" s="38">
        <v>61</v>
      </c>
      <c r="P1311" s="38"/>
      <c r="Q1311" s="38"/>
      <c r="R1311" s="38">
        <v>4574</v>
      </c>
      <c r="S1311" s="38">
        <v>25</v>
      </c>
      <c r="T1311" s="38">
        <v>11</v>
      </c>
      <c r="U1311" s="38">
        <v>44</v>
      </c>
      <c r="V1311" s="38">
        <v>18</v>
      </c>
      <c r="W1311" s="38">
        <v>3909</v>
      </c>
      <c r="X1311" s="38">
        <v>501</v>
      </c>
      <c r="Y1311" s="38">
        <v>66</v>
      </c>
      <c r="Z1311" s="38"/>
      <c r="AA1311" s="38"/>
      <c r="AB1311" s="39">
        <v>0.2452984</v>
      </c>
      <c r="AC1311" s="39">
        <v>0.28618149999999998</v>
      </c>
      <c r="AD1311" s="39">
        <v>2.0850368000000001</v>
      </c>
      <c r="AE1311" s="39">
        <v>0.81766150000000004</v>
      </c>
      <c r="AF1311" s="39">
        <v>81.888797999999994</v>
      </c>
      <c r="AG1311" s="39">
        <v>12.183156200000001</v>
      </c>
      <c r="AH1311" s="39">
        <v>2.4938674999999999</v>
      </c>
      <c r="AI1311" s="39"/>
      <c r="AJ1311" s="39"/>
      <c r="AK1311" s="39">
        <v>0.54656760000000004</v>
      </c>
      <c r="AL1311" s="39">
        <v>0.2404897</v>
      </c>
      <c r="AM1311" s="39">
        <v>0.96195889999999995</v>
      </c>
      <c r="AN1311" s="39">
        <v>0.39352860000000001</v>
      </c>
      <c r="AO1311" s="39">
        <v>85.461303000000001</v>
      </c>
      <c r="AP1311" s="39">
        <v>10.9532138</v>
      </c>
      <c r="AQ1311" s="39">
        <v>1.4429383</v>
      </c>
      <c r="AR1311" s="40"/>
      <c r="AS1311" s="40"/>
    </row>
    <row r="1312" spans="2:45" ht="15" hidden="1" customHeight="1" x14ac:dyDescent="0.25">
      <c r="B1312" s="30">
        <v>1306</v>
      </c>
      <c r="C1312" s="31" t="s">
        <v>29</v>
      </c>
      <c r="D1312" s="50" t="s">
        <v>413</v>
      </c>
      <c r="E1312" s="50" t="s">
        <v>429</v>
      </c>
      <c r="F1312" s="50"/>
      <c r="G1312" s="31" t="s">
        <v>429</v>
      </c>
      <c r="H1312" s="32">
        <v>2609</v>
      </c>
      <c r="I1312" s="32">
        <v>166</v>
      </c>
      <c r="J1312" s="32">
        <v>459</v>
      </c>
      <c r="K1312" s="32">
        <v>91</v>
      </c>
      <c r="L1312" s="32">
        <v>41</v>
      </c>
      <c r="M1312" s="32">
        <v>1686</v>
      </c>
      <c r="N1312" s="32">
        <v>106</v>
      </c>
      <c r="O1312" s="32">
        <v>60</v>
      </c>
      <c r="P1312" s="32"/>
      <c r="Q1312" s="32"/>
      <c r="R1312" s="32">
        <v>3294</v>
      </c>
      <c r="S1312" s="32">
        <v>347</v>
      </c>
      <c r="T1312" s="32">
        <v>1053</v>
      </c>
      <c r="U1312" s="32">
        <v>33</v>
      </c>
      <c r="V1312" s="32">
        <v>21</v>
      </c>
      <c r="W1312" s="32">
        <v>1663</v>
      </c>
      <c r="X1312" s="32">
        <v>109</v>
      </c>
      <c r="Y1312" s="32">
        <v>68</v>
      </c>
      <c r="Z1312" s="32"/>
      <c r="AA1312" s="32"/>
      <c r="AB1312" s="33">
        <v>6.3625910000000001</v>
      </c>
      <c r="AC1312" s="33">
        <v>17.592947500000001</v>
      </c>
      <c r="AD1312" s="33">
        <v>3.4879264000000001</v>
      </c>
      <c r="AE1312" s="33">
        <v>1.5714832999999999</v>
      </c>
      <c r="AF1312" s="33">
        <v>64.622460700000005</v>
      </c>
      <c r="AG1312" s="33">
        <v>4.0628593000000004</v>
      </c>
      <c r="AH1312" s="33">
        <v>2.2997317000000002</v>
      </c>
      <c r="AI1312" s="33"/>
      <c r="AJ1312" s="33"/>
      <c r="AK1312" s="33">
        <v>10.534304799999999</v>
      </c>
      <c r="AL1312" s="33">
        <v>31.967213099999999</v>
      </c>
      <c r="AM1312" s="33">
        <v>1.0018214999999999</v>
      </c>
      <c r="AN1312" s="33">
        <v>0.63752279999999995</v>
      </c>
      <c r="AO1312" s="33">
        <v>50.485731600000001</v>
      </c>
      <c r="AP1312" s="33">
        <v>3.3090468</v>
      </c>
      <c r="AQ1312" s="33">
        <v>2.0643593999999998</v>
      </c>
      <c r="AR1312" s="34"/>
      <c r="AS1312" s="34"/>
    </row>
    <row r="1313" spans="2:45" ht="15" hidden="1" customHeight="1" x14ac:dyDescent="0.25">
      <c r="B1313" s="35">
        <v>1307</v>
      </c>
      <c r="C1313" s="36" t="s">
        <v>29</v>
      </c>
      <c r="D1313" s="36" t="s">
        <v>413</v>
      </c>
      <c r="E1313" s="36" t="s">
        <v>429</v>
      </c>
      <c r="F1313" s="36"/>
      <c r="G1313" s="37" t="s">
        <v>25</v>
      </c>
      <c r="H1313" s="38">
        <v>1547</v>
      </c>
      <c r="I1313" s="38">
        <v>153</v>
      </c>
      <c r="J1313" s="38">
        <v>455</v>
      </c>
      <c r="K1313" s="38">
        <v>62</v>
      </c>
      <c r="L1313" s="38">
        <v>11</v>
      </c>
      <c r="M1313" s="38">
        <v>818</v>
      </c>
      <c r="N1313" s="38">
        <v>25</v>
      </c>
      <c r="O1313" s="38">
        <v>23</v>
      </c>
      <c r="P1313" s="38"/>
      <c r="Q1313" s="38"/>
      <c r="R1313" s="38">
        <v>1894</v>
      </c>
      <c r="S1313" s="38">
        <v>333</v>
      </c>
      <c r="T1313" s="38">
        <v>1043</v>
      </c>
      <c r="U1313" s="38">
        <v>13</v>
      </c>
      <c r="V1313" s="38">
        <v>6</v>
      </c>
      <c r="W1313" s="38">
        <v>479</v>
      </c>
      <c r="X1313" s="38">
        <v>12</v>
      </c>
      <c r="Y1313" s="38">
        <v>8</v>
      </c>
      <c r="Z1313" s="38"/>
      <c r="AA1313" s="38"/>
      <c r="AB1313" s="39">
        <v>9.8901099000000006</v>
      </c>
      <c r="AC1313" s="39">
        <v>29.411764699999999</v>
      </c>
      <c r="AD1313" s="39">
        <v>4.0077569000000004</v>
      </c>
      <c r="AE1313" s="39">
        <v>0.71105370000000001</v>
      </c>
      <c r="AF1313" s="39">
        <v>52.876535199999999</v>
      </c>
      <c r="AG1313" s="39">
        <v>1.616031</v>
      </c>
      <c r="AH1313" s="39">
        <v>1.4867485</v>
      </c>
      <c r="AI1313" s="39"/>
      <c r="AJ1313" s="39"/>
      <c r="AK1313" s="39">
        <v>17.581837400000001</v>
      </c>
      <c r="AL1313" s="39">
        <v>55.068637799999998</v>
      </c>
      <c r="AM1313" s="39">
        <v>0.68637800000000004</v>
      </c>
      <c r="AN1313" s="39">
        <v>0.31678990000000001</v>
      </c>
      <c r="AO1313" s="39">
        <v>25.2903907</v>
      </c>
      <c r="AP1313" s="39">
        <v>0.63357969999999997</v>
      </c>
      <c r="AQ1313" s="39">
        <v>0.4223865</v>
      </c>
      <c r="AR1313" s="40"/>
      <c r="AS1313" s="40"/>
    </row>
    <row r="1314" spans="2:45" ht="15" hidden="1" customHeight="1" x14ac:dyDescent="0.25">
      <c r="B1314" s="35">
        <v>1308</v>
      </c>
      <c r="C1314" s="36" t="s">
        <v>29</v>
      </c>
      <c r="D1314" s="36" t="s">
        <v>413</v>
      </c>
      <c r="E1314" s="36" t="s">
        <v>429</v>
      </c>
      <c r="F1314" s="36"/>
      <c r="G1314" s="37" t="s">
        <v>26</v>
      </c>
      <c r="H1314" s="38">
        <v>1062</v>
      </c>
      <c r="I1314" s="38">
        <v>13</v>
      </c>
      <c r="J1314" s="38">
        <v>4</v>
      </c>
      <c r="K1314" s="38">
        <v>29</v>
      </c>
      <c r="L1314" s="38">
        <v>30</v>
      </c>
      <c r="M1314" s="38">
        <v>868</v>
      </c>
      <c r="N1314" s="38">
        <v>81</v>
      </c>
      <c r="O1314" s="38">
        <v>37</v>
      </c>
      <c r="P1314" s="38"/>
      <c r="Q1314" s="38"/>
      <c r="R1314" s="38">
        <v>1400</v>
      </c>
      <c r="S1314" s="38">
        <v>14</v>
      </c>
      <c r="T1314" s="38">
        <v>10</v>
      </c>
      <c r="U1314" s="38">
        <v>20</v>
      </c>
      <c r="V1314" s="38">
        <v>15</v>
      </c>
      <c r="W1314" s="38">
        <v>1184</v>
      </c>
      <c r="X1314" s="38">
        <v>97</v>
      </c>
      <c r="Y1314" s="38">
        <v>60</v>
      </c>
      <c r="Z1314" s="38"/>
      <c r="AA1314" s="38"/>
      <c r="AB1314" s="39">
        <v>1.2241055000000001</v>
      </c>
      <c r="AC1314" s="39">
        <v>0.37664779999999998</v>
      </c>
      <c r="AD1314" s="39">
        <v>2.7306968</v>
      </c>
      <c r="AE1314" s="39">
        <v>2.8248587999999999</v>
      </c>
      <c r="AF1314" s="39">
        <v>81.732579999999999</v>
      </c>
      <c r="AG1314" s="39">
        <v>7.6271186000000002</v>
      </c>
      <c r="AH1314" s="39">
        <v>3.4839924999999998</v>
      </c>
      <c r="AI1314" s="39"/>
      <c r="AJ1314" s="39"/>
      <c r="AK1314" s="39">
        <v>1</v>
      </c>
      <c r="AL1314" s="39">
        <v>0.71428570000000002</v>
      </c>
      <c r="AM1314" s="39">
        <v>1.4285714</v>
      </c>
      <c r="AN1314" s="39">
        <v>1.0714286</v>
      </c>
      <c r="AO1314" s="39">
        <v>84.571428600000004</v>
      </c>
      <c r="AP1314" s="39">
        <v>6.9285714</v>
      </c>
      <c r="AQ1314" s="39">
        <v>4.2857143000000004</v>
      </c>
      <c r="AR1314" s="40"/>
      <c r="AS1314" s="40"/>
    </row>
    <row r="1315" spans="2:45" ht="15" customHeight="1" x14ac:dyDescent="0.25">
      <c r="B1315" s="41">
        <v>1309</v>
      </c>
      <c r="C1315" s="42" t="s">
        <v>31</v>
      </c>
      <c r="D1315" s="51" t="s">
        <v>413</v>
      </c>
      <c r="E1315" s="51" t="s">
        <v>429</v>
      </c>
      <c r="F1315" s="51" t="s">
        <v>430</v>
      </c>
      <c r="G1315" s="52" t="s">
        <v>430</v>
      </c>
      <c r="H1315" s="43">
        <v>1254</v>
      </c>
      <c r="I1315" s="43">
        <v>94</v>
      </c>
      <c r="J1315" s="43">
        <v>195</v>
      </c>
      <c r="K1315" s="43">
        <v>25</v>
      </c>
      <c r="L1315" s="43">
        <v>5</v>
      </c>
      <c r="M1315" s="43">
        <v>893</v>
      </c>
      <c r="N1315" s="43">
        <v>29</v>
      </c>
      <c r="O1315" s="43">
        <v>13</v>
      </c>
      <c r="P1315" s="44">
        <f>K1315+L1315+M1315+N1315+O1315</f>
        <v>965</v>
      </c>
      <c r="Q1315" s="44">
        <f>I1315+J1315</f>
        <v>289</v>
      </c>
      <c r="R1315" s="43">
        <v>1485</v>
      </c>
      <c r="S1315" s="43">
        <v>241</v>
      </c>
      <c r="T1315" s="43">
        <v>728</v>
      </c>
      <c r="U1315" s="43">
        <v>3</v>
      </c>
      <c r="V1315" s="43">
        <v>1</v>
      </c>
      <c r="W1315" s="43">
        <v>462</v>
      </c>
      <c r="X1315" s="43">
        <v>44</v>
      </c>
      <c r="Y1315" s="43">
        <v>6</v>
      </c>
      <c r="Z1315" s="45">
        <f>U1315+V1315+W1315+X1315+Y1315</f>
        <v>516</v>
      </c>
      <c r="AA1315" s="45">
        <f>S1315+T1315</f>
        <v>969</v>
      </c>
      <c r="AB1315" s="46">
        <v>7.4960127999999999</v>
      </c>
      <c r="AC1315" s="46">
        <v>15.5502392</v>
      </c>
      <c r="AD1315" s="46">
        <v>1.9936204</v>
      </c>
      <c r="AE1315" s="46">
        <v>0.39872410000000003</v>
      </c>
      <c r="AF1315" s="46">
        <v>71.212121199999999</v>
      </c>
      <c r="AG1315" s="46">
        <v>2.3125996999999998</v>
      </c>
      <c r="AH1315" s="46">
        <v>1.0366826</v>
      </c>
      <c r="AI1315" s="47">
        <f>AB1315+AC1315</f>
        <v>23.046251999999999</v>
      </c>
      <c r="AJ1315" s="47">
        <f>AD1315+AE1315+AF1315+AG1315+AH1315</f>
        <v>76.95374799999999</v>
      </c>
      <c r="AK1315" s="46">
        <v>16.228956199999999</v>
      </c>
      <c r="AL1315" s="46">
        <v>49.023569000000002</v>
      </c>
      <c r="AM1315" s="46">
        <v>0.20202020000000001</v>
      </c>
      <c r="AN1315" s="46">
        <v>6.73401E-2</v>
      </c>
      <c r="AO1315" s="46">
        <v>31.111111099999999</v>
      </c>
      <c r="AP1315" s="46">
        <v>2.9629629999999998</v>
      </c>
      <c r="AQ1315" s="46">
        <v>0.40404040000000002</v>
      </c>
      <c r="AR1315" s="48">
        <f>AK1315+AL1315</f>
        <v>65.252525200000008</v>
      </c>
      <c r="AS1315" s="48">
        <f>AM1315+AN1315+AO1315+AP1315+AQ1315</f>
        <v>34.747474799999999</v>
      </c>
    </row>
    <row r="1316" spans="2:45" ht="15" hidden="1" customHeight="1" x14ac:dyDescent="0.25">
      <c r="B1316" s="35">
        <v>1310</v>
      </c>
      <c r="C1316" s="36" t="s">
        <v>31</v>
      </c>
      <c r="D1316" s="36" t="s">
        <v>413</v>
      </c>
      <c r="E1316" s="36" t="s">
        <v>429</v>
      </c>
      <c r="F1316" s="36" t="s">
        <v>430</v>
      </c>
      <c r="G1316" s="37" t="s">
        <v>25</v>
      </c>
      <c r="H1316" s="38">
        <v>785</v>
      </c>
      <c r="I1316" s="38">
        <v>93</v>
      </c>
      <c r="J1316" s="38">
        <v>191</v>
      </c>
      <c r="K1316" s="38">
        <v>19</v>
      </c>
      <c r="L1316" s="38">
        <v>2</v>
      </c>
      <c r="M1316" s="38">
        <v>466</v>
      </c>
      <c r="N1316" s="38">
        <v>5</v>
      </c>
      <c r="O1316" s="38">
        <v>9</v>
      </c>
      <c r="P1316" s="38"/>
      <c r="Q1316" s="38"/>
      <c r="R1316" s="38">
        <v>1027</v>
      </c>
      <c r="S1316" s="38">
        <v>232</v>
      </c>
      <c r="T1316" s="38">
        <v>723</v>
      </c>
      <c r="U1316" s="38">
        <v>1</v>
      </c>
      <c r="V1316" s="38">
        <v>0</v>
      </c>
      <c r="W1316" s="38">
        <v>65</v>
      </c>
      <c r="X1316" s="38">
        <v>4</v>
      </c>
      <c r="Y1316" s="38">
        <v>2</v>
      </c>
      <c r="Z1316" s="38"/>
      <c r="AA1316" s="38"/>
      <c r="AB1316" s="39">
        <v>11.8471338</v>
      </c>
      <c r="AC1316" s="39">
        <v>24.331210200000001</v>
      </c>
      <c r="AD1316" s="39">
        <v>2.4203822000000002</v>
      </c>
      <c r="AE1316" s="39">
        <v>0.25477709999999998</v>
      </c>
      <c r="AF1316" s="39">
        <v>59.363057300000001</v>
      </c>
      <c r="AG1316" s="39">
        <v>0.63694269999999997</v>
      </c>
      <c r="AH1316" s="39">
        <v>1.1464968</v>
      </c>
      <c r="AI1316" s="39"/>
      <c r="AJ1316" s="39"/>
      <c r="AK1316" s="39">
        <v>22.590068200000001</v>
      </c>
      <c r="AL1316" s="39">
        <v>70.399220999999997</v>
      </c>
      <c r="AM1316" s="39">
        <v>9.7370999999999999E-2</v>
      </c>
      <c r="AN1316" s="39">
        <v>0</v>
      </c>
      <c r="AO1316" s="39">
        <v>6.3291139000000003</v>
      </c>
      <c r="AP1316" s="39">
        <v>0.38948389999999999</v>
      </c>
      <c r="AQ1316" s="39">
        <v>0.194742</v>
      </c>
      <c r="AR1316" s="40"/>
      <c r="AS1316" s="40"/>
    </row>
    <row r="1317" spans="2:45" ht="15" hidden="1" customHeight="1" x14ac:dyDescent="0.25">
      <c r="B1317" s="35">
        <v>1311</v>
      </c>
      <c r="C1317" s="36" t="s">
        <v>31</v>
      </c>
      <c r="D1317" s="36" t="s">
        <v>413</v>
      </c>
      <c r="E1317" s="36" t="s">
        <v>429</v>
      </c>
      <c r="F1317" s="36" t="s">
        <v>430</v>
      </c>
      <c r="G1317" s="37" t="s">
        <v>26</v>
      </c>
      <c r="H1317" s="38">
        <v>469</v>
      </c>
      <c r="I1317" s="38">
        <v>1</v>
      </c>
      <c r="J1317" s="38">
        <v>4</v>
      </c>
      <c r="K1317" s="38">
        <v>6</v>
      </c>
      <c r="L1317" s="38">
        <v>3</v>
      </c>
      <c r="M1317" s="38">
        <v>427</v>
      </c>
      <c r="N1317" s="38">
        <v>24</v>
      </c>
      <c r="O1317" s="38">
        <v>4</v>
      </c>
      <c r="P1317" s="38"/>
      <c r="Q1317" s="38"/>
      <c r="R1317" s="38">
        <v>458</v>
      </c>
      <c r="S1317" s="38">
        <v>9</v>
      </c>
      <c r="T1317" s="38">
        <v>5</v>
      </c>
      <c r="U1317" s="38">
        <v>2</v>
      </c>
      <c r="V1317" s="38">
        <v>1</v>
      </c>
      <c r="W1317" s="38">
        <v>397</v>
      </c>
      <c r="X1317" s="38">
        <v>40</v>
      </c>
      <c r="Y1317" s="38">
        <v>4</v>
      </c>
      <c r="Z1317" s="38"/>
      <c r="AA1317" s="38"/>
      <c r="AB1317" s="39">
        <v>0.21321960000000001</v>
      </c>
      <c r="AC1317" s="39">
        <v>0.85287849999999998</v>
      </c>
      <c r="AD1317" s="39">
        <v>1.2793177</v>
      </c>
      <c r="AE1317" s="39">
        <v>0.63965879999999997</v>
      </c>
      <c r="AF1317" s="39">
        <v>91.044776100000007</v>
      </c>
      <c r="AG1317" s="39">
        <v>5.1172708</v>
      </c>
      <c r="AH1317" s="39">
        <v>0.85287849999999998</v>
      </c>
      <c r="AI1317" s="39"/>
      <c r="AJ1317" s="39"/>
      <c r="AK1317" s="39">
        <v>1.9650654999999999</v>
      </c>
      <c r="AL1317" s="39">
        <v>1.0917030999999999</v>
      </c>
      <c r="AM1317" s="39">
        <v>0.43668119999999999</v>
      </c>
      <c r="AN1317" s="39">
        <v>0.2183406</v>
      </c>
      <c r="AO1317" s="39">
        <v>86.681222700000006</v>
      </c>
      <c r="AP1317" s="39">
        <v>8.7336244999999995</v>
      </c>
      <c r="AQ1317" s="39">
        <v>0.87336239999999998</v>
      </c>
      <c r="AR1317" s="40"/>
      <c r="AS1317" s="40"/>
    </row>
    <row r="1318" spans="2:45" ht="15" customHeight="1" x14ac:dyDescent="0.25">
      <c r="B1318" s="41">
        <v>1312</v>
      </c>
      <c r="C1318" s="42" t="s">
        <v>31</v>
      </c>
      <c r="D1318" s="51" t="s">
        <v>413</v>
      </c>
      <c r="E1318" s="51" t="s">
        <v>429</v>
      </c>
      <c r="F1318" s="51" t="s">
        <v>399</v>
      </c>
      <c r="G1318" s="52" t="s">
        <v>399</v>
      </c>
      <c r="H1318" s="43">
        <v>1160</v>
      </c>
      <c r="I1318" s="43">
        <v>72</v>
      </c>
      <c r="J1318" s="43">
        <v>264</v>
      </c>
      <c r="K1318" s="43">
        <v>48</v>
      </c>
      <c r="L1318" s="43">
        <v>15</v>
      </c>
      <c r="M1318" s="43">
        <v>675</v>
      </c>
      <c r="N1318" s="43">
        <v>49</v>
      </c>
      <c r="O1318" s="43">
        <v>37</v>
      </c>
      <c r="P1318" s="44">
        <f>K1318+L1318+M1318+N1318+O1318</f>
        <v>824</v>
      </c>
      <c r="Q1318" s="44">
        <f>I1318+J1318</f>
        <v>336</v>
      </c>
      <c r="R1318" s="43">
        <v>1504</v>
      </c>
      <c r="S1318" s="43">
        <v>105</v>
      </c>
      <c r="T1318" s="43">
        <v>323</v>
      </c>
      <c r="U1318" s="43">
        <v>18</v>
      </c>
      <c r="V1318" s="43">
        <v>8</v>
      </c>
      <c r="W1318" s="43">
        <v>934</v>
      </c>
      <c r="X1318" s="43">
        <v>55</v>
      </c>
      <c r="Y1318" s="43">
        <v>61</v>
      </c>
      <c r="Z1318" s="45">
        <f>U1318+V1318+W1318+X1318+Y1318</f>
        <v>1076</v>
      </c>
      <c r="AA1318" s="45">
        <f>S1318+T1318</f>
        <v>428</v>
      </c>
      <c r="AB1318" s="46">
        <v>6.2068966000000003</v>
      </c>
      <c r="AC1318" s="46">
        <v>22.758620700000002</v>
      </c>
      <c r="AD1318" s="46">
        <v>4.137931</v>
      </c>
      <c r="AE1318" s="46">
        <v>1.2931033999999999</v>
      </c>
      <c r="AF1318" s="46">
        <v>58.189655199999997</v>
      </c>
      <c r="AG1318" s="46">
        <v>4.2241378999999997</v>
      </c>
      <c r="AH1318" s="46">
        <v>3.1896551999999998</v>
      </c>
      <c r="AI1318" s="47">
        <f>AB1318+AC1318</f>
        <v>28.965517300000002</v>
      </c>
      <c r="AJ1318" s="47">
        <f>AD1318+AE1318+AF1318+AG1318+AH1318</f>
        <v>71.034482699999998</v>
      </c>
      <c r="AK1318" s="46">
        <v>6.9813830000000001</v>
      </c>
      <c r="AL1318" s="46">
        <v>21.476063799999999</v>
      </c>
      <c r="AM1318" s="46">
        <v>1.1968084999999999</v>
      </c>
      <c r="AN1318" s="46">
        <v>0.53191489999999997</v>
      </c>
      <c r="AO1318" s="46">
        <v>62.101063799999999</v>
      </c>
      <c r="AP1318" s="46">
        <v>3.6569148999999999</v>
      </c>
      <c r="AQ1318" s="46">
        <v>4.0558510999999999</v>
      </c>
      <c r="AR1318" s="48">
        <f>AK1318+AL1318</f>
        <v>28.4574468</v>
      </c>
      <c r="AS1318" s="48">
        <f>AM1318+AN1318+AO1318+AP1318+AQ1318</f>
        <v>71.5425532</v>
      </c>
    </row>
    <row r="1319" spans="2:45" ht="15" hidden="1" customHeight="1" x14ac:dyDescent="0.25">
      <c r="B1319" s="35">
        <v>1313</v>
      </c>
      <c r="C1319" s="36" t="s">
        <v>31</v>
      </c>
      <c r="D1319" s="36" t="s">
        <v>413</v>
      </c>
      <c r="E1319" s="36" t="s">
        <v>429</v>
      </c>
      <c r="F1319" s="36" t="s">
        <v>399</v>
      </c>
      <c r="G1319" s="37" t="s">
        <v>25</v>
      </c>
      <c r="H1319" s="38">
        <v>762</v>
      </c>
      <c r="I1319" s="38">
        <v>60</v>
      </c>
      <c r="J1319" s="38">
        <v>264</v>
      </c>
      <c r="K1319" s="38">
        <v>43</v>
      </c>
      <c r="L1319" s="38">
        <v>9</v>
      </c>
      <c r="M1319" s="38">
        <v>352</v>
      </c>
      <c r="N1319" s="38">
        <v>20</v>
      </c>
      <c r="O1319" s="38">
        <v>14</v>
      </c>
      <c r="P1319" s="38"/>
      <c r="Q1319" s="38"/>
      <c r="R1319" s="38">
        <v>867</v>
      </c>
      <c r="S1319" s="38">
        <v>101</v>
      </c>
      <c r="T1319" s="38">
        <v>320</v>
      </c>
      <c r="U1319" s="38">
        <v>12</v>
      </c>
      <c r="V1319" s="38">
        <v>6</v>
      </c>
      <c r="W1319" s="38">
        <v>414</v>
      </c>
      <c r="X1319" s="38">
        <v>8</v>
      </c>
      <c r="Y1319" s="38">
        <v>6</v>
      </c>
      <c r="Z1319" s="38"/>
      <c r="AA1319" s="38"/>
      <c r="AB1319" s="39">
        <v>7.8740157000000002</v>
      </c>
      <c r="AC1319" s="39">
        <v>34.645669300000002</v>
      </c>
      <c r="AD1319" s="39">
        <v>5.6430445999999996</v>
      </c>
      <c r="AE1319" s="39">
        <v>1.1811024000000001</v>
      </c>
      <c r="AF1319" s="39">
        <v>46.194225699999997</v>
      </c>
      <c r="AG1319" s="39">
        <v>2.6246719000000001</v>
      </c>
      <c r="AH1319" s="39">
        <v>1.8372702999999999</v>
      </c>
      <c r="AI1319" s="39"/>
      <c r="AJ1319" s="39"/>
      <c r="AK1319" s="39">
        <v>11.649365599999999</v>
      </c>
      <c r="AL1319" s="39">
        <v>36.908881200000003</v>
      </c>
      <c r="AM1319" s="39">
        <v>1.384083</v>
      </c>
      <c r="AN1319" s="39">
        <v>0.69204149999999998</v>
      </c>
      <c r="AO1319" s="39">
        <v>47.750865099999999</v>
      </c>
      <c r="AP1319" s="39">
        <v>0.92272200000000004</v>
      </c>
      <c r="AQ1319" s="39">
        <v>0.69204149999999998</v>
      </c>
      <c r="AR1319" s="40"/>
      <c r="AS1319" s="40"/>
    </row>
    <row r="1320" spans="2:45" ht="15" hidden="1" customHeight="1" x14ac:dyDescent="0.25">
      <c r="B1320" s="35">
        <v>1314</v>
      </c>
      <c r="C1320" s="36" t="s">
        <v>31</v>
      </c>
      <c r="D1320" s="36" t="s">
        <v>413</v>
      </c>
      <c r="E1320" s="36" t="s">
        <v>429</v>
      </c>
      <c r="F1320" s="36" t="s">
        <v>399</v>
      </c>
      <c r="G1320" s="37" t="s">
        <v>26</v>
      </c>
      <c r="H1320" s="38">
        <v>398</v>
      </c>
      <c r="I1320" s="38">
        <v>12</v>
      </c>
      <c r="J1320" s="38">
        <v>0</v>
      </c>
      <c r="K1320" s="38">
        <v>5</v>
      </c>
      <c r="L1320" s="38">
        <v>6</v>
      </c>
      <c r="M1320" s="38">
        <v>323</v>
      </c>
      <c r="N1320" s="38">
        <v>29</v>
      </c>
      <c r="O1320" s="38">
        <v>23</v>
      </c>
      <c r="P1320" s="38"/>
      <c r="Q1320" s="38"/>
      <c r="R1320" s="38">
        <v>637</v>
      </c>
      <c r="S1320" s="38">
        <v>4</v>
      </c>
      <c r="T1320" s="38">
        <v>3</v>
      </c>
      <c r="U1320" s="38">
        <v>6</v>
      </c>
      <c r="V1320" s="38">
        <v>2</v>
      </c>
      <c r="W1320" s="38">
        <v>520</v>
      </c>
      <c r="X1320" s="38">
        <v>47</v>
      </c>
      <c r="Y1320" s="38">
        <v>55</v>
      </c>
      <c r="Z1320" s="38"/>
      <c r="AA1320" s="38"/>
      <c r="AB1320" s="39">
        <v>3.0150754000000002</v>
      </c>
      <c r="AC1320" s="39">
        <v>0</v>
      </c>
      <c r="AD1320" s="39">
        <v>1.2562814</v>
      </c>
      <c r="AE1320" s="39">
        <v>1.5075377000000001</v>
      </c>
      <c r="AF1320" s="39">
        <v>81.155778900000001</v>
      </c>
      <c r="AG1320" s="39">
        <v>7.2864322000000001</v>
      </c>
      <c r="AH1320" s="39">
        <v>5.7788944999999998</v>
      </c>
      <c r="AI1320" s="39"/>
      <c r="AJ1320" s="39"/>
      <c r="AK1320" s="39">
        <v>0.62794349999999999</v>
      </c>
      <c r="AL1320" s="39">
        <v>0.47095759999999998</v>
      </c>
      <c r="AM1320" s="39">
        <v>0.94191519999999995</v>
      </c>
      <c r="AN1320" s="39">
        <v>0.31397170000000002</v>
      </c>
      <c r="AO1320" s="39">
        <v>81.632653099999999</v>
      </c>
      <c r="AP1320" s="39">
        <v>7.3783358999999997</v>
      </c>
      <c r="AQ1320" s="39">
        <v>8.6342228999999993</v>
      </c>
      <c r="AR1320" s="40"/>
      <c r="AS1320" s="40"/>
    </row>
    <row r="1321" spans="2:45" ht="15" customHeight="1" x14ac:dyDescent="0.25">
      <c r="B1321" s="41">
        <v>1315</v>
      </c>
      <c r="C1321" s="42" t="s">
        <v>31</v>
      </c>
      <c r="D1321" s="51" t="s">
        <v>413</v>
      </c>
      <c r="E1321" s="51" t="s">
        <v>429</v>
      </c>
      <c r="F1321" s="51" t="s">
        <v>431</v>
      </c>
      <c r="G1321" s="52" t="s">
        <v>431</v>
      </c>
      <c r="H1321" s="43">
        <v>195</v>
      </c>
      <c r="I1321" s="43">
        <v>0</v>
      </c>
      <c r="J1321" s="43">
        <v>0</v>
      </c>
      <c r="K1321" s="43">
        <v>18</v>
      </c>
      <c r="L1321" s="43">
        <v>21</v>
      </c>
      <c r="M1321" s="43">
        <v>118</v>
      </c>
      <c r="N1321" s="43">
        <v>28</v>
      </c>
      <c r="O1321" s="43">
        <v>10</v>
      </c>
      <c r="P1321" s="44">
        <f>K1321+L1321+M1321+N1321+O1321</f>
        <v>195</v>
      </c>
      <c r="Q1321" s="44">
        <f>I1321+J1321</f>
        <v>0</v>
      </c>
      <c r="R1321" s="43">
        <v>305</v>
      </c>
      <c r="S1321" s="43">
        <v>1</v>
      </c>
      <c r="T1321" s="43">
        <v>2</v>
      </c>
      <c r="U1321" s="43">
        <v>12</v>
      </c>
      <c r="V1321" s="43">
        <v>12</v>
      </c>
      <c r="W1321" s="43">
        <v>267</v>
      </c>
      <c r="X1321" s="43">
        <v>10</v>
      </c>
      <c r="Y1321" s="43">
        <v>1</v>
      </c>
      <c r="Z1321" s="45">
        <f>U1321+V1321+W1321+X1321+Y1321</f>
        <v>302</v>
      </c>
      <c r="AA1321" s="45">
        <f>S1321+T1321</f>
        <v>3</v>
      </c>
      <c r="AB1321" s="46">
        <v>0</v>
      </c>
      <c r="AC1321" s="46">
        <v>0</v>
      </c>
      <c r="AD1321" s="46">
        <v>9.2307691999999992</v>
      </c>
      <c r="AE1321" s="46">
        <v>10.769230800000001</v>
      </c>
      <c r="AF1321" s="46">
        <v>60.512820499999997</v>
      </c>
      <c r="AG1321" s="46">
        <v>14.358974399999999</v>
      </c>
      <c r="AH1321" s="46">
        <v>5.1282050999999997</v>
      </c>
      <c r="AI1321" s="47">
        <f>AB1321+AC1321</f>
        <v>0</v>
      </c>
      <c r="AJ1321" s="47">
        <f>AD1321+AE1321+AF1321+AG1321+AH1321</f>
        <v>100</v>
      </c>
      <c r="AK1321" s="46">
        <v>0.32786890000000002</v>
      </c>
      <c r="AL1321" s="46">
        <v>0.65573769999999998</v>
      </c>
      <c r="AM1321" s="46">
        <v>3.9344261999999999</v>
      </c>
      <c r="AN1321" s="46">
        <v>3.9344261999999999</v>
      </c>
      <c r="AO1321" s="46">
        <v>87.540983600000004</v>
      </c>
      <c r="AP1321" s="46">
        <v>3.2786884999999999</v>
      </c>
      <c r="AQ1321" s="46">
        <v>0.32786890000000002</v>
      </c>
      <c r="AR1321" s="48">
        <f>AK1321+AL1321</f>
        <v>0.9836066</v>
      </c>
      <c r="AS1321" s="48">
        <f>AM1321+AN1321+AO1321+AP1321+AQ1321</f>
        <v>99.016393399999998</v>
      </c>
    </row>
    <row r="1322" spans="2:45" ht="15" hidden="1" customHeight="1" x14ac:dyDescent="0.25">
      <c r="B1322" s="35">
        <v>1316</v>
      </c>
      <c r="C1322" s="36" t="s">
        <v>31</v>
      </c>
      <c r="D1322" s="36" t="s">
        <v>413</v>
      </c>
      <c r="E1322" s="36" t="s">
        <v>429</v>
      </c>
      <c r="F1322" s="36" t="s">
        <v>431</v>
      </c>
      <c r="G1322" s="37" t="s">
        <v>25</v>
      </c>
      <c r="H1322" s="38"/>
      <c r="I1322" s="38"/>
      <c r="J1322" s="38"/>
      <c r="K1322" s="38"/>
      <c r="L1322" s="38"/>
      <c r="M1322" s="38"/>
      <c r="N1322" s="38"/>
      <c r="O1322" s="38"/>
      <c r="P1322" s="38"/>
      <c r="Q1322" s="38"/>
      <c r="R1322" s="38"/>
      <c r="S1322" s="38"/>
      <c r="T1322" s="38"/>
      <c r="U1322" s="38"/>
      <c r="V1322" s="38"/>
      <c r="W1322" s="38"/>
      <c r="X1322" s="38"/>
      <c r="Y1322" s="38"/>
      <c r="Z1322" s="38"/>
      <c r="AA1322" s="38"/>
      <c r="AB1322" s="39"/>
      <c r="AC1322" s="39"/>
      <c r="AD1322" s="39"/>
      <c r="AE1322" s="39"/>
      <c r="AF1322" s="39"/>
      <c r="AG1322" s="39"/>
      <c r="AH1322" s="39"/>
      <c r="AI1322" s="39"/>
      <c r="AJ1322" s="39"/>
      <c r="AK1322" s="39"/>
      <c r="AL1322" s="39"/>
      <c r="AM1322" s="39"/>
      <c r="AN1322" s="39"/>
      <c r="AO1322" s="39"/>
      <c r="AP1322" s="39"/>
      <c r="AQ1322" s="39"/>
      <c r="AR1322" s="40"/>
      <c r="AS1322" s="40"/>
    </row>
    <row r="1323" spans="2:45" ht="15" hidden="1" customHeight="1" x14ac:dyDescent="0.25">
      <c r="B1323" s="35">
        <v>1317</v>
      </c>
      <c r="C1323" s="36" t="s">
        <v>31</v>
      </c>
      <c r="D1323" s="36" t="s">
        <v>413</v>
      </c>
      <c r="E1323" s="36" t="s">
        <v>429</v>
      </c>
      <c r="F1323" s="36" t="s">
        <v>431</v>
      </c>
      <c r="G1323" s="37" t="s">
        <v>26</v>
      </c>
      <c r="H1323" s="38">
        <v>195</v>
      </c>
      <c r="I1323" s="38">
        <v>0</v>
      </c>
      <c r="J1323" s="38">
        <v>0</v>
      </c>
      <c r="K1323" s="38">
        <v>18</v>
      </c>
      <c r="L1323" s="38">
        <v>21</v>
      </c>
      <c r="M1323" s="38">
        <v>118</v>
      </c>
      <c r="N1323" s="38">
        <v>28</v>
      </c>
      <c r="O1323" s="38">
        <v>10</v>
      </c>
      <c r="P1323" s="38"/>
      <c r="Q1323" s="38"/>
      <c r="R1323" s="38">
        <v>305</v>
      </c>
      <c r="S1323" s="38">
        <v>1</v>
      </c>
      <c r="T1323" s="38">
        <v>2</v>
      </c>
      <c r="U1323" s="38">
        <v>12</v>
      </c>
      <c r="V1323" s="38">
        <v>12</v>
      </c>
      <c r="W1323" s="38">
        <v>267</v>
      </c>
      <c r="X1323" s="38">
        <v>10</v>
      </c>
      <c r="Y1323" s="38">
        <v>1</v>
      </c>
      <c r="Z1323" s="38"/>
      <c r="AA1323" s="38"/>
      <c r="AB1323" s="39">
        <v>0</v>
      </c>
      <c r="AC1323" s="39">
        <v>0</v>
      </c>
      <c r="AD1323" s="39">
        <v>9.2307691999999992</v>
      </c>
      <c r="AE1323" s="39">
        <v>10.769230800000001</v>
      </c>
      <c r="AF1323" s="39">
        <v>60.512820499999997</v>
      </c>
      <c r="AG1323" s="39">
        <v>14.358974399999999</v>
      </c>
      <c r="AH1323" s="39">
        <v>5.1282050999999997</v>
      </c>
      <c r="AI1323" s="39"/>
      <c r="AJ1323" s="39"/>
      <c r="AK1323" s="39">
        <v>0.32786890000000002</v>
      </c>
      <c r="AL1323" s="39">
        <v>0.65573769999999998</v>
      </c>
      <c r="AM1323" s="39">
        <v>3.9344261999999999</v>
      </c>
      <c r="AN1323" s="39">
        <v>3.9344261999999999</v>
      </c>
      <c r="AO1323" s="39">
        <v>87.540983600000004</v>
      </c>
      <c r="AP1323" s="39">
        <v>3.2786884999999999</v>
      </c>
      <c r="AQ1323" s="39">
        <v>0.32786890000000002</v>
      </c>
      <c r="AR1323" s="40"/>
      <c r="AS1323" s="40"/>
    </row>
    <row r="1324" spans="2:45" ht="15" hidden="1" customHeight="1" x14ac:dyDescent="0.25">
      <c r="B1324" s="30">
        <v>1318</v>
      </c>
      <c r="C1324" s="31" t="s">
        <v>29</v>
      </c>
      <c r="D1324" s="50" t="s">
        <v>413</v>
      </c>
      <c r="E1324" s="50" t="s">
        <v>432</v>
      </c>
      <c r="F1324" s="50"/>
      <c r="G1324" s="31" t="s">
        <v>432</v>
      </c>
      <c r="H1324" s="32">
        <v>4407</v>
      </c>
      <c r="I1324" s="32">
        <v>116</v>
      </c>
      <c r="J1324" s="32">
        <v>751</v>
      </c>
      <c r="K1324" s="32">
        <v>218</v>
      </c>
      <c r="L1324" s="32">
        <v>18</v>
      </c>
      <c r="M1324" s="32">
        <v>2976</v>
      </c>
      <c r="N1324" s="32">
        <v>248</v>
      </c>
      <c r="O1324" s="32">
        <v>80</v>
      </c>
      <c r="P1324" s="32"/>
      <c r="Q1324" s="32"/>
      <c r="R1324" s="32">
        <v>6041</v>
      </c>
      <c r="S1324" s="32">
        <v>416</v>
      </c>
      <c r="T1324" s="32">
        <v>1667</v>
      </c>
      <c r="U1324" s="32">
        <v>133</v>
      </c>
      <c r="V1324" s="32">
        <v>8</v>
      </c>
      <c r="W1324" s="32">
        <v>3485</v>
      </c>
      <c r="X1324" s="32">
        <v>244</v>
      </c>
      <c r="Y1324" s="32">
        <v>88</v>
      </c>
      <c r="Z1324" s="32"/>
      <c r="AA1324" s="32"/>
      <c r="AB1324" s="33">
        <v>2.6321761000000001</v>
      </c>
      <c r="AC1324" s="33">
        <v>17.041070999999999</v>
      </c>
      <c r="AD1324" s="33">
        <v>4.9466757000000001</v>
      </c>
      <c r="AE1324" s="33">
        <v>0.4084411</v>
      </c>
      <c r="AF1324" s="33">
        <v>67.528931200000002</v>
      </c>
      <c r="AG1324" s="33">
        <v>5.6274109000000001</v>
      </c>
      <c r="AH1324" s="33">
        <v>1.8152938999999999</v>
      </c>
      <c r="AI1324" s="33"/>
      <c r="AJ1324" s="33"/>
      <c r="AK1324" s="33">
        <v>6.8862771</v>
      </c>
      <c r="AL1324" s="33">
        <v>27.594769100000001</v>
      </c>
      <c r="AM1324" s="33">
        <v>2.2016222000000001</v>
      </c>
      <c r="AN1324" s="33">
        <v>0.1324284</v>
      </c>
      <c r="AO1324" s="33">
        <v>57.689124300000003</v>
      </c>
      <c r="AP1324" s="33">
        <v>4.0390664000000003</v>
      </c>
      <c r="AQ1324" s="33">
        <v>1.4567125000000001</v>
      </c>
      <c r="AR1324" s="34"/>
      <c r="AS1324" s="34"/>
    </row>
    <row r="1325" spans="2:45" ht="15" hidden="1" customHeight="1" x14ac:dyDescent="0.25">
      <c r="B1325" s="35">
        <v>1319</v>
      </c>
      <c r="C1325" s="36" t="s">
        <v>29</v>
      </c>
      <c r="D1325" s="36" t="s">
        <v>413</v>
      </c>
      <c r="E1325" s="36" t="s">
        <v>432</v>
      </c>
      <c r="F1325" s="36"/>
      <c r="G1325" s="37" t="s">
        <v>25</v>
      </c>
      <c r="H1325" s="38">
        <v>2374</v>
      </c>
      <c r="I1325" s="38">
        <v>104</v>
      </c>
      <c r="J1325" s="38">
        <v>748</v>
      </c>
      <c r="K1325" s="38">
        <v>159</v>
      </c>
      <c r="L1325" s="38">
        <v>3</v>
      </c>
      <c r="M1325" s="38">
        <v>1242</v>
      </c>
      <c r="N1325" s="38">
        <v>74</v>
      </c>
      <c r="O1325" s="38">
        <v>44</v>
      </c>
      <c r="P1325" s="38"/>
      <c r="Q1325" s="38"/>
      <c r="R1325" s="38">
        <v>3242</v>
      </c>
      <c r="S1325" s="38">
        <v>373</v>
      </c>
      <c r="T1325" s="38">
        <v>1636</v>
      </c>
      <c r="U1325" s="38">
        <v>62</v>
      </c>
      <c r="V1325" s="38">
        <v>1</v>
      </c>
      <c r="W1325" s="38">
        <v>1092</v>
      </c>
      <c r="X1325" s="38">
        <v>32</v>
      </c>
      <c r="Y1325" s="38">
        <v>46</v>
      </c>
      <c r="Z1325" s="38"/>
      <c r="AA1325" s="38"/>
      <c r="AB1325" s="39">
        <v>4.3807919000000002</v>
      </c>
      <c r="AC1325" s="39">
        <v>31.5080034</v>
      </c>
      <c r="AD1325" s="39">
        <v>6.6975569000000004</v>
      </c>
      <c r="AE1325" s="39">
        <v>0.12636900000000001</v>
      </c>
      <c r="AF1325" s="39">
        <v>52.316764999999997</v>
      </c>
      <c r="AG1325" s="39">
        <v>3.1171019000000002</v>
      </c>
      <c r="AH1325" s="39">
        <v>1.8534120000000001</v>
      </c>
      <c r="AI1325" s="39"/>
      <c r="AJ1325" s="39"/>
      <c r="AK1325" s="39">
        <v>11.505243699999999</v>
      </c>
      <c r="AL1325" s="39">
        <v>50.462677399999997</v>
      </c>
      <c r="AM1325" s="39">
        <v>1.9123998</v>
      </c>
      <c r="AN1325" s="39">
        <v>3.08452E-2</v>
      </c>
      <c r="AO1325" s="39">
        <v>33.682911799999999</v>
      </c>
      <c r="AP1325" s="39">
        <v>0.98704499999999995</v>
      </c>
      <c r="AQ1325" s="39">
        <v>1.4188772000000001</v>
      </c>
      <c r="AR1325" s="40"/>
      <c r="AS1325" s="40"/>
    </row>
    <row r="1326" spans="2:45" ht="15" hidden="1" customHeight="1" x14ac:dyDescent="0.25">
      <c r="B1326" s="35">
        <v>1320</v>
      </c>
      <c r="C1326" s="36" t="s">
        <v>29</v>
      </c>
      <c r="D1326" s="36" t="s">
        <v>413</v>
      </c>
      <c r="E1326" s="36" t="s">
        <v>432</v>
      </c>
      <c r="F1326" s="36"/>
      <c r="G1326" s="37" t="s">
        <v>26</v>
      </c>
      <c r="H1326" s="38">
        <v>2033</v>
      </c>
      <c r="I1326" s="38">
        <v>12</v>
      </c>
      <c r="J1326" s="38">
        <v>3</v>
      </c>
      <c r="K1326" s="38">
        <v>59</v>
      </c>
      <c r="L1326" s="38">
        <v>15</v>
      </c>
      <c r="M1326" s="38">
        <v>1734</v>
      </c>
      <c r="N1326" s="38">
        <v>174</v>
      </c>
      <c r="O1326" s="38">
        <v>36</v>
      </c>
      <c r="P1326" s="38"/>
      <c r="Q1326" s="38"/>
      <c r="R1326" s="38">
        <v>2799</v>
      </c>
      <c r="S1326" s="38">
        <v>43</v>
      </c>
      <c r="T1326" s="38">
        <v>31</v>
      </c>
      <c r="U1326" s="38">
        <v>71</v>
      </c>
      <c r="V1326" s="38">
        <v>7</v>
      </c>
      <c r="W1326" s="38">
        <v>2393</v>
      </c>
      <c r="X1326" s="38">
        <v>212</v>
      </c>
      <c r="Y1326" s="38">
        <v>42</v>
      </c>
      <c r="Z1326" s="38"/>
      <c r="AA1326" s="38"/>
      <c r="AB1326" s="39">
        <v>0.59026069999999997</v>
      </c>
      <c r="AC1326" s="39">
        <v>0.14756520000000001</v>
      </c>
      <c r="AD1326" s="39">
        <v>2.9021151000000001</v>
      </c>
      <c r="AE1326" s="39">
        <v>0.73782590000000003</v>
      </c>
      <c r="AF1326" s="39">
        <v>85.292670900000005</v>
      </c>
      <c r="AG1326" s="39">
        <v>8.5587800999999999</v>
      </c>
      <c r="AH1326" s="39">
        <v>1.7707820999999999</v>
      </c>
      <c r="AI1326" s="39"/>
      <c r="AJ1326" s="39"/>
      <c r="AK1326" s="39">
        <v>1.5362629999999999</v>
      </c>
      <c r="AL1326" s="39">
        <v>1.1075383999999999</v>
      </c>
      <c r="AM1326" s="39">
        <v>2.5366202000000002</v>
      </c>
      <c r="AN1326" s="39">
        <v>0.25008930000000001</v>
      </c>
      <c r="AO1326" s="39">
        <v>85.4948196</v>
      </c>
      <c r="AP1326" s="39">
        <v>7.5741335999999997</v>
      </c>
      <c r="AQ1326" s="39">
        <v>1.5005359</v>
      </c>
      <c r="AR1326" s="40"/>
      <c r="AS1326" s="40"/>
    </row>
    <row r="1327" spans="2:45" ht="15" customHeight="1" x14ac:dyDescent="0.25">
      <c r="B1327" s="41">
        <v>1321</v>
      </c>
      <c r="C1327" s="42" t="s">
        <v>31</v>
      </c>
      <c r="D1327" s="51" t="s">
        <v>413</v>
      </c>
      <c r="E1327" s="51" t="s">
        <v>432</v>
      </c>
      <c r="F1327" s="51" t="s">
        <v>433</v>
      </c>
      <c r="G1327" s="52" t="s">
        <v>433</v>
      </c>
      <c r="H1327" s="43">
        <v>2232</v>
      </c>
      <c r="I1327" s="43">
        <v>85</v>
      </c>
      <c r="J1327" s="43">
        <v>605</v>
      </c>
      <c r="K1327" s="43">
        <v>45</v>
      </c>
      <c r="L1327" s="43">
        <v>7</v>
      </c>
      <c r="M1327" s="43">
        <v>1390</v>
      </c>
      <c r="N1327" s="43">
        <v>66</v>
      </c>
      <c r="O1327" s="43">
        <v>34</v>
      </c>
      <c r="P1327" s="44">
        <f>K1327+L1327+M1327+N1327+O1327</f>
        <v>1542</v>
      </c>
      <c r="Q1327" s="44">
        <f>I1327+J1327</f>
        <v>690</v>
      </c>
      <c r="R1327" s="43">
        <v>2959</v>
      </c>
      <c r="S1327" s="43">
        <v>230</v>
      </c>
      <c r="T1327" s="43">
        <v>954</v>
      </c>
      <c r="U1327" s="43">
        <v>50</v>
      </c>
      <c r="V1327" s="43">
        <v>4</v>
      </c>
      <c r="W1327" s="43">
        <v>1646</v>
      </c>
      <c r="X1327" s="43">
        <v>40</v>
      </c>
      <c r="Y1327" s="43">
        <v>35</v>
      </c>
      <c r="Z1327" s="45">
        <f>U1327+V1327+W1327+X1327+Y1327</f>
        <v>1775</v>
      </c>
      <c r="AA1327" s="45">
        <f>S1327+T1327</f>
        <v>1184</v>
      </c>
      <c r="AB1327" s="46">
        <v>3.8082436999999998</v>
      </c>
      <c r="AC1327" s="46">
        <v>27.1057348</v>
      </c>
      <c r="AD1327" s="46">
        <v>2.0161289999999998</v>
      </c>
      <c r="AE1327" s="46">
        <v>0.31362010000000001</v>
      </c>
      <c r="AF1327" s="46">
        <v>62.2759857</v>
      </c>
      <c r="AG1327" s="46">
        <v>2.9569892000000002</v>
      </c>
      <c r="AH1327" s="46">
        <v>1.5232975</v>
      </c>
      <c r="AI1327" s="47">
        <f>AB1327+AC1327</f>
        <v>30.913978499999999</v>
      </c>
      <c r="AJ1327" s="47">
        <f>AD1327+AE1327+AF1327+AG1327+AH1327</f>
        <v>69.086021499999987</v>
      </c>
      <c r="AK1327" s="46">
        <v>7.7728961999999999</v>
      </c>
      <c r="AL1327" s="46">
        <v>32.2406218</v>
      </c>
      <c r="AM1327" s="46">
        <v>1.6897601</v>
      </c>
      <c r="AN1327" s="46">
        <v>0.13518079999999999</v>
      </c>
      <c r="AO1327" s="46">
        <v>55.626900999999997</v>
      </c>
      <c r="AP1327" s="46">
        <v>1.3518079999999999</v>
      </c>
      <c r="AQ1327" s="46">
        <v>1.1828320000000001</v>
      </c>
      <c r="AR1327" s="48">
        <f>AK1327+AL1327</f>
        <v>40.013517999999998</v>
      </c>
      <c r="AS1327" s="48">
        <f>AM1327+AN1327+AO1327+AP1327+AQ1327</f>
        <v>59.986481899999994</v>
      </c>
    </row>
    <row r="1328" spans="2:45" ht="15" hidden="1" customHeight="1" x14ac:dyDescent="0.25">
      <c r="B1328" s="35">
        <v>1322</v>
      </c>
      <c r="C1328" s="36" t="s">
        <v>31</v>
      </c>
      <c r="D1328" s="36" t="s">
        <v>413</v>
      </c>
      <c r="E1328" s="36" t="s">
        <v>432</v>
      </c>
      <c r="F1328" s="36" t="s">
        <v>433</v>
      </c>
      <c r="G1328" s="37" t="s">
        <v>25</v>
      </c>
      <c r="H1328" s="38">
        <v>1513</v>
      </c>
      <c r="I1328" s="38">
        <v>83</v>
      </c>
      <c r="J1328" s="38">
        <v>604</v>
      </c>
      <c r="K1328" s="38">
        <v>44</v>
      </c>
      <c r="L1328" s="38">
        <v>2</v>
      </c>
      <c r="M1328" s="38">
        <v>710</v>
      </c>
      <c r="N1328" s="38">
        <v>41</v>
      </c>
      <c r="O1328" s="38">
        <v>29</v>
      </c>
      <c r="P1328" s="38"/>
      <c r="Q1328" s="38"/>
      <c r="R1328" s="38">
        <v>2118</v>
      </c>
      <c r="S1328" s="38">
        <v>229</v>
      </c>
      <c r="T1328" s="38">
        <v>954</v>
      </c>
      <c r="U1328" s="38">
        <v>47</v>
      </c>
      <c r="V1328" s="38">
        <v>1</v>
      </c>
      <c r="W1328" s="38">
        <v>837</v>
      </c>
      <c r="X1328" s="38">
        <v>19</v>
      </c>
      <c r="Y1328" s="38">
        <v>31</v>
      </c>
      <c r="Z1328" s="38"/>
      <c r="AA1328" s="38"/>
      <c r="AB1328" s="39">
        <v>5.4857898</v>
      </c>
      <c r="AC1328" s="39">
        <v>39.920687399999998</v>
      </c>
      <c r="AD1328" s="39">
        <v>2.9081294999999998</v>
      </c>
      <c r="AE1328" s="39">
        <v>0.13218769999999999</v>
      </c>
      <c r="AF1328" s="39">
        <v>46.9266358</v>
      </c>
      <c r="AG1328" s="39">
        <v>2.709848</v>
      </c>
      <c r="AH1328" s="39">
        <v>1.9167217000000001</v>
      </c>
      <c r="AI1328" s="39"/>
      <c r="AJ1328" s="39"/>
      <c r="AK1328" s="39">
        <v>10.812086900000001</v>
      </c>
      <c r="AL1328" s="39">
        <v>45.042492899999999</v>
      </c>
      <c r="AM1328" s="39">
        <v>2.2190745999999999</v>
      </c>
      <c r="AN1328" s="39">
        <v>4.7214399999999997E-2</v>
      </c>
      <c r="AO1328" s="39">
        <v>39.518413600000002</v>
      </c>
      <c r="AP1328" s="39">
        <v>0.89707269999999995</v>
      </c>
      <c r="AQ1328" s="39">
        <v>1.4636449</v>
      </c>
      <c r="AR1328" s="40"/>
      <c r="AS1328" s="40"/>
    </row>
    <row r="1329" spans="2:45" ht="15" hidden="1" customHeight="1" x14ac:dyDescent="0.25">
      <c r="B1329" s="35">
        <v>1323</v>
      </c>
      <c r="C1329" s="36" t="s">
        <v>31</v>
      </c>
      <c r="D1329" s="36" t="s">
        <v>413</v>
      </c>
      <c r="E1329" s="36" t="s">
        <v>432</v>
      </c>
      <c r="F1329" s="36" t="s">
        <v>433</v>
      </c>
      <c r="G1329" s="37" t="s">
        <v>26</v>
      </c>
      <c r="H1329" s="38">
        <v>719</v>
      </c>
      <c r="I1329" s="38">
        <v>2</v>
      </c>
      <c r="J1329" s="38">
        <v>1</v>
      </c>
      <c r="K1329" s="38">
        <v>1</v>
      </c>
      <c r="L1329" s="38">
        <v>5</v>
      </c>
      <c r="M1329" s="38">
        <v>680</v>
      </c>
      <c r="N1329" s="38">
        <v>25</v>
      </c>
      <c r="O1329" s="38">
        <v>5</v>
      </c>
      <c r="P1329" s="38"/>
      <c r="Q1329" s="38"/>
      <c r="R1329" s="38">
        <v>841</v>
      </c>
      <c r="S1329" s="38">
        <v>1</v>
      </c>
      <c r="T1329" s="38">
        <v>0</v>
      </c>
      <c r="U1329" s="38">
        <v>3</v>
      </c>
      <c r="V1329" s="38">
        <v>3</v>
      </c>
      <c r="W1329" s="38">
        <v>809</v>
      </c>
      <c r="X1329" s="38">
        <v>21</v>
      </c>
      <c r="Y1329" s="38">
        <v>4</v>
      </c>
      <c r="Z1329" s="38"/>
      <c r="AA1329" s="38"/>
      <c r="AB1329" s="39">
        <v>0.27816410000000003</v>
      </c>
      <c r="AC1329" s="39">
        <v>0.13908209999999999</v>
      </c>
      <c r="AD1329" s="39">
        <v>0.13908209999999999</v>
      </c>
      <c r="AE1329" s="39">
        <v>0.69541030000000004</v>
      </c>
      <c r="AF1329" s="39">
        <v>94.575799700000005</v>
      </c>
      <c r="AG1329" s="39">
        <v>3.4770515</v>
      </c>
      <c r="AH1329" s="39">
        <v>0.69541030000000004</v>
      </c>
      <c r="AI1329" s="39"/>
      <c r="AJ1329" s="39"/>
      <c r="AK1329" s="39">
        <v>0.1189061</v>
      </c>
      <c r="AL1329" s="39">
        <v>0</v>
      </c>
      <c r="AM1329" s="39">
        <v>0.35671819999999999</v>
      </c>
      <c r="AN1329" s="39">
        <v>0.35671819999999999</v>
      </c>
      <c r="AO1329" s="39">
        <v>96.195005899999998</v>
      </c>
      <c r="AP1329" s="39">
        <v>2.4970273000000001</v>
      </c>
      <c r="AQ1329" s="39">
        <v>0.4756243</v>
      </c>
      <c r="AR1329" s="40"/>
      <c r="AS1329" s="40"/>
    </row>
    <row r="1330" spans="2:45" ht="15" customHeight="1" x14ac:dyDescent="0.25">
      <c r="B1330" s="41">
        <v>1324</v>
      </c>
      <c r="C1330" s="42" t="s">
        <v>31</v>
      </c>
      <c r="D1330" s="51" t="s">
        <v>413</v>
      </c>
      <c r="E1330" s="51" t="s">
        <v>432</v>
      </c>
      <c r="F1330" s="51" t="s">
        <v>434</v>
      </c>
      <c r="G1330" s="52" t="s">
        <v>434</v>
      </c>
      <c r="H1330" s="43">
        <v>1356</v>
      </c>
      <c r="I1330" s="43">
        <v>20</v>
      </c>
      <c r="J1330" s="43">
        <v>1</v>
      </c>
      <c r="K1330" s="43">
        <v>149</v>
      </c>
      <c r="L1330" s="43">
        <v>1</v>
      </c>
      <c r="M1330" s="43">
        <v>1021</v>
      </c>
      <c r="N1330" s="43">
        <v>136</v>
      </c>
      <c r="O1330" s="43">
        <v>28</v>
      </c>
      <c r="P1330" s="44">
        <f>K1330+L1330+M1330+N1330+O1330</f>
        <v>1335</v>
      </c>
      <c r="Q1330" s="44">
        <f>I1330+J1330</f>
        <v>21</v>
      </c>
      <c r="R1330" s="43">
        <v>2064</v>
      </c>
      <c r="S1330" s="43">
        <v>92</v>
      </c>
      <c r="T1330" s="43">
        <v>485</v>
      </c>
      <c r="U1330" s="43">
        <v>53</v>
      </c>
      <c r="V1330" s="43">
        <v>2</v>
      </c>
      <c r="W1330" s="43">
        <v>1215</v>
      </c>
      <c r="X1330" s="43">
        <v>175</v>
      </c>
      <c r="Y1330" s="43">
        <v>42</v>
      </c>
      <c r="Z1330" s="45">
        <f>U1330+V1330+W1330+X1330+Y1330</f>
        <v>1487</v>
      </c>
      <c r="AA1330" s="45">
        <f>S1330+T1330</f>
        <v>577</v>
      </c>
      <c r="AB1330" s="46">
        <v>1.4749262999999999</v>
      </c>
      <c r="AC1330" s="46">
        <v>7.3746300000000001E-2</v>
      </c>
      <c r="AD1330" s="46">
        <v>10.988200600000001</v>
      </c>
      <c r="AE1330" s="46">
        <v>7.3746300000000001E-2</v>
      </c>
      <c r="AF1330" s="46">
        <v>75.294985299999993</v>
      </c>
      <c r="AG1330" s="46">
        <v>10.029498500000001</v>
      </c>
      <c r="AH1330" s="46">
        <v>2.0648968000000001</v>
      </c>
      <c r="AI1330" s="47">
        <f>AB1330+AC1330</f>
        <v>1.5486726</v>
      </c>
      <c r="AJ1330" s="47">
        <f>AD1330+AE1330+AF1330+AG1330+AH1330</f>
        <v>98.451327499999991</v>
      </c>
      <c r="AK1330" s="46">
        <v>4.4573643000000001</v>
      </c>
      <c r="AL1330" s="46">
        <v>23.498062000000001</v>
      </c>
      <c r="AM1330" s="46">
        <v>2.5678295000000002</v>
      </c>
      <c r="AN1330" s="46">
        <v>9.6899200000000005E-2</v>
      </c>
      <c r="AO1330" s="46">
        <v>58.8662791</v>
      </c>
      <c r="AP1330" s="46">
        <v>8.4786821999999997</v>
      </c>
      <c r="AQ1330" s="46">
        <v>2.0348837</v>
      </c>
      <c r="AR1330" s="48">
        <f>AK1330+AL1330</f>
        <v>27.955426299999999</v>
      </c>
      <c r="AS1330" s="48">
        <f>AM1330+AN1330+AO1330+AP1330+AQ1330</f>
        <v>72.044573699999987</v>
      </c>
    </row>
    <row r="1331" spans="2:45" ht="15" hidden="1" customHeight="1" x14ac:dyDescent="0.25">
      <c r="B1331" s="35">
        <v>1325</v>
      </c>
      <c r="C1331" s="36" t="s">
        <v>31</v>
      </c>
      <c r="D1331" s="36" t="s">
        <v>413</v>
      </c>
      <c r="E1331" s="36" t="s">
        <v>432</v>
      </c>
      <c r="F1331" s="36" t="s">
        <v>434</v>
      </c>
      <c r="G1331" s="37" t="s">
        <v>25</v>
      </c>
      <c r="H1331" s="38">
        <v>449</v>
      </c>
      <c r="I1331" s="38">
        <v>13</v>
      </c>
      <c r="J1331" s="38">
        <v>0</v>
      </c>
      <c r="K1331" s="38">
        <v>103</v>
      </c>
      <c r="L1331" s="38">
        <v>0</v>
      </c>
      <c r="M1331" s="38">
        <v>308</v>
      </c>
      <c r="N1331" s="38">
        <v>19</v>
      </c>
      <c r="O1331" s="38">
        <v>6</v>
      </c>
      <c r="P1331" s="38"/>
      <c r="Q1331" s="38"/>
      <c r="R1331" s="38">
        <v>586</v>
      </c>
      <c r="S1331" s="38">
        <v>56</v>
      </c>
      <c r="T1331" s="38">
        <v>475</v>
      </c>
      <c r="U1331" s="38">
        <v>3</v>
      </c>
      <c r="V1331" s="38">
        <v>0</v>
      </c>
      <c r="W1331" s="38">
        <v>41</v>
      </c>
      <c r="X1331" s="38">
        <v>7</v>
      </c>
      <c r="Y1331" s="38">
        <v>4</v>
      </c>
      <c r="Z1331" s="38"/>
      <c r="AA1331" s="38"/>
      <c r="AB1331" s="39">
        <v>2.8953229</v>
      </c>
      <c r="AC1331" s="39">
        <v>0</v>
      </c>
      <c r="AD1331" s="39">
        <v>22.9398664</v>
      </c>
      <c r="AE1331" s="39">
        <v>0</v>
      </c>
      <c r="AF1331" s="39">
        <v>68.596881999999994</v>
      </c>
      <c r="AG1331" s="39">
        <v>4.2316257999999998</v>
      </c>
      <c r="AH1331" s="39">
        <v>1.3363029</v>
      </c>
      <c r="AI1331" s="39"/>
      <c r="AJ1331" s="39"/>
      <c r="AK1331" s="39">
        <v>9.5563140000000004</v>
      </c>
      <c r="AL1331" s="39">
        <v>81.058020499999998</v>
      </c>
      <c r="AM1331" s="39">
        <v>0.51194539999999999</v>
      </c>
      <c r="AN1331" s="39">
        <v>0</v>
      </c>
      <c r="AO1331" s="39">
        <v>6.9965869999999999</v>
      </c>
      <c r="AP1331" s="39">
        <v>1.1945391999999999</v>
      </c>
      <c r="AQ1331" s="39">
        <v>0.68259389999999998</v>
      </c>
      <c r="AR1331" s="40"/>
      <c r="AS1331" s="40"/>
    </row>
    <row r="1332" spans="2:45" ht="15" hidden="1" customHeight="1" x14ac:dyDescent="0.25">
      <c r="B1332" s="35">
        <v>1326</v>
      </c>
      <c r="C1332" s="36" t="s">
        <v>31</v>
      </c>
      <c r="D1332" s="36" t="s">
        <v>413</v>
      </c>
      <c r="E1332" s="36" t="s">
        <v>432</v>
      </c>
      <c r="F1332" s="36" t="s">
        <v>434</v>
      </c>
      <c r="G1332" s="37" t="s">
        <v>26</v>
      </c>
      <c r="H1332" s="38">
        <v>907</v>
      </c>
      <c r="I1332" s="38">
        <v>7</v>
      </c>
      <c r="J1332" s="38">
        <v>1</v>
      </c>
      <c r="K1332" s="38">
        <v>46</v>
      </c>
      <c r="L1332" s="38">
        <v>1</v>
      </c>
      <c r="M1332" s="38">
        <v>713</v>
      </c>
      <c r="N1332" s="38">
        <v>117</v>
      </c>
      <c r="O1332" s="38">
        <v>22</v>
      </c>
      <c r="P1332" s="38"/>
      <c r="Q1332" s="38"/>
      <c r="R1332" s="38">
        <v>1478</v>
      </c>
      <c r="S1332" s="38">
        <v>36</v>
      </c>
      <c r="T1332" s="38">
        <v>10</v>
      </c>
      <c r="U1332" s="38">
        <v>50</v>
      </c>
      <c r="V1332" s="38">
        <v>2</v>
      </c>
      <c r="W1332" s="38">
        <v>1174</v>
      </c>
      <c r="X1332" s="38">
        <v>168</v>
      </c>
      <c r="Y1332" s="38">
        <v>38</v>
      </c>
      <c r="Z1332" s="38"/>
      <c r="AA1332" s="38"/>
      <c r="AB1332" s="39">
        <v>0.77177510000000005</v>
      </c>
      <c r="AC1332" s="39">
        <v>0.11025359999999999</v>
      </c>
      <c r="AD1332" s="39">
        <v>5.0716647999999998</v>
      </c>
      <c r="AE1332" s="39">
        <v>0.11025359999999999</v>
      </c>
      <c r="AF1332" s="39">
        <v>78.610804900000005</v>
      </c>
      <c r="AG1332" s="39">
        <v>12.8996692</v>
      </c>
      <c r="AH1332" s="39">
        <v>2.4255787999999998</v>
      </c>
      <c r="AI1332" s="39"/>
      <c r="AJ1332" s="39"/>
      <c r="AK1332" s="39">
        <v>2.435724</v>
      </c>
      <c r="AL1332" s="39">
        <v>0.67659000000000002</v>
      </c>
      <c r="AM1332" s="39">
        <v>3.3829498999999998</v>
      </c>
      <c r="AN1332" s="39">
        <v>0.13531799999999999</v>
      </c>
      <c r="AO1332" s="39">
        <v>79.431664400000003</v>
      </c>
      <c r="AP1332" s="39">
        <v>11.366711799999999</v>
      </c>
      <c r="AQ1332" s="39">
        <v>2.5710419</v>
      </c>
      <c r="AR1332" s="40"/>
      <c r="AS1332" s="40"/>
    </row>
    <row r="1333" spans="2:45" ht="15" customHeight="1" x14ac:dyDescent="0.25">
      <c r="B1333" s="41">
        <v>1327</v>
      </c>
      <c r="C1333" s="42" t="s">
        <v>31</v>
      </c>
      <c r="D1333" s="51" t="s">
        <v>413</v>
      </c>
      <c r="E1333" s="51" t="s">
        <v>432</v>
      </c>
      <c r="F1333" s="51" t="s">
        <v>435</v>
      </c>
      <c r="G1333" s="52" t="s">
        <v>435</v>
      </c>
      <c r="H1333" s="43">
        <v>819</v>
      </c>
      <c r="I1333" s="43">
        <v>11</v>
      </c>
      <c r="J1333" s="43">
        <v>145</v>
      </c>
      <c r="K1333" s="43">
        <v>24</v>
      </c>
      <c r="L1333" s="43">
        <v>10</v>
      </c>
      <c r="M1333" s="43">
        <v>565</v>
      </c>
      <c r="N1333" s="43">
        <v>46</v>
      </c>
      <c r="O1333" s="43">
        <v>18</v>
      </c>
      <c r="P1333" s="44">
        <f>K1333+L1333+M1333+N1333+O1333</f>
        <v>663</v>
      </c>
      <c r="Q1333" s="44">
        <f>I1333+J1333</f>
        <v>156</v>
      </c>
      <c r="R1333" s="43">
        <v>1018</v>
      </c>
      <c r="S1333" s="43">
        <v>94</v>
      </c>
      <c r="T1333" s="43">
        <v>228</v>
      </c>
      <c r="U1333" s="43">
        <v>30</v>
      </c>
      <c r="V1333" s="43">
        <v>2</v>
      </c>
      <c r="W1333" s="43">
        <v>624</v>
      </c>
      <c r="X1333" s="43">
        <v>29</v>
      </c>
      <c r="Y1333" s="43">
        <v>11</v>
      </c>
      <c r="Z1333" s="45">
        <f>U1333+V1333+W1333+X1333+Y1333</f>
        <v>696</v>
      </c>
      <c r="AA1333" s="45">
        <f>S1333+T1333</f>
        <v>322</v>
      </c>
      <c r="AB1333" s="46">
        <v>1.3431013000000001</v>
      </c>
      <c r="AC1333" s="46">
        <v>17.7045177</v>
      </c>
      <c r="AD1333" s="46">
        <v>2.9304028999999998</v>
      </c>
      <c r="AE1333" s="46">
        <v>1.2210011999999999</v>
      </c>
      <c r="AF1333" s="46">
        <v>68.986569000000003</v>
      </c>
      <c r="AG1333" s="46">
        <v>5.6166055999999998</v>
      </c>
      <c r="AH1333" s="46">
        <v>2.1978021999999999</v>
      </c>
      <c r="AI1333" s="47">
        <f>AB1333+AC1333</f>
        <v>19.047619000000001</v>
      </c>
      <c r="AJ1333" s="47">
        <f>AD1333+AE1333+AF1333+AG1333+AH1333</f>
        <v>80.952380899999994</v>
      </c>
      <c r="AK1333" s="46">
        <v>9.2337916999999994</v>
      </c>
      <c r="AL1333" s="46">
        <v>22.3968566</v>
      </c>
      <c r="AM1333" s="46">
        <v>2.9469547999999999</v>
      </c>
      <c r="AN1333" s="46">
        <v>0.19646369999999999</v>
      </c>
      <c r="AO1333" s="46">
        <v>61.296660099999997</v>
      </c>
      <c r="AP1333" s="46">
        <v>2.8487230000000001</v>
      </c>
      <c r="AQ1333" s="46">
        <v>1.0805501</v>
      </c>
      <c r="AR1333" s="48">
        <f>AK1333+AL1333</f>
        <v>31.630648299999997</v>
      </c>
      <c r="AS1333" s="48">
        <f>AM1333+AN1333+AO1333+AP1333+AQ1333</f>
        <v>68.369351699999996</v>
      </c>
    </row>
    <row r="1334" spans="2:45" ht="15" hidden="1" customHeight="1" x14ac:dyDescent="0.25">
      <c r="B1334" s="35">
        <v>1328</v>
      </c>
      <c r="C1334" s="36" t="s">
        <v>31</v>
      </c>
      <c r="D1334" s="36" t="s">
        <v>413</v>
      </c>
      <c r="E1334" s="36" t="s">
        <v>432</v>
      </c>
      <c r="F1334" s="36" t="s">
        <v>435</v>
      </c>
      <c r="G1334" s="37" t="s">
        <v>25</v>
      </c>
      <c r="H1334" s="38">
        <v>412</v>
      </c>
      <c r="I1334" s="38">
        <v>8</v>
      </c>
      <c r="J1334" s="38">
        <v>144</v>
      </c>
      <c r="K1334" s="38">
        <v>12</v>
      </c>
      <c r="L1334" s="38">
        <v>1</v>
      </c>
      <c r="M1334" s="38">
        <v>224</v>
      </c>
      <c r="N1334" s="38">
        <v>14</v>
      </c>
      <c r="O1334" s="38">
        <v>9</v>
      </c>
      <c r="P1334" s="38"/>
      <c r="Q1334" s="38"/>
      <c r="R1334" s="38">
        <v>538</v>
      </c>
      <c r="S1334" s="38">
        <v>88</v>
      </c>
      <c r="T1334" s="38">
        <v>207</v>
      </c>
      <c r="U1334" s="38">
        <v>12</v>
      </c>
      <c r="V1334" s="38">
        <v>0</v>
      </c>
      <c r="W1334" s="38">
        <v>214</v>
      </c>
      <c r="X1334" s="38">
        <v>6</v>
      </c>
      <c r="Y1334" s="38">
        <v>11</v>
      </c>
      <c r="Z1334" s="38"/>
      <c r="AA1334" s="38"/>
      <c r="AB1334" s="39">
        <v>1.9417476</v>
      </c>
      <c r="AC1334" s="39">
        <v>34.951456299999997</v>
      </c>
      <c r="AD1334" s="39">
        <v>2.9126213999999999</v>
      </c>
      <c r="AE1334" s="39">
        <v>0.2427184</v>
      </c>
      <c r="AF1334" s="39">
        <v>54.368932000000001</v>
      </c>
      <c r="AG1334" s="39">
        <v>3.3980583000000002</v>
      </c>
      <c r="AH1334" s="39">
        <v>2.184466</v>
      </c>
      <c r="AI1334" s="39"/>
      <c r="AJ1334" s="39"/>
      <c r="AK1334" s="39">
        <v>16.356877300000001</v>
      </c>
      <c r="AL1334" s="39">
        <v>38.475836399999999</v>
      </c>
      <c r="AM1334" s="39">
        <v>2.2304832999999999</v>
      </c>
      <c r="AN1334" s="39">
        <v>0</v>
      </c>
      <c r="AO1334" s="39">
        <v>39.776951699999998</v>
      </c>
      <c r="AP1334" s="39">
        <v>1.1152416000000001</v>
      </c>
      <c r="AQ1334" s="39">
        <v>2.0446097000000001</v>
      </c>
      <c r="AR1334" s="40"/>
      <c r="AS1334" s="40"/>
    </row>
    <row r="1335" spans="2:45" ht="15" hidden="1" customHeight="1" x14ac:dyDescent="0.25">
      <c r="B1335" s="35">
        <v>1329</v>
      </c>
      <c r="C1335" s="36" t="s">
        <v>31</v>
      </c>
      <c r="D1335" s="36" t="s">
        <v>413</v>
      </c>
      <c r="E1335" s="36" t="s">
        <v>432</v>
      </c>
      <c r="F1335" s="36" t="s">
        <v>435</v>
      </c>
      <c r="G1335" s="37" t="s">
        <v>26</v>
      </c>
      <c r="H1335" s="38">
        <v>407</v>
      </c>
      <c r="I1335" s="38">
        <v>3</v>
      </c>
      <c r="J1335" s="38">
        <v>1</v>
      </c>
      <c r="K1335" s="38">
        <v>12</v>
      </c>
      <c r="L1335" s="38">
        <v>9</v>
      </c>
      <c r="M1335" s="38">
        <v>341</v>
      </c>
      <c r="N1335" s="38">
        <v>32</v>
      </c>
      <c r="O1335" s="38">
        <v>9</v>
      </c>
      <c r="P1335" s="38"/>
      <c r="Q1335" s="38"/>
      <c r="R1335" s="38">
        <v>480</v>
      </c>
      <c r="S1335" s="38">
        <v>6</v>
      </c>
      <c r="T1335" s="38">
        <v>21</v>
      </c>
      <c r="U1335" s="38">
        <v>18</v>
      </c>
      <c r="V1335" s="38">
        <v>2</v>
      </c>
      <c r="W1335" s="38">
        <v>410</v>
      </c>
      <c r="X1335" s="38">
        <v>23</v>
      </c>
      <c r="Y1335" s="38">
        <v>0</v>
      </c>
      <c r="Z1335" s="38"/>
      <c r="AA1335" s="38"/>
      <c r="AB1335" s="39">
        <v>0.73710070000000005</v>
      </c>
      <c r="AC1335" s="39">
        <v>0.24570020000000001</v>
      </c>
      <c r="AD1335" s="39">
        <v>2.9484029</v>
      </c>
      <c r="AE1335" s="39">
        <v>2.2113022</v>
      </c>
      <c r="AF1335" s="39">
        <v>83.783783799999995</v>
      </c>
      <c r="AG1335" s="39">
        <v>7.8624079</v>
      </c>
      <c r="AH1335" s="39">
        <v>2.2113022</v>
      </c>
      <c r="AI1335" s="39"/>
      <c r="AJ1335" s="39"/>
      <c r="AK1335" s="39">
        <v>1.25</v>
      </c>
      <c r="AL1335" s="39">
        <v>4.375</v>
      </c>
      <c r="AM1335" s="39">
        <v>3.75</v>
      </c>
      <c r="AN1335" s="39">
        <v>0.4166667</v>
      </c>
      <c r="AO1335" s="39">
        <v>85.416666699999993</v>
      </c>
      <c r="AP1335" s="39">
        <v>4.7916667000000004</v>
      </c>
      <c r="AQ1335" s="39">
        <v>0</v>
      </c>
      <c r="AR1335" s="40"/>
      <c r="AS1335" s="40"/>
    </row>
    <row r="1336" spans="2:45" ht="15" hidden="1" customHeight="1" x14ac:dyDescent="0.25">
      <c r="B1336" s="30">
        <v>1330</v>
      </c>
      <c r="C1336" s="31" t="s">
        <v>29</v>
      </c>
      <c r="D1336" s="50" t="s">
        <v>413</v>
      </c>
      <c r="E1336" s="50" t="s">
        <v>436</v>
      </c>
      <c r="F1336" s="50"/>
      <c r="G1336" s="31" t="s">
        <v>436</v>
      </c>
      <c r="H1336" s="32">
        <v>631</v>
      </c>
      <c r="I1336" s="32">
        <v>0</v>
      </c>
      <c r="J1336" s="32">
        <v>1</v>
      </c>
      <c r="K1336" s="32">
        <v>40</v>
      </c>
      <c r="L1336" s="32">
        <v>6</v>
      </c>
      <c r="M1336" s="32">
        <v>502</v>
      </c>
      <c r="N1336" s="32">
        <v>68</v>
      </c>
      <c r="O1336" s="32">
        <v>14</v>
      </c>
      <c r="P1336" s="32"/>
      <c r="Q1336" s="32"/>
      <c r="R1336" s="32">
        <v>922</v>
      </c>
      <c r="S1336" s="32">
        <v>1</v>
      </c>
      <c r="T1336" s="32">
        <v>1</v>
      </c>
      <c r="U1336" s="32">
        <v>8</v>
      </c>
      <c r="V1336" s="32">
        <v>6</v>
      </c>
      <c r="W1336" s="32">
        <v>806</v>
      </c>
      <c r="X1336" s="32">
        <v>94</v>
      </c>
      <c r="Y1336" s="32">
        <v>6</v>
      </c>
      <c r="Z1336" s="32"/>
      <c r="AA1336" s="32"/>
      <c r="AB1336" s="33">
        <v>0</v>
      </c>
      <c r="AC1336" s="33">
        <v>0.1584786</v>
      </c>
      <c r="AD1336" s="33">
        <v>6.3391441999999998</v>
      </c>
      <c r="AE1336" s="33">
        <v>0.95087160000000004</v>
      </c>
      <c r="AF1336" s="33">
        <v>79.556259900000001</v>
      </c>
      <c r="AG1336" s="33">
        <v>10.776545199999999</v>
      </c>
      <c r="AH1336" s="33">
        <v>2.2187005000000002</v>
      </c>
      <c r="AI1336" s="33"/>
      <c r="AJ1336" s="33"/>
      <c r="AK1336" s="33">
        <v>0.1084599</v>
      </c>
      <c r="AL1336" s="33">
        <v>0.1084599</v>
      </c>
      <c r="AM1336" s="33">
        <v>0.86767899999999998</v>
      </c>
      <c r="AN1336" s="33">
        <v>0.65075919999999998</v>
      </c>
      <c r="AO1336" s="33">
        <v>87.418655099999995</v>
      </c>
      <c r="AP1336" s="33">
        <v>10.1952278</v>
      </c>
      <c r="AQ1336" s="33">
        <v>0.65075919999999998</v>
      </c>
      <c r="AR1336" s="34"/>
      <c r="AS1336" s="34"/>
    </row>
    <row r="1337" spans="2:45" ht="15" hidden="1" customHeight="1" x14ac:dyDescent="0.25">
      <c r="B1337" s="35">
        <v>1331</v>
      </c>
      <c r="C1337" s="36" t="s">
        <v>29</v>
      </c>
      <c r="D1337" s="36" t="s">
        <v>413</v>
      </c>
      <c r="E1337" s="36" t="s">
        <v>436</v>
      </c>
      <c r="F1337" s="36"/>
      <c r="G1337" s="37" t="s">
        <v>25</v>
      </c>
      <c r="H1337" s="38"/>
      <c r="I1337" s="38"/>
      <c r="J1337" s="38"/>
      <c r="K1337" s="38"/>
      <c r="L1337" s="38"/>
      <c r="M1337" s="38"/>
      <c r="N1337" s="38"/>
      <c r="O1337" s="38"/>
      <c r="P1337" s="38"/>
      <c r="Q1337" s="38"/>
      <c r="R1337" s="38"/>
      <c r="S1337" s="38"/>
      <c r="T1337" s="38"/>
      <c r="U1337" s="38"/>
      <c r="V1337" s="38"/>
      <c r="W1337" s="38"/>
      <c r="X1337" s="38"/>
      <c r="Y1337" s="38"/>
      <c r="Z1337" s="38"/>
      <c r="AA1337" s="38"/>
      <c r="AB1337" s="39"/>
      <c r="AC1337" s="39"/>
      <c r="AD1337" s="39"/>
      <c r="AE1337" s="39"/>
      <c r="AF1337" s="39"/>
      <c r="AG1337" s="39"/>
      <c r="AH1337" s="39"/>
      <c r="AI1337" s="39"/>
      <c r="AJ1337" s="39"/>
      <c r="AK1337" s="39"/>
      <c r="AL1337" s="39"/>
      <c r="AM1337" s="39"/>
      <c r="AN1337" s="39"/>
      <c r="AO1337" s="39"/>
      <c r="AP1337" s="39"/>
      <c r="AQ1337" s="39"/>
      <c r="AR1337" s="40"/>
      <c r="AS1337" s="40"/>
    </row>
    <row r="1338" spans="2:45" ht="15" hidden="1" customHeight="1" x14ac:dyDescent="0.25">
      <c r="B1338" s="35">
        <v>1332</v>
      </c>
      <c r="C1338" s="36" t="s">
        <v>29</v>
      </c>
      <c r="D1338" s="36" t="s">
        <v>413</v>
      </c>
      <c r="E1338" s="36" t="s">
        <v>436</v>
      </c>
      <c r="F1338" s="36"/>
      <c r="G1338" s="37" t="s">
        <v>26</v>
      </c>
      <c r="H1338" s="38">
        <v>631</v>
      </c>
      <c r="I1338" s="38">
        <v>0</v>
      </c>
      <c r="J1338" s="38">
        <v>1</v>
      </c>
      <c r="K1338" s="38">
        <v>40</v>
      </c>
      <c r="L1338" s="38">
        <v>6</v>
      </c>
      <c r="M1338" s="38">
        <v>502</v>
      </c>
      <c r="N1338" s="38">
        <v>68</v>
      </c>
      <c r="O1338" s="38">
        <v>14</v>
      </c>
      <c r="P1338" s="38"/>
      <c r="Q1338" s="38"/>
      <c r="R1338" s="38">
        <v>922</v>
      </c>
      <c r="S1338" s="38">
        <v>1</v>
      </c>
      <c r="T1338" s="38">
        <v>1</v>
      </c>
      <c r="U1338" s="38">
        <v>8</v>
      </c>
      <c r="V1338" s="38">
        <v>6</v>
      </c>
      <c r="W1338" s="38">
        <v>806</v>
      </c>
      <c r="X1338" s="38">
        <v>94</v>
      </c>
      <c r="Y1338" s="38">
        <v>6</v>
      </c>
      <c r="Z1338" s="38"/>
      <c r="AA1338" s="38"/>
      <c r="AB1338" s="39">
        <v>0</v>
      </c>
      <c r="AC1338" s="39">
        <v>0.1584786</v>
      </c>
      <c r="AD1338" s="39">
        <v>6.3391441999999998</v>
      </c>
      <c r="AE1338" s="39">
        <v>0.95087160000000004</v>
      </c>
      <c r="AF1338" s="39">
        <v>79.556259900000001</v>
      </c>
      <c r="AG1338" s="39">
        <v>10.776545199999999</v>
      </c>
      <c r="AH1338" s="39">
        <v>2.2187005000000002</v>
      </c>
      <c r="AI1338" s="39"/>
      <c r="AJ1338" s="39"/>
      <c r="AK1338" s="39">
        <v>0.1084599</v>
      </c>
      <c r="AL1338" s="39">
        <v>0.1084599</v>
      </c>
      <c r="AM1338" s="39">
        <v>0.86767899999999998</v>
      </c>
      <c r="AN1338" s="39">
        <v>0.65075919999999998</v>
      </c>
      <c r="AO1338" s="39">
        <v>87.418655099999995</v>
      </c>
      <c r="AP1338" s="39">
        <v>10.1952278</v>
      </c>
      <c r="AQ1338" s="39">
        <v>0.65075919999999998</v>
      </c>
      <c r="AR1338" s="40"/>
      <c r="AS1338" s="40"/>
    </row>
    <row r="1339" spans="2:45" ht="15" customHeight="1" x14ac:dyDescent="0.25">
      <c r="B1339" s="41">
        <v>1333</v>
      </c>
      <c r="C1339" s="42" t="s">
        <v>31</v>
      </c>
      <c r="D1339" s="51" t="s">
        <v>413</v>
      </c>
      <c r="E1339" s="51" t="s">
        <v>436</v>
      </c>
      <c r="F1339" s="51" t="s">
        <v>437</v>
      </c>
      <c r="G1339" s="52" t="s">
        <v>437</v>
      </c>
      <c r="H1339" s="43">
        <v>631</v>
      </c>
      <c r="I1339" s="43">
        <v>0</v>
      </c>
      <c r="J1339" s="43">
        <v>1</v>
      </c>
      <c r="K1339" s="43">
        <v>40</v>
      </c>
      <c r="L1339" s="43">
        <v>6</v>
      </c>
      <c r="M1339" s="43">
        <v>502</v>
      </c>
      <c r="N1339" s="43">
        <v>68</v>
      </c>
      <c r="O1339" s="43">
        <v>14</v>
      </c>
      <c r="P1339" s="44">
        <f>K1339+L1339+M1339+N1339+O1339</f>
        <v>630</v>
      </c>
      <c r="Q1339" s="44">
        <f>I1339+J1339</f>
        <v>1</v>
      </c>
      <c r="R1339" s="43">
        <v>922</v>
      </c>
      <c r="S1339" s="43">
        <v>1</v>
      </c>
      <c r="T1339" s="43">
        <v>1</v>
      </c>
      <c r="U1339" s="43">
        <v>8</v>
      </c>
      <c r="V1339" s="43">
        <v>6</v>
      </c>
      <c r="W1339" s="43">
        <v>806</v>
      </c>
      <c r="X1339" s="43">
        <v>94</v>
      </c>
      <c r="Y1339" s="43">
        <v>6</v>
      </c>
      <c r="Z1339" s="45">
        <f>U1339+V1339+W1339+X1339+Y1339</f>
        <v>920</v>
      </c>
      <c r="AA1339" s="45">
        <f>S1339+T1339</f>
        <v>2</v>
      </c>
      <c r="AB1339" s="46">
        <v>0</v>
      </c>
      <c r="AC1339" s="46">
        <v>0.1584786</v>
      </c>
      <c r="AD1339" s="46">
        <v>6.3391441999999998</v>
      </c>
      <c r="AE1339" s="46">
        <v>0.95087160000000004</v>
      </c>
      <c r="AF1339" s="46">
        <v>79.556259900000001</v>
      </c>
      <c r="AG1339" s="46">
        <v>10.776545199999999</v>
      </c>
      <c r="AH1339" s="46">
        <v>2.2187005000000002</v>
      </c>
      <c r="AI1339" s="47">
        <f>AB1339+AC1339</f>
        <v>0.1584786</v>
      </c>
      <c r="AJ1339" s="47">
        <f>AD1339+AE1339+AF1339+AG1339+AH1339</f>
        <v>99.841521400000005</v>
      </c>
      <c r="AK1339" s="46">
        <v>0.1084599</v>
      </c>
      <c r="AL1339" s="46">
        <v>0.1084599</v>
      </c>
      <c r="AM1339" s="46">
        <v>0.86767899999999998</v>
      </c>
      <c r="AN1339" s="46">
        <v>0.65075919999999998</v>
      </c>
      <c r="AO1339" s="46">
        <v>87.418655099999995</v>
      </c>
      <c r="AP1339" s="46">
        <v>10.1952278</v>
      </c>
      <c r="AQ1339" s="46">
        <v>0.65075919999999998</v>
      </c>
      <c r="AR1339" s="48">
        <f>AK1339+AL1339</f>
        <v>0.2169198</v>
      </c>
      <c r="AS1339" s="48">
        <f>AM1339+AN1339+AO1339+AP1339+AQ1339</f>
        <v>99.783080299999995</v>
      </c>
    </row>
    <row r="1340" spans="2:45" ht="15" hidden="1" customHeight="1" x14ac:dyDescent="0.25">
      <c r="B1340" s="35">
        <v>1334</v>
      </c>
      <c r="C1340" s="36" t="s">
        <v>31</v>
      </c>
      <c r="D1340" s="36" t="s">
        <v>413</v>
      </c>
      <c r="E1340" s="36" t="s">
        <v>436</v>
      </c>
      <c r="F1340" s="36" t="s">
        <v>437</v>
      </c>
      <c r="G1340" s="37" t="s">
        <v>25</v>
      </c>
      <c r="H1340" s="38"/>
      <c r="I1340" s="38"/>
      <c r="J1340" s="38"/>
      <c r="K1340" s="38"/>
      <c r="L1340" s="38"/>
      <c r="M1340" s="38"/>
      <c r="N1340" s="38"/>
      <c r="O1340" s="38"/>
      <c r="P1340" s="38"/>
      <c r="Q1340" s="38"/>
      <c r="R1340" s="38"/>
      <c r="S1340" s="38"/>
      <c r="T1340" s="38"/>
      <c r="U1340" s="38"/>
      <c r="V1340" s="38"/>
      <c r="W1340" s="38"/>
      <c r="X1340" s="38"/>
      <c r="Y1340" s="38"/>
      <c r="Z1340" s="38"/>
      <c r="AA1340" s="38"/>
      <c r="AB1340" s="39"/>
      <c r="AC1340" s="39"/>
      <c r="AD1340" s="39"/>
      <c r="AE1340" s="39"/>
      <c r="AF1340" s="39"/>
      <c r="AG1340" s="39"/>
      <c r="AH1340" s="39"/>
      <c r="AI1340" s="39"/>
      <c r="AJ1340" s="39"/>
      <c r="AK1340" s="39"/>
      <c r="AL1340" s="39"/>
      <c r="AM1340" s="39"/>
      <c r="AN1340" s="39"/>
      <c r="AO1340" s="39"/>
      <c r="AP1340" s="39"/>
      <c r="AQ1340" s="39"/>
      <c r="AR1340" s="40"/>
      <c r="AS1340" s="40"/>
    </row>
    <row r="1341" spans="2:45" ht="15" hidden="1" customHeight="1" x14ac:dyDescent="0.25">
      <c r="B1341" s="35">
        <v>1335</v>
      </c>
      <c r="C1341" s="36" t="s">
        <v>31</v>
      </c>
      <c r="D1341" s="36" t="s">
        <v>413</v>
      </c>
      <c r="E1341" s="36" t="s">
        <v>436</v>
      </c>
      <c r="F1341" s="36" t="s">
        <v>437</v>
      </c>
      <c r="G1341" s="37" t="s">
        <v>26</v>
      </c>
      <c r="H1341" s="38">
        <v>631</v>
      </c>
      <c r="I1341" s="38">
        <v>0</v>
      </c>
      <c r="J1341" s="38">
        <v>1</v>
      </c>
      <c r="K1341" s="38">
        <v>40</v>
      </c>
      <c r="L1341" s="38">
        <v>6</v>
      </c>
      <c r="M1341" s="38">
        <v>502</v>
      </c>
      <c r="N1341" s="38">
        <v>68</v>
      </c>
      <c r="O1341" s="38">
        <v>14</v>
      </c>
      <c r="P1341" s="38"/>
      <c r="Q1341" s="38"/>
      <c r="R1341" s="38">
        <v>922</v>
      </c>
      <c r="S1341" s="38">
        <v>1</v>
      </c>
      <c r="T1341" s="38">
        <v>1</v>
      </c>
      <c r="U1341" s="38">
        <v>8</v>
      </c>
      <c r="V1341" s="38">
        <v>6</v>
      </c>
      <c r="W1341" s="38">
        <v>806</v>
      </c>
      <c r="X1341" s="38">
        <v>94</v>
      </c>
      <c r="Y1341" s="38">
        <v>6</v>
      </c>
      <c r="Z1341" s="38"/>
      <c r="AA1341" s="38"/>
      <c r="AB1341" s="39">
        <v>0</v>
      </c>
      <c r="AC1341" s="39">
        <v>0.1584786</v>
      </c>
      <c r="AD1341" s="39">
        <v>6.3391441999999998</v>
      </c>
      <c r="AE1341" s="39">
        <v>0.95087160000000004</v>
      </c>
      <c r="AF1341" s="39">
        <v>79.556259900000001</v>
      </c>
      <c r="AG1341" s="39">
        <v>10.776545199999999</v>
      </c>
      <c r="AH1341" s="39">
        <v>2.2187005000000002</v>
      </c>
      <c r="AI1341" s="39"/>
      <c r="AJ1341" s="39"/>
      <c r="AK1341" s="39">
        <v>0.1084599</v>
      </c>
      <c r="AL1341" s="39">
        <v>0.1084599</v>
      </c>
      <c r="AM1341" s="39">
        <v>0.86767899999999998</v>
      </c>
      <c r="AN1341" s="39">
        <v>0.65075919999999998</v>
      </c>
      <c r="AO1341" s="39">
        <v>87.418655099999995</v>
      </c>
      <c r="AP1341" s="39">
        <v>10.1952278</v>
      </c>
      <c r="AQ1341" s="39">
        <v>0.65075919999999998</v>
      </c>
      <c r="AR1341" s="40"/>
      <c r="AS1341" s="40"/>
    </row>
    <row r="1342" spans="2:45" ht="15" hidden="1" customHeight="1" x14ac:dyDescent="0.25">
      <c r="B1342" s="20">
        <v>1336</v>
      </c>
      <c r="C1342" s="21" t="s">
        <v>27</v>
      </c>
      <c r="D1342" s="21" t="s">
        <v>438</v>
      </c>
      <c r="E1342" s="21"/>
      <c r="F1342" s="21"/>
      <c r="G1342" s="21" t="s">
        <v>438</v>
      </c>
      <c r="H1342" s="22">
        <v>25365</v>
      </c>
      <c r="I1342" s="22">
        <v>2881</v>
      </c>
      <c r="J1342" s="22">
        <v>8708</v>
      </c>
      <c r="K1342" s="22">
        <v>912</v>
      </c>
      <c r="L1342" s="22">
        <v>355</v>
      </c>
      <c r="M1342" s="22">
        <v>10337</v>
      </c>
      <c r="N1342" s="22">
        <v>1617</v>
      </c>
      <c r="O1342" s="22">
        <v>555</v>
      </c>
      <c r="P1342" s="22">
        <f>K1342+L1342+M1342+N1342+O1342</f>
        <v>13776</v>
      </c>
      <c r="Q1342" s="22">
        <f>I1342+J1342</f>
        <v>11589</v>
      </c>
      <c r="R1342" s="22">
        <v>34943</v>
      </c>
      <c r="S1342" s="22">
        <v>5850</v>
      </c>
      <c r="T1342" s="22">
        <v>10201</v>
      </c>
      <c r="U1342" s="22">
        <v>897</v>
      </c>
      <c r="V1342" s="22">
        <v>113</v>
      </c>
      <c r="W1342" s="22">
        <v>15738</v>
      </c>
      <c r="X1342" s="22">
        <v>1768</v>
      </c>
      <c r="Y1342" s="22">
        <v>376</v>
      </c>
      <c r="Z1342" s="22">
        <f>U1342+V1342+W1342+X1342+Y1342</f>
        <v>18892</v>
      </c>
      <c r="AA1342" s="22">
        <f>S1342+T1342</f>
        <v>16051</v>
      </c>
      <c r="AB1342" s="23">
        <v>11.358170700000001</v>
      </c>
      <c r="AC1342" s="23">
        <v>34.330770700000002</v>
      </c>
      <c r="AD1342" s="23">
        <v>3.5955056000000001</v>
      </c>
      <c r="AE1342" s="23">
        <v>1.3995663</v>
      </c>
      <c r="AF1342" s="23">
        <v>40.7530061</v>
      </c>
      <c r="AG1342" s="23">
        <v>6.3749260999999997</v>
      </c>
      <c r="AH1342" s="23">
        <v>2.1880544</v>
      </c>
      <c r="AI1342" s="23">
        <f>AB1342+AC1342</f>
        <v>45.688941400000004</v>
      </c>
      <c r="AJ1342" s="23"/>
      <c r="AK1342" s="23">
        <v>16.741550499999999</v>
      </c>
      <c r="AL1342" s="23">
        <v>29.193257599999999</v>
      </c>
      <c r="AM1342" s="23">
        <v>2.5670377000000002</v>
      </c>
      <c r="AN1342" s="23">
        <v>0.3233838</v>
      </c>
      <c r="AO1342" s="23">
        <v>45.039063599999999</v>
      </c>
      <c r="AP1342" s="23">
        <v>5.0596686000000002</v>
      </c>
      <c r="AQ1342" s="23">
        <v>1.0760381000000001</v>
      </c>
      <c r="AR1342" s="24">
        <f>AK1342+AL1342</f>
        <v>45.934808099999998</v>
      </c>
      <c r="AS1342" s="24"/>
    </row>
    <row r="1343" spans="2:45" ht="15" hidden="1" customHeight="1" x14ac:dyDescent="0.25">
      <c r="B1343" s="25">
        <v>1337</v>
      </c>
      <c r="C1343" s="26" t="s">
        <v>27</v>
      </c>
      <c r="D1343" s="49" t="s">
        <v>438</v>
      </c>
      <c r="E1343" s="49"/>
      <c r="F1343" s="49"/>
      <c r="G1343" s="26" t="s">
        <v>25</v>
      </c>
      <c r="H1343" s="27">
        <v>13544</v>
      </c>
      <c r="I1343" s="27">
        <v>2692</v>
      </c>
      <c r="J1343" s="27">
        <v>8550</v>
      </c>
      <c r="K1343" s="27">
        <v>281</v>
      </c>
      <c r="L1343" s="27">
        <v>84</v>
      </c>
      <c r="M1343" s="27">
        <v>1718</v>
      </c>
      <c r="N1343" s="27">
        <v>128</v>
      </c>
      <c r="O1343" s="27">
        <v>91</v>
      </c>
      <c r="P1343" s="27"/>
      <c r="Q1343" s="27"/>
      <c r="R1343" s="27">
        <v>19138</v>
      </c>
      <c r="S1343" s="27">
        <v>5434</v>
      </c>
      <c r="T1343" s="27">
        <v>9716</v>
      </c>
      <c r="U1343" s="27">
        <v>173</v>
      </c>
      <c r="V1343" s="27">
        <v>32</v>
      </c>
      <c r="W1343" s="27">
        <v>3531</v>
      </c>
      <c r="X1343" s="27">
        <v>147</v>
      </c>
      <c r="Y1343" s="27">
        <v>105</v>
      </c>
      <c r="Z1343" s="27"/>
      <c r="AA1343" s="27"/>
      <c r="AB1343" s="28">
        <v>19.8759598</v>
      </c>
      <c r="AC1343" s="28">
        <v>63.127584200000001</v>
      </c>
      <c r="AD1343" s="28">
        <v>2.0747194000000002</v>
      </c>
      <c r="AE1343" s="28">
        <v>0.6202008</v>
      </c>
      <c r="AF1343" s="28">
        <v>12.6845836</v>
      </c>
      <c r="AG1343" s="28">
        <v>0.94506789999999996</v>
      </c>
      <c r="AH1343" s="28">
        <v>0.67188420000000004</v>
      </c>
      <c r="AI1343" s="28"/>
      <c r="AJ1343" s="28"/>
      <c r="AK1343" s="28">
        <v>28.393771600000001</v>
      </c>
      <c r="AL1343" s="28">
        <v>50.768105300000002</v>
      </c>
      <c r="AM1343" s="28">
        <v>0.90396069999999995</v>
      </c>
      <c r="AN1343" s="28">
        <v>0.16720660000000001</v>
      </c>
      <c r="AO1343" s="28">
        <v>18.450203800000001</v>
      </c>
      <c r="AP1343" s="28">
        <v>0.76810529999999999</v>
      </c>
      <c r="AQ1343" s="28">
        <v>0.54864670000000004</v>
      </c>
      <c r="AR1343" s="29"/>
      <c r="AS1343" s="29"/>
    </row>
    <row r="1344" spans="2:45" ht="15" hidden="1" customHeight="1" x14ac:dyDescent="0.25">
      <c r="B1344" s="25">
        <v>1338</v>
      </c>
      <c r="C1344" s="26" t="s">
        <v>27</v>
      </c>
      <c r="D1344" s="49" t="s">
        <v>438</v>
      </c>
      <c r="E1344" s="49"/>
      <c r="F1344" s="49"/>
      <c r="G1344" s="26" t="s">
        <v>26</v>
      </c>
      <c r="H1344" s="27">
        <v>11821</v>
      </c>
      <c r="I1344" s="27">
        <v>189</v>
      </c>
      <c r="J1344" s="27">
        <v>158</v>
      </c>
      <c r="K1344" s="27">
        <v>631</v>
      </c>
      <c r="L1344" s="27">
        <v>271</v>
      </c>
      <c r="M1344" s="27">
        <v>8619</v>
      </c>
      <c r="N1344" s="27">
        <v>1489</v>
      </c>
      <c r="O1344" s="27">
        <v>464</v>
      </c>
      <c r="P1344" s="27"/>
      <c r="Q1344" s="27"/>
      <c r="R1344" s="27">
        <v>15805</v>
      </c>
      <c r="S1344" s="27">
        <v>416</v>
      </c>
      <c r="T1344" s="27">
        <v>485</v>
      </c>
      <c r="U1344" s="27">
        <v>724</v>
      </c>
      <c r="V1344" s="27">
        <v>81</v>
      </c>
      <c r="W1344" s="27">
        <v>12207</v>
      </c>
      <c r="X1344" s="27">
        <v>1621</v>
      </c>
      <c r="Y1344" s="27">
        <v>271</v>
      </c>
      <c r="Z1344" s="27"/>
      <c r="AA1344" s="27"/>
      <c r="AB1344" s="28">
        <v>1.5988495</v>
      </c>
      <c r="AC1344" s="28">
        <v>1.3366043000000001</v>
      </c>
      <c r="AD1344" s="28">
        <v>5.3379579000000001</v>
      </c>
      <c r="AE1344" s="28">
        <v>2.2925301999999999</v>
      </c>
      <c r="AF1344" s="28">
        <v>72.912613100000002</v>
      </c>
      <c r="AG1344" s="28">
        <v>12.5962271</v>
      </c>
      <c r="AH1344" s="28">
        <v>3.9252178</v>
      </c>
      <c r="AI1344" s="28"/>
      <c r="AJ1344" s="28"/>
      <c r="AK1344" s="28">
        <v>2.6320785</v>
      </c>
      <c r="AL1344" s="28">
        <v>3.0686491999999999</v>
      </c>
      <c r="AM1344" s="28">
        <v>4.5808289000000002</v>
      </c>
      <c r="AN1344" s="28">
        <v>0.51249599999999995</v>
      </c>
      <c r="AO1344" s="28">
        <v>77.235052199999998</v>
      </c>
      <c r="AP1344" s="28">
        <v>10.256247999999999</v>
      </c>
      <c r="AQ1344" s="28">
        <v>1.7146473</v>
      </c>
      <c r="AR1344" s="29"/>
      <c r="AS1344" s="29"/>
    </row>
    <row r="1345" spans="2:45" ht="15" hidden="1" customHeight="1" x14ac:dyDescent="0.25">
      <c r="B1345" s="30">
        <v>1339</v>
      </c>
      <c r="C1345" s="31" t="s">
        <v>29</v>
      </c>
      <c r="D1345" s="50" t="s">
        <v>438</v>
      </c>
      <c r="E1345" s="50" t="s">
        <v>439</v>
      </c>
      <c r="F1345" s="50"/>
      <c r="G1345" s="31" t="s">
        <v>439</v>
      </c>
      <c r="H1345" s="32">
        <v>15448</v>
      </c>
      <c r="I1345" s="32">
        <v>2613</v>
      </c>
      <c r="J1345" s="32">
        <v>8294</v>
      </c>
      <c r="K1345" s="32">
        <v>303</v>
      </c>
      <c r="L1345" s="32">
        <v>116</v>
      </c>
      <c r="M1345" s="32">
        <v>3610</v>
      </c>
      <c r="N1345" s="32">
        <v>345</v>
      </c>
      <c r="O1345" s="32">
        <v>167</v>
      </c>
      <c r="P1345" s="32"/>
      <c r="Q1345" s="32"/>
      <c r="R1345" s="32">
        <v>19831</v>
      </c>
      <c r="S1345" s="32">
        <v>5294</v>
      </c>
      <c r="T1345" s="32">
        <v>9297</v>
      </c>
      <c r="U1345" s="32">
        <v>166</v>
      </c>
      <c r="V1345" s="32">
        <v>34</v>
      </c>
      <c r="W1345" s="32">
        <v>4624</v>
      </c>
      <c r="X1345" s="32">
        <v>315</v>
      </c>
      <c r="Y1345" s="32">
        <v>101</v>
      </c>
      <c r="Z1345" s="32"/>
      <c r="AA1345" s="32"/>
      <c r="AB1345" s="33">
        <v>16.914811</v>
      </c>
      <c r="AC1345" s="33">
        <v>53.689798000000003</v>
      </c>
      <c r="AD1345" s="33">
        <v>1.961419</v>
      </c>
      <c r="AE1345" s="33">
        <v>0.75090630000000003</v>
      </c>
      <c r="AF1345" s="33">
        <v>23.3687209</v>
      </c>
      <c r="AG1345" s="33">
        <v>2.2332988</v>
      </c>
      <c r="AH1345" s="33">
        <v>1.0810461</v>
      </c>
      <c r="AI1345" s="33"/>
      <c r="AJ1345" s="33"/>
      <c r="AK1345" s="33">
        <v>26.6955776</v>
      </c>
      <c r="AL1345" s="33">
        <v>46.881145699999998</v>
      </c>
      <c r="AM1345" s="33">
        <v>0.83707330000000002</v>
      </c>
      <c r="AN1345" s="33">
        <v>0.17144870000000001</v>
      </c>
      <c r="AO1345" s="33">
        <v>23.3170289</v>
      </c>
      <c r="AP1345" s="33">
        <v>1.5884221999999999</v>
      </c>
      <c r="AQ1345" s="33">
        <v>0.50930359999999997</v>
      </c>
      <c r="AR1345" s="34"/>
      <c r="AS1345" s="34"/>
    </row>
    <row r="1346" spans="2:45" ht="15" hidden="1" customHeight="1" x14ac:dyDescent="0.25">
      <c r="B1346" s="35">
        <v>1340</v>
      </c>
      <c r="C1346" s="36" t="s">
        <v>29</v>
      </c>
      <c r="D1346" s="36" t="s">
        <v>438</v>
      </c>
      <c r="E1346" s="36" t="s">
        <v>439</v>
      </c>
      <c r="F1346" s="36"/>
      <c r="G1346" s="37" t="s">
        <v>25</v>
      </c>
      <c r="H1346" s="38">
        <v>12588</v>
      </c>
      <c r="I1346" s="38">
        <v>2573</v>
      </c>
      <c r="J1346" s="38">
        <v>8197</v>
      </c>
      <c r="K1346" s="38">
        <v>186</v>
      </c>
      <c r="L1346" s="38">
        <v>70</v>
      </c>
      <c r="M1346" s="38">
        <v>1387</v>
      </c>
      <c r="N1346" s="38">
        <v>98</v>
      </c>
      <c r="O1346" s="38">
        <v>77</v>
      </c>
      <c r="P1346" s="38"/>
      <c r="Q1346" s="38"/>
      <c r="R1346" s="38">
        <v>16656</v>
      </c>
      <c r="S1346" s="38">
        <v>5215</v>
      </c>
      <c r="T1346" s="38">
        <v>8991</v>
      </c>
      <c r="U1346" s="38">
        <v>114</v>
      </c>
      <c r="V1346" s="38">
        <v>24</v>
      </c>
      <c r="W1346" s="38">
        <v>2173</v>
      </c>
      <c r="X1346" s="38">
        <v>67</v>
      </c>
      <c r="Y1346" s="38">
        <v>72</v>
      </c>
      <c r="Z1346" s="38"/>
      <c r="AA1346" s="38"/>
      <c r="AB1346" s="39">
        <v>20.4401017</v>
      </c>
      <c r="AC1346" s="39">
        <v>65.117572300000006</v>
      </c>
      <c r="AD1346" s="39">
        <v>1.4775977</v>
      </c>
      <c r="AE1346" s="39">
        <v>0.55608519999999995</v>
      </c>
      <c r="AF1346" s="39">
        <v>11.0184303</v>
      </c>
      <c r="AG1346" s="39">
        <v>0.77851919999999997</v>
      </c>
      <c r="AH1346" s="39">
        <v>0.61169370000000001</v>
      </c>
      <c r="AI1346" s="39"/>
      <c r="AJ1346" s="39"/>
      <c r="AK1346" s="39">
        <v>31.3100384</v>
      </c>
      <c r="AL1346" s="39">
        <v>53.980547600000001</v>
      </c>
      <c r="AM1346" s="39">
        <v>0.68443799999999999</v>
      </c>
      <c r="AN1346" s="39">
        <v>0.1440922</v>
      </c>
      <c r="AO1346" s="39">
        <v>13.0463497</v>
      </c>
      <c r="AP1346" s="39">
        <v>0.40225739999999999</v>
      </c>
      <c r="AQ1346" s="39">
        <v>0.43227670000000001</v>
      </c>
      <c r="AR1346" s="40"/>
      <c r="AS1346" s="40"/>
    </row>
    <row r="1347" spans="2:45" ht="15" hidden="1" customHeight="1" x14ac:dyDescent="0.25">
      <c r="B1347" s="35">
        <v>1341</v>
      </c>
      <c r="C1347" s="36" t="s">
        <v>29</v>
      </c>
      <c r="D1347" s="36" t="s">
        <v>438</v>
      </c>
      <c r="E1347" s="36" t="s">
        <v>439</v>
      </c>
      <c r="F1347" s="36"/>
      <c r="G1347" s="37" t="s">
        <v>26</v>
      </c>
      <c r="H1347" s="38">
        <v>2860</v>
      </c>
      <c r="I1347" s="38">
        <v>40</v>
      </c>
      <c r="J1347" s="38">
        <v>97</v>
      </c>
      <c r="K1347" s="38">
        <v>117</v>
      </c>
      <c r="L1347" s="38">
        <v>46</v>
      </c>
      <c r="M1347" s="38">
        <v>2223</v>
      </c>
      <c r="N1347" s="38">
        <v>247</v>
      </c>
      <c r="O1347" s="38">
        <v>90</v>
      </c>
      <c r="P1347" s="38"/>
      <c r="Q1347" s="38"/>
      <c r="R1347" s="38">
        <v>3175</v>
      </c>
      <c r="S1347" s="38">
        <v>79</v>
      </c>
      <c r="T1347" s="38">
        <v>306</v>
      </c>
      <c r="U1347" s="38">
        <v>52</v>
      </c>
      <c r="V1347" s="38">
        <v>10</v>
      </c>
      <c r="W1347" s="38">
        <v>2451</v>
      </c>
      <c r="X1347" s="38">
        <v>248</v>
      </c>
      <c r="Y1347" s="38">
        <v>29</v>
      </c>
      <c r="Z1347" s="38"/>
      <c r="AA1347" s="38"/>
      <c r="AB1347" s="39">
        <v>1.3986014</v>
      </c>
      <c r="AC1347" s="39">
        <v>3.3916084</v>
      </c>
      <c r="AD1347" s="39">
        <v>4.0909091000000002</v>
      </c>
      <c r="AE1347" s="39">
        <v>1.6083916</v>
      </c>
      <c r="AF1347" s="39">
        <v>77.7272727</v>
      </c>
      <c r="AG1347" s="39">
        <v>8.6363635999999993</v>
      </c>
      <c r="AH1347" s="39">
        <v>3.1468531</v>
      </c>
      <c r="AI1347" s="39"/>
      <c r="AJ1347" s="39"/>
      <c r="AK1347" s="39">
        <v>2.4881890000000002</v>
      </c>
      <c r="AL1347" s="39">
        <v>9.6377953000000005</v>
      </c>
      <c r="AM1347" s="39">
        <v>1.6377953000000001</v>
      </c>
      <c r="AN1347" s="39">
        <v>0.31496059999999998</v>
      </c>
      <c r="AO1347" s="39">
        <v>77.196850400000002</v>
      </c>
      <c r="AP1347" s="39">
        <v>7.8110236000000004</v>
      </c>
      <c r="AQ1347" s="39">
        <v>0.91338580000000003</v>
      </c>
      <c r="AR1347" s="40"/>
      <c r="AS1347" s="40"/>
    </row>
    <row r="1348" spans="2:45" ht="15" customHeight="1" x14ac:dyDescent="0.25">
      <c r="B1348" s="41">
        <v>1342</v>
      </c>
      <c r="C1348" s="42" t="s">
        <v>31</v>
      </c>
      <c r="D1348" s="51" t="s">
        <v>438</v>
      </c>
      <c r="E1348" s="51" t="s">
        <v>439</v>
      </c>
      <c r="F1348" s="51" t="s">
        <v>440</v>
      </c>
      <c r="G1348" s="52" t="s">
        <v>440</v>
      </c>
      <c r="H1348" s="43">
        <v>12304</v>
      </c>
      <c r="I1348" s="43">
        <v>2491</v>
      </c>
      <c r="J1348" s="43">
        <v>8026</v>
      </c>
      <c r="K1348" s="43">
        <v>160</v>
      </c>
      <c r="L1348" s="43">
        <v>52</v>
      </c>
      <c r="M1348" s="43">
        <v>1369</v>
      </c>
      <c r="N1348" s="43">
        <v>112</v>
      </c>
      <c r="O1348" s="43">
        <v>94</v>
      </c>
      <c r="P1348" s="44">
        <f>K1348+L1348+M1348+N1348+O1348</f>
        <v>1787</v>
      </c>
      <c r="Q1348" s="44">
        <f>I1348+J1348</f>
        <v>10517</v>
      </c>
      <c r="R1348" s="43">
        <v>15564</v>
      </c>
      <c r="S1348" s="43">
        <v>4967</v>
      </c>
      <c r="T1348" s="43">
        <v>8703</v>
      </c>
      <c r="U1348" s="43">
        <v>80</v>
      </c>
      <c r="V1348" s="43">
        <v>19</v>
      </c>
      <c r="W1348" s="43">
        <v>1685</v>
      </c>
      <c r="X1348" s="43">
        <v>64</v>
      </c>
      <c r="Y1348" s="43">
        <v>46</v>
      </c>
      <c r="Z1348" s="45">
        <f>U1348+V1348+W1348+X1348+Y1348</f>
        <v>1894</v>
      </c>
      <c r="AA1348" s="45">
        <f>S1348+T1348</f>
        <v>13670</v>
      </c>
      <c r="AB1348" s="46">
        <v>20.2454486</v>
      </c>
      <c r="AC1348" s="46">
        <v>65.230819199999999</v>
      </c>
      <c r="AD1348" s="46">
        <v>1.3003901</v>
      </c>
      <c r="AE1348" s="46">
        <v>0.42262680000000002</v>
      </c>
      <c r="AF1348" s="46">
        <v>11.1264629</v>
      </c>
      <c r="AG1348" s="46">
        <v>0.91027309999999995</v>
      </c>
      <c r="AH1348" s="46">
        <v>0.76397919999999997</v>
      </c>
      <c r="AI1348" s="47">
        <f>AB1348+AC1348</f>
        <v>85.476267800000002</v>
      </c>
      <c r="AJ1348" s="47">
        <f>AD1348+AE1348+AF1348+AG1348+AH1348</f>
        <v>14.523732099999998</v>
      </c>
      <c r="AK1348" s="46">
        <v>31.913389899999999</v>
      </c>
      <c r="AL1348" s="46">
        <v>55.917501899999998</v>
      </c>
      <c r="AM1348" s="46">
        <v>0.51400670000000004</v>
      </c>
      <c r="AN1348" s="46">
        <v>0.12207659999999999</v>
      </c>
      <c r="AO1348" s="46">
        <v>10.8262657</v>
      </c>
      <c r="AP1348" s="46">
        <v>0.4112053</v>
      </c>
      <c r="AQ1348" s="46">
        <v>0.29555379999999998</v>
      </c>
      <c r="AR1348" s="48">
        <f>AK1348+AL1348</f>
        <v>87.830891799999989</v>
      </c>
      <c r="AS1348" s="48">
        <f>AM1348+AN1348+AO1348+AP1348+AQ1348</f>
        <v>12.169108100000001</v>
      </c>
    </row>
    <row r="1349" spans="2:45" ht="15" hidden="1" customHeight="1" x14ac:dyDescent="0.25">
      <c r="B1349" s="35">
        <v>1343</v>
      </c>
      <c r="C1349" s="36" t="s">
        <v>31</v>
      </c>
      <c r="D1349" s="36" t="s">
        <v>438</v>
      </c>
      <c r="E1349" s="36" t="s">
        <v>439</v>
      </c>
      <c r="F1349" s="36" t="s">
        <v>440</v>
      </c>
      <c r="G1349" s="37" t="s">
        <v>25</v>
      </c>
      <c r="H1349" s="38">
        <v>11775</v>
      </c>
      <c r="I1349" s="38">
        <v>2472</v>
      </c>
      <c r="J1349" s="38">
        <v>7957</v>
      </c>
      <c r="K1349" s="38">
        <v>137</v>
      </c>
      <c r="L1349" s="38">
        <v>50</v>
      </c>
      <c r="M1349" s="38">
        <v>1014</v>
      </c>
      <c r="N1349" s="38">
        <v>74</v>
      </c>
      <c r="O1349" s="38">
        <v>71</v>
      </c>
      <c r="P1349" s="38"/>
      <c r="Q1349" s="38"/>
      <c r="R1349" s="38">
        <v>14979</v>
      </c>
      <c r="S1349" s="38">
        <v>4933</v>
      </c>
      <c r="T1349" s="38">
        <v>8592</v>
      </c>
      <c r="U1349" s="38">
        <v>74</v>
      </c>
      <c r="V1349" s="38">
        <v>17</v>
      </c>
      <c r="W1349" s="38">
        <v>1280</v>
      </c>
      <c r="X1349" s="38">
        <v>40</v>
      </c>
      <c r="Y1349" s="38">
        <v>43</v>
      </c>
      <c r="Z1349" s="38"/>
      <c r="AA1349" s="38"/>
      <c r="AB1349" s="39">
        <v>20.993630599999999</v>
      </c>
      <c r="AC1349" s="39">
        <v>67.575371500000003</v>
      </c>
      <c r="AD1349" s="39">
        <v>1.1634819999999999</v>
      </c>
      <c r="AE1349" s="39">
        <v>0.42462850000000002</v>
      </c>
      <c r="AF1349" s="39">
        <v>8.6114650000000008</v>
      </c>
      <c r="AG1349" s="39">
        <v>0.62845010000000001</v>
      </c>
      <c r="AH1349" s="39">
        <v>0.60297239999999996</v>
      </c>
      <c r="AI1349" s="39"/>
      <c r="AJ1349" s="39"/>
      <c r="AK1349" s="39">
        <v>32.932772499999999</v>
      </c>
      <c r="AL1349" s="39">
        <v>57.360304399999997</v>
      </c>
      <c r="AM1349" s="39">
        <v>0.49402499999999999</v>
      </c>
      <c r="AN1349" s="39">
        <v>0.1134922</v>
      </c>
      <c r="AO1349" s="39">
        <v>8.5452966999999997</v>
      </c>
      <c r="AP1349" s="39">
        <v>0.26704050000000001</v>
      </c>
      <c r="AQ1349" s="39">
        <v>0.28706860000000001</v>
      </c>
      <c r="AR1349" s="40"/>
      <c r="AS1349" s="40"/>
    </row>
    <row r="1350" spans="2:45" ht="15" hidden="1" customHeight="1" x14ac:dyDescent="0.25">
      <c r="B1350" s="35">
        <v>1344</v>
      </c>
      <c r="C1350" s="36" t="s">
        <v>31</v>
      </c>
      <c r="D1350" s="36" t="s">
        <v>438</v>
      </c>
      <c r="E1350" s="36" t="s">
        <v>439</v>
      </c>
      <c r="F1350" s="36" t="s">
        <v>440</v>
      </c>
      <c r="G1350" s="37" t="s">
        <v>26</v>
      </c>
      <c r="H1350" s="38">
        <v>529</v>
      </c>
      <c r="I1350" s="38">
        <v>19</v>
      </c>
      <c r="J1350" s="38">
        <v>69</v>
      </c>
      <c r="K1350" s="38">
        <v>23</v>
      </c>
      <c r="L1350" s="38">
        <v>2</v>
      </c>
      <c r="M1350" s="38">
        <v>355</v>
      </c>
      <c r="N1350" s="38">
        <v>38</v>
      </c>
      <c r="O1350" s="38">
        <v>23</v>
      </c>
      <c r="P1350" s="38"/>
      <c r="Q1350" s="38"/>
      <c r="R1350" s="38">
        <v>585</v>
      </c>
      <c r="S1350" s="38">
        <v>34</v>
      </c>
      <c r="T1350" s="38">
        <v>111</v>
      </c>
      <c r="U1350" s="38">
        <v>6</v>
      </c>
      <c r="V1350" s="38">
        <v>2</v>
      </c>
      <c r="W1350" s="38">
        <v>405</v>
      </c>
      <c r="X1350" s="38">
        <v>24</v>
      </c>
      <c r="Y1350" s="38">
        <v>3</v>
      </c>
      <c r="Z1350" s="38"/>
      <c r="AA1350" s="38"/>
      <c r="AB1350" s="39">
        <v>3.5916823999999998</v>
      </c>
      <c r="AC1350" s="39">
        <v>13.0434783</v>
      </c>
      <c r="AD1350" s="39">
        <v>4.3478260999999998</v>
      </c>
      <c r="AE1350" s="39">
        <v>0.37807180000000001</v>
      </c>
      <c r="AF1350" s="39">
        <v>67.107750499999995</v>
      </c>
      <c r="AG1350" s="39">
        <v>7.1833647999999997</v>
      </c>
      <c r="AH1350" s="39">
        <v>4.3478260999999998</v>
      </c>
      <c r="AI1350" s="39"/>
      <c r="AJ1350" s="39"/>
      <c r="AK1350" s="39">
        <v>5.8119658000000003</v>
      </c>
      <c r="AL1350" s="39">
        <v>18.974359</v>
      </c>
      <c r="AM1350" s="39">
        <v>1.025641</v>
      </c>
      <c r="AN1350" s="39">
        <v>0.34188030000000003</v>
      </c>
      <c r="AO1350" s="39">
        <v>69.230769199999997</v>
      </c>
      <c r="AP1350" s="39">
        <v>4.1025641000000004</v>
      </c>
      <c r="AQ1350" s="39">
        <v>0.51282050000000001</v>
      </c>
      <c r="AR1350" s="40"/>
      <c r="AS1350" s="40"/>
    </row>
    <row r="1351" spans="2:45" ht="15" customHeight="1" x14ac:dyDescent="0.25">
      <c r="B1351" s="41">
        <v>1345</v>
      </c>
      <c r="C1351" s="42" t="s">
        <v>31</v>
      </c>
      <c r="D1351" s="51" t="s">
        <v>438</v>
      </c>
      <c r="E1351" s="51" t="s">
        <v>439</v>
      </c>
      <c r="F1351" s="51" t="s">
        <v>441</v>
      </c>
      <c r="G1351" s="52" t="s">
        <v>441</v>
      </c>
      <c r="H1351" s="43">
        <v>1655</v>
      </c>
      <c r="I1351" s="43">
        <v>113</v>
      </c>
      <c r="J1351" s="43">
        <v>267</v>
      </c>
      <c r="K1351" s="43">
        <v>72</v>
      </c>
      <c r="L1351" s="43">
        <v>39</v>
      </c>
      <c r="M1351" s="43">
        <v>1035</v>
      </c>
      <c r="N1351" s="43">
        <v>97</v>
      </c>
      <c r="O1351" s="43">
        <v>32</v>
      </c>
      <c r="P1351" s="44">
        <f>K1351+L1351+M1351+N1351+O1351</f>
        <v>1275</v>
      </c>
      <c r="Q1351" s="44">
        <f>I1351+J1351</f>
        <v>380</v>
      </c>
      <c r="R1351" s="43">
        <v>2230</v>
      </c>
      <c r="S1351" s="43">
        <v>285</v>
      </c>
      <c r="T1351" s="43">
        <v>402</v>
      </c>
      <c r="U1351" s="43">
        <v>45</v>
      </c>
      <c r="V1351" s="43">
        <v>8</v>
      </c>
      <c r="W1351" s="43">
        <v>1387</v>
      </c>
      <c r="X1351" s="43">
        <v>70</v>
      </c>
      <c r="Y1351" s="43">
        <v>33</v>
      </c>
      <c r="Z1351" s="45">
        <f>U1351+V1351+W1351+X1351+Y1351</f>
        <v>1543</v>
      </c>
      <c r="AA1351" s="45">
        <f>S1351+T1351</f>
        <v>687</v>
      </c>
      <c r="AB1351" s="46">
        <v>6.8277945999999998</v>
      </c>
      <c r="AC1351" s="46">
        <v>16.132930500000001</v>
      </c>
      <c r="AD1351" s="46">
        <v>4.3504531999999996</v>
      </c>
      <c r="AE1351" s="46">
        <v>2.3564954999999999</v>
      </c>
      <c r="AF1351" s="46">
        <v>62.5377644</v>
      </c>
      <c r="AG1351" s="46">
        <v>5.8610271999999997</v>
      </c>
      <c r="AH1351" s="46">
        <v>1.9335347000000001</v>
      </c>
      <c r="AI1351" s="47">
        <f>AB1351+AC1351</f>
        <v>22.960725100000001</v>
      </c>
      <c r="AJ1351" s="47">
        <f>AD1351+AE1351+AF1351+AG1351+AH1351</f>
        <v>77.039274999999989</v>
      </c>
      <c r="AK1351" s="46">
        <v>12.7802691</v>
      </c>
      <c r="AL1351" s="46">
        <v>18.026905800000002</v>
      </c>
      <c r="AM1351" s="46">
        <v>2.0179372</v>
      </c>
      <c r="AN1351" s="46">
        <v>0.35874440000000002</v>
      </c>
      <c r="AO1351" s="46">
        <v>62.197309400000002</v>
      </c>
      <c r="AP1351" s="46">
        <v>3.1390134999999999</v>
      </c>
      <c r="AQ1351" s="46">
        <v>1.4798206</v>
      </c>
      <c r="AR1351" s="48">
        <f>AK1351+AL1351</f>
        <v>30.8071749</v>
      </c>
      <c r="AS1351" s="48">
        <f>AM1351+AN1351+AO1351+AP1351+AQ1351</f>
        <v>69.192825100000007</v>
      </c>
    </row>
    <row r="1352" spans="2:45" ht="15" hidden="1" customHeight="1" x14ac:dyDescent="0.25">
      <c r="B1352" s="35">
        <v>1346</v>
      </c>
      <c r="C1352" s="36" t="s">
        <v>31</v>
      </c>
      <c r="D1352" s="36" t="s">
        <v>438</v>
      </c>
      <c r="E1352" s="36" t="s">
        <v>439</v>
      </c>
      <c r="F1352" s="36" t="s">
        <v>441</v>
      </c>
      <c r="G1352" s="37" t="s">
        <v>25</v>
      </c>
      <c r="H1352" s="38">
        <v>813</v>
      </c>
      <c r="I1352" s="38">
        <v>101</v>
      </c>
      <c r="J1352" s="38">
        <v>240</v>
      </c>
      <c r="K1352" s="38">
        <v>49</v>
      </c>
      <c r="L1352" s="38">
        <v>20</v>
      </c>
      <c r="M1352" s="38">
        <v>373</v>
      </c>
      <c r="N1352" s="38">
        <v>24</v>
      </c>
      <c r="O1352" s="38">
        <v>6</v>
      </c>
      <c r="P1352" s="38"/>
      <c r="Q1352" s="38"/>
      <c r="R1352" s="38">
        <v>1677</v>
      </c>
      <c r="S1352" s="38">
        <v>282</v>
      </c>
      <c r="T1352" s="38">
        <v>399</v>
      </c>
      <c r="U1352" s="38">
        <v>40</v>
      </c>
      <c r="V1352" s="38">
        <v>7</v>
      </c>
      <c r="W1352" s="38">
        <v>893</v>
      </c>
      <c r="X1352" s="38">
        <v>27</v>
      </c>
      <c r="Y1352" s="38">
        <v>29</v>
      </c>
      <c r="Z1352" s="38"/>
      <c r="AA1352" s="38"/>
      <c r="AB1352" s="39">
        <v>12.4231242</v>
      </c>
      <c r="AC1352" s="39">
        <v>29.5202952</v>
      </c>
      <c r="AD1352" s="39">
        <v>6.0270602999999996</v>
      </c>
      <c r="AE1352" s="39">
        <v>2.4600246000000001</v>
      </c>
      <c r="AF1352" s="39">
        <v>45.879458800000002</v>
      </c>
      <c r="AG1352" s="39">
        <v>2.9520295000000001</v>
      </c>
      <c r="AH1352" s="39">
        <v>0.73800739999999998</v>
      </c>
      <c r="AI1352" s="39"/>
      <c r="AJ1352" s="39"/>
      <c r="AK1352" s="39">
        <v>16.815742400000001</v>
      </c>
      <c r="AL1352" s="39">
        <v>23.7924866</v>
      </c>
      <c r="AM1352" s="39">
        <v>2.3852117000000002</v>
      </c>
      <c r="AN1352" s="39">
        <v>0.41741200000000001</v>
      </c>
      <c r="AO1352" s="39">
        <v>53.249850899999998</v>
      </c>
      <c r="AP1352" s="39">
        <v>1.6100178999999999</v>
      </c>
      <c r="AQ1352" s="39">
        <v>1.7292784999999999</v>
      </c>
      <c r="AR1352" s="40"/>
      <c r="AS1352" s="40"/>
    </row>
    <row r="1353" spans="2:45" ht="15" hidden="1" customHeight="1" x14ac:dyDescent="0.25">
      <c r="B1353" s="35">
        <v>1347</v>
      </c>
      <c r="C1353" s="36" t="s">
        <v>31</v>
      </c>
      <c r="D1353" s="36" t="s">
        <v>438</v>
      </c>
      <c r="E1353" s="36" t="s">
        <v>439</v>
      </c>
      <c r="F1353" s="36" t="s">
        <v>441</v>
      </c>
      <c r="G1353" s="37" t="s">
        <v>26</v>
      </c>
      <c r="H1353" s="38">
        <v>842</v>
      </c>
      <c r="I1353" s="38">
        <v>12</v>
      </c>
      <c r="J1353" s="38">
        <v>27</v>
      </c>
      <c r="K1353" s="38">
        <v>23</v>
      </c>
      <c r="L1353" s="38">
        <v>19</v>
      </c>
      <c r="M1353" s="38">
        <v>662</v>
      </c>
      <c r="N1353" s="38">
        <v>73</v>
      </c>
      <c r="O1353" s="38">
        <v>26</v>
      </c>
      <c r="P1353" s="38"/>
      <c r="Q1353" s="38"/>
      <c r="R1353" s="38">
        <v>553</v>
      </c>
      <c r="S1353" s="38">
        <v>3</v>
      </c>
      <c r="T1353" s="38">
        <v>3</v>
      </c>
      <c r="U1353" s="38">
        <v>5</v>
      </c>
      <c r="V1353" s="38">
        <v>1</v>
      </c>
      <c r="W1353" s="38">
        <v>494</v>
      </c>
      <c r="X1353" s="38">
        <v>43</v>
      </c>
      <c r="Y1353" s="38">
        <v>4</v>
      </c>
      <c r="Z1353" s="38"/>
      <c r="AA1353" s="38"/>
      <c r="AB1353" s="39">
        <v>1.4251780999999999</v>
      </c>
      <c r="AC1353" s="39">
        <v>3.2066507999999998</v>
      </c>
      <c r="AD1353" s="39">
        <v>2.7315914000000001</v>
      </c>
      <c r="AE1353" s="39">
        <v>2.2565320999999998</v>
      </c>
      <c r="AF1353" s="39">
        <v>78.622327799999994</v>
      </c>
      <c r="AG1353" s="39">
        <v>8.6698336999999999</v>
      </c>
      <c r="AH1353" s="39">
        <v>3.0878860000000001</v>
      </c>
      <c r="AI1353" s="39"/>
      <c r="AJ1353" s="39"/>
      <c r="AK1353" s="39">
        <v>0.54249550000000002</v>
      </c>
      <c r="AL1353" s="39">
        <v>0.54249550000000002</v>
      </c>
      <c r="AM1353" s="39">
        <v>0.90415909999999999</v>
      </c>
      <c r="AN1353" s="39">
        <v>0.18083179999999999</v>
      </c>
      <c r="AO1353" s="39">
        <v>89.330922200000003</v>
      </c>
      <c r="AP1353" s="39">
        <v>7.7757684999999999</v>
      </c>
      <c r="AQ1353" s="39">
        <v>0.72332730000000001</v>
      </c>
      <c r="AR1353" s="40"/>
      <c r="AS1353" s="40"/>
    </row>
    <row r="1354" spans="2:45" ht="15" customHeight="1" x14ac:dyDescent="0.25">
      <c r="B1354" s="41">
        <v>1348</v>
      </c>
      <c r="C1354" s="42" t="s">
        <v>31</v>
      </c>
      <c r="D1354" s="51" t="s">
        <v>438</v>
      </c>
      <c r="E1354" s="51" t="s">
        <v>439</v>
      </c>
      <c r="F1354" s="51" t="s">
        <v>442</v>
      </c>
      <c r="G1354" s="52" t="s">
        <v>442</v>
      </c>
      <c r="H1354" s="43">
        <v>545</v>
      </c>
      <c r="I1354" s="43">
        <v>0</v>
      </c>
      <c r="J1354" s="43">
        <v>0</v>
      </c>
      <c r="K1354" s="43">
        <v>18</v>
      </c>
      <c r="L1354" s="43">
        <v>3</v>
      </c>
      <c r="M1354" s="43">
        <v>440</v>
      </c>
      <c r="N1354" s="43">
        <v>60</v>
      </c>
      <c r="O1354" s="43">
        <v>24</v>
      </c>
      <c r="P1354" s="44">
        <f>K1354+L1354+M1354+N1354+O1354</f>
        <v>545</v>
      </c>
      <c r="Q1354" s="44">
        <f>I1354+J1354</f>
        <v>0</v>
      </c>
      <c r="R1354" s="43">
        <v>802</v>
      </c>
      <c r="S1354" s="43">
        <v>10</v>
      </c>
      <c r="T1354" s="43">
        <v>2</v>
      </c>
      <c r="U1354" s="43">
        <v>9</v>
      </c>
      <c r="V1354" s="43">
        <v>5</v>
      </c>
      <c r="W1354" s="43">
        <v>683</v>
      </c>
      <c r="X1354" s="43">
        <v>83</v>
      </c>
      <c r="Y1354" s="43">
        <v>10</v>
      </c>
      <c r="Z1354" s="45">
        <f>U1354+V1354+W1354+X1354+Y1354</f>
        <v>790</v>
      </c>
      <c r="AA1354" s="45">
        <f>S1354+T1354</f>
        <v>12</v>
      </c>
      <c r="AB1354" s="46">
        <v>0</v>
      </c>
      <c r="AC1354" s="46">
        <v>0</v>
      </c>
      <c r="AD1354" s="46">
        <v>3.3027522999999999</v>
      </c>
      <c r="AE1354" s="46">
        <v>0.55045869999999997</v>
      </c>
      <c r="AF1354" s="46">
        <v>80.733945000000006</v>
      </c>
      <c r="AG1354" s="46">
        <v>11.0091743</v>
      </c>
      <c r="AH1354" s="46">
        <v>4.4036697</v>
      </c>
      <c r="AI1354" s="47">
        <f>AB1354+AC1354</f>
        <v>0</v>
      </c>
      <c r="AJ1354" s="47">
        <f>AD1354+AE1354+AF1354+AG1354+AH1354</f>
        <v>100</v>
      </c>
      <c r="AK1354" s="46">
        <v>1.2468828000000001</v>
      </c>
      <c r="AL1354" s="46">
        <v>0.2493766</v>
      </c>
      <c r="AM1354" s="46">
        <v>1.1221945</v>
      </c>
      <c r="AN1354" s="46">
        <v>0.62344140000000003</v>
      </c>
      <c r="AO1354" s="46">
        <v>85.162094800000006</v>
      </c>
      <c r="AP1354" s="46">
        <v>10.3491272</v>
      </c>
      <c r="AQ1354" s="46">
        <v>1.2468828000000001</v>
      </c>
      <c r="AR1354" s="48">
        <f>AK1354+AL1354</f>
        <v>1.4962594</v>
      </c>
      <c r="AS1354" s="48">
        <f>AM1354+AN1354+AO1354+AP1354+AQ1354</f>
        <v>98.503740699999994</v>
      </c>
    </row>
    <row r="1355" spans="2:45" ht="15" hidden="1" customHeight="1" x14ac:dyDescent="0.25">
      <c r="B1355" s="35">
        <v>1349</v>
      </c>
      <c r="C1355" s="36" t="s">
        <v>31</v>
      </c>
      <c r="D1355" s="36" t="s">
        <v>438</v>
      </c>
      <c r="E1355" s="36" t="s">
        <v>439</v>
      </c>
      <c r="F1355" s="36" t="s">
        <v>442</v>
      </c>
      <c r="G1355" s="37" t="s">
        <v>25</v>
      </c>
      <c r="H1355" s="38"/>
      <c r="I1355" s="38"/>
      <c r="J1355" s="38"/>
      <c r="K1355" s="38"/>
      <c r="L1355" s="38"/>
      <c r="M1355" s="38"/>
      <c r="N1355" s="38"/>
      <c r="O1355" s="38"/>
      <c r="P1355" s="38"/>
      <c r="Q1355" s="38"/>
      <c r="R1355" s="38"/>
      <c r="S1355" s="38"/>
      <c r="T1355" s="38"/>
      <c r="U1355" s="38"/>
      <c r="V1355" s="38"/>
      <c r="W1355" s="38"/>
      <c r="X1355" s="38"/>
      <c r="Y1355" s="38"/>
      <c r="Z1355" s="38"/>
      <c r="AA1355" s="38"/>
      <c r="AB1355" s="39"/>
      <c r="AC1355" s="39"/>
      <c r="AD1355" s="39"/>
      <c r="AE1355" s="39"/>
      <c r="AF1355" s="39"/>
      <c r="AG1355" s="39"/>
      <c r="AH1355" s="39"/>
      <c r="AI1355" s="39"/>
      <c r="AJ1355" s="39"/>
      <c r="AK1355" s="39"/>
      <c r="AL1355" s="39"/>
      <c r="AM1355" s="39"/>
      <c r="AN1355" s="39"/>
      <c r="AO1355" s="39"/>
      <c r="AP1355" s="39"/>
      <c r="AQ1355" s="39"/>
      <c r="AR1355" s="40"/>
      <c r="AS1355" s="40"/>
    </row>
    <row r="1356" spans="2:45" ht="15" hidden="1" customHeight="1" x14ac:dyDescent="0.25">
      <c r="B1356" s="35">
        <v>1350</v>
      </c>
      <c r="C1356" s="36" t="s">
        <v>31</v>
      </c>
      <c r="D1356" s="36" t="s">
        <v>438</v>
      </c>
      <c r="E1356" s="36" t="s">
        <v>439</v>
      </c>
      <c r="F1356" s="36" t="s">
        <v>442</v>
      </c>
      <c r="G1356" s="37" t="s">
        <v>26</v>
      </c>
      <c r="H1356" s="38">
        <v>545</v>
      </c>
      <c r="I1356" s="38">
        <v>0</v>
      </c>
      <c r="J1356" s="38">
        <v>0</v>
      </c>
      <c r="K1356" s="38">
        <v>18</v>
      </c>
      <c r="L1356" s="38">
        <v>3</v>
      </c>
      <c r="M1356" s="38">
        <v>440</v>
      </c>
      <c r="N1356" s="38">
        <v>60</v>
      </c>
      <c r="O1356" s="38">
        <v>24</v>
      </c>
      <c r="P1356" s="38"/>
      <c r="Q1356" s="38"/>
      <c r="R1356" s="38">
        <v>802</v>
      </c>
      <c r="S1356" s="38">
        <v>10</v>
      </c>
      <c r="T1356" s="38">
        <v>2</v>
      </c>
      <c r="U1356" s="38">
        <v>9</v>
      </c>
      <c r="V1356" s="38">
        <v>5</v>
      </c>
      <c r="W1356" s="38">
        <v>683</v>
      </c>
      <c r="X1356" s="38">
        <v>83</v>
      </c>
      <c r="Y1356" s="38">
        <v>10</v>
      </c>
      <c r="Z1356" s="38"/>
      <c r="AA1356" s="38"/>
      <c r="AB1356" s="39">
        <v>0</v>
      </c>
      <c r="AC1356" s="39">
        <v>0</v>
      </c>
      <c r="AD1356" s="39">
        <v>3.3027522999999999</v>
      </c>
      <c r="AE1356" s="39">
        <v>0.55045869999999997</v>
      </c>
      <c r="AF1356" s="39">
        <v>80.733945000000006</v>
      </c>
      <c r="AG1356" s="39">
        <v>11.0091743</v>
      </c>
      <c r="AH1356" s="39">
        <v>4.4036697</v>
      </c>
      <c r="AI1356" s="39"/>
      <c r="AJ1356" s="39"/>
      <c r="AK1356" s="39">
        <v>1.2468828000000001</v>
      </c>
      <c r="AL1356" s="39">
        <v>0.2493766</v>
      </c>
      <c r="AM1356" s="39">
        <v>1.1221945</v>
      </c>
      <c r="AN1356" s="39">
        <v>0.62344140000000003</v>
      </c>
      <c r="AO1356" s="39">
        <v>85.162094800000006</v>
      </c>
      <c r="AP1356" s="39">
        <v>10.3491272</v>
      </c>
      <c r="AQ1356" s="39">
        <v>1.2468828000000001</v>
      </c>
      <c r="AR1356" s="40"/>
      <c r="AS1356" s="40"/>
    </row>
    <row r="1357" spans="2:45" ht="15" customHeight="1" x14ac:dyDescent="0.25">
      <c r="B1357" s="41">
        <v>1351</v>
      </c>
      <c r="C1357" s="42" t="s">
        <v>31</v>
      </c>
      <c r="D1357" s="51" t="s">
        <v>438</v>
      </c>
      <c r="E1357" s="51" t="s">
        <v>439</v>
      </c>
      <c r="F1357" s="51" t="s">
        <v>443</v>
      </c>
      <c r="G1357" s="52" t="s">
        <v>443</v>
      </c>
      <c r="H1357" s="43">
        <v>944</v>
      </c>
      <c r="I1357" s="43">
        <v>9</v>
      </c>
      <c r="J1357" s="43">
        <v>1</v>
      </c>
      <c r="K1357" s="43">
        <v>53</v>
      </c>
      <c r="L1357" s="43">
        <v>22</v>
      </c>
      <c r="M1357" s="43">
        <v>766</v>
      </c>
      <c r="N1357" s="43">
        <v>76</v>
      </c>
      <c r="O1357" s="43">
        <v>17</v>
      </c>
      <c r="P1357" s="44">
        <f>K1357+L1357+M1357+N1357+O1357</f>
        <v>934</v>
      </c>
      <c r="Q1357" s="44">
        <f>I1357+J1357</f>
        <v>10</v>
      </c>
      <c r="R1357" s="43">
        <v>1235</v>
      </c>
      <c r="S1357" s="43">
        <v>32</v>
      </c>
      <c r="T1357" s="43">
        <v>190</v>
      </c>
      <c r="U1357" s="43">
        <v>32</v>
      </c>
      <c r="V1357" s="43">
        <v>2</v>
      </c>
      <c r="W1357" s="43">
        <v>869</v>
      </c>
      <c r="X1357" s="43">
        <v>98</v>
      </c>
      <c r="Y1357" s="43">
        <v>12</v>
      </c>
      <c r="Z1357" s="45">
        <f>U1357+V1357+W1357+X1357+Y1357</f>
        <v>1013</v>
      </c>
      <c r="AA1357" s="45">
        <f>S1357+T1357</f>
        <v>222</v>
      </c>
      <c r="AB1357" s="46">
        <v>0.95338979999999995</v>
      </c>
      <c r="AC1357" s="46">
        <v>0.1059322</v>
      </c>
      <c r="AD1357" s="46">
        <v>5.6144068000000003</v>
      </c>
      <c r="AE1357" s="46">
        <v>2.3305085000000001</v>
      </c>
      <c r="AF1357" s="46">
        <v>81.144067800000002</v>
      </c>
      <c r="AG1357" s="46">
        <v>8.0508474999999997</v>
      </c>
      <c r="AH1357" s="46">
        <v>1.8008474999999999</v>
      </c>
      <c r="AI1357" s="47">
        <f>AB1357+AC1357</f>
        <v>1.0593219999999999</v>
      </c>
      <c r="AJ1357" s="47">
        <f>AD1357+AE1357+AF1357+AG1357+AH1357</f>
        <v>98.940678100000014</v>
      </c>
      <c r="AK1357" s="46">
        <v>2.5910931000000001</v>
      </c>
      <c r="AL1357" s="46">
        <v>15.384615399999999</v>
      </c>
      <c r="AM1357" s="46">
        <v>2.5910931000000001</v>
      </c>
      <c r="AN1357" s="46">
        <v>0.16194330000000001</v>
      </c>
      <c r="AO1357" s="46">
        <v>70.364372500000002</v>
      </c>
      <c r="AP1357" s="46">
        <v>7.9352226999999997</v>
      </c>
      <c r="AQ1357" s="46">
        <v>0.97165990000000002</v>
      </c>
      <c r="AR1357" s="48">
        <f>AK1357+AL1357</f>
        <v>17.9757085</v>
      </c>
      <c r="AS1357" s="48">
        <f>AM1357+AN1357+AO1357+AP1357+AQ1357</f>
        <v>82.024291500000004</v>
      </c>
    </row>
    <row r="1358" spans="2:45" ht="15" hidden="1" customHeight="1" x14ac:dyDescent="0.25">
      <c r="B1358" s="35">
        <v>1352</v>
      </c>
      <c r="C1358" s="36" t="s">
        <v>31</v>
      </c>
      <c r="D1358" s="36" t="s">
        <v>438</v>
      </c>
      <c r="E1358" s="36" t="s">
        <v>439</v>
      </c>
      <c r="F1358" s="36" t="s">
        <v>443</v>
      </c>
      <c r="G1358" s="37" t="s">
        <v>25</v>
      </c>
      <c r="H1358" s="38"/>
      <c r="I1358" s="38"/>
      <c r="J1358" s="38"/>
      <c r="K1358" s="38"/>
      <c r="L1358" s="38"/>
      <c r="M1358" s="38"/>
      <c r="N1358" s="38"/>
      <c r="O1358" s="38"/>
      <c r="P1358" s="38"/>
      <c r="Q1358" s="38"/>
      <c r="R1358" s="38"/>
      <c r="S1358" s="38"/>
      <c r="T1358" s="38"/>
      <c r="U1358" s="38"/>
      <c r="V1358" s="38"/>
      <c r="W1358" s="38"/>
      <c r="X1358" s="38"/>
      <c r="Y1358" s="38"/>
      <c r="Z1358" s="38"/>
      <c r="AA1358" s="38"/>
      <c r="AB1358" s="39"/>
      <c r="AC1358" s="39"/>
      <c r="AD1358" s="39"/>
      <c r="AE1358" s="39"/>
      <c r="AF1358" s="39"/>
      <c r="AG1358" s="39"/>
      <c r="AH1358" s="39"/>
      <c r="AI1358" s="39"/>
      <c r="AJ1358" s="39"/>
      <c r="AK1358" s="39"/>
      <c r="AL1358" s="39"/>
      <c r="AM1358" s="39"/>
      <c r="AN1358" s="39"/>
      <c r="AO1358" s="39"/>
      <c r="AP1358" s="39"/>
      <c r="AQ1358" s="39"/>
      <c r="AR1358" s="40"/>
      <c r="AS1358" s="40"/>
    </row>
    <row r="1359" spans="2:45" ht="15" hidden="1" customHeight="1" x14ac:dyDescent="0.25">
      <c r="B1359" s="35">
        <v>1353</v>
      </c>
      <c r="C1359" s="36" t="s">
        <v>31</v>
      </c>
      <c r="D1359" s="36" t="s">
        <v>438</v>
      </c>
      <c r="E1359" s="36" t="s">
        <v>439</v>
      </c>
      <c r="F1359" s="36" t="s">
        <v>443</v>
      </c>
      <c r="G1359" s="37" t="s">
        <v>26</v>
      </c>
      <c r="H1359" s="38">
        <v>944</v>
      </c>
      <c r="I1359" s="38">
        <v>9</v>
      </c>
      <c r="J1359" s="38">
        <v>1</v>
      </c>
      <c r="K1359" s="38">
        <v>53</v>
      </c>
      <c r="L1359" s="38">
        <v>22</v>
      </c>
      <c r="M1359" s="38">
        <v>766</v>
      </c>
      <c r="N1359" s="38">
        <v>76</v>
      </c>
      <c r="O1359" s="38">
        <v>17</v>
      </c>
      <c r="P1359" s="38"/>
      <c r="Q1359" s="38"/>
      <c r="R1359" s="38">
        <v>1235</v>
      </c>
      <c r="S1359" s="38">
        <v>32</v>
      </c>
      <c r="T1359" s="38">
        <v>190</v>
      </c>
      <c r="U1359" s="38">
        <v>32</v>
      </c>
      <c r="V1359" s="38">
        <v>2</v>
      </c>
      <c r="W1359" s="38">
        <v>869</v>
      </c>
      <c r="X1359" s="38">
        <v>98</v>
      </c>
      <c r="Y1359" s="38">
        <v>12</v>
      </c>
      <c r="Z1359" s="38"/>
      <c r="AA1359" s="38"/>
      <c r="AB1359" s="39">
        <v>0.95338979999999995</v>
      </c>
      <c r="AC1359" s="39">
        <v>0.1059322</v>
      </c>
      <c r="AD1359" s="39">
        <v>5.6144068000000003</v>
      </c>
      <c r="AE1359" s="39">
        <v>2.3305085000000001</v>
      </c>
      <c r="AF1359" s="39">
        <v>81.144067800000002</v>
      </c>
      <c r="AG1359" s="39">
        <v>8.0508474999999997</v>
      </c>
      <c r="AH1359" s="39">
        <v>1.8008474999999999</v>
      </c>
      <c r="AI1359" s="39"/>
      <c r="AJ1359" s="39"/>
      <c r="AK1359" s="39">
        <v>2.5910931000000001</v>
      </c>
      <c r="AL1359" s="39">
        <v>15.384615399999999</v>
      </c>
      <c r="AM1359" s="39">
        <v>2.5910931000000001</v>
      </c>
      <c r="AN1359" s="39">
        <v>0.16194330000000001</v>
      </c>
      <c r="AO1359" s="39">
        <v>70.364372500000002</v>
      </c>
      <c r="AP1359" s="39">
        <v>7.9352226999999997</v>
      </c>
      <c r="AQ1359" s="39">
        <v>0.97165990000000002</v>
      </c>
      <c r="AR1359" s="40"/>
      <c r="AS1359" s="40"/>
    </row>
    <row r="1360" spans="2:45" ht="15" hidden="1" customHeight="1" x14ac:dyDescent="0.25">
      <c r="B1360" s="30">
        <v>1354</v>
      </c>
      <c r="C1360" s="31" t="s">
        <v>29</v>
      </c>
      <c r="D1360" s="50" t="s">
        <v>438</v>
      </c>
      <c r="E1360" s="50" t="s">
        <v>444</v>
      </c>
      <c r="F1360" s="50"/>
      <c r="G1360" s="31" t="s">
        <v>444</v>
      </c>
      <c r="H1360" s="32">
        <v>3420</v>
      </c>
      <c r="I1360" s="32">
        <v>176</v>
      </c>
      <c r="J1360" s="32">
        <v>381</v>
      </c>
      <c r="K1360" s="32">
        <v>250</v>
      </c>
      <c r="L1360" s="32">
        <v>41</v>
      </c>
      <c r="M1360" s="32">
        <v>1839</v>
      </c>
      <c r="N1360" s="32">
        <v>548</v>
      </c>
      <c r="O1360" s="32">
        <v>185</v>
      </c>
      <c r="P1360" s="32"/>
      <c r="Q1360" s="32"/>
      <c r="R1360" s="32">
        <v>5115</v>
      </c>
      <c r="S1360" s="32">
        <v>258</v>
      </c>
      <c r="T1360" s="32">
        <v>647</v>
      </c>
      <c r="U1360" s="32">
        <v>181</v>
      </c>
      <c r="V1360" s="32">
        <v>15</v>
      </c>
      <c r="W1360" s="32">
        <v>3283</v>
      </c>
      <c r="X1360" s="32">
        <v>652</v>
      </c>
      <c r="Y1360" s="32">
        <v>79</v>
      </c>
      <c r="Z1360" s="32"/>
      <c r="AA1360" s="32"/>
      <c r="AB1360" s="33">
        <v>5.1461987999999996</v>
      </c>
      <c r="AC1360" s="33">
        <v>11.1403509</v>
      </c>
      <c r="AD1360" s="33">
        <v>7.3099414999999999</v>
      </c>
      <c r="AE1360" s="33">
        <v>1.1988304000000001</v>
      </c>
      <c r="AF1360" s="33">
        <v>53.771929800000002</v>
      </c>
      <c r="AG1360" s="33">
        <v>16.023391799999999</v>
      </c>
      <c r="AH1360" s="33">
        <v>5.4093567</v>
      </c>
      <c r="AI1360" s="33"/>
      <c r="AJ1360" s="33"/>
      <c r="AK1360" s="33">
        <v>5.0439882999999996</v>
      </c>
      <c r="AL1360" s="33">
        <v>12.6490714</v>
      </c>
      <c r="AM1360" s="33">
        <v>3.5386118999999998</v>
      </c>
      <c r="AN1360" s="33">
        <v>0.29325509999999999</v>
      </c>
      <c r="AO1360" s="33">
        <v>64.183773200000005</v>
      </c>
      <c r="AP1360" s="33">
        <v>12.7468231</v>
      </c>
      <c r="AQ1360" s="33">
        <v>1.5444770000000001</v>
      </c>
      <c r="AR1360" s="34"/>
      <c r="AS1360" s="34"/>
    </row>
    <row r="1361" spans="2:45" ht="15" hidden="1" customHeight="1" x14ac:dyDescent="0.25">
      <c r="B1361" s="35">
        <v>1355</v>
      </c>
      <c r="C1361" s="36" t="s">
        <v>29</v>
      </c>
      <c r="D1361" s="36" t="s">
        <v>438</v>
      </c>
      <c r="E1361" s="36" t="s">
        <v>444</v>
      </c>
      <c r="F1361" s="36"/>
      <c r="G1361" s="37" t="s">
        <v>25</v>
      </c>
      <c r="H1361" s="38">
        <v>579</v>
      </c>
      <c r="I1361" s="38">
        <v>93</v>
      </c>
      <c r="J1361" s="38">
        <v>340</v>
      </c>
      <c r="K1361" s="38">
        <v>27</v>
      </c>
      <c r="L1361" s="38">
        <v>4</v>
      </c>
      <c r="M1361" s="38">
        <v>98</v>
      </c>
      <c r="N1361" s="38">
        <v>12</v>
      </c>
      <c r="O1361" s="38">
        <v>5</v>
      </c>
      <c r="P1361" s="38"/>
      <c r="Q1361" s="38"/>
      <c r="R1361" s="38">
        <v>984</v>
      </c>
      <c r="S1361" s="38">
        <v>120</v>
      </c>
      <c r="T1361" s="38">
        <v>544</v>
      </c>
      <c r="U1361" s="38">
        <v>7</v>
      </c>
      <c r="V1361" s="38">
        <v>0</v>
      </c>
      <c r="W1361" s="38">
        <v>296</v>
      </c>
      <c r="X1361" s="38">
        <v>15</v>
      </c>
      <c r="Y1361" s="38">
        <v>2</v>
      </c>
      <c r="Z1361" s="38"/>
      <c r="AA1361" s="38"/>
      <c r="AB1361" s="39">
        <v>16.0621762</v>
      </c>
      <c r="AC1361" s="39">
        <v>58.721934400000002</v>
      </c>
      <c r="AD1361" s="39">
        <v>4.6632123999999999</v>
      </c>
      <c r="AE1361" s="39">
        <v>0.69084630000000002</v>
      </c>
      <c r="AF1361" s="39">
        <v>16.925733999999999</v>
      </c>
      <c r="AG1361" s="39">
        <v>2.0725389000000001</v>
      </c>
      <c r="AH1361" s="39">
        <v>0.86355789999999999</v>
      </c>
      <c r="AI1361" s="39"/>
      <c r="AJ1361" s="39"/>
      <c r="AK1361" s="39">
        <v>12.195122</v>
      </c>
      <c r="AL1361" s="39">
        <v>55.2845528</v>
      </c>
      <c r="AM1361" s="39">
        <v>0.71138210000000002</v>
      </c>
      <c r="AN1361" s="39">
        <v>0</v>
      </c>
      <c r="AO1361" s="39">
        <v>30.081300800000001</v>
      </c>
      <c r="AP1361" s="39">
        <v>1.5243902</v>
      </c>
      <c r="AQ1361" s="39">
        <v>0.20325199999999999</v>
      </c>
      <c r="AR1361" s="40"/>
      <c r="AS1361" s="40"/>
    </row>
    <row r="1362" spans="2:45" ht="15" hidden="1" customHeight="1" x14ac:dyDescent="0.25">
      <c r="B1362" s="35">
        <v>1356</v>
      </c>
      <c r="C1362" s="36" t="s">
        <v>29</v>
      </c>
      <c r="D1362" s="36" t="s">
        <v>438</v>
      </c>
      <c r="E1362" s="36" t="s">
        <v>444</v>
      </c>
      <c r="F1362" s="36"/>
      <c r="G1362" s="37" t="s">
        <v>26</v>
      </c>
      <c r="H1362" s="38">
        <v>2841</v>
      </c>
      <c r="I1362" s="38">
        <v>83</v>
      </c>
      <c r="J1362" s="38">
        <v>41</v>
      </c>
      <c r="K1362" s="38">
        <v>223</v>
      </c>
      <c r="L1362" s="38">
        <v>37</v>
      </c>
      <c r="M1362" s="38">
        <v>1741</v>
      </c>
      <c r="N1362" s="38">
        <v>536</v>
      </c>
      <c r="O1362" s="38">
        <v>180</v>
      </c>
      <c r="P1362" s="38"/>
      <c r="Q1362" s="38"/>
      <c r="R1362" s="38">
        <v>4131</v>
      </c>
      <c r="S1362" s="38">
        <v>138</v>
      </c>
      <c r="T1362" s="38">
        <v>103</v>
      </c>
      <c r="U1362" s="38">
        <v>174</v>
      </c>
      <c r="V1362" s="38">
        <v>15</v>
      </c>
      <c r="W1362" s="38">
        <v>2987</v>
      </c>
      <c r="X1362" s="38">
        <v>637</v>
      </c>
      <c r="Y1362" s="38">
        <v>77</v>
      </c>
      <c r="Z1362" s="38"/>
      <c r="AA1362" s="38"/>
      <c r="AB1362" s="39">
        <v>2.9215065</v>
      </c>
      <c r="AC1362" s="39">
        <v>1.4431537999999999</v>
      </c>
      <c r="AD1362" s="39">
        <v>7.8493487999999996</v>
      </c>
      <c r="AE1362" s="39">
        <v>1.3023583000000001</v>
      </c>
      <c r="AF1362" s="39">
        <v>61.281238999999999</v>
      </c>
      <c r="AG1362" s="39">
        <v>18.866596300000001</v>
      </c>
      <c r="AH1362" s="39">
        <v>6.3357973000000003</v>
      </c>
      <c r="AI1362" s="39"/>
      <c r="AJ1362" s="39"/>
      <c r="AK1362" s="39">
        <v>3.3405955000000001</v>
      </c>
      <c r="AL1362" s="39">
        <v>2.4933429999999999</v>
      </c>
      <c r="AM1362" s="39">
        <v>4.2120552</v>
      </c>
      <c r="AN1362" s="39">
        <v>0.36310819999999999</v>
      </c>
      <c r="AO1362" s="39">
        <v>72.306947500000007</v>
      </c>
      <c r="AP1362" s="39">
        <v>15.419995200000001</v>
      </c>
      <c r="AQ1362" s="39">
        <v>1.8639555000000001</v>
      </c>
      <c r="AR1362" s="40"/>
      <c r="AS1362" s="40"/>
    </row>
    <row r="1363" spans="2:45" ht="15" customHeight="1" x14ac:dyDescent="0.25">
      <c r="B1363" s="41">
        <v>1357</v>
      </c>
      <c r="C1363" s="42" t="s">
        <v>31</v>
      </c>
      <c r="D1363" s="51" t="s">
        <v>438</v>
      </c>
      <c r="E1363" s="51" t="s">
        <v>444</v>
      </c>
      <c r="F1363" s="51" t="s">
        <v>445</v>
      </c>
      <c r="G1363" s="52" t="s">
        <v>445</v>
      </c>
      <c r="H1363" s="43">
        <v>1382</v>
      </c>
      <c r="I1363" s="43">
        <v>154</v>
      </c>
      <c r="J1363" s="43">
        <v>361</v>
      </c>
      <c r="K1363" s="43">
        <v>130</v>
      </c>
      <c r="L1363" s="43">
        <v>19</v>
      </c>
      <c r="M1363" s="43">
        <v>467</v>
      </c>
      <c r="N1363" s="43">
        <v>199</v>
      </c>
      <c r="O1363" s="43">
        <v>52</v>
      </c>
      <c r="P1363" s="44">
        <f>K1363+L1363+M1363+N1363+O1363</f>
        <v>867</v>
      </c>
      <c r="Q1363" s="44">
        <f>I1363+J1363</f>
        <v>515</v>
      </c>
      <c r="R1363" s="43">
        <v>1989</v>
      </c>
      <c r="S1363" s="43">
        <v>173</v>
      </c>
      <c r="T1363" s="43">
        <v>638</v>
      </c>
      <c r="U1363" s="43">
        <v>94</v>
      </c>
      <c r="V1363" s="43">
        <v>5</v>
      </c>
      <c r="W1363" s="43">
        <v>850</v>
      </c>
      <c r="X1363" s="43">
        <v>199</v>
      </c>
      <c r="Y1363" s="43">
        <v>30</v>
      </c>
      <c r="Z1363" s="45">
        <f>U1363+V1363+W1363+X1363+Y1363</f>
        <v>1178</v>
      </c>
      <c r="AA1363" s="45">
        <f>S1363+T1363</f>
        <v>811</v>
      </c>
      <c r="AB1363" s="46">
        <v>11.143270599999999</v>
      </c>
      <c r="AC1363" s="46">
        <v>26.121562999999998</v>
      </c>
      <c r="AD1363" s="46">
        <v>9.4066569999999992</v>
      </c>
      <c r="AE1363" s="46">
        <v>1.3748191000000001</v>
      </c>
      <c r="AF1363" s="46">
        <v>33.791606399999999</v>
      </c>
      <c r="AG1363" s="46">
        <v>14.3994211</v>
      </c>
      <c r="AH1363" s="46">
        <v>3.7626628000000002</v>
      </c>
      <c r="AI1363" s="47">
        <f>AB1363+AC1363</f>
        <v>37.264833599999996</v>
      </c>
      <c r="AJ1363" s="47">
        <f>AD1363+AE1363+AF1363+AG1363+AH1363</f>
        <v>62.735166399999997</v>
      </c>
      <c r="AK1363" s="46">
        <v>8.6978381000000002</v>
      </c>
      <c r="AL1363" s="46">
        <v>32.076420300000002</v>
      </c>
      <c r="AM1363" s="46">
        <v>4.7259929999999999</v>
      </c>
      <c r="AN1363" s="46">
        <v>0.25138260000000001</v>
      </c>
      <c r="AO1363" s="46">
        <v>42.735042700000001</v>
      </c>
      <c r="AP1363" s="46">
        <v>10.005027699999999</v>
      </c>
      <c r="AQ1363" s="46">
        <v>1.5082956000000001</v>
      </c>
      <c r="AR1363" s="48">
        <f>AK1363+AL1363</f>
        <v>40.774258400000001</v>
      </c>
      <c r="AS1363" s="48">
        <f>AM1363+AN1363+AO1363+AP1363+AQ1363</f>
        <v>59.225741599999999</v>
      </c>
    </row>
    <row r="1364" spans="2:45" ht="15" hidden="1" customHeight="1" x14ac:dyDescent="0.25">
      <c r="B1364" s="35">
        <v>1358</v>
      </c>
      <c r="C1364" s="36" t="s">
        <v>31</v>
      </c>
      <c r="D1364" s="36" t="s">
        <v>438</v>
      </c>
      <c r="E1364" s="36" t="s">
        <v>444</v>
      </c>
      <c r="F1364" s="36" t="s">
        <v>445</v>
      </c>
      <c r="G1364" s="37" t="s">
        <v>25</v>
      </c>
      <c r="H1364" s="38">
        <v>579</v>
      </c>
      <c r="I1364" s="38">
        <v>93</v>
      </c>
      <c r="J1364" s="38">
        <v>340</v>
      </c>
      <c r="K1364" s="38">
        <v>27</v>
      </c>
      <c r="L1364" s="38">
        <v>4</v>
      </c>
      <c r="M1364" s="38">
        <v>98</v>
      </c>
      <c r="N1364" s="38">
        <v>12</v>
      </c>
      <c r="O1364" s="38">
        <v>5</v>
      </c>
      <c r="P1364" s="38"/>
      <c r="Q1364" s="38"/>
      <c r="R1364" s="38">
        <v>984</v>
      </c>
      <c r="S1364" s="38">
        <v>120</v>
      </c>
      <c r="T1364" s="38">
        <v>544</v>
      </c>
      <c r="U1364" s="38">
        <v>7</v>
      </c>
      <c r="V1364" s="38">
        <v>0</v>
      </c>
      <c r="W1364" s="38">
        <v>296</v>
      </c>
      <c r="X1364" s="38">
        <v>15</v>
      </c>
      <c r="Y1364" s="38">
        <v>2</v>
      </c>
      <c r="Z1364" s="38"/>
      <c r="AA1364" s="38"/>
      <c r="AB1364" s="39">
        <v>16.0621762</v>
      </c>
      <c r="AC1364" s="39">
        <v>58.721934400000002</v>
      </c>
      <c r="AD1364" s="39">
        <v>4.6632123999999999</v>
      </c>
      <c r="AE1364" s="39">
        <v>0.69084630000000002</v>
      </c>
      <c r="AF1364" s="39">
        <v>16.925733999999999</v>
      </c>
      <c r="AG1364" s="39">
        <v>2.0725389000000001</v>
      </c>
      <c r="AH1364" s="39">
        <v>0.86355789999999999</v>
      </c>
      <c r="AI1364" s="39"/>
      <c r="AJ1364" s="39"/>
      <c r="AK1364" s="39">
        <v>12.195122</v>
      </c>
      <c r="AL1364" s="39">
        <v>55.2845528</v>
      </c>
      <c r="AM1364" s="39">
        <v>0.71138210000000002</v>
      </c>
      <c r="AN1364" s="39">
        <v>0</v>
      </c>
      <c r="AO1364" s="39">
        <v>30.081300800000001</v>
      </c>
      <c r="AP1364" s="39">
        <v>1.5243902</v>
      </c>
      <c r="AQ1364" s="39">
        <v>0.20325199999999999</v>
      </c>
      <c r="AR1364" s="40"/>
      <c r="AS1364" s="40"/>
    </row>
    <row r="1365" spans="2:45" ht="15" hidden="1" customHeight="1" x14ac:dyDescent="0.25">
      <c r="B1365" s="35">
        <v>1359</v>
      </c>
      <c r="C1365" s="36" t="s">
        <v>31</v>
      </c>
      <c r="D1365" s="36" t="s">
        <v>438</v>
      </c>
      <c r="E1365" s="36" t="s">
        <v>444</v>
      </c>
      <c r="F1365" s="36" t="s">
        <v>445</v>
      </c>
      <c r="G1365" s="37" t="s">
        <v>26</v>
      </c>
      <c r="H1365" s="38">
        <v>803</v>
      </c>
      <c r="I1365" s="38">
        <v>61</v>
      </c>
      <c r="J1365" s="38">
        <v>21</v>
      </c>
      <c r="K1365" s="38">
        <v>103</v>
      </c>
      <c r="L1365" s="38">
        <v>15</v>
      </c>
      <c r="M1365" s="38">
        <v>369</v>
      </c>
      <c r="N1365" s="38">
        <v>187</v>
      </c>
      <c r="O1365" s="38">
        <v>47</v>
      </c>
      <c r="P1365" s="38"/>
      <c r="Q1365" s="38"/>
      <c r="R1365" s="38">
        <v>1005</v>
      </c>
      <c r="S1365" s="38">
        <v>53</v>
      </c>
      <c r="T1365" s="38">
        <v>94</v>
      </c>
      <c r="U1365" s="38">
        <v>87</v>
      </c>
      <c r="V1365" s="38">
        <v>5</v>
      </c>
      <c r="W1365" s="38">
        <v>554</v>
      </c>
      <c r="X1365" s="38">
        <v>184</v>
      </c>
      <c r="Y1365" s="38">
        <v>28</v>
      </c>
      <c r="Z1365" s="38"/>
      <c r="AA1365" s="38"/>
      <c r="AB1365" s="39">
        <v>7.5965131000000001</v>
      </c>
      <c r="AC1365" s="39">
        <v>2.6151930000000001</v>
      </c>
      <c r="AD1365" s="39">
        <v>12.8268991</v>
      </c>
      <c r="AE1365" s="39">
        <v>1.8679950000000001</v>
      </c>
      <c r="AF1365" s="39">
        <v>45.9526775</v>
      </c>
      <c r="AG1365" s="39">
        <v>23.287671199999998</v>
      </c>
      <c r="AH1365" s="39">
        <v>5.8530511000000001</v>
      </c>
      <c r="AI1365" s="39"/>
      <c r="AJ1365" s="39"/>
      <c r="AK1365" s="39">
        <v>5.2736318000000004</v>
      </c>
      <c r="AL1365" s="39">
        <v>9.3532337999999999</v>
      </c>
      <c r="AM1365" s="39">
        <v>8.6567164000000005</v>
      </c>
      <c r="AN1365" s="39">
        <v>0.49751240000000002</v>
      </c>
      <c r="AO1365" s="39">
        <v>55.124378100000001</v>
      </c>
      <c r="AP1365" s="39">
        <v>18.308457700000002</v>
      </c>
      <c r="AQ1365" s="39">
        <v>2.7860697000000001</v>
      </c>
      <c r="AR1365" s="40"/>
      <c r="AS1365" s="40"/>
    </row>
    <row r="1366" spans="2:45" ht="15" customHeight="1" x14ac:dyDescent="0.25">
      <c r="B1366" s="41">
        <v>1360</v>
      </c>
      <c r="C1366" s="42" t="s">
        <v>31</v>
      </c>
      <c r="D1366" s="51" t="s">
        <v>438</v>
      </c>
      <c r="E1366" s="51" t="s">
        <v>444</v>
      </c>
      <c r="F1366" s="51" t="s">
        <v>292</v>
      </c>
      <c r="G1366" s="52" t="s">
        <v>292</v>
      </c>
      <c r="H1366" s="43">
        <v>611</v>
      </c>
      <c r="I1366" s="43">
        <v>1</v>
      </c>
      <c r="J1366" s="43">
        <v>20</v>
      </c>
      <c r="K1366" s="43">
        <v>45</v>
      </c>
      <c r="L1366" s="43">
        <v>10</v>
      </c>
      <c r="M1366" s="43">
        <v>415</v>
      </c>
      <c r="N1366" s="43">
        <v>68</v>
      </c>
      <c r="O1366" s="43">
        <v>52</v>
      </c>
      <c r="P1366" s="44">
        <f>K1366+L1366+M1366+N1366+O1366</f>
        <v>590</v>
      </c>
      <c r="Q1366" s="44">
        <f>I1366+J1366</f>
        <v>21</v>
      </c>
      <c r="R1366" s="43">
        <v>612</v>
      </c>
      <c r="S1366" s="43">
        <v>3</v>
      </c>
      <c r="T1366" s="43">
        <v>1</v>
      </c>
      <c r="U1366" s="43">
        <v>32</v>
      </c>
      <c r="V1366" s="43">
        <v>5</v>
      </c>
      <c r="W1366" s="43">
        <v>487</v>
      </c>
      <c r="X1366" s="43">
        <v>77</v>
      </c>
      <c r="Y1366" s="43">
        <v>7</v>
      </c>
      <c r="Z1366" s="45">
        <f>U1366+V1366+W1366+X1366+Y1366</f>
        <v>608</v>
      </c>
      <c r="AA1366" s="45">
        <f>S1366+T1366</f>
        <v>4</v>
      </c>
      <c r="AB1366" s="46">
        <v>0.16366610000000001</v>
      </c>
      <c r="AC1366" s="46">
        <v>3.2733224000000001</v>
      </c>
      <c r="AD1366" s="46">
        <v>7.3649754999999999</v>
      </c>
      <c r="AE1366" s="46">
        <v>1.6366612</v>
      </c>
      <c r="AF1366" s="46">
        <v>67.9214403</v>
      </c>
      <c r="AG1366" s="46">
        <v>11.129296200000001</v>
      </c>
      <c r="AH1366" s="46">
        <v>8.5106383000000001</v>
      </c>
      <c r="AI1366" s="47">
        <f>AB1366+AC1366</f>
        <v>3.4369885</v>
      </c>
      <c r="AJ1366" s="47">
        <f>AD1366+AE1366+AF1366+AG1366+AH1366</f>
        <v>96.563011500000002</v>
      </c>
      <c r="AK1366" s="46">
        <v>0.49019610000000002</v>
      </c>
      <c r="AL1366" s="46">
        <v>0.16339870000000001</v>
      </c>
      <c r="AM1366" s="46">
        <v>5.2287581999999997</v>
      </c>
      <c r="AN1366" s="46">
        <v>0.81699350000000004</v>
      </c>
      <c r="AO1366" s="46">
        <v>79.575163399999994</v>
      </c>
      <c r="AP1366" s="46">
        <v>12.5816993</v>
      </c>
      <c r="AQ1366" s="46">
        <v>1.1437908000000001</v>
      </c>
      <c r="AR1366" s="48">
        <f>AK1366+AL1366</f>
        <v>0.65359480000000003</v>
      </c>
      <c r="AS1366" s="48">
        <f>AM1366+AN1366+AO1366+AP1366+AQ1366</f>
        <v>99.346405199999992</v>
      </c>
    </row>
    <row r="1367" spans="2:45" ht="15" hidden="1" customHeight="1" x14ac:dyDescent="0.25">
      <c r="B1367" s="35">
        <v>1361</v>
      </c>
      <c r="C1367" s="36" t="s">
        <v>31</v>
      </c>
      <c r="D1367" s="36" t="s">
        <v>438</v>
      </c>
      <c r="E1367" s="36" t="s">
        <v>444</v>
      </c>
      <c r="F1367" s="36" t="s">
        <v>292</v>
      </c>
      <c r="G1367" s="37" t="s">
        <v>25</v>
      </c>
      <c r="H1367" s="38"/>
      <c r="I1367" s="38"/>
      <c r="J1367" s="38"/>
      <c r="K1367" s="38"/>
      <c r="L1367" s="38"/>
      <c r="M1367" s="38"/>
      <c r="N1367" s="38"/>
      <c r="O1367" s="38"/>
      <c r="P1367" s="38"/>
      <c r="Q1367" s="38"/>
      <c r="R1367" s="38"/>
      <c r="S1367" s="38"/>
      <c r="T1367" s="38"/>
      <c r="U1367" s="38"/>
      <c r="V1367" s="38"/>
      <c r="W1367" s="38"/>
      <c r="X1367" s="38"/>
      <c r="Y1367" s="38"/>
      <c r="Z1367" s="38"/>
      <c r="AA1367" s="38"/>
      <c r="AB1367" s="39"/>
      <c r="AC1367" s="39"/>
      <c r="AD1367" s="39"/>
      <c r="AE1367" s="39"/>
      <c r="AF1367" s="39"/>
      <c r="AG1367" s="39"/>
      <c r="AH1367" s="39"/>
      <c r="AI1367" s="39"/>
      <c r="AJ1367" s="39"/>
      <c r="AK1367" s="39"/>
      <c r="AL1367" s="39"/>
      <c r="AM1367" s="39"/>
      <c r="AN1367" s="39"/>
      <c r="AO1367" s="39"/>
      <c r="AP1367" s="39"/>
      <c r="AQ1367" s="39"/>
      <c r="AR1367" s="40"/>
      <c r="AS1367" s="40"/>
    </row>
    <row r="1368" spans="2:45" ht="15" hidden="1" customHeight="1" x14ac:dyDescent="0.25">
      <c r="B1368" s="35">
        <v>1362</v>
      </c>
      <c r="C1368" s="36" t="s">
        <v>31</v>
      </c>
      <c r="D1368" s="36" t="s">
        <v>438</v>
      </c>
      <c r="E1368" s="36" t="s">
        <v>444</v>
      </c>
      <c r="F1368" s="36" t="s">
        <v>292</v>
      </c>
      <c r="G1368" s="37" t="s">
        <v>26</v>
      </c>
      <c r="H1368" s="38">
        <v>611</v>
      </c>
      <c r="I1368" s="38">
        <v>1</v>
      </c>
      <c r="J1368" s="38">
        <v>20</v>
      </c>
      <c r="K1368" s="38">
        <v>45</v>
      </c>
      <c r="L1368" s="38">
        <v>10</v>
      </c>
      <c r="M1368" s="38">
        <v>415</v>
      </c>
      <c r="N1368" s="38">
        <v>68</v>
      </c>
      <c r="O1368" s="38">
        <v>52</v>
      </c>
      <c r="P1368" s="38"/>
      <c r="Q1368" s="38"/>
      <c r="R1368" s="38">
        <v>612</v>
      </c>
      <c r="S1368" s="38">
        <v>3</v>
      </c>
      <c r="T1368" s="38">
        <v>1</v>
      </c>
      <c r="U1368" s="38">
        <v>32</v>
      </c>
      <c r="V1368" s="38">
        <v>5</v>
      </c>
      <c r="W1368" s="38">
        <v>487</v>
      </c>
      <c r="X1368" s="38">
        <v>77</v>
      </c>
      <c r="Y1368" s="38">
        <v>7</v>
      </c>
      <c r="Z1368" s="38"/>
      <c r="AA1368" s="38"/>
      <c r="AB1368" s="39">
        <v>0.16366610000000001</v>
      </c>
      <c r="AC1368" s="39">
        <v>3.2733224000000001</v>
      </c>
      <c r="AD1368" s="39">
        <v>7.3649754999999999</v>
      </c>
      <c r="AE1368" s="39">
        <v>1.6366612</v>
      </c>
      <c r="AF1368" s="39">
        <v>67.9214403</v>
      </c>
      <c r="AG1368" s="39">
        <v>11.129296200000001</v>
      </c>
      <c r="AH1368" s="39">
        <v>8.5106383000000001</v>
      </c>
      <c r="AI1368" s="39"/>
      <c r="AJ1368" s="39"/>
      <c r="AK1368" s="39">
        <v>0.49019610000000002</v>
      </c>
      <c r="AL1368" s="39">
        <v>0.16339870000000001</v>
      </c>
      <c r="AM1368" s="39">
        <v>5.2287581999999997</v>
      </c>
      <c r="AN1368" s="39">
        <v>0.81699350000000004</v>
      </c>
      <c r="AO1368" s="39">
        <v>79.575163399999994</v>
      </c>
      <c r="AP1368" s="39">
        <v>12.5816993</v>
      </c>
      <c r="AQ1368" s="39">
        <v>1.1437908000000001</v>
      </c>
      <c r="AR1368" s="40"/>
      <c r="AS1368" s="40"/>
    </row>
    <row r="1369" spans="2:45" ht="15" customHeight="1" x14ac:dyDescent="0.25">
      <c r="B1369" s="41">
        <v>1363</v>
      </c>
      <c r="C1369" s="42" t="s">
        <v>31</v>
      </c>
      <c r="D1369" s="51" t="s">
        <v>438</v>
      </c>
      <c r="E1369" s="51" t="s">
        <v>444</v>
      </c>
      <c r="F1369" s="51" t="s">
        <v>446</v>
      </c>
      <c r="G1369" s="52" t="s">
        <v>446</v>
      </c>
      <c r="H1369" s="43">
        <v>1427</v>
      </c>
      <c r="I1369" s="43">
        <v>21</v>
      </c>
      <c r="J1369" s="43">
        <v>0</v>
      </c>
      <c r="K1369" s="43">
        <v>75</v>
      </c>
      <c r="L1369" s="43">
        <v>12</v>
      </c>
      <c r="M1369" s="43">
        <v>957</v>
      </c>
      <c r="N1369" s="43">
        <v>281</v>
      </c>
      <c r="O1369" s="43">
        <v>81</v>
      </c>
      <c r="P1369" s="44">
        <f>K1369+L1369+M1369+N1369+O1369</f>
        <v>1406</v>
      </c>
      <c r="Q1369" s="44">
        <f>I1369+J1369</f>
        <v>21</v>
      </c>
      <c r="R1369" s="43">
        <v>2514</v>
      </c>
      <c r="S1369" s="43">
        <v>82</v>
      </c>
      <c r="T1369" s="43">
        <v>8</v>
      </c>
      <c r="U1369" s="43">
        <v>55</v>
      </c>
      <c r="V1369" s="43">
        <v>5</v>
      </c>
      <c r="W1369" s="43">
        <v>1946</v>
      </c>
      <c r="X1369" s="43">
        <v>376</v>
      </c>
      <c r="Y1369" s="43">
        <v>42</v>
      </c>
      <c r="Z1369" s="45">
        <f>U1369+V1369+W1369+X1369+Y1369</f>
        <v>2424</v>
      </c>
      <c r="AA1369" s="45">
        <f>S1369+T1369</f>
        <v>90</v>
      </c>
      <c r="AB1369" s="46">
        <v>1.4716187999999999</v>
      </c>
      <c r="AC1369" s="46">
        <v>0</v>
      </c>
      <c r="AD1369" s="46">
        <v>5.2557814</v>
      </c>
      <c r="AE1369" s="46">
        <v>0.84092500000000003</v>
      </c>
      <c r="AF1369" s="46">
        <v>67.063770099999999</v>
      </c>
      <c r="AG1369" s="46">
        <v>19.691660800000001</v>
      </c>
      <c r="AH1369" s="46">
        <v>5.6762439000000002</v>
      </c>
      <c r="AI1369" s="47">
        <f>AB1369+AC1369</f>
        <v>1.4716187999999999</v>
      </c>
      <c r="AJ1369" s="47">
        <f>AD1369+AE1369+AF1369+AG1369+AH1369</f>
        <v>98.528381200000013</v>
      </c>
      <c r="AK1369" s="46">
        <v>3.2617343000000001</v>
      </c>
      <c r="AL1369" s="46">
        <v>0.318218</v>
      </c>
      <c r="AM1369" s="46">
        <v>2.1877485999999999</v>
      </c>
      <c r="AN1369" s="46">
        <v>0.19888620000000001</v>
      </c>
      <c r="AO1369" s="46">
        <v>77.406523500000006</v>
      </c>
      <c r="AP1369" s="46">
        <v>14.956244999999999</v>
      </c>
      <c r="AQ1369" s="46">
        <v>1.6706444</v>
      </c>
      <c r="AR1369" s="48">
        <f>AK1369+AL1369</f>
        <v>3.5799523</v>
      </c>
      <c r="AS1369" s="48">
        <f>AM1369+AN1369+AO1369+AP1369+AQ1369</f>
        <v>96.420047699999998</v>
      </c>
    </row>
    <row r="1370" spans="2:45" ht="15" hidden="1" customHeight="1" x14ac:dyDescent="0.25">
      <c r="B1370" s="35">
        <v>1364</v>
      </c>
      <c r="C1370" s="36" t="s">
        <v>31</v>
      </c>
      <c r="D1370" s="36" t="s">
        <v>438</v>
      </c>
      <c r="E1370" s="36" t="s">
        <v>444</v>
      </c>
      <c r="F1370" s="36" t="s">
        <v>446</v>
      </c>
      <c r="G1370" s="37" t="s">
        <v>25</v>
      </c>
      <c r="H1370" s="38"/>
      <c r="I1370" s="38"/>
      <c r="J1370" s="38"/>
      <c r="K1370" s="38"/>
      <c r="L1370" s="38"/>
      <c r="M1370" s="38"/>
      <c r="N1370" s="38"/>
      <c r="O1370" s="38"/>
      <c r="P1370" s="38"/>
      <c r="Q1370" s="38"/>
      <c r="R1370" s="38"/>
      <c r="S1370" s="38"/>
      <c r="T1370" s="38"/>
      <c r="U1370" s="38"/>
      <c r="V1370" s="38"/>
      <c r="W1370" s="38"/>
      <c r="X1370" s="38"/>
      <c r="Y1370" s="38"/>
      <c r="Z1370" s="38"/>
      <c r="AA1370" s="38"/>
      <c r="AB1370" s="39"/>
      <c r="AC1370" s="39"/>
      <c r="AD1370" s="39"/>
      <c r="AE1370" s="39"/>
      <c r="AF1370" s="39"/>
      <c r="AG1370" s="39"/>
      <c r="AH1370" s="39"/>
      <c r="AI1370" s="39"/>
      <c r="AJ1370" s="39"/>
      <c r="AK1370" s="39"/>
      <c r="AL1370" s="39"/>
      <c r="AM1370" s="39"/>
      <c r="AN1370" s="39"/>
      <c r="AO1370" s="39"/>
      <c r="AP1370" s="39"/>
      <c r="AQ1370" s="39"/>
      <c r="AR1370" s="40"/>
      <c r="AS1370" s="40"/>
    </row>
    <row r="1371" spans="2:45" ht="15" hidden="1" customHeight="1" x14ac:dyDescent="0.25">
      <c r="B1371" s="35">
        <v>1365</v>
      </c>
      <c r="C1371" s="36" t="s">
        <v>31</v>
      </c>
      <c r="D1371" s="36" t="s">
        <v>438</v>
      </c>
      <c r="E1371" s="36" t="s">
        <v>444</v>
      </c>
      <c r="F1371" s="36" t="s">
        <v>446</v>
      </c>
      <c r="G1371" s="37" t="s">
        <v>26</v>
      </c>
      <c r="H1371" s="38">
        <v>1427</v>
      </c>
      <c r="I1371" s="38">
        <v>21</v>
      </c>
      <c r="J1371" s="38">
        <v>0</v>
      </c>
      <c r="K1371" s="38">
        <v>75</v>
      </c>
      <c r="L1371" s="38">
        <v>12</v>
      </c>
      <c r="M1371" s="38">
        <v>957</v>
      </c>
      <c r="N1371" s="38">
        <v>281</v>
      </c>
      <c r="O1371" s="38">
        <v>81</v>
      </c>
      <c r="P1371" s="38"/>
      <c r="Q1371" s="38"/>
      <c r="R1371" s="38">
        <v>2514</v>
      </c>
      <c r="S1371" s="38">
        <v>82</v>
      </c>
      <c r="T1371" s="38">
        <v>8</v>
      </c>
      <c r="U1371" s="38">
        <v>55</v>
      </c>
      <c r="V1371" s="38">
        <v>5</v>
      </c>
      <c r="W1371" s="38">
        <v>1946</v>
      </c>
      <c r="X1371" s="38">
        <v>376</v>
      </c>
      <c r="Y1371" s="38">
        <v>42</v>
      </c>
      <c r="Z1371" s="38"/>
      <c r="AA1371" s="38"/>
      <c r="AB1371" s="39">
        <v>1.4716187999999999</v>
      </c>
      <c r="AC1371" s="39">
        <v>0</v>
      </c>
      <c r="AD1371" s="39">
        <v>5.2557814</v>
      </c>
      <c r="AE1371" s="39">
        <v>0.84092500000000003</v>
      </c>
      <c r="AF1371" s="39">
        <v>67.063770099999999</v>
      </c>
      <c r="AG1371" s="39">
        <v>19.691660800000001</v>
      </c>
      <c r="AH1371" s="39">
        <v>5.6762439000000002</v>
      </c>
      <c r="AI1371" s="39"/>
      <c r="AJ1371" s="39"/>
      <c r="AK1371" s="39">
        <v>3.2617343000000001</v>
      </c>
      <c r="AL1371" s="39">
        <v>0.318218</v>
      </c>
      <c r="AM1371" s="39">
        <v>2.1877485999999999</v>
      </c>
      <c r="AN1371" s="39">
        <v>0.19888620000000001</v>
      </c>
      <c r="AO1371" s="39">
        <v>77.406523500000006</v>
      </c>
      <c r="AP1371" s="39">
        <v>14.956244999999999</v>
      </c>
      <c r="AQ1371" s="39">
        <v>1.6706444</v>
      </c>
      <c r="AR1371" s="40"/>
      <c r="AS1371" s="40"/>
    </row>
    <row r="1372" spans="2:45" ht="15" hidden="1" customHeight="1" x14ac:dyDescent="0.25">
      <c r="B1372" s="30">
        <v>1366</v>
      </c>
      <c r="C1372" s="31" t="s">
        <v>29</v>
      </c>
      <c r="D1372" s="50" t="s">
        <v>438</v>
      </c>
      <c r="E1372" s="50" t="s">
        <v>447</v>
      </c>
      <c r="F1372" s="50"/>
      <c r="G1372" s="31" t="s">
        <v>447</v>
      </c>
      <c r="H1372" s="32">
        <v>4021</v>
      </c>
      <c r="I1372" s="32">
        <v>42</v>
      </c>
      <c r="J1372" s="32">
        <v>25</v>
      </c>
      <c r="K1372" s="32">
        <v>260</v>
      </c>
      <c r="L1372" s="32">
        <v>149</v>
      </c>
      <c r="M1372" s="32">
        <v>3011</v>
      </c>
      <c r="N1372" s="32">
        <v>383</v>
      </c>
      <c r="O1372" s="32">
        <v>151</v>
      </c>
      <c r="P1372" s="32"/>
      <c r="Q1372" s="32"/>
      <c r="R1372" s="32">
        <v>6690</v>
      </c>
      <c r="S1372" s="32">
        <v>245</v>
      </c>
      <c r="T1372" s="32">
        <v>239</v>
      </c>
      <c r="U1372" s="32">
        <v>378</v>
      </c>
      <c r="V1372" s="32">
        <v>44</v>
      </c>
      <c r="W1372" s="32">
        <v>5099</v>
      </c>
      <c r="X1372" s="32">
        <v>535</v>
      </c>
      <c r="Y1372" s="32">
        <v>150</v>
      </c>
      <c r="Z1372" s="32"/>
      <c r="AA1372" s="32"/>
      <c r="AB1372" s="33">
        <v>1.0445163</v>
      </c>
      <c r="AC1372" s="33">
        <v>0.62173590000000001</v>
      </c>
      <c r="AD1372" s="33">
        <v>6.4660532000000002</v>
      </c>
      <c r="AE1372" s="33">
        <v>3.7055459000000002</v>
      </c>
      <c r="AF1372" s="33">
        <v>74.881870199999994</v>
      </c>
      <c r="AG1372" s="33">
        <v>9.5249938000000007</v>
      </c>
      <c r="AH1372" s="33">
        <v>3.7552848000000001</v>
      </c>
      <c r="AI1372" s="33"/>
      <c r="AJ1372" s="33"/>
      <c r="AK1372" s="33">
        <v>3.6621823999999998</v>
      </c>
      <c r="AL1372" s="33">
        <v>3.5724963000000001</v>
      </c>
      <c r="AM1372" s="33">
        <v>5.6502242000000003</v>
      </c>
      <c r="AN1372" s="33">
        <v>0.65769809999999995</v>
      </c>
      <c r="AO1372" s="33">
        <v>76.218236200000007</v>
      </c>
      <c r="AP1372" s="33">
        <v>7.9970105</v>
      </c>
      <c r="AQ1372" s="33">
        <v>2.2421525</v>
      </c>
      <c r="AR1372" s="34"/>
      <c r="AS1372" s="34"/>
    </row>
    <row r="1373" spans="2:45" ht="15" hidden="1" customHeight="1" x14ac:dyDescent="0.25">
      <c r="B1373" s="35">
        <v>1367</v>
      </c>
      <c r="C1373" s="36" t="s">
        <v>29</v>
      </c>
      <c r="D1373" s="36" t="s">
        <v>438</v>
      </c>
      <c r="E1373" s="36" t="s">
        <v>447</v>
      </c>
      <c r="F1373" s="36"/>
      <c r="G1373" s="37" t="s">
        <v>25</v>
      </c>
      <c r="H1373" s="38">
        <v>377</v>
      </c>
      <c r="I1373" s="38">
        <v>26</v>
      </c>
      <c r="J1373" s="38">
        <v>13</v>
      </c>
      <c r="K1373" s="38">
        <v>68</v>
      </c>
      <c r="L1373" s="38">
        <v>10</v>
      </c>
      <c r="M1373" s="38">
        <v>233</v>
      </c>
      <c r="N1373" s="38">
        <v>18</v>
      </c>
      <c r="O1373" s="38">
        <v>9</v>
      </c>
      <c r="P1373" s="38"/>
      <c r="Q1373" s="38"/>
      <c r="R1373" s="38">
        <v>1498</v>
      </c>
      <c r="S1373" s="38">
        <v>99</v>
      </c>
      <c r="T1373" s="38">
        <v>181</v>
      </c>
      <c r="U1373" s="38">
        <v>52</v>
      </c>
      <c r="V1373" s="38">
        <v>8</v>
      </c>
      <c r="W1373" s="38">
        <v>1062</v>
      </c>
      <c r="X1373" s="38">
        <v>65</v>
      </c>
      <c r="Y1373" s="38">
        <v>31</v>
      </c>
      <c r="Z1373" s="38"/>
      <c r="AA1373" s="38"/>
      <c r="AB1373" s="39">
        <v>6.8965516999999998</v>
      </c>
      <c r="AC1373" s="39">
        <v>3.4482759000000001</v>
      </c>
      <c r="AD1373" s="39">
        <v>18.037135299999999</v>
      </c>
      <c r="AE1373" s="39">
        <v>2.6525199000000002</v>
      </c>
      <c r="AF1373" s="39">
        <v>61.803713500000001</v>
      </c>
      <c r="AG1373" s="39">
        <v>4.7745357999999998</v>
      </c>
      <c r="AH1373" s="39">
        <v>2.3872678999999999</v>
      </c>
      <c r="AI1373" s="39"/>
      <c r="AJ1373" s="39"/>
      <c r="AK1373" s="39">
        <v>6.6088117000000004</v>
      </c>
      <c r="AL1373" s="39">
        <v>12.082777</v>
      </c>
      <c r="AM1373" s="39">
        <v>3.4712950999999999</v>
      </c>
      <c r="AN1373" s="39">
        <v>0.5340454</v>
      </c>
      <c r="AO1373" s="39">
        <v>70.894525999999999</v>
      </c>
      <c r="AP1373" s="39">
        <v>4.3391187999999996</v>
      </c>
      <c r="AQ1373" s="39">
        <v>2.0694259000000002</v>
      </c>
      <c r="AR1373" s="40"/>
      <c r="AS1373" s="40"/>
    </row>
    <row r="1374" spans="2:45" ht="15" hidden="1" customHeight="1" x14ac:dyDescent="0.25">
      <c r="B1374" s="35">
        <v>1368</v>
      </c>
      <c r="C1374" s="36" t="s">
        <v>29</v>
      </c>
      <c r="D1374" s="36" t="s">
        <v>438</v>
      </c>
      <c r="E1374" s="36" t="s">
        <v>447</v>
      </c>
      <c r="F1374" s="36"/>
      <c r="G1374" s="37" t="s">
        <v>26</v>
      </c>
      <c r="H1374" s="38">
        <v>3644</v>
      </c>
      <c r="I1374" s="38">
        <v>16</v>
      </c>
      <c r="J1374" s="38">
        <v>12</v>
      </c>
      <c r="K1374" s="38">
        <v>192</v>
      </c>
      <c r="L1374" s="38">
        <v>139</v>
      </c>
      <c r="M1374" s="38">
        <v>2778</v>
      </c>
      <c r="N1374" s="38">
        <v>365</v>
      </c>
      <c r="O1374" s="38">
        <v>142</v>
      </c>
      <c r="P1374" s="38"/>
      <c r="Q1374" s="38"/>
      <c r="R1374" s="38">
        <v>5192</v>
      </c>
      <c r="S1374" s="38">
        <v>146</v>
      </c>
      <c r="T1374" s="38">
        <v>58</v>
      </c>
      <c r="U1374" s="38">
        <v>326</v>
      </c>
      <c r="V1374" s="38">
        <v>36</v>
      </c>
      <c r="W1374" s="38">
        <v>4037</v>
      </c>
      <c r="X1374" s="38">
        <v>470</v>
      </c>
      <c r="Y1374" s="38">
        <v>119</v>
      </c>
      <c r="Z1374" s="38"/>
      <c r="AA1374" s="38"/>
      <c r="AB1374" s="39">
        <v>0.43907790000000002</v>
      </c>
      <c r="AC1374" s="39">
        <v>0.3293085</v>
      </c>
      <c r="AD1374" s="39">
        <v>5.2689351999999996</v>
      </c>
      <c r="AE1374" s="39">
        <v>3.8144895999999999</v>
      </c>
      <c r="AF1374" s="39">
        <v>76.234906699999996</v>
      </c>
      <c r="AG1374" s="39">
        <v>10.0164654</v>
      </c>
      <c r="AH1374" s="39">
        <v>3.8968167</v>
      </c>
      <c r="AI1374" s="39"/>
      <c r="AJ1374" s="39"/>
      <c r="AK1374" s="39">
        <v>2.8120185000000002</v>
      </c>
      <c r="AL1374" s="39">
        <v>1.1171032000000001</v>
      </c>
      <c r="AM1374" s="39">
        <v>6.2788906000000004</v>
      </c>
      <c r="AN1374" s="39">
        <v>0.69337439999999995</v>
      </c>
      <c r="AO1374" s="39">
        <v>77.7542373</v>
      </c>
      <c r="AP1374" s="39">
        <v>9.0523883000000005</v>
      </c>
      <c r="AQ1374" s="39">
        <v>2.2919877</v>
      </c>
      <c r="AR1374" s="40"/>
      <c r="AS1374" s="40"/>
    </row>
    <row r="1375" spans="2:45" ht="15" customHeight="1" x14ac:dyDescent="0.25">
      <c r="B1375" s="41">
        <v>1369</v>
      </c>
      <c r="C1375" s="42" t="s">
        <v>31</v>
      </c>
      <c r="D1375" s="51" t="s">
        <v>438</v>
      </c>
      <c r="E1375" s="51" t="s">
        <v>447</v>
      </c>
      <c r="F1375" s="51" t="s">
        <v>448</v>
      </c>
      <c r="G1375" s="52" t="s">
        <v>448</v>
      </c>
      <c r="H1375" s="43">
        <v>1026</v>
      </c>
      <c r="I1375" s="43">
        <v>2</v>
      </c>
      <c r="J1375" s="43">
        <v>1</v>
      </c>
      <c r="K1375" s="43">
        <v>87</v>
      </c>
      <c r="L1375" s="43">
        <v>30</v>
      </c>
      <c r="M1375" s="43">
        <v>728</v>
      </c>
      <c r="N1375" s="43">
        <v>104</v>
      </c>
      <c r="O1375" s="43">
        <v>74</v>
      </c>
      <c r="P1375" s="44">
        <f>K1375+L1375+M1375+N1375+O1375</f>
        <v>1023</v>
      </c>
      <c r="Q1375" s="44">
        <f>I1375+J1375</f>
        <v>3</v>
      </c>
      <c r="R1375" s="43">
        <v>1965</v>
      </c>
      <c r="S1375" s="43">
        <v>22</v>
      </c>
      <c r="T1375" s="43">
        <v>11</v>
      </c>
      <c r="U1375" s="43">
        <v>128</v>
      </c>
      <c r="V1375" s="43">
        <v>25</v>
      </c>
      <c r="W1375" s="43">
        <v>1574</v>
      </c>
      <c r="X1375" s="43">
        <v>130</v>
      </c>
      <c r="Y1375" s="43">
        <v>75</v>
      </c>
      <c r="Z1375" s="45">
        <f>U1375+V1375+W1375+X1375+Y1375</f>
        <v>1932</v>
      </c>
      <c r="AA1375" s="45">
        <f>S1375+T1375</f>
        <v>33</v>
      </c>
      <c r="AB1375" s="46">
        <v>0.19493179999999999</v>
      </c>
      <c r="AC1375" s="46">
        <v>9.7465899999999994E-2</v>
      </c>
      <c r="AD1375" s="46">
        <v>8.4795321999999995</v>
      </c>
      <c r="AE1375" s="46">
        <v>2.9239766</v>
      </c>
      <c r="AF1375" s="46">
        <v>70.955165699999995</v>
      </c>
      <c r="AG1375" s="46">
        <v>10.136452200000001</v>
      </c>
      <c r="AH1375" s="46">
        <v>7.2124756000000003</v>
      </c>
      <c r="AI1375" s="47">
        <f>AB1375+AC1375</f>
        <v>0.29239769999999998</v>
      </c>
      <c r="AJ1375" s="47">
        <f>AD1375+AE1375+AF1375+AG1375+AH1375</f>
        <v>99.707602299999991</v>
      </c>
      <c r="AK1375" s="46">
        <v>1.1195929</v>
      </c>
      <c r="AL1375" s="46">
        <v>0.55979639999999997</v>
      </c>
      <c r="AM1375" s="46">
        <v>6.5139949000000001</v>
      </c>
      <c r="AN1375" s="46">
        <v>1.2722646</v>
      </c>
      <c r="AO1375" s="46">
        <v>80.101781200000005</v>
      </c>
      <c r="AP1375" s="46">
        <v>6.6157760999999997</v>
      </c>
      <c r="AQ1375" s="46">
        <v>3.8167939</v>
      </c>
      <c r="AR1375" s="48">
        <f>AK1375+AL1375</f>
        <v>1.6793893</v>
      </c>
      <c r="AS1375" s="48">
        <f>AM1375+AN1375+AO1375+AP1375+AQ1375</f>
        <v>98.320610700000003</v>
      </c>
    </row>
    <row r="1376" spans="2:45" ht="15" hidden="1" customHeight="1" x14ac:dyDescent="0.25">
      <c r="B1376" s="35">
        <v>1370</v>
      </c>
      <c r="C1376" s="36" t="s">
        <v>31</v>
      </c>
      <c r="D1376" s="36" t="s">
        <v>438</v>
      </c>
      <c r="E1376" s="36" t="s">
        <v>447</v>
      </c>
      <c r="F1376" s="36" t="s">
        <v>448</v>
      </c>
      <c r="G1376" s="37" t="s">
        <v>25</v>
      </c>
      <c r="H1376" s="38"/>
      <c r="I1376" s="38"/>
      <c r="J1376" s="38"/>
      <c r="K1376" s="38"/>
      <c r="L1376" s="38"/>
      <c r="M1376" s="38"/>
      <c r="N1376" s="38"/>
      <c r="O1376" s="38"/>
      <c r="P1376" s="38"/>
      <c r="Q1376" s="38"/>
      <c r="R1376" s="38">
        <v>343</v>
      </c>
      <c r="S1376" s="38">
        <v>3</v>
      </c>
      <c r="T1376" s="38">
        <v>3</v>
      </c>
      <c r="U1376" s="38">
        <v>14</v>
      </c>
      <c r="V1376" s="38">
        <v>3</v>
      </c>
      <c r="W1376" s="38">
        <v>282</v>
      </c>
      <c r="X1376" s="38">
        <v>28</v>
      </c>
      <c r="Y1376" s="38">
        <v>10</v>
      </c>
      <c r="Z1376" s="38"/>
      <c r="AA1376" s="38"/>
      <c r="AB1376" s="39"/>
      <c r="AC1376" s="39"/>
      <c r="AD1376" s="39"/>
      <c r="AE1376" s="39"/>
      <c r="AF1376" s="39"/>
      <c r="AG1376" s="39"/>
      <c r="AH1376" s="39"/>
      <c r="AI1376" s="39"/>
      <c r="AJ1376" s="39"/>
      <c r="AK1376" s="39">
        <v>0.87463559999999996</v>
      </c>
      <c r="AL1376" s="39">
        <v>0.87463559999999996</v>
      </c>
      <c r="AM1376" s="39">
        <v>4.0816327000000001</v>
      </c>
      <c r="AN1376" s="39">
        <v>0.87463559999999996</v>
      </c>
      <c r="AO1376" s="39">
        <v>82.215743399999994</v>
      </c>
      <c r="AP1376" s="39">
        <v>8.1632653000000008</v>
      </c>
      <c r="AQ1376" s="39">
        <v>2.9154518999999999</v>
      </c>
      <c r="AR1376" s="40"/>
      <c r="AS1376" s="40"/>
    </row>
    <row r="1377" spans="2:45" ht="15" hidden="1" customHeight="1" x14ac:dyDescent="0.25">
      <c r="B1377" s="35">
        <v>1371</v>
      </c>
      <c r="C1377" s="36" t="s">
        <v>31</v>
      </c>
      <c r="D1377" s="36" t="s">
        <v>438</v>
      </c>
      <c r="E1377" s="36" t="s">
        <v>447</v>
      </c>
      <c r="F1377" s="36" t="s">
        <v>448</v>
      </c>
      <c r="G1377" s="37" t="s">
        <v>26</v>
      </c>
      <c r="H1377" s="38">
        <v>1026</v>
      </c>
      <c r="I1377" s="38">
        <v>2</v>
      </c>
      <c r="J1377" s="38">
        <v>1</v>
      </c>
      <c r="K1377" s="38">
        <v>87</v>
      </c>
      <c r="L1377" s="38">
        <v>30</v>
      </c>
      <c r="M1377" s="38">
        <v>728</v>
      </c>
      <c r="N1377" s="38">
        <v>104</v>
      </c>
      <c r="O1377" s="38">
        <v>74</v>
      </c>
      <c r="P1377" s="38"/>
      <c r="Q1377" s="38"/>
      <c r="R1377" s="38">
        <v>1622</v>
      </c>
      <c r="S1377" s="38">
        <v>19</v>
      </c>
      <c r="T1377" s="38">
        <v>8</v>
      </c>
      <c r="U1377" s="38">
        <v>114</v>
      </c>
      <c r="V1377" s="38">
        <v>22</v>
      </c>
      <c r="W1377" s="38">
        <v>1292</v>
      </c>
      <c r="X1377" s="38">
        <v>102</v>
      </c>
      <c r="Y1377" s="38">
        <v>65</v>
      </c>
      <c r="Z1377" s="38"/>
      <c r="AA1377" s="38"/>
      <c r="AB1377" s="39">
        <v>0.19493179999999999</v>
      </c>
      <c r="AC1377" s="39">
        <v>9.7465899999999994E-2</v>
      </c>
      <c r="AD1377" s="39">
        <v>8.4795321999999995</v>
      </c>
      <c r="AE1377" s="39">
        <v>2.9239766</v>
      </c>
      <c r="AF1377" s="39">
        <v>70.955165699999995</v>
      </c>
      <c r="AG1377" s="39">
        <v>10.136452200000001</v>
      </c>
      <c r="AH1377" s="39">
        <v>7.2124756000000003</v>
      </c>
      <c r="AI1377" s="39"/>
      <c r="AJ1377" s="39"/>
      <c r="AK1377" s="39">
        <v>1.1713933000000001</v>
      </c>
      <c r="AL1377" s="39">
        <v>0.4932182</v>
      </c>
      <c r="AM1377" s="39">
        <v>7.0283600000000002</v>
      </c>
      <c r="AN1377" s="39">
        <v>1.3563502000000001</v>
      </c>
      <c r="AO1377" s="39">
        <v>79.654747200000003</v>
      </c>
      <c r="AP1377" s="39">
        <v>6.2885327000000002</v>
      </c>
      <c r="AQ1377" s="39">
        <v>4.0073983000000002</v>
      </c>
      <c r="AR1377" s="40"/>
      <c r="AS1377" s="40"/>
    </row>
    <row r="1378" spans="2:45" ht="15" customHeight="1" x14ac:dyDescent="0.25">
      <c r="B1378" s="41">
        <v>1372</v>
      </c>
      <c r="C1378" s="42" t="s">
        <v>31</v>
      </c>
      <c r="D1378" s="51" t="s">
        <v>438</v>
      </c>
      <c r="E1378" s="51" t="s">
        <v>447</v>
      </c>
      <c r="F1378" s="51" t="s">
        <v>341</v>
      </c>
      <c r="G1378" s="52" t="s">
        <v>341</v>
      </c>
      <c r="H1378" s="43">
        <v>1342</v>
      </c>
      <c r="I1378" s="43">
        <v>8</v>
      </c>
      <c r="J1378" s="43">
        <v>10</v>
      </c>
      <c r="K1378" s="43">
        <v>66</v>
      </c>
      <c r="L1378" s="43">
        <v>65</v>
      </c>
      <c r="M1378" s="43">
        <v>1089</v>
      </c>
      <c r="N1378" s="43">
        <v>84</v>
      </c>
      <c r="O1378" s="43">
        <v>20</v>
      </c>
      <c r="P1378" s="44">
        <f>K1378+L1378+M1378+N1378+O1378</f>
        <v>1324</v>
      </c>
      <c r="Q1378" s="44">
        <f>I1378+J1378</f>
        <v>18</v>
      </c>
      <c r="R1378" s="43">
        <v>1850</v>
      </c>
      <c r="S1378" s="43">
        <v>72</v>
      </c>
      <c r="T1378" s="43">
        <v>38</v>
      </c>
      <c r="U1378" s="43">
        <v>112</v>
      </c>
      <c r="V1378" s="43">
        <v>5</v>
      </c>
      <c r="W1378" s="43">
        <v>1469</v>
      </c>
      <c r="X1378" s="43">
        <v>122</v>
      </c>
      <c r="Y1378" s="43">
        <v>32</v>
      </c>
      <c r="Z1378" s="45">
        <f>U1378+V1378+W1378+X1378+Y1378</f>
        <v>1740</v>
      </c>
      <c r="AA1378" s="45">
        <f>S1378+T1378</f>
        <v>110</v>
      </c>
      <c r="AB1378" s="46">
        <v>0.59612520000000002</v>
      </c>
      <c r="AC1378" s="46">
        <v>0.7451565</v>
      </c>
      <c r="AD1378" s="46">
        <v>4.9180327999999998</v>
      </c>
      <c r="AE1378" s="46">
        <v>4.8435170999999997</v>
      </c>
      <c r="AF1378" s="46">
        <v>81.147541000000004</v>
      </c>
      <c r="AG1378" s="46">
        <v>6.2593145000000003</v>
      </c>
      <c r="AH1378" s="46">
        <v>1.490313</v>
      </c>
      <c r="AI1378" s="47">
        <f>AB1378+AC1378</f>
        <v>1.3412817000000001</v>
      </c>
      <c r="AJ1378" s="47">
        <f>AD1378+AE1378+AF1378+AG1378+AH1378</f>
        <v>98.658718399999998</v>
      </c>
      <c r="AK1378" s="46">
        <v>3.8918919000000001</v>
      </c>
      <c r="AL1378" s="46">
        <v>2.0540541000000001</v>
      </c>
      <c r="AM1378" s="46">
        <v>6.0540541000000001</v>
      </c>
      <c r="AN1378" s="46">
        <v>0.27027030000000002</v>
      </c>
      <c r="AO1378" s="46">
        <v>79.405405400000006</v>
      </c>
      <c r="AP1378" s="46">
        <v>6.5945945999999998</v>
      </c>
      <c r="AQ1378" s="46">
        <v>1.7297297</v>
      </c>
      <c r="AR1378" s="48">
        <f>AK1378+AL1378</f>
        <v>5.9459460000000002</v>
      </c>
      <c r="AS1378" s="48">
        <f>AM1378+AN1378+AO1378+AP1378+AQ1378</f>
        <v>94.054054100000002</v>
      </c>
    </row>
    <row r="1379" spans="2:45" ht="15" hidden="1" customHeight="1" x14ac:dyDescent="0.25">
      <c r="B1379" s="35">
        <v>1373</v>
      </c>
      <c r="C1379" s="36" t="s">
        <v>31</v>
      </c>
      <c r="D1379" s="36" t="s">
        <v>438</v>
      </c>
      <c r="E1379" s="36" t="s">
        <v>447</v>
      </c>
      <c r="F1379" s="36" t="s">
        <v>341</v>
      </c>
      <c r="G1379" s="37" t="s">
        <v>25</v>
      </c>
      <c r="H1379" s="38"/>
      <c r="I1379" s="38"/>
      <c r="J1379" s="38"/>
      <c r="K1379" s="38"/>
      <c r="L1379" s="38"/>
      <c r="M1379" s="38"/>
      <c r="N1379" s="38"/>
      <c r="O1379" s="38"/>
      <c r="P1379" s="38"/>
      <c r="Q1379" s="38"/>
      <c r="R1379" s="38"/>
      <c r="S1379" s="38"/>
      <c r="T1379" s="38"/>
      <c r="U1379" s="38"/>
      <c r="V1379" s="38"/>
      <c r="W1379" s="38"/>
      <c r="X1379" s="38"/>
      <c r="Y1379" s="38"/>
      <c r="Z1379" s="38"/>
      <c r="AA1379" s="38"/>
      <c r="AB1379" s="39"/>
      <c r="AC1379" s="39"/>
      <c r="AD1379" s="39"/>
      <c r="AE1379" s="39"/>
      <c r="AF1379" s="39"/>
      <c r="AG1379" s="39"/>
      <c r="AH1379" s="39"/>
      <c r="AI1379" s="39"/>
      <c r="AJ1379" s="39"/>
      <c r="AK1379" s="39"/>
      <c r="AL1379" s="39"/>
      <c r="AM1379" s="39"/>
      <c r="AN1379" s="39"/>
      <c r="AO1379" s="39"/>
      <c r="AP1379" s="39"/>
      <c r="AQ1379" s="39"/>
      <c r="AR1379" s="40"/>
      <c r="AS1379" s="40"/>
    </row>
    <row r="1380" spans="2:45" ht="15" hidden="1" customHeight="1" x14ac:dyDescent="0.25">
      <c r="B1380" s="35">
        <v>1374</v>
      </c>
      <c r="C1380" s="36" t="s">
        <v>31</v>
      </c>
      <c r="D1380" s="36" t="s">
        <v>438</v>
      </c>
      <c r="E1380" s="36" t="s">
        <v>447</v>
      </c>
      <c r="F1380" s="36" t="s">
        <v>341</v>
      </c>
      <c r="G1380" s="37" t="s">
        <v>26</v>
      </c>
      <c r="H1380" s="38">
        <v>1342</v>
      </c>
      <c r="I1380" s="38">
        <v>8</v>
      </c>
      <c r="J1380" s="38">
        <v>10</v>
      </c>
      <c r="K1380" s="38">
        <v>66</v>
      </c>
      <c r="L1380" s="38">
        <v>65</v>
      </c>
      <c r="M1380" s="38">
        <v>1089</v>
      </c>
      <c r="N1380" s="38">
        <v>84</v>
      </c>
      <c r="O1380" s="38">
        <v>20</v>
      </c>
      <c r="P1380" s="38"/>
      <c r="Q1380" s="38"/>
      <c r="R1380" s="38">
        <v>1850</v>
      </c>
      <c r="S1380" s="38">
        <v>72</v>
      </c>
      <c r="T1380" s="38">
        <v>38</v>
      </c>
      <c r="U1380" s="38">
        <v>112</v>
      </c>
      <c r="V1380" s="38">
        <v>5</v>
      </c>
      <c r="W1380" s="38">
        <v>1469</v>
      </c>
      <c r="X1380" s="38">
        <v>122</v>
      </c>
      <c r="Y1380" s="38">
        <v>32</v>
      </c>
      <c r="Z1380" s="38"/>
      <c r="AA1380" s="38"/>
      <c r="AB1380" s="39">
        <v>0.59612520000000002</v>
      </c>
      <c r="AC1380" s="39">
        <v>0.7451565</v>
      </c>
      <c r="AD1380" s="39">
        <v>4.9180327999999998</v>
      </c>
      <c r="AE1380" s="39">
        <v>4.8435170999999997</v>
      </c>
      <c r="AF1380" s="39">
        <v>81.147541000000004</v>
      </c>
      <c r="AG1380" s="39">
        <v>6.2593145000000003</v>
      </c>
      <c r="AH1380" s="39">
        <v>1.490313</v>
      </c>
      <c r="AI1380" s="39"/>
      <c r="AJ1380" s="39"/>
      <c r="AK1380" s="39">
        <v>3.8918919000000001</v>
      </c>
      <c r="AL1380" s="39">
        <v>2.0540541000000001</v>
      </c>
      <c r="AM1380" s="39">
        <v>6.0540541000000001</v>
      </c>
      <c r="AN1380" s="39">
        <v>0.27027030000000002</v>
      </c>
      <c r="AO1380" s="39">
        <v>79.405405400000006</v>
      </c>
      <c r="AP1380" s="39">
        <v>6.5945945999999998</v>
      </c>
      <c r="AQ1380" s="39">
        <v>1.7297297</v>
      </c>
      <c r="AR1380" s="40"/>
      <c r="AS1380" s="40"/>
    </row>
    <row r="1381" spans="2:45" ht="15" customHeight="1" x14ac:dyDescent="0.25">
      <c r="B1381" s="41">
        <v>1375</v>
      </c>
      <c r="C1381" s="42" t="s">
        <v>31</v>
      </c>
      <c r="D1381" s="51" t="s">
        <v>438</v>
      </c>
      <c r="E1381" s="51" t="s">
        <v>447</v>
      </c>
      <c r="F1381" s="51" t="s">
        <v>449</v>
      </c>
      <c r="G1381" s="52" t="s">
        <v>449</v>
      </c>
      <c r="H1381" s="43">
        <v>1653</v>
      </c>
      <c r="I1381" s="43">
        <v>32</v>
      </c>
      <c r="J1381" s="43">
        <v>14</v>
      </c>
      <c r="K1381" s="43">
        <v>107</v>
      </c>
      <c r="L1381" s="43">
        <v>54</v>
      </c>
      <c r="M1381" s="43">
        <v>1194</v>
      </c>
      <c r="N1381" s="43">
        <v>195</v>
      </c>
      <c r="O1381" s="43">
        <v>57</v>
      </c>
      <c r="P1381" s="44">
        <f>K1381+L1381+M1381+N1381+O1381</f>
        <v>1607</v>
      </c>
      <c r="Q1381" s="44">
        <f>I1381+J1381</f>
        <v>46</v>
      </c>
      <c r="R1381" s="43">
        <v>2875</v>
      </c>
      <c r="S1381" s="43">
        <v>151</v>
      </c>
      <c r="T1381" s="43">
        <v>190</v>
      </c>
      <c r="U1381" s="43">
        <v>138</v>
      </c>
      <c r="V1381" s="43">
        <v>14</v>
      </c>
      <c r="W1381" s="43">
        <v>2056</v>
      </c>
      <c r="X1381" s="43">
        <v>283</v>
      </c>
      <c r="Y1381" s="43">
        <v>43</v>
      </c>
      <c r="Z1381" s="45">
        <f>U1381+V1381+W1381+X1381+Y1381</f>
        <v>2534</v>
      </c>
      <c r="AA1381" s="45">
        <f>S1381+T1381</f>
        <v>341</v>
      </c>
      <c r="AB1381" s="46">
        <v>1.9358742</v>
      </c>
      <c r="AC1381" s="46">
        <v>0.8469449</v>
      </c>
      <c r="AD1381" s="46">
        <v>6.4730791999999999</v>
      </c>
      <c r="AE1381" s="46">
        <v>3.2667877000000001</v>
      </c>
      <c r="AF1381" s="46">
        <v>72.232304900000003</v>
      </c>
      <c r="AG1381" s="46">
        <v>11.7967332</v>
      </c>
      <c r="AH1381" s="46">
        <v>3.4482759000000001</v>
      </c>
      <c r="AI1381" s="47">
        <f>AB1381+AC1381</f>
        <v>2.7828191000000002</v>
      </c>
      <c r="AJ1381" s="47">
        <f>AD1381+AE1381+AF1381+AG1381+AH1381</f>
        <v>97.217180900000002</v>
      </c>
      <c r="AK1381" s="46">
        <v>5.2521738999999998</v>
      </c>
      <c r="AL1381" s="46">
        <v>6.6086957000000002</v>
      </c>
      <c r="AM1381" s="46">
        <v>4.8</v>
      </c>
      <c r="AN1381" s="46">
        <v>0.48695650000000001</v>
      </c>
      <c r="AO1381" s="46">
        <v>71.513043499999995</v>
      </c>
      <c r="AP1381" s="46">
        <v>9.8434782999999992</v>
      </c>
      <c r="AQ1381" s="46">
        <v>1.4956522000000001</v>
      </c>
      <c r="AR1381" s="48">
        <f>AK1381+AL1381</f>
        <v>11.860869600000001</v>
      </c>
      <c r="AS1381" s="48">
        <f>AM1381+AN1381+AO1381+AP1381+AQ1381</f>
        <v>88.139130499999993</v>
      </c>
    </row>
    <row r="1382" spans="2:45" ht="15" hidden="1" customHeight="1" x14ac:dyDescent="0.25">
      <c r="B1382" s="35">
        <v>1376</v>
      </c>
      <c r="C1382" s="36" t="s">
        <v>31</v>
      </c>
      <c r="D1382" s="36" t="s">
        <v>438</v>
      </c>
      <c r="E1382" s="36" t="s">
        <v>447</v>
      </c>
      <c r="F1382" s="36" t="s">
        <v>449</v>
      </c>
      <c r="G1382" s="37" t="s">
        <v>25</v>
      </c>
      <c r="H1382" s="38">
        <v>377</v>
      </c>
      <c r="I1382" s="38">
        <v>26</v>
      </c>
      <c r="J1382" s="38">
        <v>13</v>
      </c>
      <c r="K1382" s="38">
        <v>68</v>
      </c>
      <c r="L1382" s="38">
        <v>10</v>
      </c>
      <c r="M1382" s="38">
        <v>233</v>
      </c>
      <c r="N1382" s="38">
        <v>18</v>
      </c>
      <c r="O1382" s="38">
        <v>9</v>
      </c>
      <c r="P1382" s="38"/>
      <c r="Q1382" s="38"/>
      <c r="R1382" s="38">
        <v>1155</v>
      </c>
      <c r="S1382" s="38">
        <v>96</v>
      </c>
      <c r="T1382" s="38">
        <v>178</v>
      </c>
      <c r="U1382" s="38">
        <v>38</v>
      </c>
      <c r="V1382" s="38">
        <v>5</v>
      </c>
      <c r="W1382" s="38">
        <v>780</v>
      </c>
      <c r="X1382" s="38">
        <v>37</v>
      </c>
      <c r="Y1382" s="38">
        <v>21</v>
      </c>
      <c r="Z1382" s="38"/>
      <c r="AA1382" s="38"/>
      <c r="AB1382" s="39">
        <v>6.8965516999999998</v>
      </c>
      <c r="AC1382" s="39">
        <v>3.4482759000000001</v>
      </c>
      <c r="AD1382" s="39">
        <v>18.037135299999999</v>
      </c>
      <c r="AE1382" s="39">
        <v>2.6525199000000002</v>
      </c>
      <c r="AF1382" s="39">
        <v>61.803713500000001</v>
      </c>
      <c r="AG1382" s="39">
        <v>4.7745357999999998</v>
      </c>
      <c r="AH1382" s="39">
        <v>2.3872678999999999</v>
      </c>
      <c r="AI1382" s="39"/>
      <c r="AJ1382" s="39"/>
      <c r="AK1382" s="39">
        <v>8.3116883000000001</v>
      </c>
      <c r="AL1382" s="39">
        <v>15.4112554</v>
      </c>
      <c r="AM1382" s="39">
        <v>3.2900432999999998</v>
      </c>
      <c r="AN1382" s="39">
        <v>0.43290040000000002</v>
      </c>
      <c r="AO1382" s="39">
        <v>67.532467499999996</v>
      </c>
      <c r="AP1382" s="39">
        <v>3.2034631999999998</v>
      </c>
      <c r="AQ1382" s="39">
        <v>1.8181818000000001</v>
      </c>
      <c r="AR1382" s="40"/>
      <c r="AS1382" s="40"/>
    </row>
    <row r="1383" spans="2:45" ht="15" hidden="1" customHeight="1" x14ac:dyDescent="0.25">
      <c r="B1383" s="35">
        <v>1377</v>
      </c>
      <c r="C1383" s="36" t="s">
        <v>31</v>
      </c>
      <c r="D1383" s="36" t="s">
        <v>438</v>
      </c>
      <c r="E1383" s="36" t="s">
        <v>447</v>
      </c>
      <c r="F1383" s="36" t="s">
        <v>449</v>
      </c>
      <c r="G1383" s="37" t="s">
        <v>26</v>
      </c>
      <c r="H1383" s="38">
        <v>1276</v>
      </c>
      <c r="I1383" s="38">
        <v>6</v>
      </c>
      <c r="J1383" s="38">
        <v>1</v>
      </c>
      <c r="K1383" s="38">
        <v>39</v>
      </c>
      <c r="L1383" s="38">
        <v>44</v>
      </c>
      <c r="M1383" s="38">
        <v>961</v>
      </c>
      <c r="N1383" s="38">
        <v>177</v>
      </c>
      <c r="O1383" s="38">
        <v>48</v>
      </c>
      <c r="P1383" s="38"/>
      <c r="Q1383" s="38"/>
      <c r="R1383" s="38">
        <v>1720</v>
      </c>
      <c r="S1383" s="38">
        <v>55</v>
      </c>
      <c r="T1383" s="38">
        <v>12</v>
      </c>
      <c r="U1383" s="38">
        <v>100</v>
      </c>
      <c r="V1383" s="38">
        <v>9</v>
      </c>
      <c r="W1383" s="38">
        <v>1276</v>
      </c>
      <c r="X1383" s="38">
        <v>246</v>
      </c>
      <c r="Y1383" s="38">
        <v>22</v>
      </c>
      <c r="Z1383" s="38"/>
      <c r="AA1383" s="38"/>
      <c r="AB1383" s="39">
        <v>0.47021940000000001</v>
      </c>
      <c r="AC1383" s="39">
        <v>7.8369900000000006E-2</v>
      </c>
      <c r="AD1383" s="39">
        <v>3.0564263</v>
      </c>
      <c r="AE1383" s="39">
        <v>3.4482759000000001</v>
      </c>
      <c r="AF1383" s="39">
        <v>75.313479599999994</v>
      </c>
      <c r="AG1383" s="39">
        <v>13.871473399999999</v>
      </c>
      <c r="AH1383" s="39">
        <v>3.7617555</v>
      </c>
      <c r="AI1383" s="39"/>
      <c r="AJ1383" s="39"/>
      <c r="AK1383" s="39">
        <v>3.1976743999999999</v>
      </c>
      <c r="AL1383" s="39">
        <v>0.69767440000000003</v>
      </c>
      <c r="AM1383" s="39">
        <v>5.8139535000000002</v>
      </c>
      <c r="AN1383" s="39">
        <v>0.52325580000000005</v>
      </c>
      <c r="AO1383" s="39">
        <v>74.186046500000003</v>
      </c>
      <c r="AP1383" s="39">
        <v>14.3023256</v>
      </c>
      <c r="AQ1383" s="39">
        <v>1.2790698</v>
      </c>
      <c r="AR1383" s="40"/>
      <c r="AS1383" s="40"/>
    </row>
    <row r="1384" spans="2:45" ht="15" hidden="1" customHeight="1" x14ac:dyDescent="0.25">
      <c r="B1384" s="30">
        <v>1378</v>
      </c>
      <c r="C1384" s="31" t="s">
        <v>29</v>
      </c>
      <c r="D1384" s="50" t="s">
        <v>438</v>
      </c>
      <c r="E1384" s="50" t="s">
        <v>450</v>
      </c>
      <c r="F1384" s="50"/>
      <c r="G1384" s="31" t="s">
        <v>450</v>
      </c>
      <c r="H1384" s="32">
        <v>955</v>
      </c>
      <c r="I1384" s="32">
        <v>8</v>
      </c>
      <c r="J1384" s="32">
        <v>1</v>
      </c>
      <c r="K1384" s="32">
        <v>21</v>
      </c>
      <c r="L1384" s="32">
        <v>17</v>
      </c>
      <c r="M1384" s="32">
        <v>764</v>
      </c>
      <c r="N1384" s="32">
        <v>136</v>
      </c>
      <c r="O1384" s="32">
        <v>8</v>
      </c>
      <c r="P1384" s="32"/>
      <c r="Q1384" s="32"/>
      <c r="R1384" s="32">
        <v>1509</v>
      </c>
      <c r="S1384" s="32">
        <v>33</v>
      </c>
      <c r="T1384" s="32">
        <v>13</v>
      </c>
      <c r="U1384" s="32">
        <v>87</v>
      </c>
      <c r="V1384" s="32">
        <v>9</v>
      </c>
      <c r="W1384" s="32">
        <v>1231</v>
      </c>
      <c r="X1384" s="32">
        <v>115</v>
      </c>
      <c r="Y1384" s="32">
        <v>21</v>
      </c>
      <c r="Z1384" s="32"/>
      <c r="AA1384" s="32"/>
      <c r="AB1384" s="33">
        <v>0.83769629999999995</v>
      </c>
      <c r="AC1384" s="33">
        <v>0.104712</v>
      </c>
      <c r="AD1384" s="33">
        <v>2.1989529000000001</v>
      </c>
      <c r="AE1384" s="33">
        <v>1.7801047000000001</v>
      </c>
      <c r="AF1384" s="33">
        <v>80</v>
      </c>
      <c r="AG1384" s="33">
        <v>14.2408377</v>
      </c>
      <c r="AH1384" s="33">
        <v>0.83769629999999995</v>
      </c>
      <c r="AI1384" s="33"/>
      <c r="AJ1384" s="33"/>
      <c r="AK1384" s="33">
        <v>2.1868786999999998</v>
      </c>
      <c r="AL1384" s="33">
        <v>0.86149770000000003</v>
      </c>
      <c r="AM1384" s="33">
        <v>5.7654075999999996</v>
      </c>
      <c r="AN1384" s="33">
        <v>0.59642150000000005</v>
      </c>
      <c r="AO1384" s="33">
        <v>81.577203400000002</v>
      </c>
      <c r="AP1384" s="33">
        <v>7.6209410000000002</v>
      </c>
      <c r="AQ1384" s="33">
        <v>1.3916500999999999</v>
      </c>
      <c r="AR1384" s="34"/>
      <c r="AS1384" s="34"/>
    </row>
    <row r="1385" spans="2:45" ht="15" hidden="1" customHeight="1" x14ac:dyDescent="0.25">
      <c r="B1385" s="35">
        <v>1379</v>
      </c>
      <c r="C1385" s="36" t="s">
        <v>29</v>
      </c>
      <c r="D1385" s="36" t="s">
        <v>438</v>
      </c>
      <c r="E1385" s="36" t="s">
        <v>450</v>
      </c>
      <c r="F1385" s="36"/>
      <c r="G1385" s="37" t="s">
        <v>25</v>
      </c>
      <c r="H1385" s="38"/>
      <c r="I1385" s="38"/>
      <c r="J1385" s="38"/>
      <c r="K1385" s="38"/>
      <c r="L1385" s="38"/>
      <c r="M1385" s="38"/>
      <c r="N1385" s="38"/>
      <c r="O1385" s="38"/>
      <c r="P1385" s="38"/>
      <c r="Q1385" s="38"/>
      <c r="R1385" s="38"/>
      <c r="S1385" s="38"/>
      <c r="T1385" s="38"/>
      <c r="U1385" s="38"/>
      <c r="V1385" s="38"/>
      <c r="W1385" s="38"/>
      <c r="X1385" s="38"/>
      <c r="Y1385" s="38"/>
      <c r="Z1385" s="38"/>
      <c r="AA1385" s="38"/>
      <c r="AB1385" s="39"/>
      <c r="AC1385" s="39"/>
      <c r="AD1385" s="39"/>
      <c r="AE1385" s="39"/>
      <c r="AF1385" s="39"/>
      <c r="AG1385" s="39"/>
      <c r="AH1385" s="39"/>
      <c r="AI1385" s="39"/>
      <c r="AJ1385" s="39"/>
      <c r="AK1385" s="39"/>
      <c r="AL1385" s="39"/>
      <c r="AM1385" s="39"/>
      <c r="AN1385" s="39"/>
      <c r="AO1385" s="39"/>
      <c r="AP1385" s="39"/>
      <c r="AQ1385" s="39"/>
      <c r="AR1385" s="40"/>
      <c r="AS1385" s="40"/>
    </row>
    <row r="1386" spans="2:45" ht="15" hidden="1" customHeight="1" x14ac:dyDescent="0.25">
      <c r="B1386" s="35">
        <v>1380</v>
      </c>
      <c r="C1386" s="36" t="s">
        <v>29</v>
      </c>
      <c r="D1386" s="36" t="s">
        <v>438</v>
      </c>
      <c r="E1386" s="36" t="s">
        <v>450</v>
      </c>
      <c r="F1386" s="36"/>
      <c r="G1386" s="37" t="s">
        <v>26</v>
      </c>
      <c r="H1386" s="38">
        <v>955</v>
      </c>
      <c r="I1386" s="38">
        <v>8</v>
      </c>
      <c r="J1386" s="38">
        <v>1</v>
      </c>
      <c r="K1386" s="38">
        <v>21</v>
      </c>
      <c r="L1386" s="38">
        <v>17</v>
      </c>
      <c r="M1386" s="38">
        <v>764</v>
      </c>
      <c r="N1386" s="38">
        <v>136</v>
      </c>
      <c r="O1386" s="38">
        <v>8</v>
      </c>
      <c r="P1386" s="38"/>
      <c r="Q1386" s="38"/>
      <c r="R1386" s="38">
        <v>1509</v>
      </c>
      <c r="S1386" s="38">
        <v>33</v>
      </c>
      <c r="T1386" s="38">
        <v>13</v>
      </c>
      <c r="U1386" s="38">
        <v>87</v>
      </c>
      <c r="V1386" s="38">
        <v>9</v>
      </c>
      <c r="W1386" s="38">
        <v>1231</v>
      </c>
      <c r="X1386" s="38">
        <v>115</v>
      </c>
      <c r="Y1386" s="38">
        <v>21</v>
      </c>
      <c r="Z1386" s="38"/>
      <c r="AA1386" s="38"/>
      <c r="AB1386" s="39">
        <v>0.83769629999999995</v>
      </c>
      <c r="AC1386" s="39">
        <v>0.104712</v>
      </c>
      <c r="AD1386" s="39">
        <v>2.1989529000000001</v>
      </c>
      <c r="AE1386" s="39">
        <v>1.7801047000000001</v>
      </c>
      <c r="AF1386" s="39">
        <v>80</v>
      </c>
      <c r="AG1386" s="39">
        <v>14.2408377</v>
      </c>
      <c r="AH1386" s="39">
        <v>0.83769629999999995</v>
      </c>
      <c r="AI1386" s="39"/>
      <c r="AJ1386" s="39"/>
      <c r="AK1386" s="39">
        <v>2.1868786999999998</v>
      </c>
      <c r="AL1386" s="39">
        <v>0.86149770000000003</v>
      </c>
      <c r="AM1386" s="39">
        <v>5.7654075999999996</v>
      </c>
      <c r="AN1386" s="39">
        <v>0.59642150000000005</v>
      </c>
      <c r="AO1386" s="39">
        <v>81.577203400000002</v>
      </c>
      <c r="AP1386" s="39">
        <v>7.6209410000000002</v>
      </c>
      <c r="AQ1386" s="39">
        <v>1.3916500999999999</v>
      </c>
      <c r="AR1386" s="40"/>
      <c r="AS1386" s="40"/>
    </row>
    <row r="1387" spans="2:45" ht="15" customHeight="1" x14ac:dyDescent="0.25">
      <c r="B1387" s="41">
        <v>1381</v>
      </c>
      <c r="C1387" s="42" t="s">
        <v>31</v>
      </c>
      <c r="D1387" s="51" t="s">
        <v>438</v>
      </c>
      <c r="E1387" s="51" t="s">
        <v>450</v>
      </c>
      <c r="F1387" s="51" t="s">
        <v>368</v>
      </c>
      <c r="G1387" s="52" t="s">
        <v>368</v>
      </c>
      <c r="H1387" s="43">
        <v>611</v>
      </c>
      <c r="I1387" s="43">
        <v>2</v>
      </c>
      <c r="J1387" s="43">
        <v>0</v>
      </c>
      <c r="K1387" s="43">
        <v>17</v>
      </c>
      <c r="L1387" s="43">
        <v>2</v>
      </c>
      <c r="M1387" s="43">
        <v>479</v>
      </c>
      <c r="N1387" s="43">
        <v>106</v>
      </c>
      <c r="O1387" s="43">
        <v>5</v>
      </c>
      <c r="P1387" s="44">
        <f>K1387+L1387+M1387+N1387+O1387</f>
        <v>609</v>
      </c>
      <c r="Q1387" s="44">
        <f>I1387+J1387</f>
        <v>2</v>
      </c>
      <c r="R1387" s="43">
        <v>860</v>
      </c>
      <c r="S1387" s="43">
        <v>7</v>
      </c>
      <c r="T1387" s="43">
        <v>1</v>
      </c>
      <c r="U1387" s="43">
        <v>31</v>
      </c>
      <c r="V1387" s="43">
        <v>2</v>
      </c>
      <c r="W1387" s="43">
        <v>749</v>
      </c>
      <c r="X1387" s="43">
        <v>63</v>
      </c>
      <c r="Y1387" s="43">
        <v>7</v>
      </c>
      <c r="Z1387" s="45">
        <f>U1387+V1387+W1387+X1387+Y1387</f>
        <v>852</v>
      </c>
      <c r="AA1387" s="45">
        <f>S1387+T1387</f>
        <v>8</v>
      </c>
      <c r="AB1387" s="46">
        <v>0.32733220000000002</v>
      </c>
      <c r="AC1387" s="46">
        <v>0</v>
      </c>
      <c r="AD1387" s="46">
        <v>2.7823240999999999</v>
      </c>
      <c r="AE1387" s="46">
        <v>0.32733220000000002</v>
      </c>
      <c r="AF1387" s="46">
        <v>78.396072000000004</v>
      </c>
      <c r="AG1387" s="46">
        <v>17.348608800000001</v>
      </c>
      <c r="AH1387" s="46">
        <v>0.81833060000000002</v>
      </c>
      <c r="AI1387" s="47">
        <f>AB1387+AC1387</f>
        <v>0.32733220000000002</v>
      </c>
      <c r="AJ1387" s="47">
        <f>AD1387+AE1387+AF1387+AG1387+AH1387</f>
        <v>99.672667700000005</v>
      </c>
      <c r="AK1387" s="46">
        <v>0.8139535</v>
      </c>
      <c r="AL1387" s="46">
        <v>0.1162791</v>
      </c>
      <c r="AM1387" s="46">
        <v>3.6046512000000002</v>
      </c>
      <c r="AN1387" s="46">
        <v>0.23255809999999999</v>
      </c>
      <c r="AO1387" s="46">
        <v>87.093023299999999</v>
      </c>
      <c r="AP1387" s="46">
        <v>7.3255813999999999</v>
      </c>
      <c r="AQ1387" s="46">
        <v>0.8139535</v>
      </c>
      <c r="AR1387" s="48">
        <f>AK1387+AL1387</f>
        <v>0.93023259999999997</v>
      </c>
      <c r="AS1387" s="48">
        <f>AM1387+AN1387+AO1387+AP1387+AQ1387</f>
        <v>99.069767499999998</v>
      </c>
    </row>
    <row r="1388" spans="2:45" ht="15" hidden="1" customHeight="1" x14ac:dyDescent="0.25">
      <c r="B1388" s="35">
        <v>1382</v>
      </c>
      <c r="C1388" s="36" t="s">
        <v>31</v>
      </c>
      <c r="D1388" s="36" t="s">
        <v>438</v>
      </c>
      <c r="E1388" s="36" t="s">
        <v>450</v>
      </c>
      <c r="F1388" s="36" t="s">
        <v>368</v>
      </c>
      <c r="G1388" s="37" t="s">
        <v>25</v>
      </c>
      <c r="H1388" s="38"/>
      <c r="I1388" s="38"/>
      <c r="J1388" s="38"/>
      <c r="K1388" s="38"/>
      <c r="L1388" s="38"/>
      <c r="M1388" s="38"/>
      <c r="N1388" s="38"/>
      <c r="O1388" s="38"/>
      <c r="P1388" s="38"/>
      <c r="Q1388" s="38"/>
      <c r="R1388" s="38"/>
      <c r="S1388" s="38"/>
      <c r="T1388" s="38"/>
      <c r="U1388" s="38"/>
      <c r="V1388" s="38"/>
      <c r="W1388" s="38"/>
      <c r="X1388" s="38"/>
      <c r="Y1388" s="38"/>
      <c r="Z1388" s="38"/>
      <c r="AA1388" s="38"/>
      <c r="AB1388" s="39"/>
      <c r="AC1388" s="39"/>
      <c r="AD1388" s="39"/>
      <c r="AE1388" s="39"/>
      <c r="AF1388" s="39"/>
      <c r="AG1388" s="39"/>
      <c r="AH1388" s="39"/>
      <c r="AI1388" s="39"/>
      <c r="AJ1388" s="39"/>
      <c r="AK1388" s="39"/>
      <c r="AL1388" s="39"/>
      <c r="AM1388" s="39"/>
      <c r="AN1388" s="39"/>
      <c r="AO1388" s="39"/>
      <c r="AP1388" s="39"/>
      <c r="AQ1388" s="39"/>
      <c r="AR1388" s="40"/>
      <c r="AS1388" s="40"/>
    </row>
    <row r="1389" spans="2:45" ht="15" hidden="1" customHeight="1" x14ac:dyDescent="0.25">
      <c r="B1389" s="35">
        <v>1383</v>
      </c>
      <c r="C1389" s="36" t="s">
        <v>31</v>
      </c>
      <c r="D1389" s="36" t="s">
        <v>438</v>
      </c>
      <c r="E1389" s="36" t="s">
        <v>450</v>
      </c>
      <c r="F1389" s="36" t="s">
        <v>368</v>
      </c>
      <c r="G1389" s="37" t="s">
        <v>26</v>
      </c>
      <c r="H1389" s="38">
        <v>611</v>
      </c>
      <c r="I1389" s="38">
        <v>2</v>
      </c>
      <c r="J1389" s="38">
        <v>0</v>
      </c>
      <c r="K1389" s="38">
        <v>17</v>
      </c>
      <c r="L1389" s="38">
        <v>2</v>
      </c>
      <c r="M1389" s="38">
        <v>479</v>
      </c>
      <c r="N1389" s="38">
        <v>106</v>
      </c>
      <c r="O1389" s="38">
        <v>5</v>
      </c>
      <c r="P1389" s="38"/>
      <c r="Q1389" s="38"/>
      <c r="R1389" s="38">
        <v>860</v>
      </c>
      <c r="S1389" s="38">
        <v>7</v>
      </c>
      <c r="T1389" s="38">
        <v>1</v>
      </c>
      <c r="U1389" s="38">
        <v>31</v>
      </c>
      <c r="V1389" s="38">
        <v>2</v>
      </c>
      <c r="W1389" s="38">
        <v>749</v>
      </c>
      <c r="X1389" s="38">
        <v>63</v>
      </c>
      <c r="Y1389" s="38">
        <v>7</v>
      </c>
      <c r="Z1389" s="38"/>
      <c r="AA1389" s="38"/>
      <c r="AB1389" s="39">
        <v>0.32733220000000002</v>
      </c>
      <c r="AC1389" s="39">
        <v>0</v>
      </c>
      <c r="AD1389" s="39">
        <v>2.7823240999999999</v>
      </c>
      <c r="AE1389" s="39">
        <v>0.32733220000000002</v>
      </c>
      <c r="AF1389" s="39">
        <v>78.396072000000004</v>
      </c>
      <c r="AG1389" s="39">
        <v>17.348608800000001</v>
      </c>
      <c r="AH1389" s="39">
        <v>0.81833060000000002</v>
      </c>
      <c r="AI1389" s="39"/>
      <c r="AJ1389" s="39"/>
      <c r="AK1389" s="39">
        <v>0.8139535</v>
      </c>
      <c r="AL1389" s="39">
        <v>0.1162791</v>
      </c>
      <c r="AM1389" s="39">
        <v>3.6046512000000002</v>
      </c>
      <c r="AN1389" s="39">
        <v>0.23255809999999999</v>
      </c>
      <c r="AO1389" s="39">
        <v>87.093023299999999</v>
      </c>
      <c r="AP1389" s="39">
        <v>7.3255813999999999</v>
      </c>
      <c r="AQ1389" s="39">
        <v>0.8139535</v>
      </c>
      <c r="AR1389" s="40"/>
      <c r="AS1389" s="40"/>
    </row>
    <row r="1390" spans="2:45" ht="15" customHeight="1" x14ac:dyDescent="0.25">
      <c r="B1390" s="41">
        <v>1384</v>
      </c>
      <c r="C1390" s="42" t="s">
        <v>31</v>
      </c>
      <c r="D1390" s="51" t="s">
        <v>438</v>
      </c>
      <c r="E1390" s="51" t="s">
        <v>450</v>
      </c>
      <c r="F1390" s="51" t="s">
        <v>111</v>
      </c>
      <c r="G1390" s="52" t="s">
        <v>111</v>
      </c>
      <c r="H1390" s="43">
        <v>344</v>
      </c>
      <c r="I1390" s="43">
        <v>6</v>
      </c>
      <c r="J1390" s="43">
        <v>1</v>
      </c>
      <c r="K1390" s="43">
        <v>4</v>
      </c>
      <c r="L1390" s="43">
        <v>15</v>
      </c>
      <c r="M1390" s="43">
        <v>285</v>
      </c>
      <c r="N1390" s="43">
        <v>30</v>
      </c>
      <c r="O1390" s="43">
        <v>3</v>
      </c>
      <c r="P1390" s="44">
        <f>K1390+L1390+M1390+N1390+O1390</f>
        <v>337</v>
      </c>
      <c r="Q1390" s="44">
        <f>I1390+J1390</f>
        <v>7</v>
      </c>
      <c r="R1390" s="43">
        <v>649</v>
      </c>
      <c r="S1390" s="43">
        <v>26</v>
      </c>
      <c r="T1390" s="43">
        <v>12</v>
      </c>
      <c r="U1390" s="43">
        <v>56</v>
      </c>
      <c r="V1390" s="43">
        <v>7</v>
      </c>
      <c r="W1390" s="43">
        <v>482</v>
      </c>
      <c r="X1390" s="43">
        <v>52</v>
      </c>
      <c r="Y1390" s="43">
        <v>14</v>
      </c>
      <c r="Z1390" s="45">
        <f>U1390+V1390+W1390+X1390+Y1390</f>
        <v>611</v>
      </c>
      <c r="AA1390" s="45">
        <f>S1390+T1390</f>
        <v>38</v>
      </c>
      <c r="AB1390" s="46">
        <v>1.744186</v>
      </c>
      <c r="AC1390" s="46">
        <v>0.2906977</v>
      </c>
      <c r="AD1390" s="46">
        <v>1.1627907</v>
      </c>
      <c r="AE1390" s="46">
        <v>4.3604650999999999</v>
      </c>
      <c r="AF1390" s="46">
        <v>82.848837200000006</v>
      </c>
      <c r="AG1390" s="46">
        <v>8.7209301999999997</v>
      </c>
      <c r="AH1390" s="46">
        <v>0.87209300000000001</v>
      </c>
      <c r="AI1390" s="47">
        <f>AB1390+AC1390</f>
        <v>2.0348837</v>
      </c>
      <c r="AJ1390" s="47">
        <f>AD1390+AE1390+AF1390+AG1390+AH1390</f>
        <v>97.965116200000011</v>
      </c>
      <c r="AK1390" s="46">
        <v>4.0061632999999999</v>
      </c>
      <c r="AL1390" s="46">
        <v>1.8489985</v>
      </c>
      <c r="AM1390" s="46">
        <v>8.6286594999999995</v>
      </c>
      <c r="AN1390" s="46">
        <v>1.0785823999999999</v>
      </c>
      <c r="AO1390" s="46">
        <v>74.268104800000003</v>
      </c>
      <c r="AP1390" s="46">
        <v>8.0123266999999991</v>
      </c>
      <c r="AQ1390" s="46">
        <v>2.1571649000000002</v>
      </c>
      <c r="AR1390" s="48">
        <f>AK1390+AL1390</f>
        <v>5.8551617999999994</v>
      </c>
      <c r="AS1390" s="48">
        <f>AM1390+AN1390+AO1390+AP1390+AQ1390</f>
        <v>94.144838300000004</v>
      </c>
    </row>
    <row r="1391" spans="2:45" ht="15" hidden="1" customHeight="1" x14ac:dyDescent="0.25">
      <c r="B1391" s="35">
        <v>1385</v>
      </c>
      <c r="C1391" s="36" t="s">
        <v>31</v>
      </c>
      <c r="D1391" s="36" t="s">
        <v>438</v>
      </c>
      <c r="E1391" s="36" t="s">
        <v>450</v>
      </c>
      <c r="F1391" s="36" t="s">
        <v>111</v>
      </c>
      <c r="G1391" s="37" t="s">
        <v>25</v>
      </c>
      <c r="H1391" s="38"/>
      <c r="I1391" s="38"/>
      <c r="J1391" s="38"/>
      <c r="K1391" s="38"/>
      <c r="L1391" s="38"/>
      <c r="M1391" s="38"/>
      <c r="N1391" s="38"/>
      <c r="O1391" s="38"/>
      <c r="P1391" s="38"/>
      <c r="Q1391" s="38"/>
      <c r="R1391" s="38"/>
      <c r="S1391" s="38"/>
      <c r="T1391" s="38"/>
      <c r="U1391" s="38"/>
      <c r="V1391" s="38"/>
      <c r="W1391" s="38"/>
      <c r="X1391" s="38"/>
      <c r="Y1391" s="38"/>
      <c r="Z1391" s="38"/>
      <c r="AA1391" s="38"/>
      <c r="AB1391" s="39"/>
      <c r="AC1391" s="39"/>
      <c r="AD1391" s="39"/>
      <c r="AE1391" s="39"/>
      <c r="AF1391" s="39"/>
      <c r="AG1391" s="39"/>
      <c r="AH1391" s="39"/>
      <c r="AI1391" s="39"/>
      <c r="AJ1391" s="39"/>
      <c r="AK1391" s="39"/>
      <c r="AL1391" s="39"/>
      <c r="AM1391" s="39"/>
      <c r="AN1391" s="39"/>
      <c r="AO1391" s="39"/>
      <c r="AP1391" s="39"/>
      <c r="AQ1391" s="39"/>
      <c r="AR1391" s="40"/>
      <c r="AS1391" s="40"/>
    </row>
    <row r="1392" spans="2:45" ht="15" hidden="1" customHeight="1" x14ac:dyDescent="0.25">
      <c r="B1392" s="35">
        <v>1386</v>
      </c>
      <c r="C1392" s="36" t="s">
        <v>31</v>
      </c>
      <c r="D1392" s="36" t="s">
        <v>438</v>
      </c>
      <c r="E1392" s="36" t="s">
        <v>450</v>
      </c>
      <c r="F1392" s="36" t="s">
        <v>111</v>
      </c>
      <c r="G1392" s="37" t="s">
        <v>26</v>
      </c>
      <c r="H1392" s="38">
        <v>344</v>
      </c>
      <c r="I1392" s="38">
        <v>6</v>
      </c>
      <c r="J1392" s="38">
        <v>1</v>
      </c>
      <c r="K1392" s="38">
        <v>4</v>
      </c>
      <c r="L1392" s="38">
        <v>15</v>
      </c>
      <c r="M1392" s="38">
        <v>285</v>
      </c>
      <c r="N1392" s="38">
        <v>30</v>
      </c>
      <c r="O1392" s="38">
        <v>3</v>
      </c>
      <c r="P1392" s="38"/>
      <c r="Q1392" s="38"/>
      <c r="R1392" s="38">
        <v>649</v>
      </c>
      <c r="S1392" s="38">
        <v>26</v>
      </c>
      <c r="T1392" s="38">
        <v>12</v>
      </c>
      <c r="U1392" s="38">
        <v>56</v>
      </c>
      <c r="V1392" s="38">
        <v>7</v>
      </c>
      <c r="W1392" s="38">
        <v>482</v>
      </c>
      <c r="X1392" s="38">
        <v>52</v>
      </c>
      <c r="Y1392" s="38">
        <v>14</v>
      </c>
      <c r="Z1392" s="38"/>
      <c r="AA1392" s="38"/>
      <c r="AB1392" s="39">
        <v>1.744186</v>
      </c>
      <c r="AC1392" s="39">
        <v>0.2906977</v>
      </c>
      <c r="AD1392" s="39">
        <v>1.1627907</v>
      </c>
      <c r="AE1392" s="39">
        <v>4.3604650999999999</v>
      </c>
      <c r="AF1392" s="39">
        <v>82.848837200000006</v>
      </c>
      <c r="AG1392" s="39">
        <v>8.7209301999999997</v>
      </c>
      <c r="AH1392" s="39">
        <v>0.87209300000000001</v>
      </c>
      <c r="AI1392" s="39"/>
      <c r="AJ1392" s="39"/>
      <c r="AK1392" s="39">
        <v>4.0061632999999999</v>
      </c>
      <c r="AL1392" s="39">
        <v>1.8489985</v>
      </c>
      <c r="AM1392" s="39">
        <v>8.6286594999999995</v>
      </c>
      <c r="AN1392" s="39">
        <v>1.0785823999999999</v>
      </c>
      <c r="AO1392" s="39">
        <v>74.268104800000003</v>
      </c>
      <c r="AP1392" s="39">
        <v>8.0123266999999991</v>
      </c>
      <c r="AQ1392" s="39">
        <v>2.1571649000000002</v>
      </c>
      <c r="AR1392" s="40"/>
      <c r="AS1392" s="40"/>
    </row>
    <row r="1393" spans="1:45" ht="15" hidden="1" customHeight="1" x14ac:dyDescent="0.25">
      <c r="B1393" s="30">
        <v>1387</v>
      </c>
      <c r="C1393" s="31" t="s">
        <v>29</v>
      </c>
      <c r="D1393" s="50" t="s">
        <v>438</v>
      </c>
      <c r="E1393" s="50" t="s">
        <v>451</v>
      </c>
      <c r="F1393" s="50"/>
      <c r="G1393" s="31" t="s">
        <v>451</v>
      </c>
      <c r="H1393" s="32">
        <v>1521</v>
      </c>
      <c r="I1393" s="32">
        <v>42</v>
      </c>
      <c r="J1393" s="32">
        <v>7</v>
      </c>
      <c r="K1393" s="32">
        <v>78</v>
      </c>
      <c r="L1393" s="32">
        <v>32</v>
      </c>
      <c r="M1393" s="32">
        <v>1113</v>
      </c>
      <c r="N1393" s="32">
        <v>205</v>
      </c>
      <c r="O1393" s="32">
        <v>44</v>
      </c>
      <c r="P1393" s="32"/>
      <c r="Q1393" s="32"/>
      <c r="R1393" s="32">
        <v>1798</v>
      </c>
      <c r="S1393" s="32">
        <v>20</v>
      </c>
      <c r="T1393" s="32">
        <v>5</v>
      </c>
      <c r="U1393" s="32">
        <v>85</v>
      </c>
      <c r="V1393" s="32">
        <v>11</v>
      </c>
      <c r="W1393" s="32">
        <v>1501</v>
      </c>
      <c r="X1393" s="32">
        <v>151</v>
      </c>
      <c r="Y1393" s="32">
        <v>25</v>
      </c>
      <c r="Z1393" s="32"/>
      <c r="AA1393" s="32"/>
      <c r="AB1393" s="33">
        <v>2.7613411999999999</v>
      </c>
      <c r="AC1393" s="33">
        <v>0.46022350000000001</v>
      </c>
      <c r="AD1393" s="33">
        <v>5.1282050999999997</v>
      </c>
      <c r="AE1393" s="33">
        <v>2.1038790000000001</v>
      </c>
      <c r="AF1393" s="33">
        <v>73.175542399999998</v>
      </c>
      <c r="AG1393" s="33">
        <v>13.477975000000001</v>
      </c>
      <c r="AH1393" s="33">
        <v>2.8928337000000002</v>
      </c>
      <c r="AI1393" s="33"/>
      <c r="AJ1393" s="33"/>
      <c r="AK1393" s="33">
        <v>1.1123471</v>
      </c>
      <c r="AL1393" s="33">
        <v>0.27808680000000002</v>
      </c>
      <c r="AM1393" s="33">
        <v>4.7274750000000001</v>
      </c>
      <c r="AN1393" s="33">
        <v>0.61179090000000003</v>
      </c>
      <c r="AO1393" s="33">
        <v>83.481646299999994</v>
      </c>
      <c r="AP1393" s="33">
        <v>8.3982202000000008</v>
      </c>
      <c r="AQ1393" s="33">
        <v>1.3904338000000001</v>
      </c>
      <c r="AR1393" s="34"/>
      <c r="AS1393" s="34"/>
    </row>
    <row r="1394" spans="1:45" ht="15" hidden="1" customHeight="1" x14ac:dyDescent="0.25">
      <c r="B1394" s="35">
        <v>1388</v>
      </c>
      <c r="C1394" s="36" t="s">
        <v>29</v>
      </c>
      <c r="D1394" s="36" t="s">
        <v>438</v>
      </c>
      <c r="E1394" s="36" t="s">
        <v>451</v>
      </c>
      <c r="F1394" s="36"/>
      <c r="G1394" s="37" t="s">
        <v>25</v>
      </c>
      <c r="H1394" s="38"/>
      <c r="I1394" s="38"/>
      <c r="J1394" s="38"/>
      <c r="K1394" s="38"/>
      <c r="L1394" s="38"/>
      <c r="M1394" s="38"/>
      <c r="N1394" s="38"/>
      <c r="O1394" s="38"/>
      <c r="P1394" s="38"/>
      <c r="Q1394" s="38"/>
      <c r="R1394" s="38"/>
      <c r="S1394" s="38"/>
      <c r="T1394" s="38"/>
      <c r="U1394" s="38"/>
      <c r="V1394" s="38"/>
      <c r="W1394" s="38"/>
      <c r="X1394" s="38"/>
      <c r="Y1394" s="38"/>
      <c r="Z1394" s="38"/>
      <c r="AA1394" s="38"/>
      <c r="AB1394" s="39"/>
      <c r="AC1394" s="39"/>
      <c r="AD1394" s="39"/>
      <c r="AE1394" s="39"/>
      <c r="AF1394" s="39"/>
      <c r="AG1394" s="39"/>
      <c r="AH1394" s="39"/>
      <c r="AI1394" s="39"/>
      <c r="AJ1394" s="39"/>
      <c r="AK1394" s="39"/>
      <c r="AL1394" s="39"/>
      <c r="AM1394" s="39"/>
      <c r="AN1394" s="39"/>
      <c r="AO1394" s="39"/>
      <c r="AP1394" s="39"/>
      <c r="AQ1394" s="39"/>
      <c r="AR1394" s="40"/>
      <c r="AS1394" s="40"/>
    </row>
    <row r="1395" spans="1:45" ht="15" hidden="1" customHeight="1" x14ac:dyDescent="0.25">
      <c r="B1395" s="35">
        <v>1389</v>
      </c>
      <c r="C1395" s="36" t="s">
        <v>29</v>
      </c>
      <c r="D1395" s="36" t="s">
        <v>438</v>
      </c>
      <c r="E1395" s="36" t="s">
        <v>451</v>
      </c>
      <c r="F1395" s="36"/>
      <c r="G1395" s="37" t="s">
        <v>26</v>
      </c>
      <c r="H1395" s="38">
        <v>1521</v>
      </c>
      <c r="I1395" s="38">
        <v>42</v>
      </c>
      <c r="J1395" s="38">
        <v>7</v>
      </c>
      <c r="K1395" s="38">
        <v>78</v>
      </c>
      <c r="L1395" s="38">
        <v>32</v>
      </c>
      <c r="M1395" s="38">
        <v>1113</v>
      </c>
      <c r="N1395" s="38">
        <v>205</v>
      </c>
      <c r="O1395" s="38">
        <v>44</v>
      </c>
      <c r="P1395" s="38"/>
      <c r="Q1395" s="38"/>
      <c r="R1395" s="38">
        <v>1798</v>
      </c>
      <c r="S1395" s="38">
        <v>20</v>
      </c>
      <c r="T1395" s="38">
        <v>5</v>
      </c>
      <c r="U1395" s="38">
        <v>85</v>
      </c>
      <c r="V1395" s="38">
        <v>11</v>
      </c>
      <c r="W1395" s="38">
        <v>1501</v>
      </c>
      <c r="X1395" s="38">
        <v>151</v>
      </c>
      <c r="Y1395" s="38">
        <v>25</v>
      </c>
      <c r="Z1395" s="38"/>
      <c r="AA1395" s="38"/>
      <c r="AB1395" s="39">
        <v>2.7613411999999999</v>
      </c>
      <c r="AC1395" s="39">
        <v>0.46022350000000001</v>
      </c>
      <c r="AD1395" s="39">
        <v>5.1282050999999997</v>
      </c>
      <c r="AE1395" s="39">
        <v>2.1038790000000001</v>
      </c>
      <c r="AF1395" s="39">
        <v>73.175542399999998</v>
      </c>
      <c r="AG1395" s="39">
        <v>13.477975000000001</v>
      </c>
      <c r="AH1395" s="39">
        <v>2.8928337000000002</v>
      </c>
      <c r="AI1395" s="39"/>
      <c r="AJ1395" s="39"/>
      <c r="AK1395" s="39">
        <v>1.1123471</v>
      </c>
      <c r="AL1395" s="39">
        <v>0.27808680000000002</v>
      </c>
      <c r="AM1395" s="39">
        <v>4.7274750000000001</v>
      </c>
      <c r="AN1395" s="39">
        <v>0.61179090000000003</v>
      </c>
      <c r="AO1395" s="39">
        <v>83.481646299999994</v>
      </c>
      <c r="AP1395" s="39">
        <v>8.3982202000000008</v>
      </c>
      <c r="AQ1395" s="39">
        <v>1.3904338000000001</v>
      </c>
      <c r="AR1395" s="40"/>
      <c r="AS1395" s="40"/>
    </row>
    <row r="1396" spans="1:45" ht="15" customHeight="1" x14ac:dyDescent="0.25">
      <c r="B1396" s="41">
        <v>1390</v>
      </c>
      <c r="C1396" s="42" t="s">
        <v>31</v>
      </c>
      <c r="D1396" s="51" t="s">
        <v>438</v>
      </c>
      <c r="E1396" s="51" t="s">
        <v>451</v>
      </c>
      <c r="F1396" s="51" t="s">
        <v>452</v>
      </c>
      <c r="G1396" s="52" t="s">
        <v>452</v>
      </c>
      <c r="H1396" s="43">
        <v>466</v>
      </c>
      <c r="I1396" s="43">
        <v>5</v>
      </c>
      <c r="J1396" s="43">
        <v>1</v>
      </c>
      <c r="K1396" s="43">
        <v>15</v>
      </c>
      <c r="L1396" s="43">
        <v>9</v>
      </c>
      <c r="M1396" s="43">
        <v>370</v>
      </c>
      <c r="N1396" s="43">
        <v>56</v>
      </c>
      <c r="O1396" s="43">
        <v>10</v>
      </c>
      <c r="P1396" s="44">
        <f>K1396+L1396+M1396+N1396+O1396</f>
        <v>460</v>
      </c>
      <c r="Q1396" s="44">
        <f>I1396+J1396</f>
        <v>6</v>
      </c>
      <c r="R1396" s="43">
        <v>489</v>
      </c>
      <c r="S1396" s="43">
        <v>3</v>
      </c>
      <c r="T1396" s="43">
        <v>0</v>
      </c>
      <c r="U1396" s="43">
        <v>17</v>
      </c>
      <c r="V1396" s="43">
        <v>3</v>
      </c>
      <c r="W1396" s="43">
        <v>426</v>
      </c>
      <c r="X1396" s="43">
        <v>35</v>
      </c>
      <c r="Y1396" s="43">
        <v>5</v>
      </c>
      <c r="Z1396" s="45">
        <f>U1396+V1396+W1396+X1396+Y1396</f>
        <v>486</v>
      </c>
      <c r="AA1396" s="45">
        <f>S1396+T1396</f>
        <v>3</v>
      </c>
      <c r="AB1396" s="46">
        <v>1.0729614000000001</v>
      </c>
      <c r="AC1396" s="46">
        <v>0.21459230000000001</v>
      </c>
      <c r="AD1396" s="46">
        <v>3.2188840999999999</v>
      </c>
      <c r="AE1396" s="46">
        <v>1.9313305000000001</v>
      </c>
      <c r="AF1396" s="46">
        <v>79.399141599999993</v>
      </c>
      <c r="AG1396" s="46">
        <v>12.0171674</v>
      </c>
      <c r="AH1396" s="46">
        <v>2.1459226999999998</v>
      </c>
      <c r="AI1396" s="47">
        <f>AB1396+AC1396</f>
        <v>1.2875537000000001</v>
      </c>
      <c r="AJ1396" s="47">
        <f>AD1396+AE1396+AF1396+AG1396+AH1396</f>
        <v>98.712446299999996</v>
      </c>
      <c r="AK1396" s="46">
        <v>0.61349690000000001</v>
      </c>
      <c r="AL1396" s="46">
        <v>0</v>
      </c>
      <c r="AM1396" s="46">
        <v>3.4764826000000002</v>
      </c>
      <c r="AN1396" s="46">
        <v>0.61349690000000001</v>
      </c>
      <c r="AO1396" s="46">
        <v>87.116564400000001</v>
      </c>
      <c r="AP1396" s="46">
        <v>7.1574641999999997</v>
      </c>
      <c r="AQ1396" s="46">
        <v>1.0224949000000001</v>
      </c>
      <c r="AR1396" s="48">
        <f>AK1396+AL1396</f>
        <v>0.61349690000000001</v>
      </c>
      <c r="AS1396" s="48">
        <f>AM1396+AN1396+AO1396+AP1396+AQ1396</f>
        <v>99.386503000000005</v>
      </c>
    </row>
    <row r="1397" spans="1:45" ht="15" hidden="1" customHeight="1" x14ac:dyDescent="0.25">
      <c r="B1397" s="35">
        <v>1391</v>
      </c>
      <c r="C1397" s="36" t="s">
        <v>31</v>
      </c>
      <c r="D1397" s="36" t="s">
        <v>438</v>
      </c>
      <c r="E1397" s="36" t="s">
        <v>451</v>
      </c>
      <c r="F1397" s="36" t="s">
        <v>452</v>
      </c>
      <c r="G1397" s="37" t="s">
        <v>25</v>
      </c>
      <c r="H1397" s="38"/>
      <c r="I1397" s="38"/>
      <c r="J1397" s="38"/>
      <c r="K1397" s="38"/>
      <c r="L1397" s="38"/>
      <c r="M1397" s="38"/>
      <c r="N1397" s="38"/>
      <c r="O1397" s="38"/>
      <c r="P1397" s="38"/>
      <c r="Q1397" s="38"/>
      <c r="R1397" s="38"/>
      <c r="S1397" s="38"/>
      <c r="T1397" s="38"/>
      <c r="U1397" s="38"/>
      <c r="V1397" s="38"/>
      <c r="W1397" s="38"/>
      <c r="X1397" s="38"/>
      <c r="Y1397" s="38"/>
      <c r="Z1397" s="38"/>
      <c r="AA1397" s="38"/>
      <c r="AB1397" s="39"/>
      <c r="AC1397" s="39"/>
      <c r="AD1397" s="39"/>
      <c r="AE1397" s="39"/>
      <c r="AF1397" s="39"/>
      <c r="AG1397" s="39"/>
      <c r="AH1397" s="39"/>
      <c r="AI1397" s="39"/>
      <c r="AJ1397" s="39"/>
      <c r="AK1397" s="39"/>
      <c r="AL1397" s="39"/>
      <c r="AM1397" s="39"/>
      <c r="AN1397" s="39"/>
      <c r="AO1397" s="39"/>
      <c r="AP1397" s="39"/>
      <c r="AQ1397" s="39"/>
      <c r="AR1397" s="40"/>
      <c r="AS1397" s="40"/>
    </row>
    <row r="1398" spans="1:45" ht="15" hidden="1" customHeight="1" x14ac:dyDescent="0.25">
      <c r="B1398" s="35">
        <v>1392</v>
      </c>
      <c r="C1398" s="36" t="s">
        <v>31</v>
      </c>
      <c r="D1398" s="36" t="s">
        <v>438</v>
      </c>
      <c r="E1398" s="36" t="s">
        <v>451</v>
      </c>
      <c r="F1398" s="36" t="s">
        <v>452</v>
      </c>
      <c r="G1398" s="37" t="s">
        <v>26</v>
      </c>
      <c r="H1398" s="38">
        <v>466</v>
      </c>
      <c r="I1398" s="38">
        <v>5</v>
      </c>
      <c r="J1398" s="38">
        <v>1</v>
      </c>
      <c r="K1398" s="38">
        <v>15</v>
      </c>
      <c r="L1398" s="38">
        <v>9</v>
      </c>
      <c r="M1398" s="38">
        <v>370</v>
      </c>
      <c r="N1398" s="38">
        <v>56</v>
      </c>
      <c r="O1398" s="38">
        <v>10</v>
      </c>
      <c r="P1398" s="38"/>
      <c r="Q1398" s="38"/>
      <c r="R1398" s="38">
        <v>489</v>
      </c>
      <c r="S1398" s="38">
        <v>3</v>
      </c>
      <c r="T1398" s="38">
        <v>0</v>
      </c>
      <c r="U1398" s="38">
        <v>17</v>
      </c>
      <c r="V1398" s="38">
        <v>3</v>
      </c>
      <c r="W1398" s="38">
        <v>426</v>
      </c>
      <c r="X1398" s="38">
        <v>35</v>
      </c>
      <c r="Y1398" s="38">
        <v>5</v>
      </c>
      <c r="Z1398" s="38"/>
      <c r="AA1398" s="38"/>
      <c r="AB1398" s="39">
        <v>1.0729614000000001</v>
      </c>
      <c r="AC1398" s="39">
        <v>0.21459230000000001</v>
      </c>
      <c r="AD1398" s="39">
        <v>3.2188840999999999</v>
      </c>
      <c r="AE1398" s="39">
        <v>1.9313305000000001</v>
      </c>
      <c r="AF1398" s="39">
        <v>79.399141599999993</v>
      </c>
      <c r="AG1398" s="39">
        <v>12.0171674</v>
      </c>
      <c r="AH1398" s="39">
        <v>2.1459226999999998</v>
      </c>
      <c r="AI1398" s="39"/>
      <c r="AJ1398" s="39"/>
      <c r="AK1398" s="39">
        <v>0.61349690000000001</v>
      </c>
      <c r="AL1398" s="39">
        <v>0</v>
      </c>
      <c r="AM1398" s="39">
        <v>3.4764826000000002</v>
      </c>
      <c r="AN1398" s="39">
        <v>0.61349690000000001</v>
      </c>
      <c r="AO1398" s="39">
        <v>87.116564400000001</v>
      </c>
      <c r="AP1398" s="39">
        <v>7.1574641999999997</v>
      </c>
      <c r="AQ1398" s="39">
        <v>1.0224949000000001</v>
      </c>
      <c r="AR1398" s="40"/>
      <c r="AS1398" s="40"/>
    </row>
    <row r="1399" spans="1:45" ht="15" customHeight="1" x14ac:dyDescent="0.25">
      <c r="B1399" s="41">
        <v>1393</v>
      </c>
      <c r="C1399" s="42" t="s">
        <v>31</v>
      </c>
      <c r="D1399" s="51" t="s">
        <v>438</v>
      </c>
      <c r="E1399" s="51" t="s">
        <v>451</v>
      </c>
      <c r="F1399" s="51" t="s">
        <v>453</v>
      </c>
      <c r="G1399" s="52" t="s">
        <v>453</v>
      </c>
      <c r="H1399" s="43">
        <v>589</v>
      </c>
      <c r="I1399" s="43">
        <v>5</v>
      </c>
      <c r="J1399" s="43">
        <v>1</v>
      </c>
      <c r="K1399" s="43">
        <v>40</v>
      </c>
      <c r="L1399" s="43">
        <v>18</v>
      </c>
      <c r="M1399" s="43">
        <v>393</v>
      </c>
      <c r="N1399" s="43">
        <v>109</v>
      </c>
      <c r="O1399" s="43">
        <v>23</v>
      </c>
      <c r="P1399" s="44">
        <f>K1399+L1399+M1399+N1399+O1399</f>
        <v>583</v>
      </c>
      <c r="Q1399" s="44">
        <f>I1399+J1399</f>
        <v>6</v>
      </c>
      <c r="R1399" s="43">
        <v>708</v>
      </c>
      <c r="S1399" s="43">
        <v>8</v>
      </c>
      <c r="T1399" s="43">
        <v>2</v>
      </c>
      <c r="U1399" s="43">
        <v>30</v>
      </c>
      <c r="V1399" s="43">
        <v>6</v>
      </c>
      <c r="W1399" s="43">
        <v>602</v>
      </c>
      <c r="X1399" s="43">
        <v>53</v>
      </c>
      <c r="Y1399" s="43">
        <v>7</v>
      </c>
      <c r="Z1399" s="45">
        <f>U1399+V1399+W1399+X1399+Y1399</f>
        <v>698</v>
      </c>
      <c r="AA1399" s="45">
        <f>S1399+T1399</f>
        <v>10</v>
      </c>
      <c r="AB1399" s="46">
        <v>0.8488964</v>
      </c>
      <c r="AC1399" s="46">
        <v>0.16977929999999999</v>
      </c>
      <c r="AD1399" s="46">
        <v>6.7911714999999999</v>
      </c>
      <c r="AE1399" s="46">
        <v>3.0560271999999999</v>
      </c>
      <c r="AF1399" s="46">
        <v>66.723259799999994</v>
      </c>
      <c r="AG1399" s="46">
        <v>18.505942300000001</v>
      </c>
      <c r="AH1399" s="46">
        <v>3.9049236000000001</v>
      </c>
      <c r="AI1399" s="47">
        <f>AB1399+AC1399</f>
        <v>1.0186757</v>
      </c>
      <c r="AJ1399" s="47">
        <f>AD1399+AE1399+AF1399+AG1399+AH1399</f>
        <v>98.981324400000005</v>
      </c>
      <c r="AK1399" s="46">
        <v>1.1299435</v>
      </c>
      <c r="AL1399" s="46">
        <v>0.28248590000000001</v>
      </c>
      <c r="AM1399" s="46">
        <v>4.2372880999999998</v>
      </c>
      <c r="AN1399" s="46">
        <v>0.84745760000000003</v>
      </c>
      <c r="AO1399" s="46">
        <v>85.028248599999998</v>
      </c>
      <c r="AP1399" s="46">
        <v>7.4858757000000002</v>
      </c>
      <c r="AQ1399" s="46">
        <v>0.98870060000000004</v>
      </c>
      <c r="AR1399" s="48">
        <f>AK1399+AL1399</f>
        <v>1.4124293999999999</v>
      </c>
      <c r="AS1399" s="48">
        <f>AM1399+AN1399+AO1399+AP1399+AQ1399</f>
        <v>98.587570599999992</v>
      </c>
    </row>
    <row r="1400" spans="1:45" ht="15" hidden="1" customHeight="1" x14ac:dyDescent="0.25">
      <c r="B1400" s="35">
        <v>1394</v>
      </c>
      <c r="C1400" s="36" t="s">
        <v>31</v>
      </c>
      <c r="D1400" s="36" t="s">
        <v>438</v>
      </c>
      <c r="E1400" s="36" t="s">
        <v>451</v>
      </c>
      <c r="F1400" s="36" t="s">
        <v>453</v>
      </c>
      <c r="G1400" s="37" t="s">
        <v>25</v>
      </c>
      <c r="H1400" s="38"/>
      <c r="I1400" s="38"/>
      <c r="J1400" s="38"/>
      <c r="K1400" s="38"/>
      <c r="L1400" s="38"/>
      <c r="M1400" s="38"/>
      <c r="N1400" s="38"/>
      <c r="O1400" s="38"/>
      <c r="P1400" s="38"/>
      <c r="Q1400" s="38"/>
      <c r="R1400" s="38"/>
      <c r="S1400" s="38"/>
      <c r="T1400" s="38"/>
      <c r="U1400" s="38"/>
      <c r="V1400" s="38"/>
      <c r="W1400" s="38"/>
      <c r="X1400" s="38"/>
      <c r="Y1400" s="38"/>
      <c r="Z1400" s="38"/>
      <c r="AA1400" s="38"/>
      <c r="AB1400" s="39"/>
      <c r="AC1400" s="39"/>
      <c r="AD1400" s="39"/>
      <c r="AE1400" s="39"/>
      <c r="AF1400" s="39"/>
      <c r="AG1400" s="39"/>
      <c r="AH1400" s="39"/>
      <c r="AI1400" s="39"/>
      <c r="AJ1400" s="39"/>
      <c r="AK1400" s="39"/>
      <c r="AL1400" s="39"/>
      <c r="AM1400" s="39"/>
      <c r="AN1400" s="39"/>
      <c r="AO1400" s="39"/>
      <c r="AP1400" s="39"/>
      <c r="AQ1400" s="39"/>
      <c r="AR1400" s="40"/>
      <c r="AS1400" s="40"/>
    </row>
    <row r="1401" spans="1:45" ht="15" hidden="1" customHeight="1" x14ac:dyDescent="0.25">
      <c r="B1401" s="35">
        <v>1395</v>
      </c>
      <c r="C1401" s="36" t="s">
        <v>31</v>
      </c>
      <c r="D1401" s="36" t="s">
        <v>438</v>
      </c>
      <c r="E1401" s="36" t="s">
        <v>451</v>
      </c>
      <c r="F1401" s="36" t="s">
        <v>453</v>
      </c>
      <c r="G1401" s="37" t="s">
        <v>26</v>
      </c>
      <c r="H1401" s="38">
        <v>589</v>
      </c>
      <c r="I1401" s="38">
        <v>5</v>
      </c>
      <c r="J1401" s="38">
        <v>1</v>
      </c>
      <c r="K1401" s="38">
        <v>40</v>
      </c>
      <c r="L1401" s="38">
        <v>18</v>
      </c>
      <c r="M1401" s="38">
        <v>393</v>
      </c>
      <c r="N1401" s="38">
        <v>109</v>
      </c>
      <c r="O1401" s="38">
        <v>23</v>
      </c>
      <c r="P1401" s="38"/>
      <c r="Q1401" s="38"/>
      <c r="R1401" s="38">
        <v>708</v>
      </c>
      <c r="S1401" s="38">
        <v>8</v>
      </c>
      <c r="T1401" s="38">
        <v>2</v>
      </c>
      <c r="U1401" s="38">
        <v>30</v>
      </c>
      <c r="V1401" s="38">
        <v>6</v>
      </c>
      <c r="W1401" s="38">
        <v>602</v>
      </c>
      <c r="X1401" s="38">
        <v>53</v>
      </c>
      <c r="Y1401" s="38">
        <v>7</v>
      </c>
      <c r="Z1401" s="38"/>
      <c r="AA1401" s="38"/>
      <c r="AB1401" s="39">
        <v>0.8488964</v>
      </c>
      <c r="AC1401" s="39">
        <v>0.16977929999999999</v>
      </c>
      <c r="AD1401" s="39">
        <v>6.7911714999999999</v>
      </c>
      <c r="AE1401" s="39">
        <v>3.0560271999999999</v>
      </c>
      <c r="AF1401" s="39">
        <v>66.723259799999994</v>
      </c>
      <c r="AG1401" s="39">
        <v>18.505942300000001</v>
      </c>
      <c r="AH1401" s="39">
        <v>3.9049236000000001</v>
      </c>
      <c r="AI1401" s="39"/>
      <c r="AJ1401" s="39"/>
      <c r="AK1401" s="39">
        <v>1.1299435</v>
      </c>
      <c r="AL1401" s="39">
        <v>0.28248590000000001</v>
      </c>
      <c r="AM1401" s="39">
        <v>4.2372880999999998</v>
      </c>
      <c r="AN1401" s="39">
        <v>0.84745760000000003</v>
      </c>
      <c r="AO1401" s="39">
        <v>85.028248599999998</v>
      </c>
      <c r="AP1401" s="39">
        <v>7.4858757000000002</v>
      </c>
      <c r="AQ1401" s="39">
        <v>0.98870060000000004</v>
      </c>
      <c r="AR1401" s="40"/>
      <c r="AS1401" s="40"/>
    </row>
    <row r="1402" spans="1:45" ht="15" customHeight="1" x14ac:dyDescent="0.25">
      <c r="B1402" s="41">
        <v>1396</v>
      </c>
      <c r="C1402" s="42" t="s">
        <v>31</v>
      </c>
      <c r="D1402" s="51" t="s">
        <v>438</v>
      </c>
      <c r="E1402" s="51" t="s">
        <v>451</v>
      </c>
      <c r="F1402" s="51" t="s">
        <v>454</v>
      </c>
      <c r="G1402" s="52" t="s">
        <v>454</v>
      </c>
      <c r="H1402" s="43">
        <v>466</v>
      </c>
      <c r="I1402" s="43">
        <v>32</v>
      </c>
      <c r="J1402" s="43">
        <v>5</v>
      </c>
      <c r="K1402" s="43">
        <v>23</v>
      </c>
      <c r="L1402" s="43">
        <v>5</v>
      </c>
      <c r="M1402" s="43">
        <v>350</v>
      </c>
      <c r="N1402" s="43">
        <v>40</v>
      </c>
      <c r="O1402" s="43">
        <v>11</v>
      </c>
      <c r="P1402" s="44">
        <f>K1402+L1402+M1402+N1402+O1402</f>
        <v>429</v>
      </c>
      <c r="Q1402" s="44">
        <f>I1402+J1402</f>
        <v>37</v>
      </c>
      <c r="R1402" s="43">
        <v>601</v>
      </c>
      <c r="S1402" s="43">
        <v>9</v>
      </c>
      <c r="T1402" s="43">
        <v>3</v>
      </c>
      <c r="U1402" s="43">
        <v>38</v>
      </c>
      <c r="V1402" s="43">
        <v>2</v>
      </c>
      <c r="W1402" s="43">
        <v>473</v>
      </c>
      <c r="X1402" s="43">
        <v>63</v>
      </c>
      <c r="Y1402" s="43">
        <v>13</v>
      </c>
      <c r="Z1402" s="45">
        <f>U1402+V1402+W1402+X1402+Y1402</f>
        <v>589</v>
      </c>
      <c r="AA1402" s="45">
        <f>S1402+T1402</f>
        <v>12</v>
      </c>
      <c r="AB1402" s="46">
        <v>6.8669528</v>
      </c>
      <c r="AC1402" s="46">
        <v>1.0729614000000001</v>
      </c>
      <c r="AD1402" s="46">
        <v>4.9356223000000004</v>
      </c>
      <c r="AE1402" s="46">
        <v>1.0729614000000001</v>
      </c>
      <c r="AF1402" s="46">
        <v>75.107296099999999</v>
      </c>
      <c r="AG1402" s="46">
        <v>8.583691</v>
      </c>
      <c r="AH1402" s="46">
        <v>2.3605149999999999</v>
      </c>
      <c r="AI1402" s="47">
        <f>AB1402+AC1402</f>
        <v>7.9399142000000005</v>
      </c>
      <c r="AJ1402" s="47">
        <f>AD1402+AE1402+AF1402+AG1402+AH1402</f>
        <v>92.06008580000001</v>
      </c>
      <c r="AK1402" s="46">
        <v>1.4975042000000001</v>
      </c>
      <c r="AL1402" s="46">
        <v>0.4991681</v>
      </c>
      <c r="AM1402" s="46">
        <v>6.3227953000000001</v>
      </c>
      <c r="AN1402" s="46">
        <v>0.33277869999999998</v>
      </c>
      <c r="AO1402" s="46">
        <v>78.702163100000007</v>
      </c>
      <c r="AP1402" s="46">
        <v>10.482529100000001</v>
      </c>
      <c r="AQ1402" s="46">
        <v>2.1630615999999998</v>
      </c>
      <c r="AR1402" s="48">
        <f>AK1402+AL1402</f>
        <v>1.9966723000000002</v>
      </c>
      <c r="AS1402" s="48">
        <f>AM1402+AN1402+AO1402+AP1402+AQ1402</f>
        <v>98.003327800000008</v>
      </c>
    </row>
    <row r="1403" spans="1:45" ht="15" hidden="1" customHeight="1" x14ac:dyDescent="0.25">
      <c r="B1403" s="35">
        <v>1397</v>
      </c>
      <c r="C1403" s="36" t="s">
        <v>31</v>
      </c>
      <c r="D1403" s="36" t="s">
        <v>438</v>
      </c>
      <c r="E1403" s="36" t="s">
        <v>451</v>
      </c>
      <c r="F1403" s="36" t="s">
        <v>454</v>
      </c>
      <c r="G1403" s="37" t="s">
        <v>25</v>
      </c>
      <c r="H1403" s="38"/>
      <c r="I1403" s="38"/>
      <c r="J1403" s="38"/>
      <c r="K1403" s="38"/>
      <c r="L1403" s="38"/>
      <c r="M1403" s="38"/>
      <c r="N1403" s="38"/>
      <c r="O1403" s="38"/>
      <c r="P1403" s="38"/>
      <c r="Q1403" s="38"/>
      <c r="R1403" s="38"/>
      <c r="S1403" s="38"/>
      <c r="T1403" s="38"/>
      <c r="U1403" s="38"/>
      <c r="V1403" s="38"/>
      <c r="W1403" s="38"/>
      <c r="X1403" s="38"/>
      <c r="Y1403" s="38"/>
      <c r="Z1403" s="38"/>
      <c r="AA1403" s="38"/>
      <c r="AB1403" s="39"/>
      <c r="AC1403" s="39"/>
      <c r="AD1403" s="39"/>
      <c r="AE1403" s="39"/>
      <c r="AF1403" s="39"/>
      <c r="AG1403" s="39"/>
      <c r="AH1403" s="39"/>
      <c r="AI1403" s="39"/>
      <c r="AJ1403" s="39"/>
      <c r="AK1403" s="39"/>
      <c r="AL1403" s="39"/>
      <c r="AM1403" s="39"/>
      <c r="AN1403" s="39"/>
      <c r="AO1403" s="39"/>
      <c r="AP1403" s="39"/>
      <c r="AQ1403" s="39"/>
      <c r="AR1403" s="40"/>
      <c r="AS1403" s="40"/>
    </row>
    <row r="1404" spans="1:45" ht="15" hidden="1" customHeight="1" x14ac:dyDescent="0.25">
      <c r="B1404" s="53">
        <v>1398</v>
      </c>
      <c r="C1404" s="54" t="s">
        <v>31</v>
      </c>
      <c r="D1404" s="54" t="s">
        <v>438</v>
      </c>
      <c r="E1404" s="54" t="s">
        <v>451</v>
      </c>
      <c r="F1404" s="54" t="s">
        <v>454</v>
      </c>
      <c r="G1404" s="55" t="s">
        <v>26</v>
      </c>
      <c r="H1404" s="56">
        <v>466</v>
      </c>
      <c r="I1404" s="56">
        <v>32</v>
      </c>
      <c r="J1404" s="56">
        <v>5</v>
      </c>
      <c r="K1404" s="56">
        <v>23</v>
      </c>
      <c r="L1404" s="56">
        <v>5</v>
      </c>
      <c r="M1404" s="56">
        <v>350</v>
      </c>
      <c r="N1404" s="56">
        <v>40</v>
      </c>
      <c r="O1404" s="56">
        <v>11</v>
      </c>
      <c r="P1404" s="56"/>
      <c r="Q1404" s="56"/>
      <c r="R1404" s="56">
        <v>601</v>
      </c>
      <c r="S1404" s="56">
        <v>9</v>
      </c>
      <c r="T1404" s="56">
        <v>3</v>
      </c>
      <c r="U1404" s="56">
        <v>38</v>
      </c>
      <c r="V1404" s="56">
        <v>2</v>
      </c>
      <c r="W1404" s="56">
        <v>473</v>
      </c>
      <c r="X1404" s="56">
        <v>63</v>
      </c>
      <c r="Y1404" s="56">
        <v>13</v>
      </c>
      <c r="Z1404" s="56"/>
      <c r="AA1404" s="56"/>
      <c r="AB1404" s="57">
        <v>6.8669528</v>
      </c>
      <c r="AC1404" s="57">
        <v>1.0729614000000001</v>
      </c>
      <c r="AD1404" s="57">
        <v>4.9356223000000004</v>
      </c>
      <c r="AE1404" s="57">
        <v>1.0729614000000001</v>
      </c>
      <c r="AF1404" s="57">
        <v>75.107296099999999</v>
      </c>
      <c r="AG1404" s="57">
        <v>8.583691</v>
      </c>
      <c r="AH1404" s="57">
        <v>2.3605149999999999</v>
      </c>
      <c r="AI1404" s="57"/>
      <c r="AJ1404" s="57"/>
      <c r="AK1404" s="57">
        <v>1.4975042000000001</v>
      </c>
      <c r="AL1404" s="57">
        <v>0.4991681</v>
      </c>
      <c r="AM1404" s="57">
        <v>6.3227953000000001</v>
      </c>
      <c r="AN1404" s="57">
        <v>0.33277869999999998</v>
      </c>
      <c r="AO1404" s="57">
        <v>78.702163100000007</v>
      </c>
      <c r="AP1404" s="57">
        <v>10.482529100000001</v>
      </c>
      <c r="AQ1404" s="57">
        <v>2.1630615999999998</v>
      </c>
      <c r="AR1404" s="40"/>
      <c r="AS1404" s="40"/>
    </row>
    <row r="1405" spans="1:45" ht="12" hidden="1" customHeight="1" x14ac:dyDescent="0.25">
      <c r="A1405" s="58"/>
      <c r="B1405" s="59" t="s">
        <v>455</v>
      </c>
    </row>
    <row r="1406" spans="1:45" ht="12" hidden="1" customHeight="1" x14ac:dyDescent="0.25">
      <c r="A1406" s="58"/>
      <c r="B1406" s="60" t="s">
        <v>456</v>
      </c>
    </row>
    <row r="1407" spans="1:45" ht="12" hidden="1" customHeight="1" x14ac:dyDescent="0.25">
      <c r="A1407" s="58"/>
      <c r="B1407" s="60" t="s">
        <v>457</v>
      </c>
    </row>
    <row r="1408" spans="1:45" ht="12" customHeight="1" x14ac:dyDescent="0.25">
      <c r="A1408" s="58"/>
      <c r="AB1408" s="61"/>
      <c r="AC1408" s="61"/>
      <c r="AD1408" s="61"/>
      <c r="AE1408" s="61"/>
      <c r="AF1408" s="61"/>
      <c r="AG1408" s="61"/>
      <c r="AH1408" s="61"/>
      <c r="AI1408" s="61"/>
      <c r="AJ1408" s="61"/>
      <c r="AK1408" s="61"/>
      <c r="AL1408" s="61"/>
      <c r="AM1408" s="61"/>
      <c r="AN1408" s="61"/>
      <c r="AO1408" s="61"/>
      <c r="AP1408" s="61"/>
      <c r="AQ1408" s="61"/>
      <c r="AR1408" s="61"/>
      <c r="AS1408" s="61"/>
    </row>
    <row r="1409" spans="1:45" ht="15" customHeight="1" x14ac:dyDescent="0.25">
      <c r="A1409" s="58"/>
      <c r="AB1409" s="61"/>
      <c r="AC1409" s="61"/>
      <c r="AD1409" s="61"/>
      <c r="AE1409" s="61"/>
      <c r="AF1409" s="61"/>
      <c r="AG1409" s="61"/>
      <c r="AH1409" s="61"/>
      <c r="AI1409" s="61"/>
      <c r="AJ1409" s="61"/>
      <c r="AK1409" s="61"/>
      <c r="AL1409" s="61"/>
      <c r="AM1409" s="61"/>
      <c r="AN1409" s="61"/>
      <c r="AO1409" s="61"/>
      <c r="AP1409" s="61"/>
      <c r="AQ1409" s="61"/>
      <c r="AR1409" s="61"/>
      <c r="AS1409" s="61"/>
    </row>
    <row r="1410" spans="1:45" ht="15" customHeight="1" x14ac:dyDescent="0.25">
      <c r="A1410" s="58"/>
      <c r="AB1410" s="61"/>
      <c r="AC1410" s="61"/>
      <c r="AD1410" s="61"/>
      <c r="AE1410" s="61"/>
      <c r="AF1410" s="61"/>
      <c r="AG1410" s="61"/>
      <c r="AH1410" s="61"/>
      <c r="AI1410" s="61"/>
      <c r="AJ1410" s="61"/>
      <c r="AK1410" s="61"/>
      <c r="AL1410" s="61"/>
      <c r="AM1410" s="61"/>
      <c r="AN1410" s="61"/>
      <c r="AO1410" s="61"/>
      <c r="AP1410" s="61"/>
      <c r="AQ1410" s="61"/>
      <c r="AR1410" s="61"/>
      <c r="AS1410" s="61"/>
    </row>
    <row r="1411" spans="1:45" ht="12.75" customHeight="1" x14ac:dyDescent="0.25">
      <c r="A1411" s="58"/>
    </row>
    <row r="1412" spans="1:45" ht="12.75" customHeight="1" x14ac:dyDescent="0.25">
      <c r="A1412" s="58"/>
    </row>
    <row r="1413" spans="1:45" ht="12.75" customHeight="1" x14ac:dyDescent="0.25">
      <c r="A1413" s="58"/>
    </row>
    <row r="1414" spans="1:45" ht="12.75" customHeight="1" x14ac:dyDescent="0.25">
      <c r="A1414" s="58"/>
    </row>
    <row r="1415" spans="1:45" ht="12.75" customHeight="1" x14ac:dyDescent="0.25">
      <c r="A1415" s="58"/>
    </row>
    <row r="1416" spans="1:45" ht="12.75" customHeight="1" x14ac:dyDescent="0.25">
      <c r="A1416" s="58"/>
    </row>
    <row r="1417" spans="1:45" ht="12.75" customHeight="1" x14ac:dyDescent="0.25">
      <c r="A1417" s="58"/>
    </row>
    <row r="1418" spans="1:45" ht="12.75" customHeight="1" x14ac:dyDescent="0.25">
      <c r="A1418" s="58"/>
    </row>
    <row r="1419" spans="1:45" ht="12.75" customHeight="1" x14ac:dyDescent="0.25">
      <c r="A1419" s="58"/>
    </row>
    <row r="1420" spans="1:45" ht="12.75" customHeight="1" x14ac:dyDescent="0.25">
      <c r="A1420" s="58"/>
    </row>
    <row r="1421" spans="1:45" ht="12.75" customHeight="1" x14ac:dyDescent="0.25">
      <c r="A1421" s="58"/>
    </row>
    <row r="1422" spans="1:45" ht="12.75" customHeight="1" x14ac:dyDescent="0.25">
      <c r="A1422" s="58"/>
    </row>
    <row r="1423" spans="1:45" ht="12.75" customHeight="1" x14ac:dyDescent="0.25">
      <c r="A1423" s="58"/>
    </row>
    <row r="1424" spans="1:45" ht="12.75" customHeight="1" x14ac:dyDescent="0.25">
      <c r="A1424" s="58"/>
    </row>
    <row r="1425" spans="1:1" ht="12.75" customHeight="1" x14ac:dyDescent="0.25">
      <c r="A1425" s="58"/>
    </row>
    <row r="1426" spans="1:1" ht="12.75" customHeight="1" x14ac:dyDescent="0.25">
      <c r="A1426" s="58"/>
    </row>
    <row r="1427" spans="1:1" ht="12.75" customHeight="1" x14ac:dyDescent="0.25">
      <c r="A1427" s="58"/>
    </row>
  </sheetData>
  <autoFilter ref="A6:AS1407" xr:uid="{00000000-0009-0000-0000-000000000000}">
    <filterColumn colId="2">
      <filters>
        <filter val="Municipio/TIOC"/>
      </filters>
    </filterColumn>
    <filterColumn colId="6">
      <filters blank="1">
        <filter val="Abaroa"/>
        <filter val="Abel Iturralde"/>
        <filter val="Abuná"/>
        <filter val="Acasio"/>
        <filter val="Achacachi"/>
        <filter val="Achocalla"/>
        <filter val="Aiquile"/>
        <filter val="Alalay"/>
        <filter val="Alcalá"/>
        <filter val="Alonso de Ibáñez"/>
        <filter val="Alto Beni"/>
        <filter val="Andamarca"/>
        <filter val="Andrés Ibáñez"/>
        <filter val="Ángel Sandoval"/>
        <filter val="Antequera"/>
        <filter val="Antonio Quijarro"/>
        <filter val="Anzaldo"/>
        <filter val="Apolo"/>
        <filter val="Arampampa"/>
        <filter val="Arani"/>
        <filter val="Arbieto"/>
        <filter val="Arce"/>
        <filter val="Aroma"/>
        <filter val="Arque"/>
        <filter val="Ascención de Guarayos"/>
        <filter val="Atocha"/>
        <filter val="Aucapata"/>
        <filter val="Avilez"/>
        <filter val="Ayata"/>
        <filter val="Ayo Ayo"/>
        <filter val="Ayopaya"/>
        <filter val="Azurduy"/>
        <filter val="Batallas"/>
        <filter val="Baures"/>
        <filter val="Bautista Saavedra"/>
        <filter val="Belén de Andamarca"/>
        <filter val="Belisario Boeto"/>
        <filter val="Bella Flor"/>
        <filter val="Beni"/>
        <filter val="Bermejo"/>
        <filter val="Betanzos"/>
        <filter val="Bolívar"/>
        <filter val="Bolivia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cho"/>
        <filter val="Camargo"/>
        <filter val="Camiri"/>
        <filter val="Campero"/>
        <filter val="Capinota"/>
        <filter val="Caquiaviri"/>
        <filter val="Caracollo"/>
        <filter val="Caranavi"/>
        <filter val="Carangas"/>
        <filter val="Caraparí"/>
        <filter val="Caripuyo"/>
        <filter val="Carrasco"/>
        <filter val="Catacora"/>
        <filter val="Cercado"/>
        <filter val="Chacarilla"/>
        <filter val="Challapata"/>
        <filter val="Chapare"/>
        <filter val="Chaquí"/>
        <filter val="Charagua (Autonomía Guaraní Charagua Iyambae)"/>
        <filter val="Charaña"/>
        <filter val="Charazani"/>
        <filter val="Charcas"/>
        <filter val="Chayanta"/>
        <filter val="Chimoré"/>
        <filter val="Chiquitos"/>
        <filter val="Choquecota"/>
        <filter val="Chua Cocani"/>
        <filter val="Chulumani"/>
        <filter val="Chuma"/>
        <filter val="Chuquihuta Ayllu Jucumani"/>
        <filter val="Chuquisaca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dillera"/>
        <filter val="Coripata"/>
        <filter val="Cornelio Saavedr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aniel Campos"/>
        <filter val="Desaguadero"/>
        <filter val="El Alto"/>
        <filter val="El Carmen Rivero Tórrez"/>
        <filter val="El Choro"/>
        <filter val="El Puente"/>
        <filter val="El Torno"/>
        <filter val="El Villar"/>
        <filter val="Enrique Baldivieso"/>
        <filter val="Entre Ríos"/>
        <filter val="Escara"/>
        <filter val="Escoma"/>
        <filter val="Esmeralda"/>
        <filter val="Esteban Arze"/>
        <filter val="Eucaliptus"/>
        <filter val="Exaltación"/>
        <filter val="Federico Román"/>
        <filter val="Fernández Alonso"/>
        <filter val="Filadelfia"/>
        <filter val="Florida"/>
        <filter val="Franz Tamayo"/>
        <filter val="General Bernardino Bilbao"/>
        <filter val="General José Ballivián"/>
        <filter val="General José Manuel Pando"/>
        <filter val="General Saavedra"/>
        <filter val="Germán Busch"/>
        <filter val="Germán Jordán"/>
        <filter val="Gran Chaco"/>
        <filter val="Gualberto Villarroel"/>
        <filter val="Guanay"/>
        <filter val="Guarayos"/>
        <filter val="Guayaramerín"/>
        <filter val="Gutiérrez (Autonomía Indígena Kereimba Iyaambae)"/>
        <filter val="Hernando Siles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ilo"/>
        <filter val="Ichoca"/>
        <filter val="Icla"/>
        <filter val="Incahuasi"/>
        <filter val="Ingavi"/>
        <filter val="Inquisivi"/>
        <filter val="Irupana"/>
        <filter val="Iténez"/>
        <filter val="Ixiamas"/>
        <filter val="Jesús de Machaka"/>
        <filter val="José María Linares"/>
        <filter val="La (Marka) San Andrés de Machaca"/>
        <filter val="La Asunta"/>
        <filter val="La Guardia"/>
        <filter val="La Paz"/>
        <filter val="La Rivera"/>
        <filter val="Ladislao Cabrera"/>
        <filter val="Lagunillas"/>
        <filter val="Laja"/>
        <filter val="Larecaja"/>
        <filter val="Las Carreras"/>
        <filter val="Litoral"/>
        <filter val="Llallagua"/>
        <filter val="Llica"/>
        <filter val="Loayza"/>
        <filter val="Loreto"/>
        <filter val="Los Andes"/>
        <filter val="Luis Calvo"/>
        <filter val="Luribay"/>
        <filter val="Machacamarca"/>
        <filter val="Macharetí"/>
        <filter val="Madre de Dios"/>
        <filter val="Magdalena"/>
        <filter val="Mairana"/>
        <filter val="Malla"/>
        <filter val="Mamoré"/>
        <filter val="Manco Kapac"/>
        <filter val="Manuel María Caballero"/>
        <filter val="Manuripi"/>
        <filter val="Mapiri"/>
        <filter val="Marbán"/>
        <filter val="Mecapaca"/>
        <filter val="Mejillones"/>
        <filter val="Méndez"/>
        <filter val="Mineros"/>
        <filter val="Mizque"/>
        <filter val="Mocomoco"/>
        <filter val="Modesto Omiste"/>
        <filter val="Mojinete"/>
        <filter val="Mojocoya"/>
        <filter val="Monteagudo"/>
        <filter val="Montero"/>
        <filter val="Morochata"/>
        <filter val="Moromoro"/>
        <filter val="Moxos"/>
        <filter val="Muñecas"/>
        <filter val="Murillo"/>
        <filter val="Nazacara de Pacajes"/>
        <filter val="Nicolás Suárez"/>
        <filter val="Nor Carangas"/>
        <filter val="Nor Chichas"/>
        <filter val="Nor Cinti"/>
        <filter val="Nor Lípez"/>
        <filter val="Nor Yungas"/>
        <filter val="Nuestra Señora de La Paz"/>
        <filter val="Nueva Esperanza"/>
        <filter val="Ñuflo de Chávez"/>
        <filter val="Obispo Santisteban"/>
        <filter val="O'Connor"/>
        <filter val="Ocurí"/>
        <filter val="Okinawa Uno"/>
        <filter val="Omasuyos"/>
        <filter val="Omereque"/>
        <filter val="Oropeza"/>
        <filter val="Oruro"/>
        <filter val="Pacajes"/>
        <filter val="Padcaya"/>
        <filter val="Padilla"/>
        <filter val="Pailón"/>
        <filter val="Palca"/>
        <filter val="Palos Blancos"/>
        <filter val="Pampa Aullagas"/>
        <filter val="Pampagrande"/>
        <filter val="Pando"/>
        <filter val="Pantaleón Dalenc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fael Bustillo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jam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Pedro de Totora"/>
        <filter val="San Rafael"/>
        <filter val="San Ramón"/>
        <filter val="Santa Ana"/>
        <filter val="Santa Cruz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ara"/>
        <filter val="Saucarí"/>
        <filter val="Sebastián Pagador"/>
        <filter val="Sena"/>
        <filter val="Shinahota"/>
        <filter val="Sicasica"/>
        <filter val="Sicaya"/>
        <filter val="Sipesipe"/>
        <filter val="Sopachuy"/>
        <filter val="Sorata"/>
        <filter val="Sucre"/>
        <filter val="Sud Cinti"/>
        <filter val="Sur Carangas"/>
        <filter val="Sur Chichas"/>
        <filter val="Sur Lípez"/>
        <filter val="Sur Yungas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erritorio Indígena Multiétnico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ás Barrón"/>
        <filter val="Tomás Frías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 Diez"/>
        <filter val="Vacas"/>
        <filter val="Valle Grande"/>
        <filter val="Vallegrande"/>
        <filter val="Velasco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cum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6">
    <mergeCell ref="H4:Y4"/>
    <mergeCell ref="AB4:AQ4"/>
    <mergeCell ref="H5:O5"/>
    <mergeCell ref="R5:Y5"/>
    <mergeCell ref="AB5:AH5"/>
    <mergeCell ref="AK5:AQ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0"/>
  <sheetViews>
    <sheetView topLeftCell="C1" workbookViewId="0">
      <pane ySplit="1" topLeftCell="A344" activePane="bottomLeft" state="frozen"/>
      <selection pane="bottomLeft" activeCell="D346" sqref="D346"/>
    </sheetView>
  </sheetViews>
  <sheetFormatPr baseColWidth="10" defaultColWidth="14.42578125" defaultRowHeight="15" customHeight="1" x14ac:dyDescent="0.25"/>
  <sheetData>
    <row r="1" spans="1:20" ht="110.25" customHeight="1" x14ac:dyDescent="0.25">
      <c r="A1" s="62" t="s">
        <v>458</v>
      </c>
      <c r="B1" s="63" t="s">
        <v>27</v>
      </c>
      <c r="C1" s="63" t="s">
        <v>459</v>
      </c>
      <c r="D1" s="64" t="s">
        <v>460</v>
      </c>
      <c r="E1" s="65" t="s">
        <v>461</v>
      </c>
      <c r="F1" s="65" t="s">
        <v>462</v>
      </c>
      <c r="G1" s="63" t="s">
        <v>463</v>
      </c>
      <c r="H1" s="65" t="s">
        <v>464</v>
      </c>
      <c r="I1" s="65" t="s">
        <v>465</v>
      </c>
      <c r="K1" s="62" t="s">
        <v>27</v>
      </c>
      <c r="L1" s="62" t="s">
        <v>466</v>
      </c>
      <c r="M1" s="62" t="s">
        <v>462</v>
      </c>
      <c r="N1" s="62" t="s">
        <v>467</v>
      </c>
      <c r="O1" s="62" t="s">
        <v>460</v>
      </c>
      <c r="P1" s="62" t="s">
        <v>468</v>
      </c>
      <c r="Q1" s="62" t="s">
        <v>465</v>
      </c>
      <c r="R1" s="62" t="s">
        <v>469</v>
      </c>
      <c r="S1" s="62" t="s">
        <v>463</v>
      </c>
    </row>
    <row r="2" spans="1:20" x14ac:dyDescent="0.25">
      <c r="A2" s="66">
        <v>10101</v>
      </c>
      <c r="B2" s="67" t="s">
        <v>28</v>
      </c>
      <c r="C2" s="67" t="s">
        <v>32</v>
      </c>
      <c r="D2" s="68">
        <v>71.883801000000005</v>
      </c>
      <c r="E2" s="69">
        <v>69949</v>
      </c>
      <c r="F2" s="69">
        <v>19667</v>
      </c>
      <c r="G2" s="68">
        <v>83.802185299999991</v>
      </c>
      <c r="H2" s="69">
        <v>92531</v>
      </c>
      <c r="I2" s="69">
        <v>14988</v>
      </c>
      <c r="K2" s="70" t="s">
        <v>28</v>
      </c>
      <c r="L2" s="71">
        <v>150081</v>
      </c>
      <c r="M2" s="71">
        <v>84965</v>
      </c>
      <c r="N2" s="71">
        <v>65116</v>
      </c>
      <c r="O2" s="72">
        <v>43.387237499999998</v>
      </c>
      <c r="P2" s="71">
        <v>184969</v>
      </c>
      <c r="Q2" s="71">
        <v>82064</v>
      </c>
      <c r="R2" s="71">
        <v>102905</v>
      </c>
      <c r="S2" s="72">
        <v>55.633646799999994</v>
      </c>
      <c r="T2" s="106"/>
    </row>
    <row r="3" spans="1:20" x14ac:dyDescent="0.25">
      <c r="A3" s="66">
        <v>10102</v>
      </c>
      <c r="B3" s="67" t="s">
        <v>28</v>
      </c>
      <c r="C3" s="67" t="s">
        <v>33</v>
      </c>
      <c r="D3" s="68">
        <v>19.198790599999999</v>
      </c>
      <c r="E3" s="69">
        <v>2646</v>
      </c>
      <c r="F3" s="69">
        <v>2138</v>
      </c>
      <c r="G3" s="68">
        <v>25.850785399999999</v>
      </c>
      <c r="H3" s="69">
        <v>3056</v>
      </c>
      <c r="I3" s="69">
        <v>2266</v>
      </c>
      <c r="K3" s="70" t="s">
        <v>66</v>
      </c>
      <c r="L3" s="71">
        <v>852573</v>
      </c>
      <c r="M3" s="71">
        <v>366362</v>
      </c>
      <c r="N3" s="71">
        <v>486211</v>
      </c>
      <c r="O3" s="72">
        <v>57.028664999999997</v>
      </c>
      <c r="P3" s="71">
        <v>1069838</v>
      </c>
      <c r="Q3" s="71">
        <v>408964</v>
      </c>
      <c r="R3" s="71">
        <v>660874</v>
      </c>
      <c r="S3" s="72">
        <v>61.773277800000002</v>
      </c>
      <c r="T3" s="106"/>
    </row>
    <row r="4" spans="1:20" x14ac:dyDescent="0.25">
      <c r="A4" s="66">
        <v>10103</v>
      </c>
      <c r="B4" s="67" t="s">
        <v>28</v>
      </c>
      <c r="C4" s="67" t="s">
        <v>34</v>
      </c>
      <c r="D4" s="68">
        <v>0.32188839999999996</v>
      </c>
      <c r="E4" s="69">
        <v>4660</v>
      </c>
      <c r="F4" s="69">
        <v>4645</v>
      </c>
      <c r="G4" s="68">
        <v>5.6295659999999996</v>
      </c>
      <c r="H4" s="69">
        <v>4654</v>
      </c>
      <c r="I4" s="69">
        <v>4392</v>
      </c>
      <c r="K4" s="70" t="s">
        <v>172</v>
      </c>
      <c r="L4" s="71">
        <v>516608</v>
      </c>
      <c r="M4" s="71">
        <v>230803</v>
      </c>
      <c r="N4" s="71">
        <v>285805</v>
      </c>
      <c r="O4" s="72">
        <v>55.323378699999999</v>
      </c>
      <c r="P4" s="71">
        <v>675064</v>
      </c>
      <c r="Q4" s="71">
        <v>235377</v>
      </c>
      <c r="R4" s="71">
        <v>439687</v>
      </c>
      <c r="S4" s="72">
        <v>65.132639299999994</v>
      </c>
      <c r="T4" s="106"/>
    </row>
    <row r="5" spans="1:20" x14ac:dyDescent="0.25">
      <c r="A5" s="66">
        <v>10201</v>
      </c>
      <c r="B5" s="67" t="s">
        <v>28</v>
      </c>
      <c r="C5" s="67" t="s">
        <v>35</v>
      </c>
      <c r="D5" s="68">
        <v>10.756501199999999</v>
      </c>
      <c r="E5" s="69">
        <v>2538</v>
      </c>
      <c r="F5" s="69">
        <v>2265</v>
      </c>
      <c r="G5" s="68">
        <v>18.326530599999998</v>
      </c>
      <c r="H5" s="69">
        <v>2450</v>
      </c>
      <c r="I5" s="69">
        <v>2001</v>
      </c>
      <c r="K5" s="70" t="s">
        <v>226</v>
      </c>
      <c r="L5" s="71">
        <v>152061</v>
      </c>
      <c r="M5" s="71">
        <v>70852</v>
      </c>
      <c r="N5" s="71">
        <v>81209</v>
      </c>
      <c r="O5" s="72">
        <v>53.405541200000002</v>
      </c>
      <c r="P5" s="71">
        <v>190973</v>
      </c>
      <c r="Q5" s="71">
        <v>76742</v>
      </c>
      <c r="R5" s="71">
        <v>114231</v>
      </c>
      <c r="S5" s="72">
        <v>59.815261800000002</v>
      </c>
      <c r="T5" s="106"/>
    </row>
    <row r="6" spans="1:20" x14ac:dyDescent="0.25">
      <c r="A6" s="66">
        <v>10202</v>
      </c>
      <c r="B6" s="67" t="s">
        <v>28</v>
      </c>
      <c r="C6" s="67" t="s">
        <v>36</v>
      </c>
      <c r="D6" s="68">
        <v>9.1281451000000011</v>
      </c>
      <c r="E6" s="69">
        <v>3418</v>
      </c>
      <c r="F6" s="69">
        <v>3106</v>
      </c>
      <c r="G6" s="68">
        <v>12.8534145</v>
      </c>
      <c r="H6" s="69">
        <v>4598</v>
      </c>
      <c r="I6" s="69">
        <v>4007</v>
      </c>
      <c r="K6" s="70" t="s">
        <v>470</v>
      </c>
      <c r="L6" s="71">
        <v>242302</v>
      </c>
      <c r="M6" s="71">
        <v>150236</v>
      </c>
      <c r="N6" s="71">
        <v>92066</v>
      </c>
      <c r="O6" s="72">
        <v>37.9963847</v>
      </c>
      <c r="P6" s="71">
        <v>303745</v>
      </c>
      <c r="Q6" s="71">
        <v>168179</v>
      </c>
      <c r="R6" s="71">
        <v>135566</v>
      </c>
      <c r="S6" s="72">
        <v>44.631516499999996</v>
      </c>
      <c r="T6" s="106"/>
    </row>
    <row r="7" spans="1:20" x14ac:dyDescent="0.25">
      <c r="A7" s="66">
        <v>10301</v>
      </c>
      <c r="B7" s="67" t="s">
        <v>28</v>
      </c>
      <c r="C7" s="67" t="s">
        <v>37</v>
      </c>
      <c r="D7" s="68">
        <v>28.538283100000001</v>
      </c>
      <c r="E7" s="69">
        <v>2586</v>
      </c>
      <c r="F7" s="69">
        <v>1848</v>
      </c>
      <c r="G7" s="68">
        <v>33.354251699999999</v>
      </c>
      <c r="H7" s="69">
        <v>3187</v>
      </c>
      <c r="I7" s="69">
        <v>2124</v>
      </c>
      <c r="K7" s="70" t="s">
        <v>329</v>
      </c>
      <c r="L7" s="71">
        <v>126248</v>
      </c>
      <c r="M7" s="71">
        <v>43804</v>
      </c>
      <c r="N7" s="71">
        <v>82444</v>
      </c>
      <c r="O7" s="72">
        <v>65.303212700000003</v>
      </c>
      <c r="P7" s="71">
        <v>160254</v>
      </c>
      <c r="Q7" s="71">
        <v>40834</v>
      </c>
      <c r="R7" s="71">
        <v>119420</v>
      </c>
      <c r="S7" s="72">
        <v>74.519200799999993</v>
      </c>
    </row>
    <row r="8" spans="1:20" x14ac:dyDescent="0.25">
      <c r="A8" s="66">
        <v>10302</v>
      </c>
      <c r="B8" s="67" t="s">
        <v>28</v>
      </c>
      <c r="C8" s="67" t="s">
        <v>38</v>
      </c>
      <c r="D8" s="68">
        <v>1.5826278999999999</v>
      </c>
      <c r="E8" s="69">
        <v>2717</v>
      </c>
      <c r="F8" s="69">
        <v>2674</v>
      </c>
      <c r="G8" s="68">
        <v>16.9672883</v>
      </c>
      <c r="H8" s="69">
        <v>3271</v>
      </c>
      <c r="I8" s="69">
        <v>2716</v>
      </c>
      <c r="K8" s="70" t="s">
        <v>344</v>
      </c>
      <c r="L8" s="71">
        <v>644854</v>
      </c>
      <c r="M8" s="71">
        <v>187667</v>
      </c>
      <c r="N8" s="71">
        <v>457187</v>
      </c>
      <c r="O8" s="72">
        <v>70.897753600000001</v>
      </c>
      <c r="P8" s="71">
        <v>877257</v>
      </c>
      <c r="Q8" s="71">
        <v>219525</v>
      </c>
      <c r="R8" s="71">
        <v>657732</v>
      </c>
      <c r="S8" s="72">
        <v>74.975976299999999</v>
      </c>
    </row>
    <row r="9" spans="1:20" x14ac:dyDescent="0.25">
      <c r="A9" s="66">
        <v>10303</v>
      </c>
      <c r="B9" s="67" t="s">
        <v>28</v>
      </c>
      <c r="C9" s="67" t="s">
        <v>39</v>
      </c>
      <c r="D9" s="68">
        <v>23.461150399999998</v>
      </c>
      <c r="E9" s="69">
        <v>1982</v>
      </c>
      <c r="F9" s="69">
        <v>1517</v>
      </c>
      <c r="G9" s="68">
        <v>35.627212</v>
      </c>
      <c r="H9" s="69">
        <v>2543</v>
      </c>
      <c r="I9" s="69">
        <v>1637</v>
      </c>
      <c r="K9" s="70" t="s">
        <v>413</v>
      </c>
      <c r="L9" s="71">
        <v>93890</v>
      </c>
      <c r="M9" s="71">
        <v>39116</v>
      </c>
      <c r="N9" s="71">
        <v>54774</v>
      </c>
      <c r="O9" s="72">
        <v>58.338481200000004</v>
      </c>
      <c r="P9" s="71">
        <v>126668</v>
      </c>
      <c r="Q9" s="71">
        <v>51267</v>
      </c>
      <c r="R9" s="71">
        <v>75401</v>
      </c>
      <c r="S9" s="72">
        <v>59.526478699999998</v>
      </c>
    </row>
    <row r="10" spans="1:20" x14ac:dyDescent="0.25">
      <c r="A10" s="66">
        <v>10304</v>
      </c>
      <c r="B10" s="67" t="s">
        <v>28</v>
      </c>
      <c r="C10" s="67" t="s">
        <v>40</v>
      </c>
      <c r="D10" s="68">
        <v>6.7176406999999996</v>
      </c>
      <c r="E10" s="69">
        <v>1831</v>
      </c>
      <c r="F10" s="69">
        <v>1708</v>
      </c>
      <c r="G10" s="68">
        <v>9.7912713999999994</v>
      </c>
      <c r="H10" s="69">
        <v>2635</v>
      </c>
      <c r="I10" s="69">
        <v>2377</v>
      </c>
      <c r="K10" s="70" t="s">
        <v>438</v>
      </c>
      <c r="L10" s="71">
        <v>25365</v>
      </c>
      <c r="M10" s="71">
        <v>13776</v>
      </c>
      <c r="N10" s="71">
        <v>11589</v>
      </c>
      <c r="O10" s="72">
        <v>45.688941400000004</v>
      </c>
      <c r="P10" s="71">
        <v>34943</v>
      </c>
      <c r="Q10" s="71">
        <v>18892</v>
      </c>
      <c r="R10" s="71">
        <v>16051</v>
      </c>
      <c r="S10" s="72">
        <v>45.934808099999998</v>
      </c>
    </row>
    <row r="11" spans="1:20" x14ac:dyDescent="0.25">
      <c r="A11" s="66">
        <v>10401</v>
      </c>
      <c r="B11" s="67" t="s">
        <v>28</v>
      </c>
      <c r="C11" s="67" t="s">
        <v>42</v>
      </c>
      <c r="D11" s="68">
        <v>30.391459099999999</v>
      </c>
      <c r="E11" s="69">
        <v>2810</v>
      </c>
      <c r="F11" s="69">
        <v>1956</v>
      </c>
      <c r="G11" s="68">
        <v>45.354676699999999</v>
      </c>
      <c r="H11" s="69">
        <v>3186</v>
      </c>
      <c r="I11" s="69">
        <v>1741</v>
      </c>
      <c r="K11" s="99" t="s">
        <v>24</v>
      </c>
      <c r="L11" s="100">
        <v>2803982</v>
      </c>
      <c r="M11" s="100">
        <v>1187581</v>
      </c>
      <c r="N11" s="100">
        <v>1616401</v>
      </c>
      <c r="O11" s="101">
        <v>57.646625399999998</v>
      </c>
      <c r="P11" s="100">
        <v>3623711</v>
      </c>
      <c r="Q11" s="100">
        <v>1301844</v>
      </c>
      <c r="R11" s="100">
        <v>2321867</v>
      </c>
      <c r="S11" s="101">
        <v>64.074287400000003</v>
      </c>
    </row>
    <row r="12" spans="1:20" x14ac:dyDescent="0.25">
      <c r="A12" s="66">
        <v>10402</v>
      </c>
      <c r="B12" s="67" t="s">
        <v>28</v>
      </c>
      <c r="C12" s="67" t="s">
        <v>41</v>
      </c>
      <c r="D12" s="68">
        <v>19.782299999999999</v>
      </c>
      <c r="E12" s="69">
        <v>2113</v>
      </c>
      <c r="F12" s="69">
        <v>1695</v>
      </c>
      <c r="G12" s="68">
        <v>29.380294299999999</v>
      </c>
      <c r="H12" s="69">
        <v>2243</v>
      </c>
      <c r="I12" s="69">
        <v>1584</v>
      </c>
      <c r="K12" s="102" t="s">
        <v>333</v>
      </c>
      <c r="L12" s="107">
        <f>SUM(E246:E248)</f>
        <v>36422</v>
      </c>
      <c r="M12" s="107">
        <f>SUM(F246:F248)</f>
        <v>13410</v>
      </c>
      <c r="N12" s="105">
        <f>15682+973+6357</f>
        <v>23012</v>
      </c>
      <c r="O12" s="108">
        <f>(N12/L12)*100</f>
        <v>63.181593542364503</v>
      </c>
      <c r="P12" s="107">
        <f>SUM(H246:H248)</f>
        <v>46032</v>
      </c>
      <c r="Q12" s="107">
        <f>SUM(I246:I248)</f>
        <v>12832</v>
      </c>
      <c r="R12" s="105">
        <f>21371+1756+10073</f>
        <v>33200</v>
      </c>
      <c r="S12" s="108">
        <f>(R12/P12)*100</f>
        <v>72.123740006951692</v>
      </c>
    </row>
    <row r="13" spans="1:20" x14ac:dyDescent="0.25">
      <c r="A13" s="66">
        <v>10403</v>
      </c>
      <c r="B13" s="67" t="s">
        <v>28</v>
      </c>
      <c r="C13" s="67" t="s">
        <v>43</v>
      </c>
      <c r="D13" s="68">
        <v>27.7114428</v>
      </c>
      <c r="E13" s="69">
        <v>2010</v>
      </c>
      <c r="F13" s="69">
        <v>1453</v>
      </c>
      <c r="G13" s="68">
        <v>31.672256900000001</v>
      </c>
      <c r="H13" s="69">
        <v>2087</v>
      </c>
      <c r="I13" s="69">
        <v>1426</v>
      </c>
    </row>
    <row r="14" spans="1:20" x14ac:dyDescent="0.25">
      <c r="A14" s="66">
        <v>10404</v>
      </c>
      <c r="B14" s="67" t="s">
        <v>28</v>
      </c>
      <c r="C14" s="67" t="s">
        <v>44</v>
      </c>
      <c r="D14" s="68">
        <v>20.802238899999999</v>
      </c>
      <c r="E14" s="69">
        <v>1072</v>
      </c>
      <c r="F14" s="69">
        <v>849</v>
      </c>
      <c r="G14" s="68">
        <v>44.827586199999999</v>
      </c>
      <c r="H14" s="69">
        <v>1189</v>
      </c>
      <c r="I14" s="69">
        <v>656</v>
      </c>
    </row>
    <row r="15" spans="1:20" x14ac:dyDescent="0.25">
      <c r="A15" s="66">
        <v>10405</v>
      </c>
      <c r="B15" s="67" t="s">
        <v>28</v>
      </c>
      <c r="C15" s="67" t="s">
        <v>45</v>
      </c>
      <c r="D15" s="68">
        <v>16.1716172</v>
      </c>
      <c r="E15" s="69">
        <v>1212</v>
      </c>
      <c r="F15" s="69">
        <v>1016</v>
      </c>
      <c r="G15" s="68">
        <v>19.5969424</v>
      </c>
      <c r="H15" s="69">
        <v>1439</v>
      </c>
      <c r="I15" s="69">
        <v>1157</v>
      </c>
    </row>
    <row r="16" spans="1:20" x14ac:dyDescent="0.25">
      <c r="A16" s="66">
        <v>10501</v>
      </c>
      <c r="B16" s="67" t="s">
        <v>28</v>
      </c>
      <c r="C16" s="67" t="s">
        <v>47</v>
      </c>
      <c r="D16" s="68">
        <v>40.269781199999997</v>
      </c>
      <c r="E16" s="69">
        <v>6079</v>
      </c>
      <c r="F16" s="69">
        <v>3631</v>
      </c>
      <c r="G16" s="68">
        <v>51.834151399999996</v>
      </c>
      <c r="H16" s="69">
        <v>7742</v>
      </c>
      <c r="I16" s="69">
        <v>3729</v>
      </c>
    </row>
    <row r="17" spans="1:9" x14ac:dyDescent="0.25">
      <c r="A17" s="66">
        <v>10502</v>
      </c>
      <c r="B17" s="67" t="s">
        <v>28</v>
      </c>
      <c r="C17" s="67" t="s">
        <v>48</v>
      </c>
      <c r="D17" s="68">
        <v>17.989418000000001</v>
      </c>
      <c r="E17" s="69">
        <v>2079</v>
      </c>
      <c r="F17" s="69">
        <v>1705</v>
      </c>
      <c r="G17" s="68">
        <v>30.769230700000001</v>
      </c>
      <c r="H17" s="69">
        <v>2301</v>
      </c>
      <c r="I17" s="69">
        <v>1593</v>
      </c>
    </row>
    <row r="18" spans="1:9" x14ac:dyDescent="0.25">
      <c r="A18" s="66">
        <v>10601</v>
      </c>
      <c r="B18" s="67" t="s">
        <v>28</v>
      </c>
      <c r="C18" s="67" t="s">
        <v>50</v>
      </c>
      <c r="D18" s="68">
        <v>20.269037900000001</v>
      </c>
      <c r="E18" s="69">
        <v>4386</v>
      </c>
      <c r="F18" s="69">
        <v>3497</v>
      </c>
      <c r="G18" s="68">
        <v>25.052582399999999</v>
      </c>
      <c r="H18" s="69">
        <v>4279</v>
      </c>
      <c r="I18" s="69">
        <v>3207</v>
      </c>
    </row>
    <row r="19" spans="1:9" x14ac:dyDescent="0.25">
      <c r="A19" s="66">
        <v>10602</v>
      </c>
      <c r="B19" s="67" t="s">
        <v>28</v>
      </c>
      <c r="C19" s="67" t="s">
        <v>49</v>
      </c>
      <c r="D19" s="68">
        <v>6.6779660999999999</v>
      </c>
      <c r="E19" s="69">
        <v>2950</v>
      </c>
      <c r="F19" s="69">
        <v>2753</v>
      </c>
      <c r="G19" s="68">
        <v>17.204301000000001</v>
      </c>
      <c r="H19" s="69">
        <v>3069</v>
      </c>
      <c r="I19" s="69">
        <v>2541</v>
      </c>
    </row>
    <row r="20" spans="1:9" x14ac:dyDescent="0.25">
      <c r="A20" s="66">
        <v>10701</v>
      </c>
      <c r="B20" s="67" t="s">
        <v>28</v>
      </c>
      <c r="C20" s="67" t="s">
        <v>52</v>
      </c>
      <c r="D20" s="68">
        <v>33.017341099999996</v>
      </c>
      <c r="E20" s="69">
        <v>4325</v>
      </c>
      <c r="F20" s="69">
        <v>2897</v>
      </c>
      <c r="G20" s="68">
        <v>38.022587599999994</v>
      </c>
      <c r="H20" s="69">
        <v>5047</v>
      </c>
      <c r="I20" s="69">
        <v>3128</v>
      </c>
    </row>
    <row r="21" spans="1:9" x14ac:dyDescent="0.25">
      <c r="A21" s="66">
        <v>10702</v>
      </c>
      <c r="B21" s="67" t="s">
        <v>28</v>
      </c>
      <c r="C21" s="67" t="s">
        <v>53</v>
      </c>
      <c r="D21" s="68">
        <v>9.2782218000000007</v>
      </c>
      <c r="E21" s="69">
        <v>8008</v>
      </c>
      <c r="F21" s="69">
        <v>7265</v>
      </c>
      <c r="G21" s="68">
        <v>23.696682499999998</v>
      </c>
      <c r="H21" s="69">
        <v>8651</v>
      </c>
      <c r="I21" s="69">
        <v>6601</v>
      </c>
    </row>
    <row r="22" spans="1:9" x14ac:dyDescent="0.25">
      <c r="A22" s="66">
        <v>10703</v>
      </c>
      <c r="B22" s="67" t="s">
        <v>28</v>
      </c>
      <c r="C22" s="67" t="s">
        <v>54</v>
      </c>
      <c r="D22" s="68">
        <v>9.9316300999999996</v>
      </c>
      <c r="E22" s="69">
        <v>2779</v>
      </c>
      <c r="F22" s="69">
        <v>2503</v>
      </c>
      <c r="G22" s="68">
        <v>18.349299999999999</v>
      </c>
      <c r="H22" s="69">
        <v>4071</v>
      </c>
      <c r="I22" s="69">
        <v>3324</v>
      </c>
    </row>
    <row r="23" spans="1:9" x14ac:dyDescent="0.25">
      <c r="A23" s="66">
        <v>10704</v>
      </c>
      <c r="B23" s="67" t="s">
        <v>28</v>
      </c>
      <c r="C23" s="67" t="s">
        <v>55</v>
      </c>
      <c r="D23" s="68">
        <v>15.280575599999999</v>
      </c>
      <c r="E23" s="69">
        <v>3475</v>
      </c>
      <c r="F23" s="69">
        <v>2944</v>
      </c>
      <c r="G23" s="68">
        <v>29.55</v>
      </c>
      <c r="H23" s="69">
        <v>4000</v>
      </c>
      <c r="I23" s="69">
        <v>2818</v>
      </c>
    </row>
    <row r="24" spans="1:9" x14ac:dyDescent="0.25">
      <c r="A24" s="66">
        <v>10801</v>
      </c>
      <c r="B24" s="67" t="s">
        <v>28</v>
      </c>
      <c r="C24" s="67" t="s">
        <v>57</v>
      </c>
      <c r="D24" s="68">
        <v>29.755945000000001</v>
      </c>
      <c r="E24" s="69">
        <v>3196</v>
      </c>
      <c r="F24" s="69">
        <v>2245</v>
      </c>
      <c r="G24" s="68">
        <v>35.017257600000001</v>
      </c>
      <c r="H24" s="69">
        <v>3187</v>
      </c>
      <c r="I24" s="69">
        <v>2071</v>
      </c>
    </row>
    <row r="25" spans="1:9" x14ac:dyDescent="0.25">
      <c r="A25" s="66">
        <v>10901</v>
      </c>
      <c r="B25" s="67" t="s">
        <v>28</v>
      </c>
      <c r="C25" s="67" t="s">
        <v>59</v>
      </c>
      <c r="D25" s="68">
        <v>24.2487046</v>
      </c>
      <c r="E25" s="69">
        <v>965</v>
      </c>
      <c r="F25" s="69">
        <v>731</v>
      </c>
      <c r="G25" s="68">
        <v>38.220277199999998</v>
      </c>
      <c r="H25" s="69">
        <v>1371</v>
      </c>
      <c r="I25" s="69">
        <v>847</v>
      </c>
    </row>
    <row r="26" spans="1:9" x14ac:dyDescent="0.25">
      <c r="A26" s="66">
        <v>10902</v>
      </c>
      <c r="B26" s="67" t="s">
        <v>28</v>
      </c>
      <c r="C26" s="67" t="s">
        <v>60</v>
      </c>
      <c r="D26" s="68">
        <v>16.333103300000001</v>
      </c>
      <c r="E26" s="69">
        <v>4347</v>
      </c>
      <c r="F26" s="69">
        <v>3637</v>
      </c>
      <c r="G26" s="68">
        <v>22.381974199999998</v>
      </c>
      <c r="H26" s="69">
        <v>4660</v>
      </c>
      <c r="I26" s="69">
        <v>3617</v>
      </c>
    </row>
    <row r="27" spans="1:9" x14ac:dyDescent="0.25">
      <c r="A27" s="66">
        <v>10903</v>
      </c>
      <c r="B27" s="67" t="s">
        <v>28</v>
      </c>
      <c r="C27" s="67" t="s">
        <v>61</v>
      </c>
      <c r="D27" s="68">
        <v>14.689265599999999</v>
      </c>
      <c r="E27" s="69">
        <v>1062</v>
      </c>
      <c r="F27" s="69">
        <v>906</v>
      </c>
      <c r="G27" s="68">
        <v>16.25</v>
      </c>
      <c r="H27" s="69">
        <v>1280</v>
      </c>
      <c r="I27" s="69">
        <v>1072</v>
      </c>
    </row>
    <row r="28" spans="1:9" x14ac:dyDescent="0.25">
      <c r="A28" s="66">
        <v>11001</v>
      </c>
      <c r="B28" s="67" t="s">
        <v>28</v>
      </c>
      <c r="C28" s="67" t="s">
        <v>63</v>
      </c>
      <c r="D28" s="68">
        <v>33.372827799999996</v>
      </c>
      <c r="E28" s="69">
        <v>2532</v>
      </c>
      <c r="F28" s="69">
        <v>1687</v>
      </c>
      <c r="G28" s="68">
        <v>36.926020399999999</v>
      </c>
      <c r="H28" s="69">
        <v>3136</v>
      </c>
      <c r="I28" s="69">
        <v>1978</v>
      </c>
    </row>
    <row r="29" spans="1:9" x14ac:dyDescent="0.25">
      <c r="A29" s="66">
        <v>11002</v>
      </c>
      <c r="B29" s="67" t="s">
        <v>28</v>
      </c>
      <c r="C29" s="67" t="s">
        <v>64</v>
      </c>
      <c r="D29" s="68">
        <v>3.9800994999999997</v>
      </c>
      <c r="E29" s="69">
        <v>603</v>
      </c>
      <c r="F29" s="69">
        <v>579</v>
      </c>
      <c r="G29" s="68">
        <v>5.0122249999999999</v>
      </c>
      <c r="H29" s="69">
        <v>818</v>
      </c>
      <c r="I29" s="69">
        <v>777</v>
      </c>
    </row>
    <row r="30" spans="1:9" x14ac:dyDescent="0.25">
      <c r="A30" s="66">
        <v>11003</v>
      </c>
      <c r="B30" s="67" t="s">
        <v>28</v>
      </c>
      <c r="C30" s="67" t="s">
        <v>65</v>
      </c>
      <c r="D30" s="68">
        <v>17.3043975</v>
      </c>
      <c r="E30" s="69">
        <v>1751</v>
      </c>
      <c r="F30" s="69">
        <v>1448</v>
      </c>
      <c r="G30" s="68">
        <v>26.180069899999999</v>
      </c>
      <c r="H30" s="69">
        <v>2288</v>
      </c>
      <c r="I30" s="69">
        <v>1689</v>
      </c>
    </row>
    <row r="31" spans="1:9" x14ac:dyDescent="0.25">
      <c r="A31" s="66">
        <v>20101</v>
      </c>
      <c r="B31" s="67" t="s">
        <v>66</v>
      </c>
      <c r="C31" s="67" t="s">
        <v>68</v>
      </c>
      <c r="D31" s="68">
        <v>96.547704199999998</v>
      </c>
      <c r="E31" s="69">
        <v>226458</v>
      </c>
      <c r="F31" s="69">
        <v>7818</v>
      </c>
      <c r="G31" s="68">
        <v>98.277215600000005</v>
      </c>
      <c r="H31" s="69">
        <v>250931</v>
      </c>
      <c r="I31" s="69">
        <v>4323</v>
      </c>
    </row>
    <row r="32" spans="1:9" x14ac:dyDescent="0.25">
      <c r="A32" s="73">
        <v>20102</v>
      </c>
      <c r="B32" s="74" t="s">
        <v>66</v>
      </c>
      <c r="C32" s="74" t="s">
        <v>69</v>
      </c>
      <c r="D32" s="68">
        <v>0.57696269999999994</v>
      </c>
      <c r="E32" s="69">
        <v>4853</v>
      </c>
      <c r="F32" s="69">
        <v>4825</v>
      </c>
      <c r="G32" s="68">
        <v>10.613052</v>
      </c>
      <c r="H32" s="69">
        <v>7585</v>
      </c>
      <c r="I32" s="69">
        <v>6780</v>
      </c>
    </row>
    <row r="33" spans="1:9" x14ac:dyDescent="0.25">
      <c r="A33" s="73">
        <v>20103</v>
      </c>
      <c r="B33" s="74" t="s">
        <v>66</v>
      </c>
      <c r="C33" s="74" t="s">
        <v>70</v>
      </c>
      <c r="D33" s="68">
        <v>11.232187799999998</v>
      </c>
      <c r="E33" s="69">
        <v>4772</v>
      </c>
      <c r="F33" s="69">
        <v>4236</v>
      </c>
      <c r="G33" s="68">
        <v>51.978391000000002</v>
      </c>
      <c r="H33" s="69">
        <v>6849</v>
      </c>
      <c r="I33" s="69">
        <v>3289</v>
      </c>
    </row>
    <row r="34" spans="1:9" x14ac:dyDescent="0.25">
      <c r="A34" s="73">
        <v>20104</v>
      </c>
      <c r="B34" s="74" t="s">
        <v>66</v>
      </c>
      <c r="C34" s="74" t="s">
        <v>71</v>
      </c>
      <c r="D34" s="68">
        <v>11.718640799999999</v>
      </c>
      <c r="E34" s="69">
        <v>7151</v>
      </c>
      <c r="F34" s="69">
        <v>6313</v>
      </c>
      <c r="G34" s="68">
        <v>76.191937200000012</v>
      </c>
      <c r="H34" s="69">
        <v>16297</v>
      </c>
      <c r="I34" s="69">
        <v>3880</v>
      </c>
    </row>
    <row r="35" spans="1:9" x14ac:dyDescent="0.25">
      <c r="A35" s="73">
        <v>20105</v>
      </c>
      <c r="B35" s="74" t="s">
        <v>66</v>
      </c>
      <c r="C35" s="74" t="s">
        <v>72</v>
      </c>
      <c r="D35" s="68">
        <v>82.764004200000002</v>
      </c>
      <c r="E35" s="69">
        <v>256852</v>
      </c>
      <c r="F35" s="69">
        <v>44271</v>
      </c>
      <c r="G35" s="68">
        <v>93.651518300000006</v>
      </c>
      <c r="H35" s="69">
        <v>297898</v>
      </c>
      <c r="I35" s="69">
        <v>18912</v>
      </c>
    </row>
    <row r="36" spans="1:9" x14ac:dyDescent="0.25">
      <c r="A36" s="73">
        <v>20201</v>
      </c>
      <c r="B36" s="74" t="s">
        <v>66</v>
      </c>
      <c r="C36" s="74" t="s">
        <v>74</v>
      </c>
      <c r="D36" s="68">
        <v>17.174020200000001</v>
      </c>
      <c r="E36" s="69">
        <v>16228</v>
      </c>
      <c r="F36" s="69">
        <v>13441</v>
      </c>
      <c r="G36" s="68">
        <v>21.511246999999997</v>
      </c>
      <c r="H36" s="69">
        <v>18316</v>
      </c>
      <c r="I36" s="69">
        <v>14376</v>
      </c>
    </row>
    <row r="37" spans="1:9" x14ac:dyDescent="0.25">
      <c r="A37" s="73">
        <v>20202</v>
      </c>
      <c r="B37" s="74" t="s">
        <v>66</v>
      </c>
      <c r="C37" s="74" t="s">
        <v>75</v>
      </c>
      <c r="D37" s="68">
        <v>1.2930177</v>
      </c>
      <c r="E37" s="69">
        <v>5027</v>
      </c>
      <c r="F37" s="69">
        <v>4962</v>
      </c>
      <c r="G37" s="68">
        <v>4.4975508</v>
      </c>
      <c r="H37" s="69">
        <v>6737</v>
      </c>
      <c r="I37" s="69">
        <v>6434</v>
      </c>
    </row>
    <row r="38" spans="1:9" x14ac:dyDescent="0.25">
      <c r="A38" s="73">
        <v>20203</v>
      </c>
      <c r="B38" s="74" t="s">
        <v>66</v>
      </c>
      <c r="C38" s="74" t="s">
        <v>79</v>
      </c>
      <c r="D38" s="68">
        <v>0.88582680000000003</v>
      </c>
      <c r="E38" s="69">
        <v>1662</v>
      </c>
      <c r="F38" s="69">
        <v>2014</v>
      </c>
      <c r="G38" s="68">
        <v>22.767008799999999</v>
      </c>
      <c r="H38" s="69">
        <v>2509</v>
      </c>
      <c r="I38" s="69">
        <v>2032</v>
      </c>
    </row>
    <row r="39" spans="1:9" x14ac:dyDescent="0.25">
      <c r="A39" s="73">
        <v>20204</v>
      </c>
      <c r="B39" s="74" t="s">
        <v>66</v>
      </c>
      <c r="C39" s="74" t="s">
        <v>76</v>
      </c>
      <c r="D39" s="68">
        <v>1.0615710999999999</v>
      </c>
      <c r="E39" s="69">
        <v>2032</v>
      </c>
      <c r="F39" s="69">
        <v>3262</v>
      </c>
      <c r="G39" s="68">
        <v>18.149646100000002</v>
      </c>
      <c r="H39" s="69">
        <v>2631</v>
      </c>
      <c r="I39" s="69">
        <v>3238</v>
      </c>
    </row>
    <row r="40" spans="1:9" x14ac:dyDescent="0.25">
      <c r="A40" s="73">
        <v>20205</v>
      </c>
      <c r="B40" s="74" t="s">
        <v>66</v>
      </c>
      <c r="C40" s="74" t="s">
        <v>77</v>
      </c>
      <c r="D40" s="68">
        <v>5.5570186999999995</v>
      </c>
      <c r="E40" s="69">
        <v>3297</v>
      </c>
      <c r="F40" s="69">
        <v>3586</v>
      </c>
      <c r="G40" s="68">
        <v>16.476892100000001</v>
      </c>
      <c r="H40" s="69">
        <v>3956</v>
      </c>
      <c r="I40" s="69">
        <v>3741</v>
      </c>
    </row>
    <row r="41" spans="1:9" x14ac:dyDescent="0.25">
      <c r="A41" s="73">
        <v>20206</v>
      </c>
      <c r="B41" s="74" t="s">
        <v>66</v>
      </c>
      <c r="C41" s="74" t="s">
        <v>78</v>
      </c>
      <c r="D41" s="68">
        <v>0.2406739</v>
      </c>
      <c r="E41" s="69">
        <v>3797</v>
      </c>
      <c r="F41" s="69">
        <v>1658</v>
      </c>
      <c r="G41" s="68">
        <v>63.252291800000002</v>
      </c>
      <c r="H41" s="69">
        <v>4479</v>
      </c>
      <c r="I41" s="69">
        <v>922</v>
      </c>
    </row>
    <row r="42" spans="1:9" x14ac:dyDescent="0.25">
      <c r="A42" s="73">
        <v>20301</v>
      </c>
      <c r="B42" s="74" t="s">
        <v>66</v>
      </c>
      <c r="C42" s="74" t="s">
        <v>81</v>
      </c>
      <c r="D42" s="68">
        <v>7.3529412000000001</v>
      </c>
      <c r="E42" s="69">
        <v>3740</v>
      </c>
      <c r="F42" s="69">
        <v>3465</v>
      </c>
      <c r="G42" s="68">
        <v>14.340198299999999</v>
      </c>
      <c r="H42" s="69">
        <v>5244</v>
      </c>
      <c r="I42" s="69">
        <v>4492</v>
      </c>
    </row>
    <row r="43" spans="1:9" x14ac:dyDescent="0.25">
      <c r="A43" s="73">
        <v>20302</v>
      </c>
      <c r="B43" s="74" t="s">
        <v>66</v>
      </c>
      <c r="C43" s="74" t="s">
        <v>82</v>
      </c>
      <c r="D43" s="68">
        <v>0.89013819999999999</v>
      </c>
      <c r="E43" s="69">
        <v>4269</v>
      </c>
      <c r="F43" s="69">
        <v>4231</v>
      </c>
      <c r="G43" s="68">
        <v>6.0386011000000002</v>
      </c>
      <c r="H43" s="69">
        <v>5233</v>
      </c>
      <c r="I43" s="69">
        <v>4917</v>
      </c>
    </row>
    <row r="44" spans="1:9" x14ac:dyDescent="0.25">
      <c r="A44" s="73">
        <v>20303</v>
      </c>
      <c r="B44" s="74" t="s">
        <v>66</v>
      </c>
      <c r="C44" s="74" t="s">
        <v>83</v>
      </c>
      <c r="D44" s="68">
        <v>1.7831870999999999</v>
      </c>
      <c r="E44" s="69">
        <v>3533</v>
      </c>
      <c r="F44" s="69">
        <v>3470</v>
      </c>
      <c r="G44" s="68">
        <v>2.3296789000000002</v>
      </c>
      <c r="H44" s="69">
        <v>5108</v>
      </c>
      <c r="I44" s="69">
        <v>4989</v>
      </c>
    </row>
    <row r="45" spans="1:9" x14ac:dyDescent="0.25">
      <c r="A45" s="73">
        <v>20304</v>
      </c>
      <c r="B45" s="74" t="s">
        <v>66</v>
      </c>
      <c r="C45" s="74" t="s">
        <v>84</v>
      </c>
      <c r="D45" s="68">
        <v>1.754386</v>
      </c>
      <c r="E45" s="69">
        <v>1311</v>
      </c>
      <c r="F45" s="69">
        <v>1288</v>
      </c>
      <c r="G45" s="68">
        <v>2.642487</v>
      </c>
      <c r="H45" s="69">
        <v>1930</v>
      </c>
      <c r="I45" s="69">
        <v>1879</v>
      </c>
    </row>
    <row r="46" spans="1:9" x14ac:dyDescent="0.25">
      <c r="A46" s="73">
        <v>20305</v>
      </c>
      <c r="B46" s="74" t="s">
        <v>66</v>
      </c>
      <c r="C46" s="74" t="s">
        <v>85</v>
      </c>
      <c r="D46" s="68">
        <v>2.1570319000000002</v>
      </c>
      <c r="E46" s="69">
        <v>1159</v>
      </c>
      <c r="F46" s="69">
        <v>1134</v>
      </c>
      <c r="G46" s="68">
        <v>5.9701492999999992</v>
      </c>
      <c r="H46" s="69">
        <v>1742</v>
      </c>
      <c r="I46" s="69">
        <v>1638</v>
      </c>
    </row>
    <row r="47" spans="1:9" x14ac:dyDescent="0.25">
      <c r="A47" s="73">
        <v>20306</v>
      </c>
      <c r="B47" s="74" t="s">
        <v>66</v>
      </c>
      <c r="C47" s="74" t="s">
        <v>86</v>
      </c>
      <c r="D47" s="68">
        <v>1.6822429999999999</v>
      </c>
      <c r="E47" s="69">
        <v>1070</v>
      </c>
      <c r="F47" s="69">
        <v>1052</v>
      </c>
      <c r="G47" s="68">
        <v>10.731373900000001</v>
      </c>
      <c r="H47" s="69">
        <v>1463</v>
      </c>
      <c r="I47" s="69">
        <v>1306</v>
      </c>
    </row>
    <row r="48" spans="1:9" x14ac:dyDescent="0.25">
      <c r="A48" s="73">
        <v>20307</v>
      </c>
      <c r="B48" s="74" t="s">
        <v>66</v>
      </c>
      <c r="C48" s="74" t="s">
        <v>87</v>
      </c>
      <c r="D48" s="68">
        <v>10.380622799999999</v>
      </c>
      <c r="E48" s="69">
        <v>289</v>
      </c>
      <c r="F48" s="69">
        <v>259</v>
      </c>
      <c r="G48" s="68">
        <v>5.5234955000000001</v>
      </c>
      <c r="H48" s="69">
        <v>1213</v>
      </c>
      <c r="I48" s="69">
        <v>1146</v>
      </c>
    </row>
    <row r="49" spans="1:9" x14ac:dyDescent="0.25">
      <c r="A49" s="73">
        <v>20308</v>
      </c>
      <c r="B49" s="74" t="s">
        <v>66</v>
      </c>
      <c r="C49" s="74" t="s">
        <v>88</v>
      </c>
      <c r="D49" s="68">
        <v>0.1433692</v>
      </c>
      <c r="E49" s="69">
        <v>2790</v>
      </c>
      <c r="F49" s="69">
        <v>2786</v>
      </c>
      <c r="G49" s="68">
        <v>0.98066680000000006</v>
      </c>
      <c r="H49" s="69">
        <v>3569</v>
      </c>
      <c r="I49" s="69">
        <v>3534</v>
      </c>
    </row>
    <row r="50" spans="1:9" x14ac:dyDescent="0.25">
      <c r="A50" s="73">
        <v>20401</v>
      </c>
      <c r="B50" s="74" t="s">
        <v>66</v>
      </c>
      <c r="C50" s="74" t="s">
        <v>90</v>
      </c>
      <c r="D50" s="68">
        <v>8.4214726999999989</v>
      </c>
      <c r="E50" s="69">
        <v>5011</v>
      </c>
      <c r="F50" s="69">
        <v>4589</v>
      </c>
      <c r="G50" s="68">
        <v>8.1011507999999992</v>
      </c>
      <c r="H50" s="69">
        <v>6604</v>
      </c>
      <c r="I50" s="69">
        <v>6069</v>
      </c>
    </row>
    <row r="51" spans="1:9" x14ac:dyDescent="0.25">
      <c r="A51" s="73">
        <v>20402</v>
      </c>
      <c r="B51" s="74" t="s">
        <v>66</v>
      </c>
      <c r="C51" s="74" t="s">
        <v>91</v>
      </c>
      <c r="D51" s="68">
        <v>0.93854070000000001</v>
      </c>
      <c r="E51" s="69">
        <v>6606</v>
      </c>
      <c r="F51" s="69">
        <v>6544</v>
      </c>
      <c r="G51" s="68">
        <v>4.7672531999999999</v>
      </c>
      <c r="H51" s="69">
        <v>8013</v>
      </c>
      <c r="I51" s="69">
        <v>7631</v>
      </c>
    </row>
    <row r="52" spans="1:9" x14ac:dyDescent="0.25">
      <c r="A52" s="73">
        <v>20403</v>
      </c>
      <c r="B52" s="74" t="s">
        <v>66</v>
      </c>
      <c r="C52" s="74" t="s">
        <v>92</v>
      </c>
      <c r="D52" s="68">
        <v>1.3465495000000001</v>
      </c>
      <c r="E52" s="69">
        <v>5347</v>
      </c>
      <c r="F52" s="69">
        <v>5275</v>
      </c>
      <c r="G52" s="68">
        <v>4.1472045</v>
      </c>
      <c r="H52" s="69">
        <v>7065</v>
      </c>
      <c r="I52" s="69">
        <v>6772</v>
      </c>
    </row>
    <row r="53" spans="1:9" x14ac:dyDescent="0.25">
      <c r="A53" s="73">
        <v>20404</v>
      </c>
      <c r="B53" s="74" t="s">
        <v>66</v>
      </c>
      <c r="C53" s="74" t="s">
        <v>93</v>
      </c>
      <c r="D53" s="68">
        <v>2.2296014999999998</v>
      </c>
      <c r="E53" s="69">
        <v>2108</v>
      </c>
      <c r="F53" s="69">
        <v>2061</v>
      </c>
      <c r="G53" s="68">
        <v>3.7593985000000001</v>
      </c>
      <c r="H53" s="69">
        <v>2527</v>
      </c>
      <c r="I53" s="69">
        <v>2432</v>
      </c>
    </row>
    <row r="54" spans="1:9" x14ac:dyDescent="0.25">
      <c r="A54" s="73">
        <v>20405</v>
      </c>
      <c r="B54" s="74" t="s">
        <v>66</v>
      </c>
      <c r="C54" s="74" t="s">
        <v>94</v>
      </c>
      <c r="D54" s="68">
        <v>8.0938222</v>
      </c>
      <c r="E54" s="69">
        <v>3027</v>
      </c>
      <c r="F54" s="69">
        <v>2782</v>
      </c>
      <c r="G54" s="68">
        <v>17.2740525</v>
      </c>
      <c r="H54" s="69">
        <v>4116</v>
      </c>
      <c r="I54" s="69">
        <v>3405</v>
      </c>
    </row>
    <row r="55" spans="1:9" x14ac:dyDescent="0.25">
      <c r="A55" s="73">
        <v>20501</v>
      </c>
      <c r="B55" s="74" t="s">
        <v>66</v>
      </c>
      <c r="C55" s="74" t="s">
        <v>96</v>
      </c>
      <c r="D55" s="68">
        <v>0.76180800000000004</v>
      </c>
      <c r="E55" s="69">
        <v>3938</v>
      </c>
      <c r="F55" s="69">
        <v>3908</v>
      </c>
      <c r="G55" s="68">
        <v>5.8390732999999999</v>
      </c>
      <c r="H55" s="69">
        <v>6388</v>
      </c>
      <c r="I55" s="69">
        <v>6015</v>
      </c>
    </row>
    <row r="56" spans="1:9" x14ac:dyDescent="0.25">
      <c r="A56" s="73">
        <v>20502</v>
      </c>
      <c r="B56" s="74" t="s">
        <v>66</v>
      </c>
      <c r="C56" s="74" t="s">
        <v>97</v>
      </c>
      <c r="D56" s="68">
        <v>1.1285037999999998</v>
      </c>
      <c r="E56" s="69">
        <v>2747</v>
      </c>
      <c r="F56" s="69">
        <v>2716</v>
      </c>
      <c r="G56" s="68">
        <v>3.0623926999999997</v>
      </c>
      <c r="H56" s="69">
        <v>3494</v>
      </c>
      <c r="I56" s="69">
        <v>3387</v>
      </c>
    </row>
    <row r="57" spans="1:9" x14ac:dyDescent="0.25">
      <c r="A57" s="73">
        <v>20503</v>
      </c>
      <c r="B57" s="74" t="s">
        <v>66</v>
      </c>
      <c r="C57" s="74" t="s">
        <v>98</v>
      </c>
      <c r="D57" s="68">
        <v>4.6955624</v>
      </c>
      <c r="E57" s="69">
        <v>1938</v>
      </c>
      <c r="F57" s="69">
        <v>1847</v>
      </c>
      <c r="G57" s="68">
        <v>12.28</v>
      </c>
      <c r="H57" s="69">
        <v>2500</v>
      </c>
      <c r="I57" s="69">
        <v>2193</v>
      </c>
    </row>
    <row r="58" spans="1:9" x14ac:dyDescent="0.25">
      <c r="A58" s="73">
        <v>20601</v>
      </c>
      <c r="B58" s="74" t="s">
        <v>66</v>
      </c>
      <c r="C58" s="74" t="s">
        <v>100</v>
      </c>
      <c r="D58" s="68">
        <v>11.4415955</v>
      </c>
      <c r="E58" s="69">
        <v>8775</v>
      </c>
      <c r="F58" s="69">
        <v>7771</v>
      </c>
      <c r="G58" s="68">
        <v>20.7871542</v>
      </c>
      <c r="H58" s="69">
        <v>11459</v>
      </c>
      <c r="I58" s="69">
        <v>9077</v>
      </c>
    </row>
    <row r="59" spans="1:9" x14ac:dyDescent="0.25">
      <c r="A59" s="73">
        <v>20602</v>
      </c>
      <c r="B59" s="74" t="s">
        <v>66</v>
      </c>
      <c r="C59" s="74" t="s">
        <v>101</v>
      </c>
      <c r="D59" s="68">
        <v>16.876735799999999</v>
      </c>
      <c r="E59" s="69">
        <v>4681</v>
      </c>
      <c r="F59" s="69">
        <v>3891</v>
      </c>
      <c r="G59" s="68">
        <v>22.427819400000001</v>
      </c>
      <c r="H59" s="69">
        <v>6269</v>
      </c>
      <c r="I59" s="69">
        <v>4863</v>
      </c>
    </row>
    <row r="60" spans="1:9" x14ac:dyDescent="0.25">
      <c r="A60" s="73">
        <v>20603</v>
      </c>
      <c r="B60" s="74" t="s">
        <v>66</v>
      </c>
      <c r="C60" s="74" t="s">
        <v>102</v>
      </c>
      <c r="D60" s="68">
        <v>4.5637584000000002</v>
      </c>
      <c r="E60" s="69">
        <v>2980</v>
      </c>
      <c r="F60" s="69">
        <v>2844</v>
      </c>
      <c r="G60" s="68">
        <v>8.4055876999999999</v>
      </c>
      <c r="H60" s="69">
        <v>4152</v>
      </c>
      <c r="I60" s="69">
        <v>3803</v>
      </c>
    </row>
    <row r="61" spans="1:9" x14ac:dyDescent="0.25">
      <c r="A61" s="73">
        <v>20604</v>
      </c>
      <c r="B61" s="74" t="s">
        <v>66</v>
      </c>
      <c r="C61" s="74" t="s">
        <v>103</v>
      </c>
      <c r="D61" s="68">
        <v>0.48685489999999998</v>
      </c>
      <c r="E61" s="69">
        <v>1027</v>
      </c>
      <c r="F61" s="69">
        <v>1022</v>
      </c>
      <c r="G61" s="68">
        <v>6.5420560999999999</v>
      </c>
      <c r="H61" s="69">
        <v>1391</v>
      </c>
      <c r="I61" s="69">
        <v>1300</v>
      </c>
    </row>
    <row r="62" spans="1:9" x14ac:dyDescent="0.25">
      <c r="A62" s="73">
        <v>20605</v>
      </c>
      <c r="B62" s="74" t="s">
        <v>66</v>
      </c>
      <c r="C62" s="74" t="s">
        <v>104</v>
      </c>
      <c r="D62" s="68">
        <v>0.30181079999999999</v>
      </c>
      <c r="E62" s="69">
        <v>994</v>
      </c>
      <c r="F62" s="69">
        <v>991</v>
      </c>
      <c r="G62" s="68">
        <v>28.0701754</v>
      </c>
      <c r="H62" s="69">
        <v>1425</v>
      </c>
      <c r="I62" s="69">
        <v>1025</v>
      </c>
    </row>
    <row r="63" spans="1:9" x14ac:dyDescent="0.25">
      <c r="A63" s="73">
        <v>20606</v>
      </c>
      <c r="B63" s="74" t="s">
        <v>66</v>
      </c>
      <c r="C63" s="74" t="s">
        <v>105</v>
      </c>
      <c r="D63" s="68">
        <v>2.2562914999999997</v>
      </c>
      <c r="E63" s="69">
        <v>3457</v>
      </c>
      <c r="F63" s="69">
        <v>3379</v>
      </c>
      <c r="G63" s="68">
        <v>24.329324700000001</v>
      </c>
      <c r="H63" s="69">
        <v>3243</v>
      </c>
      <c r="I63" s="69">
        <v>2454</v>
      </c>
    </row>
    <row r="64" spans="1:9" x14ac:dyDescent="0.25">
      <c r="A64" s="73">
        <v>20607</v>
      </c>
      <c r="B64" s="74" t="s">
        <v>66</v>
      </c>
      <c r="C64" s="74" t="s">
        <v>106</v>
      </c>
      <c r="D64" s="68">
        <v>37.0617284</v>
      </c>
      <c r="E64" s="69">
        <v>4050</v>
      </c>
      <c r="F64" s="69">
        <v>2549</v>
      </c>
      <c r="G64" s="68">
        <v>49.260655299999996</v>
      </c>
      <c r="H64" s="69">
        <v>6898</v>
      </c>
      <c r="I64" s="69">
        <v>3500</v>
      </c>
    </row>
    <row r="65" spans="1:9" x14ac:dyDescent="0.25">
      <c r="A65" s="73">
        <v>20608</v>
      </c>
      <c r="B65" s="74" t="s">
        <v>66</v>
      </c>
      <c r="C65" s="74" t="s">
        <v>107</v>
      </c>
      <c r="D65" s="68">
        <v>10.1806711</v>
      </c>
      <c r="E65" s="69">
        <v>3487</v>
      </c>
      <c r="F65" s="69">
        <v>3132</v>
      </c>
      <c r="G65" s="68">
        <v>10.495436700000001</v>
      </c>
      <c r="H65" s="69">
        <v>4602</v>
      </c>
      <c r="I65" s="69">
        <v>4119</v>
      </c>
    </row>
    <row r="66" spans="1:9" x14ac:dyDescent="0.25">
      <c r="A66" s="73">
        <v>20701</v>
      </c>
      <c r="B66" s="74" t="s">
        <v>66</v>
      </c>
      <c r="C66" s="74" t="s">
        <v>109</v>
      </c>
      <c r="D66" s="68">
        <v>26.378378399999999</v>
      </c>
      <c r="E66" s="69">
        <v>4625</v>
      </c>
      <c r="F66" s="69">
        <v>3405</v>
      </c>
      <c r="G66" s="68">
        <v>31.748864400000002</v>
      </c>
      <c r="H66" s="69">
        <v>6164</v>
      </c>
      <c r="I66" s="69">
        <v>4207</v>
      </c>
    </row>
    <row r="67" spans="1:9" x14ac:dyDescent="0.25">
      <c r="A67" s="73">
        <v>20702</v>
      </c>
      <c r="B67" s="74" t="s">
        <v>66</v>
      </c>
      <c r="C67" s="74" t="s">
        <v>110</v>
      </c>
      <c r="D67" s="68">
        <v>16.950672699999998</v>
      </c>
      <c r="E67" s="69">
        <v>2230</v>
      </c>
      <c r="F67" s="69">
        <v>1852</v>
      </c>
      <c r="G67" s="68">
        <v>20.4693611</v>
      </c>
      <c r="H67" s="69">
        <v>3068</v>
      </c>
      <c r="I67" s="69">
        <v>2440</v>
      </c>
    </row>
    <row r="68" spans="1:9" x14ac:dyDescent="0.25">
      <c r="A68" s="73">
        <v>20801</v>
      </c>
      <c r="B68" s="74" t="s">
        <v>66</v>
      </c>
      <c r="C68" s="74" t="s">
        <v>112</v>
      </c>
      <c r="D68" s="68">
        <v>61.738037200000001</v>
      </c>
      <c r="E68" s="69">
        <v>26248</v>
      </c>
      <c r="F68" s="69">
        <v>10043</v>
      </c>
      <c r="G68" s="68">
        <v>73.648696999999999</v>
      </c>
      <c r="H68" s="69">
        <v>41941</v>
      </c>
      <c r="I68" s="69">
        <v>11052</v>
      </c>
    </row>
    <row r="69" spans="1:9" x14ac:dyDescent="0.25">
      <c r="A69" s="73">
        <v>20802</v>
      </c>
      <c r="B69" s="74" t="s">
        <v>66</v>
      </c>
      <c r="C69" s="74" t="s">
        <v>113</v>
      </c>
      <c r="D69" s="68">
        <v>3.1490297000000003</v>
      </c>
      <c r="E69" s="69">
        <v>2731</v>
      </c>
      <c r="F69" s="69">
        <v>2645</v>
      </c>
      <c r="G69" s="68">
        <v>10.4968944</v>
      </c>
      <c r="H69" s="69">
        <v>3220</v>
      </c>
      <c r="I69" s="69">
        <v>2882</v>
      </c>
    </row>
    <row r="70" spans="1:9" x14ac:dyDescent="0.25">
      <c r="A70" s="73">
        <v>20803</v>
      </c>
      <c r="B70" s="74" t="s">
        <v>66</v>
      </c>
      <c r="C70" s="74" t="s">
        <v>114</v>
      </c>
      <c r="D70" s="68">
        <v>3.0050083000000001</v>
      </c>
      <c r="E70" s="69">
        <v>3594</v>
      </c>
      <c r="F70" s="69">
        <v>3486</v>
      </c>
      <c r="G70" s="68">
        <v>19.2778852</v>
      </c>
      <c r="H70" s="69">
        <v>4653</v>
      </c>
      <c r="I70" s="69">
        <v>3756</v>
      </c>
    </row>
    <row r="71" spans="1:9" x14ac:dyDescent="0.25">
      <c r="A71" s="73">
        <v>20804</v>
      </c>
      <c r="B71" s="74" t="s">
        <v>66</v>
      </c>
      <c r="C71" s="74" t="s">
        <v>115</v>
      </c>
      <c r="D71" s="68">
        <v>30.7111111</v>
      </c>
      <c r="E71" s="69">
        <v>2250</v>
      </c>
      <c r="F71" s="69">
        <v>1559</v>
      </c>
      <c r="G71" s="68">
        <v>51.4392523</v>
      </c>
      <c r="H71" s="69">
        <v>2675</v>
      </c>
      <c r="I71" s="69">
        <v>1299</v>
      </c>
    </row>
    <row r="72" spans="1:9" x14ac:dyDescent="0.25">
      <c r="A72" s="73">
        <v>20805</v>
      </c>
      <c r="B72" s="74" t="s">
        <v>66</v>
      </c>
      <c r="C72" s="74" t="s">
        <v>116</v>
      </c>
      <c r="D72" s="68">
        <v>2.0493516999999999</v>
      </c>
      <c r="E72" s="69">
        <v>2391</v>
      </c>
      <c r="F72" s="69">
        <v>2342</v>
      </c>
      <c r="G72" s="68">
        <v>5.3307643000000002</v>
      </c>
      <c r="H72" s="69">
        <v>3114</v>
      </c>
      <c r="I72" s="69">
        <v>2948</v>
      </c>
    </row>
    <row r="73" spans="1:9" x14ac:dyDescent="0.25">
      <c r="A73" s="73">
        <v>20806</v>
      </c>
      <c r="B73" s="74" t="s">
        <v>66</v>
      </c>
      <c r="C73" s="74" t="s">
        <v>117</v>
      </c>
      <c r="D73" s="68">
        <v>3.7447151000000001</v>
      </c>
      <c r="E73" s="69">
        <v>4967</v>
      </c>
      <c r="F73" s="69">
        <v>4781</v>
      </c>
      <c r="G73" s="68">
        <v>9.1048071999999998</v>
      </c>
      <c r="H73" s="69">
        <v>5887</v>
      </c>
      <c r="I73" s="69">
        <v>5351</v>
      </c>
    </row>
    <row r="74" spans="1:9" x14ac:dyDescent="0.25">
      <c r="A74" s="73">
        <v>20807</v>
      </c>
      <c r="B74" s="74" t="s">
        <v>66</v>
      </c>
      <c r="C74" s="74" t="s">
        <v>118</v>
      </c>
      <c r="D74" s="68">
        <v>0.27487630000000002</v>
      </c>
      <c r="E74" s="69">
        <v>1819</v>
      </c>
      <c r="F74" s="69">
        <v>1814</v>
      </c>
      <c r="G74" s="68">
        <v>6.5964090000000004</v>
      </c>
      <c r="H74" s="69">
        <v>2562</v>
      </c>
      <c r="I74" s="69">
        <v>2393</v>
      </c>
    </row>
    <row r="75" spans="1:9" x14ac:dyDescent="0.25">
      <c r="A75" s="73">
        <v>20901</v>
      </c>
      <c r="B75" s="74" t="s">
        <v>66</v>
      </c>
      <c r="C75" s="74" t="s">
        <v>120</v>
      </c>
      <c r="D75" s="68">
        <v>0.97112189999999998</v>
      </c>
      <c r="E75" s="69">
        <v>3913</v>
      </c>
      <c r="F75" s="69">
        <v>3875</v>
      </c>
      <c r="G75" s="68">
        <v>3.3378439000000002</v>
      </c>
      <c r="H75" s="69">
        <v>4434</v>
      </c>
      <c r="I75" s="69">
        <v>4286</v>
      </c>
    </row>
    <row r="76" spans="1:9" x14ac:dyDescent="0.25">
      <c r="A76" s="73">
        <v>20902</v>
      </c>
      <c r="B76" s="74" t="s">
        <v>66</v>
      </c>
      <c r="C76" s="74" t="s">
        <v>121</v>
      </c>
      <c r="D76" s="68">
        <v>0.17301040000000001</v>
      </c>
      <c r="E76" s="69">
        <v>4624</v>
      </c>
      <c r="F76" s="69">
        <v>4616</v>
      </c>
      <c r="G76" s="68">
        <v>2.2597167999999996</v>
      </c>
      <c r="H76" s="69">
        <v>6638</v>
      </c>
      <c r="I76" s="69">
        <v>6488</v>
      </c>
    </row>
    <row r="77" spans="1:9" x14ac:dyDescent="0.25">
      <c r="A77" s="73">
        <v>20903</v>
      </c>
      <c r="B77" s="74" t="s">
        <v>66</v>
      </c>
      <c r="C77" s="74" t="s">
        <v>122</v>
      </c>
      <c r="D77" s="68">
        <v>1.1708587000000001</v>
      </c>
      <c r="E77" s="69">
        <v>2306</v>
      </c>
      <c r="F77" s="69">
        <v>2279</v>
      </c>
      <c r="G77" s="68">
        <v>11.9990343</v>
      </c>
      <c r="H77" s="69">
        <v>4142</v>
      </c>
      <c r="I77" s="69">
        <v>3645</v>
      </c>
    </row>
    <row r="78" spans="1:9" x14ac:dyDescent="0.25">
      <c r="A78" s="73">
        <v>20904</v>
      </c>
      <c r="B78" s="74" t="s">
        <v>66</v>
      </c>
      <c r="C78" s="74" t="s">
        <v>123</v>
      </c>
      <c r="D78" s="68">
        <v>1.8638572999999998</v>
      </c>
      <c r="E78" s="69">
        <v>1234</v>
      </c>
      <c r="F78" s="69">
        <v>1211</v>
      </c>
      <c r="G78" s="68">
        <v>39.167135599999995</v>
      </c>
      <c r="H78" s="69">
        <v>1777</v>
      </c>
      <c r="I78" s="69">
        <v>1081</v>
      </c>
    </row>
    <row r="79" spans="1:9" x14ac:dyDescent="0.25">
      <c r="A79" s="73">
        <v>20905</v>
      </c>
      <c r="B79" s="74" t="s">
        <v>66</v>
      </c>
      <c r="C79" s="74" t="s">
        <v>124</v>
      </c>
      <c r="D79" s="68">
        <v>18.9250814</v>
      </c>
      <c r="E79" s="69">
        <v>3070</v>
      </c>
      <c r="F79" s="69">
        <v>2489</v>
      </c>
      <c r="G79" s="68">
        <v>20.1349141</v>
      </c>
      <c r="H79" s="69">
        <v>4892</v>
      </c>
      <c r="I79" s="69">
        <v>3907</v>
      </c>
    </row>
    <row r="80" spans="1:9" x14ac:dyDescent="0.25">
      <c r="A80" s="73">
        <v>21001</v>
      </c>
      <c r="B80" s="74" t="s">
        <v>66</v>
      </c>
      <c r="C80" s="74" t="s">
        <v>125</v>
      </c>
      <c r="D80" s="68">
        <v>3.6779730000000002</v>
      </c>
      <c r="E80" s="69">
        <v>4894</v>
      </c>
      <c r="F80" s="69">
        <v>4714</v>
      </c>
      <c r="G80" s="68">
        <v>6.9988801999999994</v>
      </c>
      <c r="H80" s="69">
        <v>7144</v>
      </c>
      <c r="I80" s="69">
        <v>6644</v>
      </c>
    </row>
    <row r="81" spans="1:9" x14ac:dyDescent="0.25">
      <c r="A81" s="73">
        <v>21002</v>
      </c>
      <c r="B81" s="74" t="s">
        <v>66</v>
      </c>
      <c r="C81" s="74" t="s">
        <v>126</v>
      </c>
      <c r="D81" s="68">
        <v>35.222911199999999</v>
      </c>
      <c r="E81" s="69">
        <v>3387</v>
      </c>
      <c r="F81" s="69">
        <v>2194</v>
      </c>
      <c r="G81" s="68">
        <v>56.540369900000002</v>
      </c>
      <c r="H81" s="69">
        <v>4434</v>
      </c>
      <c r="I81" s="69">
        <v>1927</v>
      </c>
    </row>
    <row r="82" spans="1:9" x14ac:dyDescent="0.25">
      <c r="A82" s="73">
        <v>21003</v>
      </c>
      <c r="B82" s="74" t="s">
        <v>66</v>
      </c>
      <c r="C82" s="74" t="s">
        <v>127</v>
      </c>
      <c r="D82" s="68">
        <v>12.851937700000001</v>
      </c>
      <c r="E82" s="69">
        <v>3019</v>
      </c>
      <c r="F82" s="69">
        <v>2631</v>
      </c>
      <c r="G82" s="68">
        <v>42.933379199999997</v>
      </c>
      <c r="H82" s="69">
        <v>5809</v>
      </c>
      <c r="I82" s="69">
        <v>3315</v>
      </c>
    </row>
    <row r="83" spans="1:9" x14ac:dyDescent="0.25">
      <c r="A83" s="73">
        <v>21004</v>
      </c>
      <c r="B83" s="74" t="s">
        <v>66</v>
      </c>
      <c r="C83" s="74" t="s">
        <v>128</v>
      </c>
      <c r="D83" s="68">
        <v>28.576329399999999</v>
      </c>
      <c r="E83" s="69">
        <v>5830</v>
      </c>
      <c r="F83" s="69">
        <v>4164</v>
      </c>
      <c r="G83" s="68">
        <v>28.614993600000002</v>
      </c>
      <c r="H83" s="69">
        <v>7870</v>
      </c>
      <c r="I83" s="69">
        <v>5618</v>
      </c>
    </row>
    <row r="84" spans="1:9" x14ac:dyDescent="0.25">
      <c r="A84" s="73">
        <v>21005</v>
      </c>
      <c r="B84" s="74" t="s">
        <v>66</v>
      </c>
      <c r="C84" s="74" t="s">
        <v>129</v>
      </c>
      <c r="D84" s="68">
        <v>0.58997050000000006</v>
      </c>
      <c r="E84" s="69">
        <v>1695</v>
      </c>
      <c r="F84" s="69">
        <v>1685</v>
      </c>
      <c r="G84" s="68">
        <v>3.5890014999999997</v>
      </c>
      <c r="H84" s="69">
        <v>3455</v>
      </c>
      <c r="I84" s="69">
        <v>3331</v>
      </c>
    </row>
    <row r="85" spans="1:9" x14ac:dyDescent="0.25">
      <c r="A85" s="73">
        <v>21006</v>
      </c>
      <c r="B85" s="74" t="s">
        <v>66</v>
      </c>
      <c r="C85" s="74" t="s">
        <v>130</v>
      </c>
      <c r="D85" s="68">
        <v>37.022526999999997</v>
      </c>
      <c r="E85" s="69">
        <v>1021</v>
      </c>
      <c r="F85" s="69">
        <v>643</v>
      </c>
      <c r="G85" s="68">
        <v>40.4596473</v>
      </c>
      <c r="H85" s="69">
        <v>1871</v>
      </c>
      <c r="I85" s="69">
        <v>1114</v>
      </c>
    </row>
    <row r="86" spans="1:9" x14ac:dyDescent="0.25">
      <c r="A86" s="73">
        <v>21101</v>
      </c>
      <c r="B86" s="74" t="s">
        <v>66</v>
      </c>
      <c r="C86" s="74" t="s">
        <v>132</v>
      </c>
      <c r="D86" s="68">
        <v>18.9175851</v>
      </c>
      <c r="E86" s="69">
        <v>6079</v>
      </c>
      <c r="F86" s="69">
        <v>4929</v>
      </c>
      <c r="G86" s="68">
        <v>15.580815100000001</v>
      </c>
      <c r="H86" s="69">
        <v>7214</v>
      </c>
      <c r="I86" s="69">
        <v>6090</v>
      </c>
    </row>
    <row r="87" spans="1:9" x14ac:dyDescent="0.25">
      <c r="A87" s="73">
        <v>21102</v>
      </c>
      <c r="B87" s="74" t="s">
        <v>66</v>
      </c>
      <c r="C87" s="74" t="s">
        <v>133</v>
      </c>
      <c r="D87" s="68">
        <v>18.187413400000001</v>
      </c>
      <c r="E87" s="69">
        <v>6499</v>
      </c>
      <c r="F87" s="69">
        <v>5317</v>
      </c>
      <c r="G87" s="68">
        <v>28.156058299999998</v>
      </c>
      <c r="H87" s="69">
        <v>9458</v>
      </c>
      <c r="I87" s="69">
        <v>6795</v>
      </c>
    </row>
    <row r="88" spans="1:9" x14ac:dyDescent="0.25">
      <c r="A88" s="73">
        <v>21103</v>
      </c>
      <c r="B88" s="74" t="s">
        <v>66</v>
      </c>
      <c r="C88" s="74" t="s">
        <v>134</v>
      </c>
      <c r="D88" s="68">
        <v>18.804159499999997</v>
      </c>
      <c r="E88" s="69">
        <v>2308</v>
      </c>
      <c r="F88" s="69">
        <v>1874</v>
      </c>
      <c r="G88" s="68">
        <v>16.977985400000001</v>
      </c>
      <c r="H88" s="69">
        <v>2998</v>
      </c>
      <c r="I88" s="69">
        <v>2489</v>
      </c>
    </row>
    <row r="89" spans="1:9" x14ac:dyDescent="0.25">
      <c r="A89" s="73">
        <v>21104</v>
      </c>
      <c r="B89" s="74" t="s">
        <v>66</v>
      </c>
      <c r="C89" s="74" t="s">
        <v>135</v>
      </c>
      <c r="D89" s="68">
        <v>16.785637000000001</v>
      </c>
      <c r="E89" s="69">
        <v>9246</v>
      </c>
      <c r="F89" s="69">
        <v>7694</v>
      </c>
      <c r="G89" s="68">
        <v>16.225279499999999</v>
      </c>
      <c r="H89" s="69">
        <v>11630</v>
      </c>
      <c r="I89" s="69">
        <v>9743</v>
      </c>
    </row>
    <row r="90" spans="1:9" x14ac:dyDescent="0.25">
      <c r="A90" s="73">
        <v>21105</v>
      </c>
      <c r="B90" s="74" t="s">
        <v>66</v>
      </c>
      <c r="C90" s="74" t="s">
        <v>136</v>
      </c>
      <c r="D90" s="68">
        <v>12.971110100000001</v>
      </c>
      <c r="E90" s="69">
        <v>13638</v>
      </c>
      <c r="F90" s="69">
        <v>11869</v>
      </c>
      <c r="G90" s="68">
        <v>22.225244799999999</v>
      </c>
      <c r="H90" s="69">
        <v>18380</v>
      </c>
      <c r="I90" s="69">
        <v>14295</v>
      </c>
    </row>
    <row r="91" spans="1:9" x14ac:dyDescent="0.25">
      <c r="A91" s="73">
        <v>21201</v>
      </c>
      <c r="B91" s="74" t="s">
        <v>66</v>
      </c>
      <c r="C91" s="74" t="s">
        <v>138</v>
      </c>
      <c r="D91" s="68">
        <v>2.0861434000000001</v>
      </c>
      <c r="E91" s="69">
        <v>11121</v>
      </c>
      <c r="F91" s="69">
        <v>10889</v>
      </c>
      <c r="G91" s="68">
        <v>26.021715800000003</v>
      </c>
      <c r="H91" s="69">
        <v>21459</v>
      </c>
      <c r="I91" s="69">
        <v>15875</v>
      </c>
    </row>
    <row r="92" spans="1:9" x14ac:dyDescent="0.25">
      <c r="A92" s="73">
        <v>21202</v>
      </c>
      <c r="B92" s="74" t="s">
        <v>66</v>
      </c>
      <c r="C92" s="74" t="s">
        <v>139</v>
      </c>
      <c r="D92" s="68">
        <v>5.0122407000000004</v>
      </c>
      <c r="E92" s="69">
        <v>7761</v>
      </c>
      <c r="F92" s="69">
        <v>7372</v>
      </c>
      <c r="G92" s="68">
        <v>32.799529899999996</v>
      </c>
      <c r="H92" s="69">
        <v>13613</v>
      </c>
      <c r="I92" s="69">
        <v>9148</v>
      </c>
    </row>
    <row r="93" spans="1:9" x14ac:dyDescent="0.25">
      <c r="A93" s="73">
        <v>21203</v>
      </c>
      <c r="B93" s="74" t="s">
        <v>66</v>
      </c>
      <c r="C93" s="74" t="s">
        <v>140</v>
      </c>
      <c r="D93" s="68">
        <v>10.8380072</v>
      </c>
      <c r="E93" s="69">
        <v>6062</v>
      </c>
      <c r="F93" s="69">
        <v>5405</v>
      </c>
      <c r="G93" s="68">
        <v>17.440903200000001</v>
      </c>
      <c r="H93" s="69">
        <v>8503</v>
      </c>
      <c r="I93" s="69">
        <v>7020</v>
      </c>
    </row>
    <row r="94" spans="1:9" x14ac:dyDescent="0.25">
      <c r="A94" s="73">
        <v>21204</v>
      </c>
      <c r="B94" s="74" t="s">
        <v>66</v>
      </c>
      <c r="C94" s="74" t="s">
        <v>141</v>
      </c>
      <c r="D94" s="68">
        <v>0.6814309999999999</v>
      </c>
      <c r="E94" s="69">
        <v>2348</v>
      </c>
      <c r="F94" s="69">
        <v>2332</v>
      </c>
      <c r="G94" s="68">
        <v>6.3362610000000004</v>
      </c>
      <c r="H94" s="69">
        <v>3188</v>
      </c>
      <c r="I94" s="69">
        <v>2986</v>
      </c>
    </row>
    <row r="95" spans="1:9" x14ac:dyDescent="0.25">
      <c r="A95" s="73">
        <v>21301</v>
      </c>
      <c r="B95" s="74" t="s">
        <v>66</v>
      </c>
      <c r="C95" s="74" t="s">
        <v>143</v>
      </c>
      <c r="D95" s="68">
        <v>10.1273886</v>
      </c>
      <c r="E95" s="69">
        <v>9420</v>
      </c>
      <c r="F95" s="69">
        <v>8466</v>
      </c>
      <c r="G95" s="68">
        <v>22.705314000000001</v>
      </c>
      <c r="H95" s="69">
        <v>12627</v>
      </c>
      <c r="I95" s="69">
        <v>9760</v>
      </c>
    </row>
    <row r="96" spans="1:9" x14ac:dyDescent="0.25">
      <c r="A96" s="73">
        <v>21302</v>
      </c>
      <c r="B96" s="74" t="s">
        <v>66</v>
      </c>
      <c r="C96" s="74" t="s">
        <v>144</v>
      </c>
      <c r="D96" s="68">
        <v>0.33856569999999997</v>
      </c>
      <c r="E96" s="69">
        <v>3249</v>
      </c>
      <c r="F96" s="69">
        <v>3238</v>
      </c>
      <c r="G96" s="68">
        <v>3.6215250999999999</v>
      </c>
      <c r="H96" s="69">
        <v>3921</v>
      </c>
      <c r="I96" s="69">
        <v>3779</v>
      </c>
    </row>
    <row r="97" spans="1:9" x14ac:dyDescent="0.25">
      <c r="A97" s="73">
        <v>21303</v>
      </c>
      <c r="B97" s="74" t="s">
        <v>66</v>
      </c>
      <c r="C97" s="74" t="s">
        <v>145</v>
      </c>
      <c r="D97" s="68">
        <v>0.460503</v>
      </c>
      <c r="E97" s="69">
        <v>2823</v>
      </c>
      <c r="F97" s="69">
        <v>2810</v>
      </c>
      <c r="G97" s="68">
        <v>5.4443054000000002</v>
      </c>
      <c r="H97" s="69">
        <v>4794</v>
      </c>
      <c r="I97" s="69">
        <v>4533</v>
      </c>
    </row>
    <row r="98" spans="1:9" x14ac:dyDescent="0.25">
      <c r="A98" s="73">
        <v>21304</v>
      </c>
      <c r="B98" s="74" t="s">
        <v>66</v>
      </c>
      <c r="C98" s="74" t="s">
        <v>146</v>
      </c>
      <c r="D98" s="68">
        <v>0.65325319999999998</v>
      </c>
      <c r="E98" s="69">
        <v>3827</v>
      </c>
      <c r="F98" s="69">
        <v>3802</v>
      </c>
      <c r="G98" s="68">
        <v>7.0239618999999998</v>
      </c>
      <c r="H98" s="69">
        <v>5467</v>
      </c>
      <c r="I98" s="69">
        <v>5083</v>
      </c>
    </row>
    <row r="99" spans="1:9" x14ac:dyDescent="0.25">
      <c r="A99" s="73">
        <v>21305</v>
      </c>
      <c r="B99" s="74" t="s">
        <v>66</v>
      </c>
      <c r="C99" s="74" t="s">
        <v>147</v>
      </c>
      <c r="D99" s="68">
        <v>40.269441099999995</v>
      </c>
      <c r="E99" s="69">
        <v>7497</v>
      </c>
      <c r="F99" s="69">
        <v>4478</v>
      </c>
      <c r="G99" s="68">
        <v>50.326307900000003</v>
      </c>
      <c r="H99" s="69">
        <v>9347</v>
      </c>
      <c r="I99" s="69">
        <v>4643</v>
      </c>
    </row>
    <row r="100" spans="1:9" x14ac:dyDescent="0.25">
      <c r="A100" s="73">
        <v>21306</v>
      </c>
      <c r="B100" s="74" t="s">
        <v>66</v>
      </c>
      <c r="C100" s="74" t="s">
        <v>148</v>
      </c>
      <c r="D100" s="68">
        <v>1.625</v>
      </c>
      <c r="E100" s="69">
        <v>3200</v>
      </c>
      <c r="F100" s="69">
        <v>3148</v>
      </c>
      <c r="G100" s="68">
        <v>12.098214299999999</v>
      </c>
      <c r="H100" s="69">
        <v>4480</v>
      </c>
      <c r="I100" s="69">
        <v>3938</v>
      </c>
    </row>
    <row r="101" spans="1:9" x14ac:dyDescent="0.25">
      <c r="A101" s="73">
        <v>21307</v>
      </c>
      <c r="B101" s="74" t="s">
        <v>66</v>
      </c>
      <c r="C101" s="74" t="s">
        <v>149</v>
      </c>
      <c r="D101" s="68">
        <v>3.8522012999999999</v>
      </c>
      <c r="E101" s="69">
        <v>1272</v>
      </c>
      <c r="F101" s="69">
        <v>1223</v>
      </c>
      <c r="G101" s="68">
        <v>7.1385360000000002</v>
      </c>
      <c r="H101" s="69">
        <v>1653</v>
      </c>
      <c r="I101" s="69">
        <v>1535</v>
      </c>
    </row>
    <row r="102" spans="1:9" x14ac:dyDescent="0.25">
      <c r="A102" s="73">
        <v>21401</v>
      </c>
      <c r="B102" s="74" t="s">
        <v>66</v>
      </c>
      <c r="C102" s="74" t="s">
        <v>151</v>
      </c>
      <c r="D102" s="68">
        <v>20.797598700000002</v>
      </c>
      <c r="E102" s="69">
        <v>6996</v>
      </c>
      <c r="F102" s="69">
        <v>5541</v>
      </c>
      <c r="G102" s="68">
        <v>16.114109500000001</v>
      </c>
      <c r="H102" s="69">
        <v>10376</v>
      </c>
      <c r="I102" s="69">
        <v>8704</v>
      </c>
    </row>
    <row r="103" spans="1:9" x14ac:dyDescent="0.25">
      <c r="A103" s="73">
        <v>21402</v>
      </c>
      <c r="B103" s="74" t="s">
        <v>66</v>
      </c>
      <c r="C103" s="74" t="s">
        <v>152</v>
      </c>
      <c r="D103" s="68">
        <v>20.631970199999998</v>
      </c>
      <c r="E103" s="69">
        <v>5380</v>
      </c>
      <c r="F103" s="69">
        <v>4270</v>
      </c>
      <c r="G103" s="68">
        <v>23.404016599999999</v>
      </c>
      <c r="H103" s="69">
        <v>8913</v>
      </c>
      <c r="I103" s="69">
        <v>6827</v>
      </c>
    </row>
    <row r="104" spans="1:9" x14ac:dyDescent="0.25">
      <c r="A104" s="73">
        <v>21501</v>
      </c>
      <c r="B104" s="74" t="s">
        <v>66</v>
      </c>
      <c r="C104" s="74" t="s">
        <v>154</v>
      </c>
      <c r="D104" s="68">
        <v>26.607929500000001</v>
      </c>
      <c r="E104" s="69">
        <v>2270</v>
      </c>
      <c r="F104" s="69">
        <v>1666</v>
      </c>
      <c r="G104" s="68">
        <v>22.504537200000001</v>
      </c>
      <c r="H104" s="69">
        <v>3306</v>
      </c>
      <c r="I104" s="69">
        <v>2562</v>
      </c>
    </row>
    <row r="105" spans="1:9" x14ac:dyDescent="0.25">
      <c r="A105" s="73">
        <v>21502</v>
      </c>
      <c r="B105" s="74" t="s">
        <v>66</v>
      </c>
      <c r="C105" s="74" t="s">
        <v>155</v>
      </c>
      <c r="D105" s="68">
        <v>12.269326700000001</v>
      </c>
      <c r="E105" s="69">
        <v>2005</v>
      </c>
      <c r="F105" s="69">
        <v>1759</v>
      </c>
      <c r="G105" s="68">
        <v>53.211653200000001</v>
      </c>
      <c r="H105" s="69">
        <v>2849</v>
      </c>
      <c r="I105" s="69">
        <v>1333</v>
      </c>
    </row>
    <row r="106" spans="1:9" x14ac:dyDescent="0.25">
      <c r="A106" s="73">
        <v>21601</v>
      </c>
      <c r="B106" s="74" t="s">
        <v>66</v>
      </c>
      <c r="C106" s="74" t="s">
        <v>157</v>
      </c>
      <c r="D106" s="68">
        <v>9.4647887999999991</v>
      </c>
      <c r="E106" s="69">
        <v>3550</v>
      </c>
      <c r="F106" s="69">
        <v>3214</v>
      </c>
      <c r="G106" s="68">
        <v>23.018717600000002</v>
      </c>
      <c r="H106" s="69">
        <v>5022</v>
      </c>
      <c r="I106" s="69">
        <v>3866</v>
      </c>
    </row>
    <row r="107" spans="1:9" x14ac:dyDescent="0.25">
      <c r="A107" s="73">
        <v>21602</v>
      </c>
      <c r="B107" s="74" t="s">
        <v>66</v>
      </c>
      <c r="C107" s="74" t="s">
        <v>158</v>
      </c>
      <c r="D107" s="68">
        <v>23.4215886</v>
      </c>
      <c r="E107" s="69">
        <v>982</v>
      </c>
      <c r="F107" s="69">
        <v>752</v>
      </c>
      <c r="G107" s="68">
        <v>30.495169099999998</v>
      </c>
      <c r="H107" s="69">
        <v>1656</v>
      </c>
      <c r="I107" s="69">
        <v>1151</v>
      </c>
    </row>
    <row r="108" spans="1:9" x14ac:dyDescent="0.25">
      <c r="A108" s="73">
        <v>21701</v>
      </c>
      <c r="B108" s="74" t="s">
        <v>66</v>
      </c>
      <c r="C108" s="74" t="s">
        <v>160</v>
      </c>
      <c r="D108" s="68">
        <v>29.898911400000003</v>
      </c>
      <c r="E108" s="69">
        <v>5144</v>
      </c>
      <c r="F108" s="69">
        <v>3606</v>
      </c>
      <c r="G108" s="68">
        <v>30.717324399999999</v>
      </c>
      <c r="H108" s="69">
        <v>6817</v>
      </c>
      <c r="I108" s="69">
        <v>4723</v>
      </c>
    </row>
    <row r="109" spans="1:9" x14ac:dyDescent="0.25">
      <c r="A109" s="73">
        <v>21702</v>
      </c>
      <c r="B109" s="74" t="s">
        <v>66</v>
      </c>
      <c r="C109" s="74" t="s">
        <v>161</v>
      </c>
      <c r="D109" s="68">
        <v>1.2160518</v>
      </c>
      <c r="E109" s="69">
        <v>2467</v>
      </c>
      <c r="F109" s="69">
        <v>2437</v>
      </c>
      <c r="G109" s="68">
        <v>19.774166899999997</v>
      </c>
      <c r="H109" s="69">
        <v>3631</v>
      </c>
      <c r="I109" s="69">
        <v>2913</v>
      </c>
    </row>
    <row r="110" spans="1:9" x14ac:dyDescent="0.25">
      <c r="A110" s="73">
        <v>21703</v>
      </c>
      <c r="B110" s="74" t="s">
        <v>66</v>
      </c>
      <c r="C110" s="74" t="s">
        <v>162</v>
      </c>
      <c r="D110" s="68">
        <v>0.69498070000000001</v>
      </c>
      <c r="E110" s="69">
        <v>1295</v>
      </c>
      <c r="F110" s="69">
        <v>1286</v>
      </c>
      <c r="G110" s="68">
        <v>10.786974300000001</v>
      </c>
      <c r="H110" s="69">
        <v>1474</v>
      </c>
      <c r="I110" s="69">
        <v>1315</v>
      </c>
    </row>
    <row r="111" spans="1:9" x14ac:dyDescent="0.25">
      <c r="A111" s="73">
        <v>21801</v>
      </c>
      <c r="B111" s="74" t="s">
        <v>66</v>
      </c>
      <c r="C111" s="74" t="s">
        <v>164</v>
      </c>
      <c r="D111" s="68">
        <v>0.28288540000000001</v>
      </c>
      <c r="E111" s="69">
        <v>2828</v>
      </c>
      <c r="F111" s="69">
        <v>2820</v>
      </c>
      <c r="G111" s="68">
        <v>1.2055108999999999</v>
      </c>
      <c r="H111" s="69">
        <v>3484</v>
      </c>
      <c r="I111" s="69">
        <v>3442</v>
      </c>
    </row>
    <row r="112" spans="1:9" x14ac:dyDescent="0.25">
      <c r="A112" s="73">
        <v>21802</v>
      </c>
      <c r="B112" s="74" t="s">
        <v>66</v>
      </c>
      <c r="C112" s="74" t="s">
        <v>165</v>
      </c>
      <c r="D112" s="68">
        <v>0.37052280000000004</v>
      </c>
      <c r="E112" s="69">
        <v>2429</v>
      </c>
      <c r="F112" s="69">
        <v>2420</v>
      </c>
      <c r="G112" s="68">
        <v>2.3199445999999999</v>
      </c>
      <c r="H112" s="69">
        <v>2888</v>
      </c>
      <c r="I112" s="69">
        <v>2821</v>
      </c>
    </row>
    <row r="113" spans="1:9" x14ac:dyDescent="0.25">
      <c r="A113" s="73">
        <v>21803</v>
      </c>
      <c r="B113" s="74" t="s">
        <v>66</v>
      </c>
      <c r="C113" s="74" t="s">
        <v>166</v>
      </c>
      <c r="D113" s="68">
        <v>0.26007799999999998</v>
      </c>
      <c r="E113" s="69">
        <v>769</v>
      </c>
      <c r="F113" s="69">
        <v>767</v>
      </c>
      <c r="G113" s="68">
        <v>2.4971622999999998</v>
      </c>
      <c r="H113" s="69">
        <v>881</v>
      </c>
      <c r="I113" s="69">
        <v>859</v>
      </c>
    </row>
    <row r="114" spans="1:9" x14ac:dyDescent="0.25">
      <c r="A114" s="73">
        <v>21901</v>
      </c>
      <c r="B114" s="74" t="s">
        <v>66</v>
      </c>
      <c r="C114" s="74" t="s">
        <v>168</v>
      </c>
      <c r="D114" s="68">
        <v>3.3879782000000001</v>
      </c>
      <c r="E114" s="69">
        <v>1830</v>
      </c>
      <c r="F114" s="69">
        <v>1768</v>
      </c>
      <c r="G114" s="68">
        <v>11.5358593</v>
      </c>
      <c r="H114" s="69">
        <v>2956</v>
      </c>
      <c r="I114" s="69">
        <v>2615</v>
      </c>
    </row>
    <row r="115" spans="1:9" x14ac:dyDescent="0.25">
      <c r="A115" s="73">
        <v>21902</v>
      </c>
      <c r="B115" s="74" t="s">
        <v>66</v>
      </c>
      <c r="C115" s="74" t="s">
        <v>169</v>
      </c>
      <c r="D115" s="68">
        <v>5.5706521000000002</v>
      </c>
      <c r="E115" s="69">
        <v>736</v>
      </c>
      <c r="F115" s="69">
        <v>695</v>
      </c>
      <c r="G115" s="68">
        <v>6.6076696999999998</v>
      </c>
      <c r="H115" s="69">
        <v>1695</v>
      </c>
      <c r="I115" s="69">
        <v>1583</v>
      </c>
    </row>
    <row r="116" spans="1:9" x14ac:dyDescent="0.25">
      <c r="A116" s="73">
        <v>22001</v>
      </c>
      <c r="B116" s="74" t="s">
        <v>66</v>
      </c>
      <c r="C116" s="74" t="s">
        <v>170</v>
      </c>
      <c r="D116" s="68">
        <v>26.0207978</v>
      </c>
      <c r="E116" s="69">
        <v>17021</v>
      </c>
      <c r="F116" s="69">
        <v>12592</v>
      </c>
      <c r="G116" s="68">
        <v>30.871400800000004</v>
      </c>
      <c r="H116" s="69">
        <v>21081</v>
      </c>
      <c r="I116" s="69">
        <v>14573</v>
      </c>
    </row>
    <row r="117" spans="1:9" x14ac:dyDescent="0.25">
      <c r="A117" s="73">
        <v>22002</v>
      </c>
      <c r="B117" s="74" t="s">
        <v>66</v>
      </c>
      <c r="C117" s="74" t="s">
        <v>171</v>
      </c>
      <c r="D117" s="68">
        <v>2.0665083000000002</v>
      </c>
      <c r="E117" s="69">
        <v>4210</v>
      </c>
      <c r="F117" s="69">
        <v>4123</v>
      </c>
      <c r="G117" s="68">
        <v>1.8481406999999999</v>
      </c>
      <c r="H117" s="69">
        <v>4491</v>
      </c>
      <c r="I117" s="69">
        <v>4408</v>
      </c>
    </row>
    <row r="118" spans="1:9" x14ac:dyDescent="0.25">
      <c r="A118" s="73">
        <v>30101</v>
      </c>
      <c r="B118" s="74" t="s">
        <v>172</v>
      </c>
      <c r="C118" s="74" t="s">
        <v>172</v>
      </c>
      <c r="D118" s="68">
        <v>89.879690600000004</v>
      </c>
      <c r="E118" s="69">
        <v>177376</v>
      </c>
      <c r="F118" s="69">
        <v>17951</v>
      </c>
      <c r="G118" s="68">
        <v>96.757477399999999</v>
      </c>
      <c r="H118" s="69">
        <v>212273</v>
      </c>
      <c r="I118" s="69">
        <v>6883</v>
      </c>
    </row>
    <row r="119" spans="1:9" x14ac:dyDescent="0.25">
      <c r="A119" s="73">
        <v>30201</v>
      </c>
      <c r="B119" s="74" t="s">
        <v>172</v>
      </c>
      <c r="C119" s="74" t="s">
        <v>175</v>
      </c>
      <c r="D119" s="68">
        <v>33.805200800000001</v>
      </c>
      <c r="E119" s="69">
        <v>6499</v>
      </c>
      <c r="F119" s="69">
        <v>4302</v>
      </c>
      <c r="G119" s="68">
        <v>38.593289400000003</v>
      </c>
      <c r="H119" s="69">
        <v>7123</v>
      </c>
      <c r="I119" s="69">
        <v>4374</v>
      </c>
    </row>
    <row r="120" spans="1:9" x14ac:dyDescent="0.25">
      <c r="A120" s="73">
        <v>30202</v>
      </c>
      <c r="B120" s="74" t="s">
        <v>172</v>
      </c>
      <c r="C120" s="74" t="s">
        <v>176</v>
      </c>
      <c r="D120" s="68">
        <v>30.253741000000002</v>
      </c>
      <c r="E120" s="69">
        <v>1537</v>
      </c>
      <c r="F120" s="69">
        <v>1072</v>
      </c>
      <c r="G120" s="68">
        <v>33.713633799999997</v>
      </c>
      <c r="H120" s="69">
        <v>1753</v>
      </c>
      <c r="I120" s="69">
        <v>1162</v>
      </c>
    </row>
    <row r="121" spans="1:9" x14ac:dyDescent="0.25">
      <c r="A121" s="73">
        <v>30203</v>
      </c>
      <c r="B121" s="74" t="s">
        <v>172</v>
      </c>
      <c r="C121" s="74" t="s">
        <v>177</v>
      </c>
      <c r="D121" s="68">
        <v>30.822873099999999</v>
      </c>
      <c r="E121" s="69">
        <v>1434</v>
      </c>
      <c r="F121" s="69">
        <v>992</v>
      </c>
      <c r="G121" s="68">
        <v>42.65625</v>
      </c>
      <c r="H121" s="69">
        <v>1920</v>
      </c>
      <c r="I121" s="69">
        <v>1101</v>
      </c>
    </row>
    <row r="122" spans="1:9" x14ac:dyDescent="0.25">
      <c r="A122" s="73">
        <v>30301</v>
      </c>
      <c r="B122" s="74" t="s">
        <v>172</v>
      </c>
      <c r="C122" s="74" t="s">
        <v>178</v>
      </c>
      <c r="D122" s="68">
        <v>9.7590854</v>
      </c>
      <c r="E122" s="69">
        <v>7347</v>
      </c>
      <c r="F122" s="69">
        <v>6630</v>
      </c>
      <c r="G122" s="68">
        <v>7.3442312000000003</v>
      </c>
      <c r="H122" s="69">
        <v>8442</v>
      </c>
      <c r="I122" s="69">
        <v>7822</v>
      </c>
    </row>
    <row r="123" spans="1:9" x14ac:dyDescent="0.25">
      <c r="A123" s="73">
        <v>30302</v>
      </c>
      <c r="B123" s="74" t="s">
        <v>172</v>
      </c>
      <c r="C123" s="74" t="s">
        <v>179</v>
      </c>
      <c r="D123" s="68">
        <v>5.1321137999999999</v>
      </c>
      <c r="E123" s="69">
        <v>3936</v>
      </c>
      <c r="F123" s="69">
        <v>3734</v>
      </c>
      <c r="G123" s="68">
        <v>4.4676244999999994</v>
      </c>
      <c r="H123" s="69">
        <v>5081</v>
      </c>
      <c r="I123" s="69">
        <v>4854</v>
      </c>
    </row>
    <row r="124" spans="1:9" x14ac:dyDescent="0.25">
      <c r="A124" s="73">
        <v>30303</v>
      </c>
      <c r="B124" s="74" t="s">
        <v>172</v>
      </c>
      <c r="C124" s="74" t="s">
        <v>180</v>
      </c>
      <c r="D124" s="68">
        <v>0.69105689999999997</v>
      </c>
      <c r="E124" s="69">
        <v>4920</v>
      </c>
      <c r="F124" s="69">
        <v>4886</v>
      </c>
      <c r="G124" s="68">
        <v>0.69231789999999993</v>
      </c>
      <c r="H124" s="69">
        <v>7511</v>
      </c>
      <c r="I124" s="69">
        <v>7459</v>
      </c>
    </row>
    <row r="125" spans="1:9" x14ac:dyDescent="0.25">
      <c r="A125" s="73">
        <v>30401</v>
      </c>
      <c r="B125" s="74" t="s">
        <v>172</v>
      </c>
      <c r="C125" s="74" t="s">
        <v>182</v>
      </c>
      <c r="D125" s="68">
        <v>26.841496299999999</v>
      </c>
      <c r="E125" s="69">
        <v>2593</v>
      </c>
      <c r="F125" s="69">
        <v>1897</v>
      </c>
      <c r="G125" s="68">
        <v>39.478908199999999</v>
      </c>
      <c r="H125" s="69">
        <v>4030</v>
      </c>
      <c r="I125" s="69">
        <v>2439</v>
      </c>
    </row>
    <row r="126" spans="1:9" x14ac:dyDescent="0.25">
      <c r="A126" s="73">
        <v>30402</v>
      </c>
      <c r="B126" s="74" t="s">
        <v>172</v>
      </c>
      <c r="C126" s="74" t="s">
        <v>183</v>
      </c>
      <c r="D126" s="68">
        <v>14.377845199999999</v>
      </c>
      <c r="E126" s="69">
        <v>2636</v>
      </c>
      <c r="F126" s="69">
        <v>2257</v>
      </c>
      <c r="G126" s="68">
        <v>17.816775700000001</v>
      </c>
      <c r="H126" s="69">
        <v>3362</v>
      </c>
      <c r="I126" s="69">
        <v>2763</v>
      </c>
    </row>
    <row r="127" spans="1:9" x14ac:dyDescent="0.25">
      <c r="A127" s="73">
        <v>30403</v>
      </c>
      <c r="B127" s="74" t="s">
        <v>172</v>
      </c>
      <c r="C127" s="74" t="s">
        <v>184</v>
      </c>
      <c r="D127" s="68">
        <v>4.7722341999999998</v>
      </c>
      <c r="E127" s="69">
        <v>5532</v>
      </c>
      <c r="F127" s="69">
        <v>5268</v>
      </c>
      <c r="G127" s="68">
        <v>37.536873200000002</v>
      </c>
      <c r="H127" s="69">
        <v>10848</v>
      </c>
      <c r="I127" s="69">
        <v>6776</v>
      </c>
    </row>
    <row r="128" spans="1:9" x14ac:dyDescent="0.25">
      <c r="A128" s="73">
        <v>30404</v>
      </c>
      <c r="B128" s="74" t="s">
        <v>172</v>
      </c>
      <c r="C128" s="74" t="s">
        <v>185</v>
      </c>
      <c r="D128" s="68">
        <v>7.2640869000000006</v>
      </c>
      <c r="E128" s="69">
        <v>1473</v>
      </c>
      <c r="F128" s="69">
        <v>1366</v>
      </c>
      <c r="G128" s="68">
        <v>10.1831897</v>
      </c>
      <c r="H128" s="69">
        <v>1856</v>
      </c>
      <c r="I128" s="69">
        <v>1667</v>
      </c>
    </row>
    <row r="129" spans="1:9" x14ac:dyDescent="0.25">
      <c r="A129" s="73">
        <v>30501</v>
      </c>
      <c r="B129" s="74" t="s">
        <v>172</v>
      </c>
      <c r="C129" s="74" t="s">
        <v>186</v>
      </c>
      <c r="D129" s="68">
        <v>25.826972099999999</v>
      </c>
      <c r="E129" s="69">
        <v>3144</v>
      </c>
      <c r="F129" s="69">
        <v>2332</v>
      </c>
      <c r="G129" s="68">
        <v>56.7319028</v>
      </c>
      <c r="H129" s="69">
        <v>4241</v>
      </c>
      <c r="I129" s="69">
        <v>1835</v>
      </c>
    </row>
    <row r="130" spans="1:9" x14ac:dyDescent="0.25">
      <c r="A130" s="73">
        <v>30502</v>
      </c>
      <c r="B130" s="74" t="s">
        <v>172</v>
      </c>
      <c r="C130" s="74" t="s">
        <v>187</v>
      </c>
      <c r="D130" s="68">
        <v>0.18738290000000002</v>
      </c>
      <c r="E130" s="69">
        <v>3202</v>
      </c>
      <c r="F130" s="69">
        <v>3196</v>
      </c>
      <c r="G130" s="68">
        <v>6.7387686999999996</v>
      </c>
      <c r="H130" s="69">
        <v>3606</v>
      </c>
      <c r="I130" s="69">
        <v>3363</v>
      </c>
    </row>
    <row r="131" spans="1:9" x14ac:dyDescent="0.25">
      <c r="A131" s="73">
        <v>30601</v>
      </c>
      <c r="B131" s="74" t="s">
        <v>172</v>
      </c>
      <c r="C131" s="74" t="s">
        <v>188</v>
      </c>
      <c r="D131" s="68">
        <v>0.57523459999999993</v>
      </c>
      <c r="E131" s="69">
        <v>3303</v>
      </c>
      <c r="F131" s="69">
        <v>3284</v>
      </c>
      <c r="G131" s="68">
        <v>2.1794870999999998</v>
      </c>
      <c r="H131" s="69">
        <v>3900</v>
      </c>
      <c r="I131" s="69">
        <v>3815</v>
      </c>
    </row>
    <row r="132" spans="1:9" x14ac:dyDescent="0.25">
      <c r="A132" s="73">
        <v>30602</v>
      </c>
      <c r="B132" s="74" t="s">
        <v>172</v>
      </c>
      <c r="C132" s="74" t="s">
        <v>189</v>
      </c>
      <c r="D132" s="68">
        <v>0.47947260000000003</v>
      </c>
      <c r="E132" s="69">
        <v>3337</v>
      </c>
      <c r="F132" s="69">
        <v>3321</v>
      </c>
      <c r="G132" s="68">
        <v>0.44959769999999999</v>
      </c>
      <c r="H132" s="69">
        <v>4226</v>
      </c>
      <c r="I132" s="69">
        <v>4207</v>
      </c>
    </row>
    <row r="133" spans="1:9" x14ac:dyDescent="0.25">
      <c r="A133" s="73">
        <v>30701</v>
      </c>
      <c r="B133" s="74" t="s">
        <v>172</v>
      </c>
      <c r="C133" s="74" t="s">
        <v>190</v>
      </c>
      <c r="D133" s="68">
        <v>37.365047199999999</v>
      </c>
      <c r="E133" s="69">
        <v>5928</v>
      </c>
      <c r="F133" s="69">
        <v>3713</v>
      </c>
      <c r="G133" s="68">
        <v>47.775711599999994</v>
      </c>
      <c r="H133" s="69">
        <v>6991</v>
      </c>
      <c r="I133" s="69">
        <v>3651</v>
      </c>
    </row>
    <row r="134" spans="1:9" x14ac:dyDescent="0.25">
      <c r="A134" s="73">
        <v>30702</v>
      </c>
      <c r="B134" s="74" t="s">
        <v>172</v>
      </c>
      <c r="C134" s="74" t="s">
        <v>191</v>
      </c>
      <c r="D134" s="68">
        <v>14.024136499999999</v>
      </c>
      <c r="E134" s="69">
        <v>2403</v>
      </c>
      <c r="F134" s="69">
        <v>2066</v>
      </c>
      <c r="G134" s="68">
        <v>21.775265999999998</v>
      </c>
      <c r="H134" s="69">
        <v>3008</v>
      </c>
      <c r="I134" s="69">
        <v>2353</v>
      </c>
    </row>
    <row r="135" spans="1:9" x14ac:dyDescent="0.25">
      <c r="A135" s="73">
        <v>30703</v>
      </c>
      <c r="B135" s="74" t="s">
        <v>172</v>
      </c>
      <c r="C135" s="74" t="s">
        <v>192</v>
      </c>
      <c r="D135" s="68">
        <v>0.46168050000000005</v>
      </c>
      <c r="E135" s="69">
        <v>1083</v>
      </c>
      <c r="F135" s="69">
        <v>1078</v>
      </c>
      <c r="G135" s="68">
        <v>0.15162999999999999</v>
      </c>
      <c r="H135" s="69">
        <v>1319</v>
      </c>
      <c r="I135" s="69">
        <v>1317</v>
      </c>
    </row>
    <row r="136" spans="1:9" x14ac:dyDescent="0.25">
      <c r="A136" s="73">
        <v>30801</v>
      </c>
      <c r="B136" s="74" t="s">
        <v>172</v>
      </c>
      <c r="C136" s="74" t="s">
        <v>194</v>
      </c>
      <c r="D136" s="68">
        <v>51.677852299999998</v>
      </c>
      <c r="E136" s="69">
        <v>5960</v>
      </c>
      <c r="F136" s="69">
        <v>2880</v>
      </c>
      <c r="G136" s="68">
        <v>77.390343999999999</v>
      </c>
      <c r="H136" s="69">
        <v>6338</v>
      </c>
      <c r="I136" s="69">
        <v>1433</v>
      </c>
    </row>
    <row r="137" spans="1:9" x14ac:dyDescent="0.25">
      <c r="A137" s="73">
        <v>30802</v>
      </c>
      <c r="B137" s="74" t="s">
        <v>172</v>
      </c>
      <c r="C137" s="74" t="s">
        <v>195</v>
      </c>
      <c r="D137" s="68">
        <v>8.0058223999999996</v>
      </c>
      <c r="E137" s="69">
        <v>2061</v>
      </c>
      <c r="F137" s="69">
        <v>1896</v>
      </c>
      <c r="G137" s="68">
        <v>33.670295400000001</v>
      </c>
      <c r="H137" s="69">
        <v>2572</v>
      </c>
      <c r="I137" s="69">
        <v>1706</v>
      </c>
    </row>
    <row r="138" spans="1:9" x14ac:dyDescent="0.25">
      <c r="A138" s="73">
        <v>30803</v>
      </c>
      <c r="B138" s="74" t="s">
        <v>172</v>
      </c>
      <c r="C138" s="74" t="s">
        <v>196</v>
      </c>
      <c r="D138" s="68">
        <v>28.9115647</v>
      </c>
      <c r="E138" s="69">
        <v>1470</v>
      </c>
      <c r="F138" s="69">
        <v>1045</v>
      </c>
      <c r="G138" s="68">
        <v>28.7758346</v>
      </c>
      <c r="H138" s="69">
        <v>2516</v>
      </c>
      <c r="I138" s="69">
        <v>1792</v>
      </c>
    </row>
    <row r="139" spans="1:9" x14ac:dyDescent="0.25">
      <c r="A139" s="73">
        <v>30901</v>
      </c>
      <c r="B139" s="74" t="s">
        <v>172</v>
      </c>
      <c r="C139" s="74" t="s">
        <v>197</v>
      </c>
      <c r="D139" s="68">
        <v>76.218307300000006</v>
      </c>
      <c r="E139" s="69">
        <v>35931</v>
      </c>
      <c r="F139" s="69">
        <v>8545</v>
      </c>
      <c r="G139" s="68">
        <v>89.089097300000006</v>
      </c>
      <c r="H139" s="69">
        <v>49171</v>
      </c>
      <c r="I139" s="69">
        <v>5365</v>
      </c>
    </row>
    <row r="140" spans="1:9" x14ac:dyDescent="0.25">
      <c r="A140" s="73">
        <v>30902</v>
      </c>
      <c r="B140" s="74" t="s">
        <v>172</v>
      </c>
      <c r="C140" s="74" t="s">
        <v>198</v>
      </c>
      <c r="D140" s="68">
        <v>19.856933600000001</v>
      </c>
      <c r="E140" s="69">
        <v>11603</v>
      </c>
      <c r="F140" s="69">
        <v>9299</v>
      </c>
      <c r="G140" s="68">
        <v>68.693895900000001</v>
      </c>
      <c r="H140" s="69">
        <v>17824</v>
      </c>
      <c r="I140" s="69">
        <v>5580</v>
      </c>
    </row>
    <row r="141" spans="1:9" x14ac:dyDescent="0.25">
      <c r="A141" s="73">
        <v>30903</v>
      </c>
      <c r="B141" s="74" t="s">
        <v>172</v>
      </c>
      <c r="C141" s="74" t="s">
        <v>199</v>
      </c>
      <c r="D141" s="68">
        <v>79.605975300000011</v>
      </c>
      <c r="E141" s="69">
        <v>13857</v>
      </c>
      <c r="F141" s="69">
        <v>2826</v>
      </c>
      <c r="G141" s="68">
        <v>91.657372300000006</v>
      </c>
      <c r="H141" s="69">
        <v>17932</v>
      </c>
      <c r="I141" s="69">
        <v>1496</v>
      </c>
    </row>
    <row r="142" spans="1:9" x14ac:dyDescent="0.25">
      <c r="A142" s="73">
        <v>30904</v>
      </c>
      <c r="B142" s="74" t="s">
        <v>172</v>
      </c>
      <c r="C142" s="74" t="s">
        <v>200</v>
      </c>
      <c r="D142" s="68">
        <v>49.406092799999996</v>
      </c>
      <c r="E142" s="69">
        <v>14312</v>
      </c>
      <c r="F142" s="69">
        <v>7241</v>
      </c>
      <c r="G142" s="68">
        <v>70.840661299999994</v>
      </c>
      <c r="H142" s="69">
        <v>17058</v>
      </c>
      <c r="I142" s="69">
        <v>4974</v>
      </c>
    </row>
    <row r="143" spans="1:9" x14ac:dyDescent="0.25">
      <c r="A143" s="73">
        <v>30905</v>
      </c>
      <c r="B143" s="74" t="s">
        <v>172</v>
      </c>
      <c r="C143" s="74" t="s">
        <v>201</v>
      </c>
      <c r="D143" s="68">
        <v>87.316856599999994</v>
      </c>
      <c r="E143" s="69">
        <v>13514</v>
      </c>
      <c r="F143" s="69">
        <v>1714</v>
      </c>
      <c r="G143" s="68">
        <v>97.941636299999999</v>
      </c>
      <c r="H143" s="69">
        <v>19190</v>
      </c>
      <c r="I143" s="69">
        <v>395</v>
      </c>
    </row>
    <row r="144" spans="1:9" x14ac:dyDescent="0.25">
      <c r="A144" s="73">
        <v>31001</v>
      </c>
      <c r="B144" s="74" t="s">
        <v>172</v>
      </c>
      <c r="C144" s="74" t="s">
        <v>203</v>
      </c>
      <c r="D144" s="68">
        <v>66.229804799999997</v>
      </c>
      <c r="E144" s="69">
        <v>47536</v>
      </c>
      <c r="F144" s="69">
        <v>16053</v>
      </c>
      <c r="G144" s="68">
        <v>83.831315900000007</v>
      </c>
      <c r="H144" s="69">
        <v>69313</v>
      </c>
      <c r="I144" s="69">
        <v>11207</v>
      </c>
    </row>
    <row r="145" spans="1:9" x14ac:dyDescent="0.25">
      <c r="A145" s="73">
        <v>31002</v>
      </c>
      <c r="B145" s="74" t="s">
        <v>172</v>
      </c>
      <c r="C145" s="74" t="s">
        <v>204</v>
      </c>
      <c r="D145" s="68">
        <v>20.939887000000002</v>
      </c>
      <c r="E145" s="69">
        <v>6022</v>
      </c>
      <c r="F145" s="69">
        <v>4761</v>
      </c>
      <c r="G145" s="68">
        <v>29.4477805</v>
      </c>
      <c r="H145" s="69">
        <v>8493</v>
      </c>
      <c r="I145" s="69">
        <v>5992</v>
      </c>
    </row>
    <row r="146" spans="1:9" x14ac:dyDescent="0.25">
      <c r="A146" s="73">
        <v>31003</v>
      </c>
      <c r="B146" s="74" t="s">
        <v>172</v>
      </c>
      <c r="C146" s="74" t="s">
        <v>205</v>
      </c>
      <c r="D146" s="68">
        <v>9.8821328000000008</v>
      </c>
      <c r="E146" s="69">
        <v>26725</v>
      </c>
      <c r="F146" s="69">
        <v>24084</v>
      </c>
      <c r="G146" s="68">
        <v>13.4323377</v>
      </c>
      <c r="H146" s="69">
        <v>41951</v>
      </c>
      <c r="I146" s="69">
        <v>36316</v>
      </c>
    </row>
    <row r="147" spans="1:9" x14ac:dyDescent="0.25">
      <c r="A147" s="73">
        <v>31101</v>
      </c>
      <c r="B147" s="74" t="s">
        <v>172</v>
      </c>
      <c r="C147" s="74" t="s">
        <v>206</v>
      </c>
      <c r="D147" s="68">
        <v>0.44373230000000002</v>
      </c>
      <c r="E147" s="69">
        <v>8113</v>
      </c>
      <c r="F147" s="69">
        <v>8077</v>
      </c>
      <c r="G147" s="68">
        <v>2.1373728999999999</v>
      </c>
      <c r="H147" s="69">
        <v>9638</v>
      </c>
      <c r="I147" s="69">
        <v>9432</v>
      </c>
    </row>
    <row r="148" spans="1:9" x14ac:dyDescent="0.25">
      <c r="A148" s="73">
        <v>31201</v>
      </c>
      <c r="B148" s="74" t="s">
        <v>172</v>
      </c>
      <c r="C148" s="74" t="s">
        <v>208</v>
      </c>
      <c r="D148" s="68">
        <v>11.461196900000001</v>
      </c>
      <c r="E148" s="69">
        <v>4729</v>
      </c>
      <c r="F148" s="69">
        <v>4187</v>
      </c>
      <c r="G148" s="68">
        <v>15.6980003</v>
      </c>
      <c r="H148" s="69">
        <v>5351</v>
      </c>
      <c r="I148" s="69">
        <v>4511</v>
      </c>
    </row>
    <row r="149" spans="1:9" x14ac:dyDescent="0.25">
      <c r="A149" s="73">
        <v>31202</v>
      </c>
      <c r="B149" s="74" t="s">
        <v>172</v>
      </c>
      <c r="C149" s="74" t="s">
        <v>209</v>
      </c>
      <c r="D149" s="68">
        <v>5.4279054999999996</v>
      </c>
      <c r="E149" s="69">
        <v>3003</v>
      </c>
      <c r="F149" s="69">
        <v>2840</v>
      </c>
      <c r="G149" s="68">
        <v>16.329284699999999</v>
      </c>
      <c r="H149" s="69">
        <v>3705</v>
      </c>
      <c r="I149" s="69">
        <v>3100</v>
      </c>
    </row>
    <row r="150" spans="1:9" x14ac:dyDescent="0.25">
      <c r="A150" s="73">
        <v>31203</v>
      </c>
      <c r="B150" s="74" t="s">
        <v>172</v>
      </c>
      <c r="C150" s="74" t="s">
        <v>210</v>
      </c>
      <c r="D150" s="68">
        <v>5.2200902999999998</v>
      </c>
      <c r="E150" s="69">
        <v>3544</v>
      </c>
      <c r="F150" s="69">
        <v>3359</v>
      </c>
      <c r="G150" s="68">
        <v>1.0508964000000001</v>
      </c>
      <c r="H150" s="69">
        <v>4853</v>
      </c>
      <c r="I150" s="69">
        <v>4802</v>
      </c>
    </row>
    <row r="151" spans="1:9" x14ac:dyDescent="0.25">
      <c r="A151" s="73">
        <v>31204</v>
      </c>
      <c r="B151" s="74" t="s">
        <v>172</v>
      </c>
      <c r="C151" s="74" t="s">
        <v>211</v>
      </c>
      <c r="D151" s="68">
        <v>28.101335499999998</v>
      </c>
      <c r="E151" s="69">
        <v>7263</v>
      </c>
      <c r="F151" s="69">
        <v>5222</v>
      </c>
      <c r="G151" s="68">
        <v>30.643175100000001</v>
      </c>
      <c r="H151" s="69">
        <v>10557</v>
      </c>
      <c r="I151" s="69">
        <v>7322</v>
      </c>
    </row>
    <row r="152" spans="1:9" x14ac:dyDescent="0.25">
      <c r="A152" s="73">
        <v>31205</v>
      </c>
      <c r="B152" s="74" t="s">
        <v>172</v>
      </c>
      <c r="C152" s="74" t="s">
        <v>212</v>
      </c>
      <c r="D152" s="68">
        <v>15.190844199999999</v>
      </c>
      <c r="E152" s="69">
        <v>16951</v>
      </c>
      <c r="F152" s="69">
        <v>14376</v>
      </c>
      <c r="G152" s="68">
        <v>35.659097200000005</v>
      </c>
      <c r="H152" s="69">
        <v>25497</v>
      </c>
      <c r="I152" s="69">
        <v>16405</v>
      </c>
    </row>
    <row r="153" spans="1:9" x14ac:dyDescent="0.25">
      <c r="A153" s="73">
        <v>31206</v>
      </c>
      <c r="B153" s="74" t="s">
        <v>172</v>
      </c>
      <c r="C153" s="74" t="s">
        <v>213</v>
      </c>
      <c r="D153" s="68">
        <v>30.541082200000002</v>
      </c>
      <c r="E153" s="69">
        <v>12475</v>
      </c>
      <c r="F153" s="69">
        <v>8665</v>
      </c>
      <c r="G153" s="68">
        <v>41.891297199999997</v>
      </c>
      <c r="H153" s="69">
        <v>18178</v>
      </c>
      <c r="I153" s="69">
        <v>10563</v>
      </c>
    </row>
    <row r="154" spans="1:9" x14ac:dyDescent="0.25">
      <c r="A154" s="73">
        <v>31301</v>
      </c>
      <c r="B154" s="74" t="s">
        <v>172</v>
      </c>
      <c r="C154" s="74" t="s">
        <v>214</v>
      </c>
      <c r="D154" s="68">
        <v>23.614864900000001</v>
      </c>
      <c r="E154" s="69">
        <v>5920</v>
      </c>
      <c r="F154" s="69">
        <v>4522</v>
      </c>
      <c r="G154" s="68">
        <v>35.063235900000002</v>
      </c>
      <c r="H154" s="69">
        <v>6879</v>
      </c>
      <c r="I154" s="69">
        <v>4467</v>
      </c>
    </row>
    <row r="155" spans="1:9" x14ac:dyDescent="0.25">
      <c r="A155" s="73">
        <v>31302</v>
      </c>
      <c r="B155" s="74" t="s">
        <v>172</v>
      </c>
      <c r="C155" s="74" t="s">
        <v>215</v>
      </c>
      <c r="D155" s="68">
        <v>0.71428570000000002</v>
      </c>
      <c r="E155" s="69">
        <v>1540</v>
      </c>
      <c r="F155" s="69">
        <v>1529</v>
      </c>
      <c r="G155" s="68">
        <v>1.3390466000000001</v>
      </c>
      <c r="H155" s="69">
        <v>1867</v>
      </c>
      <c r="I155" s="69">
        <v>1842</v>
      </c>
    </row>
    <row r="156" spans="1:9" x14ac:dyDescent="0.25">
      <c r="A156" s="73">
        <v>31303</v>
      </c>
      <c r="B156" s="74" t="s">
        <v>172</v>
      </c>
      <c r="C156" s="74" t="s">
        <v>216</v>
      </c>
      <c r="D156" s="68">
        <v>0.5347594</v>
      </c>
      <c r="E156" s="69">
        <v>1122</v>
      </c>
      <c r="F156" s="69">
        <v>1116</v>
      </c>
      <c r="G156" s="68">
        <v>0.62597809999999998</v>
      </c>
      <c r="H156" s="69">
        <v>1278</v>
      </c>
      <c r="I156" s="69">
        <v>1270</v>
      </c>
    </row>
    <row r="157" spans="1:9" x14ac:dyDescent="0.25">
      <c r="A157" s="73">
        <v>31304</v>
      </c>
      <c r="B157" s="74" t="s">
        <v>172</v>
      </c>
      <c r="C157" s="74" t="s">
        <v>217</v>
      </c>
      <c r="D157" s="68">
        <v>0.75339030000000007</v>
      </c>
      <c r="E157" s="69">
        <v>1991</v>
      </c>
      <c r="F157" s="69">
        <v>1976</v>
      </c>
      <c r="G157" s="68">
        <v>0.90771559999999996</v>
      </c>
      <c r="H157" s="69">
        <v>2644</v>
      </c>
      <c r="I157" s="69">
        <v>2620</v>
      </c>
    </row>
    <row r="158" spans="1:9" x14ac:dyDescent="0.25">
      <c r="A158" s="73">
        <v>31401</v>
      </c>
      <c r="B158" s="74" t="s">
        <v>172</v>
      </c>
      <c r="C158" s="74" t="s">
        <v>218</v>
      </c>
      <c r="D158" s="68">
        <v>51.297814200000005</v>
      </c>
      <c r="E158" s="69">
        <v>8784</v>
      </c>
      <c r="F158" s="69">
        <v>4278</v>
      </c>
      <c r="G158" s="68">
        <v>66.707898900000004</v>
      </c>
      <c r="H158" s="69">
        <v>11318</v>
      </c>
      <c r="I158" s="69">
        <v>3768</v>
      </c>
    </row>
    <row r="159" spans="1:9" x14ac:dyDescent="0.25">
      <c r="A159" s="73">
        <v>31402</v>
      </c>
      <c r="B159" s="74" t="s">
        <v>172</v>
      </c>
      <c r="C159" s="74" t="s">
        <v>219</v>
      </c>
      <c r="D159" s="68">
        <v>6.4760026000000002</v>
      </c>
      <c r="E159" s="69">
        <v>3042</v>
      </c>
      <c r="F159" s="69">
        <v>2845</v>
      </c>
      <c r="G159" s="68">
        <v>11.710607</v>
      </c>
      <c r="H159" s="69">
        <v>3262</v>
      </c>
      <c r="I159" s="69">
        <v>2880</v>
      </c>
    </row>
    <row r="160" spans="1:9" x14ac:dyDescent="0.25">
      <c r="A160" s="73">
        <v>31403</v>
      </c>
      <c r="B160" s="74" t="s">
        <v>172</v>
      </c>
      <c r="C160" s="74" t="s">
        <v>220</v>
      </c>
      <c r="D160" s="68">
        <v>13.455657499999999</v>
      </c>
      <c r="E160" s="69">
        <v>3924</v>
      </c>
      <c r="F160" s="69">
        <v>3396</v>
      </c>
      <c r="G160" s="68">
        <v>75.248440000000002</v>
      </c>
      <c r="H160" s="69">
        <v>4327</v>
      </c>
      <c r="I160" s="69">
        <v>1071</v>
      </c>
    </row>
    <row r="161" spans="1:9" x14ac:dyDescent="0.25">
      <c r="A161" s="73">
        <v>31404</v>
      </c>
      <c r="B161" s="74" t="s">
        <v>172</v>
      </c>
      <c r="C161" s="74" t="s">
        <v>221</v>
      </c>
      <c r="D161" s="68">
        <v>0</v>
      </c>
      <c r="E161" s="69">
        <v>359</v>
      </c>
      <c r="F161" s="69">
        <v>359</v>
      </c>
      <c r="G161" s="68">
        <v>3.2989690999999999</v>
      </c>
      <c r="H161" s="69">
        <v>485</v>
      </c>
      <c r="I161" s="69">
        <v>469</v>
      </c>
    </row>
    <row r="162" spans="1:9" x14ac:dyDescent="0.25">
      <c r="A162" s="73">
        <v>31405</v>
      </c>
      <c r="B162" s="74" t="s">
        <v>172</v>
      </c>
      <c r="C162" s="74" t="s">
        <v>222</v>
      </c>
      <c r="D162" s="68">
        <v>0</v>
      </c>
      <c r="E162" s="69">
        <v>701</v>
      </c>
      <c r="F162" s="69">
        <v>701</v>
      </c>
      <c r="G162" s="68">
        <v>0.94607379999999996</v>
      </c>
      <c r="H162" s="69">
        <v>1057</v>
      </c>
      <c r="I162" s="69">
        <v>1047</v>
      </c>
    </row>
    <row r="163" spans="1:9" x14ac:dyDescent="0.25">
      <c r="A163" s="73">
        <v>31501</v>
      </c>
      <c r="B163" s="74" t="s">
        <v>172</v>
      </c>
      <c r="C163" s="74" t="s">
        <v>223</v>
      </c>
      <c r="D163" s="68">
        <v>5.4099747000000002</v>
      </c>
      <c r="E163" s="69">
        <v>2366</v>
      </c>
      <c r="F163" s="69">
        <v>2238</v>
      </c>
      <c r="G163" s="68">
        <v>5.7925879</v>
      </c>
      <c r="H163" s="69">
        <v>3211</v>
      </c>
      <c r="I163" s="69">
        <v>3025</v>
      </c>
    </row>
    <row r="164" spans="1:9" x14ac:dyDescent="0.25">
      <c r="A164" s="73">
        <v>31601</v>
      </c>
      <c r="B164" s="74" t="s">
        <v>172</v>
      </c>
      <c r="C164" s="74" t="s">
        <v>224</v>
      </c>
      <c r="D164" s="68">
        <v>8.9439656000000003</v>
      </c>
      <c r="E164" s="69">
        <v>6496</v>
      </c>
      <c r="F164" s="69">
        <v>5915</v>
      </c>
      <c r="G164" s="68">
        <v>15.109314099999999</v>
      </c>
      <c r="H164" s="69">
        <v>6678</v>
      </c>
      <c r="I164" s="69">
        <v>5669</v>
      </c>
    </row>
    <row r="165" spans="1:9" x14ac:dyDescent="0.25">
      <c r="A165" s="73">
        <v>31602</v>
      </c>
      <c r="B165" s="74" t="s">
        <v>172</v>
      </c>
      <c r="C165" s="74" t="s">
        <v>225</v>
      </c>
      <c r="D165" s="68">
        <v>27.565366000000001</v>
      </c>
      <c r="E165" s="69">
        <v>7611</v>
      </c>
      <c r="F165" s="69">
        <v>5513</v>
      </c>
      <c r="G165" s="68">
        <v>32.729364400000001</v>
      </c>
      <c r="H165" s="69">
        <v>10431</v>
      </c>
      <c r="I165" s="69">
        <v>7017</v>
      </c>
    </row>
    <row r="166" spans="1:9" x14ac:dyDescent="0.25">
      <c r="A166" s="73">
        <v>40101</v>
      </c>
      <c r="B166" s="74" t="s">
        <v>226</v>
      </c>
      <c r="C166" s="74" t="s">
        <v>226</v>
      </c>
      <c r="D166" s="68">
        <v>89.228924400000011</v>
      </c>
      <c r="E166" s="69">
        <v>76724</v>
      </c>
      <c r="F166" s="69">
        <v>8264</v>
      </c>
      <c r="G166" s="68">
        <v>93.127555399999991</v>
      </c>
      <c r="H166" s="69">
        <v>96123</v>
      </c>
      <c r="I166" s="69">
        <v>6606</v>
      </c>
    </row>
    <row r="167" spans="1:9" x14ac:dyDescent="0.25">
      <c r="A167" s="73">
        <v>40102</v>
      </c>
      <c r="B167" s="74" t="s">
        <v>226</v>
      </c>
      <c r="C167" s="74" t="s">
        <v>227</v>
      </c>
      <c r="D167" s="68">
        <v>28.7443946</v>
      </c>
      <c r="E167" s="69">
        <v>6690</v>
      </c>
      <c r="F167" s="69">
        <v>4767</v>
      </c>
      <c r="G167" s="68">
        <v>32.789764099999999</v>
      </c>
      <c r="H167" s="69">
        <v>7972</v>
      </c>
      <c r="I167" s="69">
        <v>5358</v>
      </c>
    </row>
    <row r="168" spans="1:9" x14ac:dyDescent="0.25">
      <c r="A168" s="73">
        <v>40103</v>
      </c>
      <c r="B168" s="74" t="s">
        <v>226</v>
      </c>
      <c r="C168" s="74" t="s">
        <v>228</v>
      </c>
      <c r="D168" s="68">
        <v>1.1039558</v>
      </c>
      <c r="E168" s="69">
        <v>3261</v>
      </c>
      <c r="F168" s="69">
        <v>3225</v>
      </c>
      <c r="G168" s="68">
        <v>1.326743</v>
      </c>
      <c r="H168" s="69">
        <v>3844</v>
      </c>
      <c r="I168" s="69">
        <v>3793</v>
      </c>
    </row>
    <row r="169" spans="1:9" x14ac:dyDescent="0.25">
      <c r="A169" s="73">
        <v>40104</v>
      </c>
      <c r="B169" s="74" t="s">
        <v>226</v>
      </c>
      <c r="C169" s="74" t="s">
        <v>229</v>
      </c>
      <c r="D169" s="68">
        <v>0.57803470000000001</v>
      </c>
      <c r="E169" s="69">
        <v>3460</v>
      </c>
      <c r="F169" s="69">
        <v>3440</v>
      </c>
      <c r="G169" s="68">
        <v>6.7166911000000002</v>
      </c>
      <c r="H169" s="69">
        <v>5464</v>
      </c>
      <c r="I169" s="69">
        <v>5097</v>
      </c>
    </row>
    <row r="170" spans="1:9" x14ac:dyDescent="0.25">
      <c r="A170" s="73">
        <v>40201</v>
      </c>
      <c r="B170" s="74" t="s">
        <v>226</v>
      </c>
      <c r="C170" s="74" t="s">
        <v>231</v>
      </c>
      <c r="D170" s="68">
        <v>30.466930000000001</v>
      </c>
      <c r="E170" s="69">
        <v>9873</v>
      </c>
      <c r="F170" s="69">
        <v>6865</v>
      </c>
      <c r="G170" s="68">
        <v>33.995421900000004</v>
      </c>
      <c r="H170" s="69">
        <v>13543</v>
      </c>
      <c r="I170" s="69">
        <v>8939</v>
      </c>
    </row>
    <row r="171" spans="1:9" x14ac:dyDescent="0.25">
      <c r="A171" s="73">
        <v>40202</v>
      </c>
      <c r="B171" s="74" t="s">
        <v>226</v>
      </c>
      <c r="C171" s="74" t="s">
        <v>232</v>
      </c>
      <c r="D171" s="68">
        <v>0.90032159999999994</v>
      </c>
      <c r="E171" s="69">
        <v>1555</v>
      </c>
      <c r="F171" s="69">
        <v>1541</v>
      </c>
      <c r="G171" s="68">
        <v>18.830610499999999</v>
      </c>
      <c r="H171" s="69">
        <v>2326</v>
      </c>
      <c r="I171" s="69">
        <v>1888</v>
      </c>
    </row>
    <row r="172" spans="1:9" x14ac:dyDescent="0.25">
      <c r="A172" s="73">
        <v>40301</v>
      </c>
      <c r="B172" s="74" t="s">
        <v>226</v>
      </c>
      <c r="C172" s="74" t="s">
        <v>234</v>
      </c>
      <c r="D172" s="68">
        <v>1.1034048000000001</v>
      </c>
      <c r="E172" s="69">
        <v>3172</v>
      </c>
      <c r="F172" s="69">
        <v>3137</v>
      </c>
      <c r="G172" s="68">
        <v>6.7066638999999997</v>
      </c>
      <c r="H172" s="69">
        <v>4667</v>
      </c>
      <c r="I172" s="69">
        <v>4354</v>
      </c>
    </row>
    <row r="173" spans="1:9" x14ac:dyDescent="0.25">
      <c r="A173" s="73">
        <v>40302</v>
      </c>
      <c r="B173" s="74" t="s">
        <v>226</v>
      </c>
      <c r="C173" s="74" t="s">
        <v>235</v>
      </c>
      <c r="D173" s="68">
        <v>7.1705425999999992</v>
      </c>
      <c r="E173" s="69">
        <v>516</v>
      </c>
      <c r="F173" s="69">
        <v>479</v>
      </c>
      <c r="G173" s="68">
        <v>13.2637854</v>
      </c>
      <c r="H173" s="69">
        <v>671</v>
      </c>
      <c r="I173" s="69">
        <v>582</v>
      </c>
    </row>
    <row r="174" spans="1:9" x14ac:dyDescent="0.25">
      <c r="A174" s="73">
        <v>40401</v>
      </c>
      <c r="B174" s="74" t="s">
        <v>226</v>
      </c>
      <c r="C174" s="74" t="s">
        <v>237</v>
      </c>
      <c r="D174" s="68">
        <v>34.981549799999996</v>
      </c>
      <c r="E174" s="69">
        <v>1355</v>
      </c>
      <c r="F174" s="69">
        <v>881</v>
      </c>
      <c r="G174" s="68">
        <v>30.9008556</v>
      </c>
      <c r="H174" s="69">
        <v>1987</v>
      </c>
      <c r="I174" s="69">
        <v>1373</v>
      </c>
    </row>
    <row r="175" spans="1:9" x14ac:dyDescent="0.25">
      <c r="A175" s="73">
        <v>40402</v>
      </c>
      <c r="B175" s="74" t="s">
        <v>226</v>
      </c>
      <c r="C175" s="74" t="s">
        <v>238</v>
      </c>
      <c r="D175" s="68">
        <v>8.6118252000000002</v>
      </c>
      <c r="E175" s="69">
        <v>1556</v>
      </c>
      <c r="F175" s="69">
        <v>1422</v>
      </c>
      <c r="G175" s="68">
        <v>17.1022727</v>
      </c>
      <c r="H175" s="69">
        <v>1760</v>
      </c>
      <c r="I175" s="69">
        <v>1459</v>
      </c>
    </row>
    <row r="176" spans="1:9" x14ac:dyDescent="0.25">
      <c r="A176" s="73">
        <v>40501</v>
      </c>
      <c r="B176" s="74" t="s">
        <v>226</v>
      </c>
      <c r="C176" s="74" t="s">
        <v>240</v>
      </c>
      <c r="D176" s="68">
        <v>3.1518625</v>
      </c>
      <c r="E176" s="69">
        <v>349</v>
      </c>
      <c r="F176" s="69">
        <v>338</v>
      </c>
      <c r="G176" s="68">
        <v>28.859060399999997</v>
      </c>
      <c r="H176" s="69">
        <v>1192</v>
      </c>
      <c r="I176" s="69">
        <v>848</v>
      </c>
    </row>
    <row r="177" spans="1:9" x14ac:dyDescent="0.25">
      <c r="A177" s="73">
        <v>40502</v>
      </c>
      <c r="B177" s="74" t="s">
        <v>226</v>
      </c>
      <c r="C177" s="74" t="s">
        <v>241</v>
      </c>
      <c r="D177" s="68">
        <v>0.55452869999999999</v>
      </c>
      <c r="E177" s="69">
        <v>1082</v>
      </c>
      <c r="F177" s="69">
        <v>1076</v>
      </c>
      <c r="G177" s="68">
        <v>24.360189599999998</v>
      </c>
      <c r="H177" s="69">
        <v>1055</v>
      </c>
      <c r="I177" s="69">
        <v>798</v>
      </c>
    </row>
    <row r="178" spans="1:9" x14ac:dyDescent="0.25">
      <c r="A178" s="73">
        <v>40503</v>
      </c>
      <c r="B178" s="74" t="s">
        <v>226</v>
      </c>
      <c r="C178" s="74" t="s">
        <v>242</v>
      </c>
      <c r="D178" s="68">
        <v>0.17123289999999999</v>
      </c>
      <c r="E178" s="69">
        <v>584</v>
      </c>
      <c r="F178" s="69">
        <v>583</v>
      </c>
      <c r="G178" s="68">
        <v>0.85227269999999999</v>
      </c>
      <c r="H178" s="69">
        <v>352</v>
      </c>
      <c r="I178" s="69">
        <v>349</v>
      </c>
    </row>
    <row r="179" spans="1:9" x14ac:dyDescent="0.25">
      <c r="A179" s="73">
        <v>40504</v>
      </c>
      <c r="B179" s="74" t="s">
        <v>226</v>
      </c>
      <c r="C179" s="74" t="s">
        <v>243</v>
      </c>
      <c r="D179" s="68">
        <v>0</v>
      </c>
      <c r="E179" s="69">
        <v>169</v>
      </c>
      <c r="F179" s="69">
        <v>169</v>
      </c>
      <c r="G179" s="68">
        <v>1.7341040000000001</v>
      </c>
      <c r="H179" s="69">
        <v>173</v>
      </c>
      <c r="I179" s="69">
        <v>170</v>
      </c>
    </row>
    <row r="180" spans="1:9" x14ac:dyDescent="0.25">
      <c r="A180" s="73">
        <v>40505</v>
      </c>
      <c r="B180" s="74" t="s">
        <v>226</v>
      </c>
      <c r="C180" s="74" t="s">
        <v>244</v>
      </c>
      <c r="D180" s="68">
        <v>0.97357450000000001</v>
      </c>
      <c r="E180" s="69">
        <v>719</v>
      </c>
      <c r="F180" s="69">
        <v>712</v>
      </c>
      <c r="G180" s="68">
        <v>1.2600229000000001</v>
      </c>
      <c r="H180" s="69">
        <v>873</v>
      </c>
      <c r="I180" s="69">
        <v>862</v>
      </c>
    </row>
    <row r="181" spans="1:9" x14ac:dyDescent="0.25">
      <c r="A181" s="73">
        <v>40601</v>
      </c>
      <c r="B181" s="74" t="s">
        <v>226</v>
      </c>
      <c r="C181" s="74" t="s">
        <v>245</v>
      </c>
      <c r="D181" s="68">
        <v>33.568157800000002</v>
      </c>
      <c r="E181" s="69">
        <v>2839</v>
      </c>
      <c r="F181" s="69">
        <v>1886</v>
      </c>
      <c r="G181" s="68">
        <v>40.988530900000001</v>
      </c>
      <c r="H181" s="69">
        <v>3662</v>
      </c>
      <c r="I181" s="69">
        <v>2161</v>
      </c>
    </row>
    <row r="182" spans="1:9" x14ac:dyDescent="0.25">
      <c r="A182" s="73">
        <v>40602</v>
      </c>
      <c r="B182" s="74" t="s">
        <v>226</v>
      </c>
      <c r="C182" s="74" t="s">
        <v>246</v>
      </c>
      <c r="D182" s="68">
        <v>1.4645309000000002</v>
      </c>
      <c r="E182" s="69">
        <v>2185</v>
      </c>
      <c r="F182" s="69">
        <v>2153</v>
      </c>
      <c r="G182" s="68">
        <v>28.3776145</v>
      </c>
      <c r="H182" s="69">
        <v>1769</v>
      </c>
      <c r="I182" s="69">
        <v>1267</v>
      </c>
    </row>
    <row r="183" spans="1:9" x14ac:dyDescent="0.25">
      <c r="A183" s="73">
        <v>40603</v>
      </c>
      <c r="B183" s="74" t="s">
        <v>226</v>
      </c>
      <c r="C183" s="74" t="s">
        <v>247</v>
      </c>
      <c r="D183" s="68">
        <v>42.918825599999998</v>
      </c>
      <c r="E183" s="69">
        <v>1158</v>
      </c>
      <c r="F183" s="69">
        <v>661</v>
      </c>
      <c r="G183" s="68">
        <v>40.827586199999999</v>
      </c>
      <c r="H183" s="69">
        <v>1450</v>
      </c>
      <c r="I183" s="69">
        <v>858</v>
      </c>
    </row>
    <row r="184" spans="1:9" x14ac:dyDescent="0.25">
      <c r="A184" s="73">
        <v>40701</v>
      </c>
      <c r="B184" s="74" t="s">
        <v>226</v>
      </c>
      <c r="C184" s="74" t="s">
        <v>249</v>
      </c>
      <c r="D184" s="68">
        <v>46.014744800000003</v>
      </c>
      <c r="E184" s="69">
        <v>7189</v>
      </c>
      <c r="F184" s="69">
        <v>3881</v>
      </c>
      <c r="G184" s="68">
        <v>79.495562800000002</v>
      </c>
      <c r="H184" s="69">
        <v>6423</v>
      </c>
      <c r="I184" s="69">
        <v>1317</v>
      </c>
    </row>
    <row r="185" spans="1:9" x14ac:dyDescent="0.25">
      <c r="A185" s="73">
        <v>40702</v>
      </c>
      <c r="B185" s="74" t="s">
        <v>226</v>
      </c>
      <c r="C185" s="74" t="s">
        <v>250</v>
      </c>
      <c r="D185" s="68">
        <v>5.4557124000000004</v>
      </c>
      <c r="E185" s="69">
        <v>1558</v>
      </c>
      <c r="F185" s="69">
        <v>1473</v>
      </c>
      <c r="G185" s="68">
        <v>50.965073500000003</v>
      </c>
      <c r="H185" s="69">
        <v>2176</v>
      </c>
      <c r="I185" s="69">
        <v>1067</v>
      </c>
    </row>
    <row r="186" spans="1:9" x14ac:dyDescent="0.25">
      <c r="A186" s="73">
        <v>40801</v>
      </c>
      <c r="B186" s="74" t="s">
        <v>226</v>
      </c>
      <c r="C186" s="74" t="s">
        <v>252</v>
      </c>
      <c r="D186" s="68">
        <v>7.2065188999999998</v>
      </c>
      <c r="E186" s="69">
        <v>3927</v>
      </c>
      <c r="F186" s="69">
        <v>3644</v>
      </c>
      <c r="G186" s="68">
        <v>19.802311899999999</v>
      </c>
      <c r="H186" s="69">
        <v>5969</v>
      </c>
      <c r="I186" s="69">
        <v>4787</v>
      </c>
    </row>
    <row r="187" spans="1:9" x14ac:dyDescent="0.25">
      <c r="A187" s="73">
        <v>40802</v>
      </c>
      <c r="B187" s="74" t="s">
        <v>226</v>
      </c>
      <c r="C187" s="74" t="s">
        <v>253</v>
      </c>
      <c r="D187" s="68">
        <v>0.86538460000000006</v>
      </c>
      <c r="E187" s="69">
        <v>1040</v>
      </c>
      <c r="F187" s="69">
        <v>1031</v>
      </c>
      <c r="G187" s="68">
        <v>12.3137255</v>
      </c>
      <c r="H187" s="69">
        <v>1275</v>
      </c>
      <c r="I187" s="69">
        <v>1118</v>
      </c>
    </row>
    <row r="188" spans="1:9" x14ac:dyDescent="0.25">
      <c r="A188" s="73">
        <v>40901</v>
      </c>
      <c r="B188" s="74" t="s">
        <v>226</v>
      </c>
      <c r="C188" s="74" t="s">
        <v>254</v>
      </c>
      <c r="D188" s="68">
        <v>7.5656431</v>
      </c>
      <c r="E188" s="69">
        <v>2247</v>
      </c>
      <c r="F188" s="69">
        <v>2077</v>
      </c>
      <c r="G188" s="68">
        <v>19.9740596</v>
      </c>
      <c r="H188" s="69">
        <v>3855</v>
      </c>
      <c r="I188" s="69">
        <v>3085</v>
      </c>
    </row>
    <row r="189" spans="1:9" x14ac:dyDescent="0.25">
      <c r="A189" s="73">
        <v>40902</v>
      </c>
      <c r="B189" s="74" t="s">
        <v>226</v>
      </c>
      <c r="C189" s="74" t="s">
        <v>255</v>
      </c>
      <c r="D189" s="68">
        <v>28.4584981</v>
      </c>
      <c r="E189" s="69">
        <v>253</v>
      </c>
      <c r="F189" s="69">
        <v>181</v>
      </c>
      <c r="G189" s="68">
        <v>53.781512599999999</v>
      </c>
      <c r="H189" s="69">
        <v>357</v>
      </c>
      <c r="I189" s="69">
        <v>165</v>
      </c>
    </row>
    <row r="190" spans="1:9" x14ac:dyDescent="0.25">
      <c r="A190" s="73">
        <v>40903</v>
      </c>
      <c r="B190" s="74" t="s">
        <v>226</v>
      </c>
      <c r="C190" s="74" t="s">
        <v>256</v>
      </c>
      <c r="D190" s="68">
        <v>4.9152542000000006</v>
      </c>
      <c r="E190" s="69">
        <v>590</v>
      </c>
      <c r="F190" s="69">
        <v>561</v>
      </c>
      <c r="G190" s="68">
        <v>12.036199099999999</v>
      </c>
      <c r="H190" s="69">
        <v>1105</v>
      </c>
      <c r="I190" s="69">
        <v>972</v>
      </c>
    </row>
    <row r="191" spans="1:9" x14ac:dyDescent="0.25">
      <c r="A191" s="73">
        <v>41001</v>
      </c>
      <c r="B191" s="74" t="s">
        <v>226</v>
      </c>
      <c r="C191" s="74" t="s">
        <v>258</v>
      </c>
      <c r="D191" s="68">
        <v>3.7866542999999999</v>
      </c>
      <c r="E191" s="69">
        <v>4331</v>
      </c>
      <c r="F191" s="69">
        <v>4167</v>
      </c>
      <c r="G191" s="68">
        <v>12.024514</v>
      </c>
      <c r="H191" s="69">
        <v>4732</v>
      </c>
      <c r="I191" s="69">
        <v>4163</v>
      </c>
    </row>
    <row r="192" spans="1:9" x14ac:dyDescent="0.25">
      <c r="A192" s="73">
        <v>41101</v>
      </c>
      <c r="B192" s="74" t="s">
        <v>226</v>
      </c>
      <c r="C192" s="74" t="s">
        <v>260</v>
      </c>
      <c r="D192" s="68">
        <v>3.5300316</v>
      </c>
      <c r="E192" s="69">
        <v>1898</v>
      </c>
      <c r="F192" s="69">
        <v>1831</v>
      </c>
      <c r="G192" s="68">
        <v>20.7128099</v>
      </c>
      <c r="H192" s="69">
        <v>1936</v>
      </c>
      <c r="I192" s="69">
        <v>1535</v>
      </c>
    </row>
    <row r="193" spans="1:9" x14ac:dyDescent="0.25">
      <c r="A193" s="73">
        <v>41201</v>
      </c>
      <c r="B193" s="74" t="s">
        <v>226</v>
      </c>
      <c r="C193" s="74" t="s">
        <v>262</v>
      </c>
      <c r="D193" s="68">
        <v>8.4839357999999994</v>
      </c>
      <c r="E193" s="69">
        <v>1992</v>
      </c>
      <c r="F193" s="69">
        <v>1823</v>
      </c>
      <c r="G193" s="68">
        <v>21.531728600000001</v>
      </c>
      <c r="H193" s="69">
        <v>2285</v>
      </c>
      <c r="I193" s="69">
        <v>1793</v>
      </c>
    </row>
    <row r="194" spans="1:9" x14ac:dyDescent="0.25">
      <c r="A194" s="73">
        <v>41202</v>
      </c>
      <c r="B194" s="74" t="s">
        <v>226</v>
      </c>
      <c r="C194" s="74" t="s">
        <v>263</v>
      </c>
      <c r="D194" s="68">
        <v>0.1373626</v>
      </c>
      <c r="E194" s="69">
        <v>728</v>
      </c>
      <c r="F194" s="69">
        <v>727</v>
      </c>
      <c r="G194" s="68">
        <v>3.9126479000000001</v>
      </c>
      <c r="H194" s="69">
        <v>1099</v>
      </c>
      <c r="I194" s="69">
        <v>1056</v>
      </c>
    </row>
    <row r="195" spans="1:9" x14ac:dyDescent="0.25">
      <c r="A195" s="73">
        <v>41301</v>
      </c>
      <c r="B195" s="74" t="s">
        <v>226</v>
      </c>
      <c r="C195" s="74" t="s">
        <v>208</v>
      </c>
      <c r="D195" s="68">
        <v>2.3860020999999998</v>
      </c>
      <c r="E195" s="69">
        <v>1886</v>
      </c>
      <c r="F195" s="69">
        <v>1841</v>
      </c>
      <c r="G195" s="68">
        <v>11.329305099999999</v>
      </c>
      <c r="H195" s="69">
        <v>2648</v>
      </c>
      <c r="I195" s="69">
        <v>2348</v>
      </c>
    </row>
    <row r="196" spans="1:9" x14ac:dyDescent="0.25">
      <c r="A196" s="73">
        <v>41401</v>
      </c>
      <c r="B196" s="74" t="s">
        <v>226</v>
      </c>
      <c r="C196" s="74" t="s">
        <v>266</v>
      </c>
      <c r="D196" s="68">
        <v>26.4993026</v>
      </c>
      <c r="E196" s="69">
        <v>4302</v>
      </c>
      <c r="F196" s="69">
        <v>3162</v>
      </c>
      <c r="G196" s="68">
        <v>25.371847299999999</v>
      </c>
      <c r="H196" s="69">
        <v>4639</v>
      </c>
      <c r="I196" s="69">
        <v>3462</v>
      </c>
    </row>
    <row r="197" spans="1:9" x14ac:dyDescent="0.25">
      <c r="A197" s="73">
        <v>41501</v>
      </c>
      <c r="B197" s="74" t="s">
        <v>226</v>
      </c>
      <c r="C197" s="74" t="s">
        <v>268</v>
      </c>
      <c r="D197" s="68">
        <v>0</v>
      </c>
      <c r="E197" s="69">
        <v>181</v>
      </c>
      <c r="F197" s="69">
        <v>181</v>
      </c>
      <c r="G197" s="68">
        <v>0.70671379999999995</v>
      </c>
      <c r="H197" s="69">
        <v>283</v>
      </c>
      <c r="I197" s="69">
        <v>281</v>
      </c>
    </row>
    <row r="198" spans="1:9" x14ac:dyDescent="0.25">
      <c r="A198" s="73">
        <v>41502</v>
      </c>
      <c r="B198" s="74" t="s">
        <v>226</v>
      </c>
      <c r="C198" s="74" t="s">
        <v>269</v>
      </c>
      <c r="D198" s="68">
        <v>1.5544040999999997</v>
      </c>
      <c r="E198" s="69">
        <v>193</v>
      </c>
      <c r="F198" s="69">
        <v>190</v>
      </c>
      <c r="G198" s="68">
        <v>55.623100399999998</v>
      </c>
      <c r="H198" s="69">
        <v>329</v>
      </c>
      <c r="I198" s="69">
        <v>146</v>
      </c>
    </row>
    <row r="199" spans="1:9" x14ac:dyDescent="0.25">
      <c r="A199" s="73">
        <v>41503</v>
      </c>
      <c r="B199" s="74" t="s">
        <v>226</v>
      </c>
      <c r="C199" s="74" t="s">
        <v>233</v>
      </c>
      <c r="D199" s="68">
        <v>2.4489795999999999</v>
      </c>
      <c r="E199" s="69">
        <v>245</v>
      </c>
      <c r="F199" s="69">
        <v>239</v>
      </c>
      <c r="G199" s="68">
        <v>7.0038910999999997</v>
      </c>
      <c r="H199" s="69">
        <v>257</v>
      </c>
      <c r="I199" s="69">
        <v>239</v>
      </c>
    </row>
    <row r="200" spans="1:9" x14ac:dyDescent="0.25">
      <c r="A200" s="73">
        <v>41601</v>
      </c>
      <c r="B200" s="74" t="s">
        <v>226</v>
      </c>
      <c r="C200" s="74" t="s">
        <v>271</v>
      </c>
      <c r="D200" s="68">
        <v>0.44365569999999999</v>
      </c>
      <c r="E200" s="69">
        <v>2254</v>
      </c>
      <c r="F200" s="69">
        <v>2244</v>
      </c>
      <c r="G200" s="68">
        <v>10.1396032</v>
      </c>
      <c r="H200" s="69">
        <v>2722</v>
      </c>
      <c r="I200" s="69">
        <v>2446</v>
      </c>
    </row>
    <row r="201" spans="1:9" x14ac:dyDescent="0.25">
      <c r="A201" s="73">
        <v>50101</v>
      </c>
      <c r="B201" s="74" t="s">
        <v>272</v>
      </c>
      <c r="C201" s="74" t="s">
        <v>272</v>
      </c>
      <c r="D201" s="68">
        <v>82.445839700000008</v>
      </c>
      <c r="E201" s="69">
        <v>51606</v>
      </c>
      <c r="F201" s="69">
        <v>9059</v>
      </c>
      <c r="G201" s="68">
        <v>87.746924100000001</v>
      </c>
      <c r="H201" s="69">
        <v>67379</v>
      </c>
      <c r="I201" s="69">
        <v>8256</v>
      </c>
    </row>
    <row r="202" spans="1:9" x14ac:dyDescent="0.25">
      <c r="A202" s="73">
        <v>50102</v>
      </c>
      <c r="B202" s="74" t="s">
        <v>272</v>
      </c>
      <c r="C202" s="74" t="s">
        <v>274</v>
      </c>
      <c r="D202" s="68">
        <v>0.72895960000000004</v>
      </c>
      <c r="E202" s="69">
        <v>7545</v>
      </c>
      <c r="F202" s="69">
        <v>7490</v>
      </c>
      <c r="G202" s="68">
        <v>2.8072683</v>
      </c>
      <c r="H202" s="69">
        <v>9796</v>
      </c>
      <c r="I202" s="69">
        <v>9521</v>
      </c>
    </row>
    <row r="203" spans="1:9" x14ac:dyDescent="0.25">
      <c r="A203" s="73">
        <v>50103</v>
      </c>
      <c r="B203" s="74" t="s">
        <v>272</v>
      </c>
      <c r="C203" s="74" t="s">
        <v>275</v>
      </c>
      <c r="D203" s="68">
        <v>7.3045267999999997</v>
      </c>
      <c r="E203" s="69">
        <v>2916</v>
      </c>
      <c r="F203" s="69">
        <v>2703</v>
      </c>
      <c r="G203" s="68">
        <v>7.5161058999999995</v>
      </c>
      <c r="H203" s="69">
        <v>4191</v>
      </c>
      <c r="I203" s="69">
        <v>3876</v>
      </c>
    </row>
    <row r="204" spans="1:9" x14ac:dyDescent="0.25">
      <c r="A204" s="73">
        <v>50104</v>
      </c>
      <c r="B204" s="74" t="s">
        <v>272</v>
      </c>
      <c r="C204" s="74" t="s">
        <v>276</v>
      </c>
      <c r="D204" s="68">
        <v>9.0744099999999994E-2</v>
      </c>
      <c r="E204" s="69">
        <v>1102</v>
      </c>
      <c r="F204" s="69">
        <v>1101</v>
      </c>
      <c r="G204" s="68">
        <v>0.90090090000000012</v>
      </c>
      <c r="H204" s="69">
        <v>1221</v>
      </c>
      <c r="I204" s="69">
        <v>1210</v>
      </c>
    </row>
    <row r="205" spans="1:9" x14ac:dyDescent="0.25">
      <c r="A205" s="73">
        <v>50201</v>
      </c>
      <c r="B205" s="74" t="s">
        <v>272</v>
      </c>
      <c r="C205" s="74" t="s">
        <v>278</v>
      </c>
      <c r="D205" s="68">
        <v>22.915407900000002</v>
      </c>
      <c r="E205" s="69">
        <v>6620</v>
      </c>
      <c r="F205" s="69">
        <v>5103</v>
      </c>
      <c r="G205" s="68">
        <v>40.085338399999998</v>
      </c>
      <c r="H205" s="69">
        <v>8437</v>
      </c>
      <c r="I205" s="69">
        <v>5055</v>
      </c>
    </row>
    <row r="206" spans="1:9" x14ac:dyDescent="0.25">
      <c r="A206" s="73">
        <v>50202</v>
      </c>
      <c r="B206" s="74" t="s">
        <v>272</v>
      </c>
      <c r="C206" s="74" t="s">
        <v>279</v>
      </c>
      <c r="D206" s="68">
        <v>25.4981787</v>
      </c>
      <c r="E206" s="69">
        <v>4667</v>
      </c>
      <c r="F206" s="69">
        <v>3477</v>
      </c>
      <c r="G206" s="68">
        <v>21.420996800000001</v>
      </c>
      <c r="H206" s="69">
        <v>5658</v>
      </c>
      <c r="I206" s="69">
        <v>4446</v>
      </c>
    </row>
    <row r="207" spans="1:9" x14ac:dyDescent="0.25">
      <c r="A207" s="73">
        <v>50203</v>
      </c>
      <c r="B207" s="74" t="s">
        <v>272</v>
      </c>
      <c r="C207" s="74" t="s">
        <v>280</v>
      </c>
      <c r="D207" s="68">
        <v>67.475219600000003</v>
      </c>
      <c r="E207" s="69">
        <v>12409</v>
      </c>
      <c r="F207" s="69">
        <v>4036</v>
      </c>
      <c r="G207" s="68">
        <v>75.563463799999994</v>
      </c>
      <c r="H207" s="69">
        <v>16017</v>
      </c>
      <c r="I207" s="69">
        <v>3914</v>
      </c>
    </row>
    <row r="208" spans="1:9" x14ac:dyDescent="0.25">
      <c r="A208" s="73">
        <v>50204</v>
      </c>
      <c r="B208" s="74" t="s">
        <v>272</v>
      </c>
      <c r="C208" s="74" t="s">
        <v>281</v>
      </c>
      <c r="D208" s="68">
        <v>17.1441163</v>
      </c>
      <c r="E208" s="69">
        <v>2269</v>
      </c>
      <c r="F208" s="69">
        <v>1880</v>
      </c>
      <c r="G208" s="68">
        <v>19.4261214</v>
      </c>
      <c r="H208" s="69">
        <v>3032</v>
      </c>
      <c r="I208" s="69">
        <v>2443</v>
      </c>
    </row>
    <row r="209" spans="1:9" x14ac:dyDescent="0.25">
      <c r="A209" s="73">
        <v>50301</v>
      </c>
      <c r="B209" s="74" t="s">
        <v>272</v>
      </c>
      <c r="C209" s="74" t="s">
        <v>283</v>
      </c>
      <c r="D209" s="68">
        <v>14.0006173</v>
      </c>
      <c r="E209" s="69">
        <v>9721</v>
      </c>
      <c r="F209" s="69">
        <v>8360</v>
      </c>
      <c r="G209" s="68">
        <v>17.260324099999998</v>
      </c>
      <c r="H209" s="69">
        <v>10921</v>
      </c>
      <c r="I209" s="69">
        <v>9036</v>
      </c>
    </row>
    <row r="210" spans="1:9" x14ac:dyDescent="0.25">
      <c r="A210" s="73">
        <v>50302</v>
      </c>
      <c r="B210" s="74" t="s">
        <v>272</v>
      </c>
      <c r="C210" s="74" t="s">
        <v>284</v>
      </c>
      <c r="D210" s="68">
        <v>6.7970205000000004</v>
      </c>
      <c r="E210" s="69">
        <v>3222</v>
      </c>
      <c r="F210" s="69">
        <v>3003</v>
      </c>
      <c r="G210" s="68">
        <v>10.626076900000001</v>
      </c>
      <c r="H210" s="69">
        <v>3482</v>
      </c>
      <c r="I210" s="69">
        <v>3112</v>
      </c>
    </row>
    <row r="211" spans="1:9" x14ac:dyDescent="0.25">
      <c r="A211" s="73">
        <v>50303</v>
      </c>
      <c r="B211" s="74" t="s">
        <v>272</v>
      </c>
      <c r="C211" s="74" t="s">
        <v>285</v>
      </c>
      <c r="D211" s="68">
        <v>0.4105722</v>
      </c>
      <c r="E211" s="69">
        <v>3897</v>
      </c>
      <c r="F211" s="69">
        <v>3881</v>
      </c>
      <c r="G211" s="68">
        <v>1.6792125</v>
      </c>
      <c r="H211" s="69">
        <v>5181</v>
      </c>
      <c r="I211" s="69">
        <v>5094</v>
      </c>
    </row>
    <row r="212" spans="1:9" x14ac:dyDescent="0.25">
      <c r="A212" s="73">
        <v>50401</v>
      </c>
      <c r="B212" s="74" t="s">
        <v>272</v>
      </c>
      <c r="C212" s="74" t="s">
        <v>286</v>
      </c>
      <c r="D212" s="68">
        <v>13.952403200000001</v>
      </c>
      <c r="E212" s="69">
        <v>4286</v>
      </c>
      <c r="F212" s="69">
        <v>3688</v>
      </c>
      <c r="G212" s="68">
        <v>26.720024599999999</v>
      </c>
      <c r="H212" s="69">
        <v>6497</v>
      </c>
      <c r="I212" s="69">
        <v>4761</v>
      </c>
    </row>
    <row r="213" spans="1:9" x14ac:dyDescent="0.25">
      <c r="A213" s="73">
        <v>50402</v>
      </c>
      <c r="B213" s="74" t="s">
        <v>272</v>
      </c>
      <c r="C213" s="74" t="s">
        <v>287</v>
      </c>
      <c r="D213" s="68">
        <v>7.2999251999999997</v>
      </c>
      <c r="E213" s="69">
        <v>6685</v>
      </c>
      <c r="F213" s="69">
        <v>6197</v>
      </c>
      <c r="G213" s="68">
        <v>8.9970929999999996</v>
      </c>
      <c r="H213" s="69">
        <v>6880</v>
      </c>
      <c r="I213" s="69">
        <v>6261</v>
      </c>
    </row>
    <row r="214" spans="1:9" x14ac:dyDescent="0.25">
      <c r="A214" s="73">
        <v>50403</v>
      </c>
      <c r="B214" s="74" t="s">
        <v>272</v>
      </c>
      <c r="C214" s="74" t="s">
        <v>288</v>
      </c>
      <c r="D214" s="68">
        <v>4.3859649000000003</v>
      </c>
      <c r="E214" s="69">
        <v>8436</v>
      </c>
      <c r="F214" s="69">
        <v>8066</v>
      </c>
      <c r="G214" s="68">
        <v>6.2609665999999997</v>
      </c>
      <c r="H214" s="69">
        <v>12538</v>
      </c>
      <c r="I214" s="69">
        <v>11753</v>
      </c>
    </row>
    <row r="215" spans="1:9" x14ac:dyDescent="0.25">
      <c r="A215" s="73">
        <v>50404</v>
      </c>
      <c r="B215" s="74" t="s">
        <v>272</v>
      </c>
      <c r="C215" s="74" t="s">
        <v>289</v>
      </c>
      <c r="D215" s="68">
        <v>1.2566267</v>
      </c>
      <c r="E215" s="69">
        <v>5093</v>
      </c>
      <c r="F215" s="69">
        <v>5029</v>
      </c>
      <c r="G215" s="68">
        <v>10.4999191</v>
      </c>
      <c r="H215" s="69">
        <v>6181</v>
      </c>
      <c r="I215" s="69">
        <v>5532</v>
      </c>
    </row>
    <row r="216" spans="1:9" x14ac:dyDescent="0.25">
      <c r="A216" s="73">
        <v>50405</v>
      </c>
      <c r="B216" s="74" t="s">
        <v>272</v>
      </c>
      <c r="C216" s="74" t="s">
        <v>290</v>
      </c>
      <c r="D216" s="68">
        <v>0.40854810000000003</v>
      </c>
      <c r="E216" s="69">
        <v>6364</v>
      </c>
      <c r="F216" s="69">
        <v>6338</v>
      </c>
      <c r="G216" s="68">
        <v>7.8573122000000009</v>
      </c>
      <c r="H216" s="69">
        <v>8438</v>
      </c>
      <c r="I216" s="69">
        <v>7775</v>
      </c>
    </row>
    <row r="217" spans="1:9" x14ac:dyDescent="0.25">
      <c r="A217" s="73">
        <v>50501</v>
      </c>
      <c r="B217" s="74" t="s">
        <v>272</v>
      </c>
      <c r="C217" s="74" t="s">
        <v>292</v>
      </c>
      <c r="D217" s="68">
        <v>6.7778180999999993</v>
      </c>
      <c r="E217" s="69">
        <v>8277</v>
      </c>
      <c r="F217" s="69">
        <v>7716</v>
      </c>
      <c r="G217" s="68">
        <v>7.0512253000000005</v>
      </c>
      <c r="H217" s="69">
        <v>11303</v>
      </c>
      <c r="I217" s="69">
        <v>10506</v>
      </c>
    </row>
    <row r="218" spans="1:9" x14ac:dyDescent="0.25">
      <c r="A218" s="73">
        <v>50502</v>
      </c>
      <c r="B218" s="74" t="s">
        <v>272</v>
      </c>
      <c r="C218" s="74" t="s">
        <v>293</v>
      </c>
      <c r="D218" s="68">
        <v>9.5984049999999996</v>
      </c>
      <c r="E218" s="69">
        <v>3511</v>
      </c>
      <c r="F218" s="69">
        <v>3174</v>
      </c>
      <c r="G218" s="68">
        <v>12.9532443</v>
      </c>
      <c r="H218" s="69">
        <v>4192</v>
      </c>
      <c r="I218" s="69">
        <v>3649</v>
      </c>
    </row>
    <row r="219" spans="1:9" x14ac:dyDescent="0.25">
      <c r="A219" s="73">
        <v>50601</v>
      </c>
      <c r="B219" s="74" t="s">
        <v>272</v>
      </c>
      <c r="C219" s="74" t="s">
        <v>295</v>
      </c>
      <c r="D219" s="68">
        <v>24.157955900000001</v>
      </c>
      <c r="E219" s="69">
        <v>9471</v>
      </c>
      <c r="F219" s="69">
        <v>7183</v>
      </c>
      <c r="G219" s="68">
        <v>26.238417700000003</v>
      </c>
      <c r="H219" s="69">
        <v>11224</v>
      </c>
      <c r="I219" s="69">
        <v>8279</v>
      </c>
    </row>
    <row r="220" spans="1:9" x14ac:dyDescent="0.25">
      <c r="A220" s="73">
        <v>50602</v>
      </c>
      <c r="B220" s="74" t="s">
        <v>272</v>
      </c>
      <c r="C220" s="74" t="s">
        <v>296</v>
      </c>
      <c r="D220" s="68">
        <v>6.8501919999999998</v>
      </c>
      <c r="E220" s="69">
        <v>3124</v>
      </c>
      <c r="F220" s="69">
        <v>2910</v>
      </c>
      <c r="G220" s="68">
        <v>10.051546399999999</v>
      </c>
      <c r="H220" s="69">
        <v>3880</v>
      </c>
      <c r="I220" s="69">
        <v>3490</v>
      </c>
    </row>
    <row r="221" spans="1:9" x14ac:dyDescent="0.25">
      <c r="A221" s="73">
        <v>50701</v>
      </c>
      <c r="B221" s="74" t="s">
        <v>272</v>
      </c>
      <c r="C221" s="74" t="s">
        <v>298</v>
      </c>
      <c r="D221" s="68">
        <v>13.741545</v>
      </c>
      <c r="E221" s="69">
        <v>5618</v>
      </c>
      <c r="F221" s="69">
        <v>4846</v>
      </c>
      <c r="G221" s="68">
        <v>15.297241400000001</v>
      </c>
      <c r="H221" s="69">
        <v>6779</v>
      </c>
      <c r="I221" s="69">
        <v>5742</v>
      </c>
    </row>
    <row r="222" spans="1:9" x14ac:dyDescent="0.25">
      <c r="A222" s="73">
        <v>50702</v>
      </c>
      <c r="B222" s="74" t="s">
        <v>272</v>
      </c>
      <c r="C222" s="74" t="s">
        <v>299</v>
      </c>
      <c r="D222" s="68">
        <v>6.0197009000000001</v>
      </c>
      <c r="E222" s="69">
        <v>2741</v>
      </c>
      <c r="F222" s="69">
        <v>2576</v>
      </c>
      <c r="G222" s="68">
        <v>6.2553312000000005</v>
      </c>
      <c r="H222" s="69">
        <v>3517</v>
      </c>
      <c r="I222" s="69">
        <v>3297</v>
      </c>
    </row>
    <row r="223" spans="1:9" x14ac:dyDescent="0.25">
      <c r="A223" s="73">
        <v>50801</v>
      </c>
      <c r="B223" s="74" t="s">
        <v>272</v>
      </c>
      <c r="C223" s="74" t="s">
        <v>301</v>
      </c>
      <c r="D223" s="68">
        <v>57.068849</v>
      </c>
      <c r="E223" s="69">
        <v>13319</v>
      </c>
      <c r="F223" s="69">
        <v>5718</v>
      </c>
      <c r="G223" s="68">
        <v>60.1095994</v>
      </c>
      <c r="H223" s="69">
        <v>15876</v>
      </c>
      <c r="I223" s="69">
        <v>6333</v>
      </c>
    </row>
    <row r="224" spans="1:9" x14ac:dyDescent="0.25">
      <c r="A224" s="73">
        <v>50802</v>
      </c>
      <c r="B224" s="74" t="s">
        <v>272</v>
      </c>
      <c r="C224" s="74" t="s">
        <v>302</v>
      </c>
      <c r="D224" s="68">
        <v>63.0033557</v>
      </c>
      <c r="E224" s="69">
        <v>3576</v>
      </c>
      <c r="F224" s="69">
        <v>1323</v>
      </c>
      <c r="G224" s="68">
        <v>84.857371299999997</v>
      </c>
      <c r="H224" s="69">
        <v>3751</v>
      </c>
      <c r="I224" s="69">
        <v>568</v>
      </c>
    </row>
    <row r="225" spans="1:9" x14ac:dyDescent="0.25">
      <c r="A225" s="73">
        <v>50901</v>
      </c>
      <c r="B225" s="74" t="s">
        <v>272</v>
      </c>
      <c r="C225" s="74" t="s">
        <v>304</v>
      </c>
      <c r="D225" s="68">
        <v>34.895675900000001</v>
      </c>
      <c r="E225" s="69">
        <v>3307</v>
      </c>
      <c r="F225" s="69">
        <v>2153</v>
      </c>
      <c r="G225" s="68">
        <v>63.337334999999996</v>
      </c>
      <c r="H225" s="69">
        <v>4165</v>
      </c>
      <c r="I225" s="69">
        <v>1527</v>
      </c>
    </row>
    <row r="226" spans="1:9" x14ac:dyDescent="0.25">
      <c r="A226" s="73">
        <v>50902</v>
      </c>
      <c r="B226" s="74" t="s">
        <v>272</v>
      </c>
      <c r="C226" s="74" t="s">
        <v>305</v>
      </c>
      <c r="D226" s="68">
        <v>4.8387096999999999</v>
      </c>
      <c r="E226" s="69">
        <v>372</v>
      </c>
      <c r="F226" s="69">
        <v>354</v>
      </c>
      <c r="G226" s="68">
        <v>24.961948199999998</v>
      </c>
      <c r="H226" s="69">
        <v>657</v>
      </c>
      <c r="I226" s="69">
        <v>493</v>
      </c>
    </row>
    <row r="227" spans="1:9" x14ac:dyDescent="0.25">
      <c r="A227" s="73">
        <v>51001</v>
      </c>
      <c r="B227" s="74" t="s">
        <v>272</v>
      </c>
      <c r="C227" s="74" t="s">
        <v>307</v>
      </c>
      <c r="D227" s="68">
        <v>9.9885189000000008</v>
      </c>
      <c r="E227" s="69">
        <v>871</v>
      </c>
      <c r="F227" s="69">
        <v>784</v>
      </c>
      <c r="G227" s="68">
        <v>20.342034200000001</v>
      </c>
      <c r="H227" s="69">
        <v>1111</v>
      </c>
      <c r="I227" s="69">
        <v>885</v>
      </c>
    </row>
    <row r="228" spans="1:9" x14ac:dyDescent="0.25">
      <c r="A228" s="73">
        <v>51002</v>
      </c>
      <c r="B228" s="74" t="s">
        <v>272</v>
      </c>
      <c r="C228" s="74" t="s">
        <v>308</v>
      </c>
      <c r="D228" s="68">
        <v>3.0726257000000001</v>
      </c>
      <c r="E228" s="69">
        <v>358</v>
      </c>
      <c r="F228" s="69">
        <v>347</v>
      </c>
      <c r="G228" s="68">
        <v>25.925925899999999</v>
      </c>
      <c r="H228" s="69">
        <v>324</v>
      </c>
      <c r="I228" s="69">
        <v>240</v>
      </c>
    </row>
    <row r="229" spans="1:9" x14ac:dyDescent="0.25">
      <c r="A229" s="73">
        <v>51003</v>
      </c>
      <c r="B229" s="74" t="s">
        <v>272</v>
      </c>
      <c r="C229" s="74" t="s">
        <v>309</v>
      </c>
      <c r="D229" s="68">
        <v>6.7132867000000003</v>
      </c>
      <c r="E229" s="69">
        <v>715</v>
      </c>
      <c r="F229" s="69">
        <v>667</v>
      </c>
      <c r="G229" s="68">
        <v>22.7536232</v>
      </c>
      <c r="H229" s="69">
        <v>690</v>
      </c>
      <c r="I229" s="69">
        <v>533</v>
      </c>
    </row>
    <row r="230" spans="1:9" x14ac:dyDescent="0.25">
      <c r="A230" s="73">
        <v>51101</v>
      </c>
      <c r="B230" s="74" t="s">
        <v>272</v>
      </c>
      <c r="C230" s="74" t="s">
        <v>311</v>
      </c>
      <c r="D230" s="68">
        <v>8.038856899999999</v>
      </c>
      <c r="E230" s="69">
        <v>7103</v>
      </c>
      <c r="F230" s="69">
        <v>6532</v>
      </c>
      <c r="G230" s="68">
        <v>17.837146099999998</v>
      </c>
      <c r="H230" s="69">
        <v>6251</v>
      </c>
      <c r="I230" s="69">
        <v>5136</v>
      </c>
    </row>
    <row r="231" spans="1:9" x14ac:dyDescent="0.25">
      <c r="A231" s="73">
        <v>51102</v>
      </c>
      <c r="B231" s="74" t="s">
        <v>272</v>
      </c>
      <c r="C231" s="74" t="s">
        <v>312</v>
      </c>
      <c r="D231" s="68">
        <v>22.184589299999999</v>
      </c>
      <c r="E231" s="69">
        <v>3543</v>
      </c>
      <c r="F231" s="69">
        <v>2757</v>
      </c>
      <c r="G231" s="68">
        <v>40.211070399999997</v>
      </c>
      <c r="H231" s="69">
        <v>4643</v>
      </c>
      <c r="I231" s="69">
        <v>2776</v>
      </c>
    </row>
    <row r="232" spans="1:9" x14ac:dyDescent="0.25">
      <c r="A232" s="73">
        <v>51103</v>
      </c>
      <c r="B232" s="74" t="s">
        <v>272</v>
      </c>
      <c r="C232" s="74" t="s">
        <v>313</v>
      </c>
      <c r="D232" s="68">
        <v>2.7182436000000001</v>
      </c>
      <c r="E232" s="69">
        <v>3826</v>
      </c>
      <c r="F232" s="69">
        <v>3722</v>
      </c>
      <c r="G232" s="68">
        <v>4.8298833999999999</v>
      </c>
      <c r="H232" s="69">
        <v>4203</v>
      </c>
      <c r="I232" s="69">
        <v>4000</v>
      </c>
    </row>
    <row r="233" spans="1:9" x14ac:dyDescent="0.25">
      <c r="A233" s="73">
        <v>51201</v>
      </c>
      <c r="B233" s="74" t="s">
        <v>272</v>
      </c>
      <c r="C233" s="74" t="s">
        <v>315</v>
      </c>
      <c r="D233" s="68">
        <v>50.588725600000004</v>
      </c>
      <c r="E233" s="69">
        <v>9597</v>
      </c>
      <c r="F233" s="69">
        <v>4742</v>
      </c>
      <c r="G233" s="68">
        <v>64.291152799999992</v>
      </c>
      <c r="H233" s="69">
        <v>13134</v>
      </c>
      <c r="I233" s="69">
        <v>4690</v>
      </c>
    </row>
    <row r="234" spans="1:9" x14ac:dyDescent="0.25">
      <c r="A234" s="73">
        <v>51202</v>
      </c>
      <c r="B234" s="74" t="s">
        <v>272</v>
      </c>
      <c r="C234" s="74" t="s">
        <v>316</v>
      </c>
      <c r="D234" s="68">
        <v>14.267143300000001</v>
      </c>
      <c r="E234" s="69">
        <v>3077</v>
      </c>
      <c r="F234" s="69">
        <v>2638</v>
      </c>
      <c r="G234" s="68">
        <v>20.379861300000002</v>
      </c>
      <c r="H234" s="69">
        <v>3317</v>
      </c>
      <c r="I234" s="69">
        <v>2641</v>
      </c>
    </row>
    <row r="235" spans="1:9" x14ac:dyDescent="0.25">
      <c r="A235" s="73">
        <v>51203</v>
      </c>
      <c r="B235" s="74" t="s">
        <v>272</v>
      </c>
      <c r="C235" s="74" t="s">
        <v>317</v>
      </c>
      <c r="D235" s="68">
        <v>69.930291499999996</v>
      </c>
      <c r="E235" s="69">
        <v>3156</v>
      </c>
      <c r="F235" s="69">
        <v>949</v>
      </c>
      <c r="G235" s="68">
        <v>77.222852799999998</v>
      </c>
      <c r="H235" s="69">
        <v>5286</v>
      </c>
      <c r="I235" s="69">
        <v>1204</v>
      </c>
    </row>
    <row r="236" spans="1:9" x14ac:dyDescent="0.25">
      <c r="A236" s="73">
        <v>51204</v>
      </c>
      <c r="B236" s="74" t="s">
        <v>272</v>
      </c>
      <c r="C236" s="74" t="s">
        <v>318</v>
      </c>
      <c r="D236" s="68">
        <v>15.3810191</v>
      </c>
      <c r="E236" s="69">
        <v>2139</v>
      </c>
      <c r="F236" s="69">
        <v>1810</v>
      </c>
      <c r="G236" s="68">
        <v>18.105101600000001</v>
      </c>
      <c r="H236" s="69">
        <v>2607</v>
      </c>
      <c r="I236" s="69">
        <v>2135</v>
      </c>
    </row>
    <row r="237" spans="1:9" x14ac:dyDescent="0.25">
      <c r="A237" s="73">
        <v>51301</v>
      </c>
      <c r="B237" s="74" t="s">
        <v>272</v>
      </c>
      <c r="C237" s="74" t="s">
        <v>320</v>
      </c>
      <c r="D237" s="68">
        <v>0.38520799999999999</v>
      </c>
      <c r="E237" s="69">
        <v>1298</v>
      </c>
      <c r="F237" s="69">
        <v>1293</v>
      </c>
      <c r="G237" s="68">
        <v>0.82361010000000001</v>
      </c>
      <c r="H237" s="69">
        <v>1457</v>
      </c>
      <c r="I237" s="69">
        <v>1445</v>
      </c>
    </row>
    <row r="238" spans="1:9" x14ac:dyDescent="0.25">
      <c r="A238" s="73">
        <v>51302</v>
      </c>
      <c r="B238" s="74" t="s">
        <v>272</v>
      </c>
      <c r="C238" s="74" t="s">
        <v>321</v>
      </c>
      <c r="D238" s="68">
        <v>12.681791799999999</v>
      </c>
      <c r="E238" s="69">
        <v>1719</v>
      </c>
      <c r="F238" s="69">
        <v>1501</v>
      </c>
      <c r="G238" s="68">
        <v>14.309120699999999</v>
      </c>
      <c r="H238" s="69">
        <v>1831</v>
      </c>
      <c r="I238" s="69">
        <v>1569</v>
      </c>
    </row>
    <row r="239" spans="1:9" x14ac:dyDescent="0.25">
      <c r="A239" s="73">
        <v>51401</v>
      </c>
      <c r="B239" s="74" t="s">
        <v>272</v>
      </c>
      <c r="C239" s="74" t="s">
        <v>323</v>
      </c>
      <c r="D239" s="68">
        <v>24.401595800000003</v>
      </c>
      <c r="E239" s="69">
        <v>1504</v>
      </c>
      <c r="F239" s="69">
        <v>1137</v>
      </c>
      <c r="G239" s="68">
        <v>37.715517200000001</v>
      </c>
      <c r="H239" s="69">
        <v>1856</v>
      </c>
      <c r="I239" s="69">
        <v>1156</v>
      </c>
    </row>
    <row r="240" spans="1:9" x14ac:dyDescent="0.25">
      <c r="A240" s="73">
        <v>51402</v>
      </c>
      <c r="B240" s="74" t="s">
        <v>272</v>
      </c>
      <c r="C240" s="74" t="s">
        <v>324</v>
      </c>
      <c r="D240" s="68">
        <v>10.4565538</v>
      </c>
      <c r="E240" s="69">
        <v>679</v>
      </c>
      <c r="F240" s="69">
        <v>608</v>
      </c>
      <c r="G240" s="68">
        <v>23.989218299999997</v>
      </c>
      <c r="H240" s="69">
        <v>742</v>
      </c>
      <c r="I240" s="69">
        <v>564</v>
      </c>
    </row>
    <row r="241" spans="1:9" x14ac:dyDescent="0.25">
      <c r="A241" s="73">
        <v>51501</v>
      </c>
      <c r="B241" s="74" t="s">
        <v>272</v>
      </c>
      <c r="C241" s="74" t="s">
        <v>326</v>
      </c>
      <c r="D241" s="68">
        <v>75.749544499999999</v>
      </c>
      <c r="E241" s="69">
        <v>12074</v>
      </c>
      <c r="F241" s="69">
        <v>2928</v>
      </c>
      <c r="G241" s="68">
        <v>79.498371800000001</v>
      </c>
      <c r="H241" s="69">
        <v>14433</v>
      </c>
      <c r="I241" s="69">
        <v>2959</v>
      </c>
    </row>
    <row r="242" spans="1:9" x14ac:dyDescent="0.25">
      <c r="A242" s="73">
        <v>51601</v>
      </c>
      <c r="B242" s="74" t="s">
        <v>272</v>
      </c>
      <c r="C242" s="74" t="s">
        <v>328</v>
      </c>
      <c r="D242" s="68">
        <v>6.5439673000000003</v>
      </c>
      <c r="E242" s="69">
        <v>489</v>
      </c>
      <c r="F242" s="69">
        <v>457</v>
      </c>
      <c r="G242" s="68">
        <v>52.473763099999999</v>
      </c>
      <c r="H242" s="69">
        <v>667</v>
      </c>
      <c r="I242" s="69">
        <v>317</v>
      </c>
    </row>
    <row r="243" spans="1:9" x14ac:dyDescent="0.25">
      <c r="A243" s="73">
        <v>60101</v>
      </c>
      <c r="B243" s="74" t="s">
        <v>329</v>
      </c>
      <c r="C243" s="74" t="s">
        <v>329</v>
      </c>
      <c r="D243" s="68">
        <v>85.393074299999995</v>
      </c>
      <c r="E243" s="69">
        <v>54926</v>
      </c>
      <c r="F243" s="69">
        <v>8023</v>
      </c>
      <c r="G243" s="68">
        <v>90.470230600000008</v>
      </c>
      <c r="H243" s="69">
        <v>72709</v>
      </c>
      <c r="I243" s="69">
        <v>6929</v>
      </c>
    </row>
    <row r="244" spans="1:9" x14ac:dyDescent="0.25">
      <c r="A244" s="73">
        <v>60201</v>
      </c>
      <c r="B244" s="74" t="s">
        <v>329</v>
      </c>
      <c r="C244" s="74" t="s">
        <v>331</v>
      </c>
      <c r="D244" s="68">
        <v>17.7210216</v>
      </c>
      <c r="E244" s="69">
        <v>5090</v>
      </c>
      <c r="F244" s="69">
        <v>4188</v>
      </c>
      <c r="G244" s="68">
        <v>29.137900500000001</v>
      </c>
      <c r="H244" s="69">
        <v>5649</v>
      </c>
      <c r="I244" s="69">
        <v>4003</v>
      </c>
    </row>
    <row r="245" spans="1:9" x14ac:dyDescent="0.25">
      <c r="A245" s="73">
        <v>60202</v>
      </c>
      <c r="B245" s="74" t="s">
        <v>329</v>
      </c>
      <c r="C245" s="74" t="s">
        <v>332</v>
      </c>
      <c r="D245" s="68">
        <v>76.509098999999992</v>
      </c>
      <c r="E245" s="69">
        <v>9012</v>
      </c>
      <c r="F245" s="69">
        <v>2117</v>
      </c>
      <c r="G245" s="68">
        <v>85.846037999999993</v>
      </c>
      <c r="H245" s="69">
        <v>10626</v>
      </c>
      <c r="I245" s="69">
        <v>1504</v>
      </c>
    </row>
    <row r="246" spans="1:9" x14ac:dyDescent="0.25">
      <c r="A246" s="73">
        <v>60301</v>
      </c>
      <c r="B246" s="74" t="s">
        <v>329</v>
      </c>
      <c r="C246" s="74" t="s">
        <v>334</v>
      </c>
      <c r="D246" s="68">
        <v>70.837474099999994</v>
      </c>
      <c r="E246" s="69">
        <v>22138</v>
      </c>
      <c r="F246" s="69">
        <v>6456</v>
      </c>
      <c r="G246" s="68">
        <v>78.259118200000003</v>
      </c>
      <c r="H246" s="69">
        <v>27308</v>
      </c>
      <c r="I246" s="69">
        <v>5937</v>
      </c>
    </row>
    <row r="247" spans="1:9" x14ac:dyDescent="0.25">
      <c r="A247" s="73">
        <v>60302</v>
      </c>
      <c r="B247" s="74" t="s">
        <v>329</v>
      </c>
      <c r="C247" s="74" t="s">
        <v>335</v>
      </c>
      <c r="D247" s="68">
        <v>24.355444299999998</v>
      </c>
      <c r="E247" s="69">
        <v>3995</v>
      </c>
      <c r="F247" s="69">
        <v>3022</v>
      </c>
      <c r="G247" s="68">
        <v>37.489325399999998</v>
      </c>
      <c r="H247" s="69">
        <v>4684</v>
      </c>
      <c r="I247" s="69">
        <v>2928</v>
      </c>
    </row>
    <row r="248" spans="1:9" x14ac:dyDescent="0.25">
      <c r="A248" s="73">
        <v>60303</v>
      </c>
      <c r="B248" s="74" t="s">
        <v>329</v>
      </c>
      <c r="C248" s="74" t="s">
        <v>336</v>
      </c>
      <c r="D248" s="68">
        <v>61.78443</v>
      </c>
      <c r="E248" s="69">
        <v>10289</v>
      </c>
      <c r="F248" s="69">
        <v>3932</v>
      </c>
      <c r="G248" s="68">
        <v>71.745014300000008</v>
      </c>
      <c r="H248" s="69">
        <v>14040</v>
      </c>
      <c r="I248" s="69">
        <v>3967</v>
      </c>
    </row>
    <row r="249" spans="1:9" x14ac:dyDescent="0.25">
      <c r="A249" s="73">
        <v>60401</v>
      </c>
      <c r="B249" s="74" t="s">
        <v>329</v>
      </c>
      <c r="C249" s="74" t="s">
        <v>338</v>
      </c>
      <c r="D249" s="68">
        <v>25.2763095</v>
      </c>
      <c r="E249" s="69">
        <v>4162</v>
      </c>
      <c r="F249" s="69">
        <v>3110</v>
      </c>
      <c r="G249" s="68">
        <v>33.116354700000002</v>
      </c>
      <c r="H249" s="69">
        <v>4916</v>
      </c>
      <c r="I249" s="69">
        <v>3288</v>
      </c>
    </row>
    <row r="250" spans="1:9" x14ac:dyDescent="0.25">
      <c r="A250" s="73">
        <v>60402</v>
      </c>
      <c r="B250" s="74" t="s">
        <v>329</v>
      </c>
      <c r="C250" s="74" t="s">
        <v>339</v>
      </c>
      <c r="D250" s="68">
        <v>9.1644204999999985</v>
      </c>
      <c r="E250" s="69">
        <v>1484</v>
      </c>
      <c r="F250" s="69">
        <v>1348</v>
      </c>
      <c r="G250" s="68">
        <v>10.6535948</v>
      </c>
      <c r="H250" s="69">
        <v>1530</v>
      </c>
      <c r="I250" s="69">
        <v>1367</v>
      </c>
    </row>
    <row r="251" spans="1:9" x14ac:dyDescent="0.25">
      <c r="A251" s="73">
        <v>60501</v>
      </c>
      <c r="B251" s="74" t="s">
        <v>329</v>
      </c>
      <c r="C251" s="74" t="s">
        <v>341</v>
      </c>
      <c r="D251" s="68">
        <v>29.333744599999999</v>
      </c>
      <c r="E251" s="69">
        <v>6484</v>
      </c>
      <c r="F251" s="69">
        <v>4582</v>
      </c>
      <c r="G251" s="68">
        <v>62.125107100000001</v>
      </c>
      <c r="H251" s="69">
        <v>9336</v>
      </c>
      <c r="I251" s="69">
        <v>3536</v>
      </c>
    </row>
    <row r="252" spans="1:9" x14ac:dyDescent="0.25">
      <c r="A252" s="73">
        <v>60502</v>
      </c>
      <c r="B252" s="74" t="s">
        <v>329</v>
      </c>
      <c r="C252" s="74" t="s">
        <v>342</v>
      </c>
      <c r="D252" s="68">
        <v>13.003381500000001</v>
      </c>
      <c r="E252" s="69">
        <v>3253</v>
      </c>
      <c r="F252" s="69">
        <v>2830</v>
      </c>
      <c r="G252" s="68">
        <v>17.685185199999999</v>
      </c>
      <c r="H252" s="69">
        <v>3240</v>
      </c>
      <c r="I252" s="69">
        <v>2667</v>
      </c>
    </row>
    <row r="253" spans="1:9" x14ac:dyDescent="0.25">
      <c r="A253" s="73">
        <v>60601</v>
      </c>
      <c r="B253" s="74" t="s">
        <v>329</v>
      </c>
      <c r="C253" s="74" t="s">
        <v>213</v>
      </c>
      <c r="D253" s="68">
        <v>22.511541999999999</v>
      </c>
      <c r="E253" s="69">
        <v>5415</v>
      </c>
      <c r="F253" s="69">
        <v>4196</v>
      </c>
      <c r="G253" s="68">
        <v>24.259974199999998</v>
      </c>
      <c r="H253" s="69">
        <v>6216</v>
      </c>
      <c r="I253" s="69">
        <v>4708</v>
      </c>
    </row>
    <row r="254" spans="1:9" x14ac:dyDescent="0.25">
      <c r="A254" s="73">
        <v>70101</v>
      </c>
      <c r="B254" s="74" t="s">
        <v>344</v>
      </c>
      <c r="C254" s="74" t="s">
        <v>346</v>
      </c>
      <c r="D254" s="68">
        <v>93.714366499999997</v>
      </c>
      <c r="E254" s="69">
        <v>360441</v>
      </c>
      <c r="F254" s="69">
        <v>22656</v>
      </c>
      <c r="G254" s="68">
        <v>96.974785800000006</v>
      </c>
      <c r="H254" s="69">
        <v>453158</v>
      </c>
      <c r="I254" s="69">
        <v>13709</v>
      </c>
    </row>
    <row r="255" spans="1:9" x14ac:dyDescent="0.25">
      <c r="A255" s="73">
        <v>70102</v>
      </c>
      <c r="B255" s="74" t="s">
        <v>344</v>
      </c>
      <c r="C255" s="74" t="s">
        <v>347</v>
      </c>
      <c r="D255" s="68">
        <v>37.185454</v>
      </c>
      <c r="E255" s="69">
        <v>12677</v>
      </c>
      <c r="F255" s="69">
        <v>7963</v>
      </c>
      <c r="G255" s="68">
        <v>50.192217899999996</v>
      </c>
      <c r="H255" s="69">
        <v>27833</v>
      </c>
      <c r="I255" s="69">
        <v>13863</v>
      </c>
    </row>
    <row r="256" spans="1:9" x14ac:dyDescent="0.25">
      <c r="A256" s="73">
        <v>70103</v>
      </c>
      <c r="B256" s="74" t="s">
        <v>344</v>
      </c>
      <c r="C256" s="74" t="s">
        <v>348</v>
      </c>
      <c r="D256" s="68">
        <v>24.406405300000003</v>
      </c>
      <c r="E256" s="69">
        <v>3622</v>
      </c>
      <c r="F256" s="69">
        <v>2738</v>
      </c>
      <c r="G256" s="68">
        <v>57.9795242</v>
      </c>
      <c r="H256" s="69">
        <v>6642</v>
      </c>
      <c r="I256" s="69">
        <v>2791</v>
      </c>
    </row>
    <row r="257" spans="1:9" x14ac:dyDescent="0.25">
      <c r="A257" s="73">
        <v>70104</v>
      </c>
      <c r="B257" s="74" t="s">
        <v>344</v>
      </c>
      <c r="C257" s="74" t="s">
        <v>349</v>
      </c>
      <c r="D257" s="68">
        <v>70.240217700000002</v>
      </c>
      <c r="E257" s="69">
        <v>21314</v>
      </c>
      <c r="F257" s="69">
        <v>6343</v>
      </c>
      <c r="G257" s="68">
        <v>83.768346300000005</v>
      </c>
      <c r="H257" s="69">
        <v>40267</v>
      </c>
      <c r="I257" s="69">
        <v>6536</v>
      </c>
    </row>
    <row r="258" spans="1:9" x14ac:dyDescent="0.25">
      <c r="A258" s="73">
        <v>70105</v>
      </c>
      <c r="B258" s="74" t="s">
        <v>344</v>
      </c>
      <c r="C258" s="74" t="s">
        <v>350</v>
      </c>
      <c r="D258" s="68">
        <v>53.240702900000002</v>
      </c>
      <c r="E258" s="69">
        <v>12235</v>
      </c>
      <c r="F258" s="69">
        <v>5721</v>
      </c>
      <c r="G258" s="68">
        <v>63.9056104</v>
      </c>
      <c r="H258" s="69">
        <v>16612</v>
      </c>
      <c r="I258" s="69">
        <v>5996</v>
      </c>
    </row>
    <row r="259" spans="1:9" x14ac:dyDescent="0.25">
      <c r="A259" s="73">
        <v>70201</v>
      </c>
      <c r="B259" s="74" t="s">
        <v>344</v>
      </c>
      <c r="C259" s="74" t="s">
        <v>351</v>
      </c>
      <c r="D259" s="68">
        <v>54.673098400000001</v>
      </c>
      <c r="E259" s="69">
        <v>23218</v>
      </c>
      <c r="F259" s="69">
        <v>10524</v>
      </c>
      <c r="G259" s="68">
        <v>60.731088499999998</v>
      </c>
      <c r="H259" s="69">
        <v>40597</v>
      </c>
      <c r="I259" s="69">
        <v>15942</v>
      </c>
    </row>
    <row r="260" spans="1:9" x14ac:dyDescent="0.25">
      <c r="A260" s="73">
        <v>70202</v>
      </c>
      <c r="B260" s="74" t="s">
        <v>344</v>
      </c>
      <c r="C260" s="74" t="s">
        <v>352</v>
      </c>
      <c r="D260" s="68">
        <v>34.21875</v>
      </c>
      <c r="E260" s="69">
        <v>2560</v>
      </c>
      <c r="F260" s="69">
        <v>1684</v>
      </c>
      <c r="G260" s="68">
        <v>45.787292800000003</v>
      </c>
      <c r="H260" s="69">
        <v>2896</v>
      </c>
      <c r="I260" s="69">
        <v>1570</v>
      </c>
    </row>
    <row r="261" spans="1:9" x14ac:dyDescent="0.25">
      <c r="A261" s="73">
        <v>70301</v>
      </c>
      <c r="B261" s="74" t="s">
        <v>344</v>
      </c>
      <c r="C261" s="74" t="s">
        <v>354</v>
      </c>
      <c r="D261" s="68">
        <v>36.461893799999999</v>
      </c>
      <c r="E261" s="69">
        <v>10825</v>
      </c>
      <c r="F261" s="69">
        <v>6878</v>
      </c>
      <c r="G261" s="68">
        <v>35.4166667</v>
      </c>
      <c r="H261" s="69">
        <v>17760</v>
      </c>
      <c r="I261" s="69">
        <v>11470</v>
      </c>
    </row>
    <row r="262" spans="1:9" x14ac:dyDescent="0.25">
      <c r="A262" s="73">
        <v>70302</v>
      </c>
      <c r="B262" s="74" t="s">
        <v>344</v>
      </c>
      <c r="C262" s="74" t="s">
        <v>355</v>
      </c>
      <c r="D262" s="68">
        <v>25.2517429</v>
      </c>
      <c r="E262" s="69">
        <v>2582</v>
      </c>
      <c r="F262" s="69">
        <v>1930</v>
      </c>
      <c r="G262" s="68">
        <v>17.944681799999998</v>
      </c>
      <c r="H262" s="69">
        <v>4447</v>
      </c>
      <c r="I262" s="69">
        <v>3649</v>
      </c>
    </row>
    <row r="263" spans="1:9" x14ac:dyDescent="0.25">
      <c r="A263" s="73">
        <v>70303</v>
      </c>
      <c r="B263" s="74" t="s">
        <v>344</v>
      </c>
      <c r="C263" s="74" t="s">
        <v>356</v>
      </c>
      <c r="D263" s="68">
        <v>6.7603159999999995</v>
      </c>
      <c r="E263" s="69">
        <v>1139</v>
      </c>
      <c r="F263" s="69">
        <v>1062</v>
      </c>
      <c r="G263" s="68">
        <v>19.019675499999998</v>
      </c>
      <c r="H263" s="69">
        <v>2897</v>
      </c>
      <c r="I263" s="69">
        <v>2346</v>
      </c>
    </row>
    <row r="264" spans="1:9" x14ac:dyDescent="0.25">
      <c r="A264" s="73">
        <v>70401</v>
      </c>
      <c r="B264" s="74" t="s">
        <v>344</v>
      </c>
      <c r="C264" s="74" t="s">
        <v>358</v>
      </c>
      <c r="D264" s="68">
        <v>18.9845474</v>
      </c>
      <c r="E264" s="69">
        <v>3171</v>
      </c>
      <c r="F264" s="69">
        <v>2569</v>
      </c>
      <c r="G264" s="68">
        <v>30.270127100000003</v>
      </c>
      <c r="H264" s="69">
        <v>3776</v>
      </c>
      <c r="I264" s="69">
        <v>2633</v>
      </c>
    </row>
    <row r="265" spans="1:9" x14ac:dyDescent="0.25">
      <c r="A265" s="73">
        <v>70402</v>
      </c>
      <c r="B265" s="74" t="s">
        <v>344</v>
      </c>
      <c r="C265" s="74" t="s">
        <v>359</v>
      </c>
      <c r="D265" s="68">
        <v>36.496829299999995</v>
      </c>
      <c r="E265" s="69">
        <v>4573</v>
      </c>
      <c r="F265" s="69">
        <v>2904</v>
      </c>
      <c r="G265" s="68">
        <v>52.254209700000004</v>
      </c>
      <c r="H265" s="69">
        <v>5523</v>
      </c>
      <c r="I265" s="69">
        <v>2637</v>
      </c>
    </row>
    <row r="266" spans="1:9" x14ac:dyDescent="0.25">
      <c r="A266" s="73">
        <v>70403</v>
      </c>
      <c r="B266" s="74" t="s">
        <v>344</v>
      </c>
      <c r="C266" s="74" t="s">
        <v>360</v>
      </c>
      <c r="D266" s="68">
        <v>18.747885</v>
      </c>
      <c r="E266" s="69">
        <v>14775</v>
      </c>
      <c r="F266" s="69">
        <v>12005</v>
      </c>
      <c r="G266" s="68">
        <v>38.605230399999996</v>
      </c>
      <c r="H266" s="69">
        <v>20075</v>
      </c>
      <c r="I266" s="69">
        <v>12325</v>
      </c>
    </row>
    <row r="267" spans="1:9" x14ac:dyDescent="0.25">
      <c r="A267" s="73">
        <v>70404</v>
      </c>
      <c r="B267" s="74" t="s">
        <v>344</v>
      </c>
      <c r="C267" s="74" t="s">
        <v>361</v>
      </c>
      <c r="D267" s="68">
        <v>43.211678899999995</v>
      </c>
      <c r="E267" s="69">
        <v>2055</v>
      </c>
      <c r="F267" s="69">
        <v>1167</v>
      </c>
      <c r="G267" s="68">
        <v>47.243828200000003</v>
      </c>
      <c r="H267" s="69">
        <v>2957</v>
      </c>
      <c r="I267" s="69">
        <v>1560</v>
      </c>
    </row>
    <row r="268" spans="1:9" x14ac:dyDescent="0.25">
      <c r="A268" s="73">
        <v>70501</v>
      </c>
      <c r="B268" s="74" t="s">
        <v>344</v>
      </c>
      <c r="C268" s="74" t="s">
        <v>363</v>
      </c>
      <c r="D268" s="68">
        <v>49.036355700000001</v>
      </c>
      <c r="E268" s="69">
        <v>4566</v>
      </c>
      <c r="F268" s="69">
        <v>2327</v>
      </c>
      <c r="G268" s="68">
        <v>26.1910916</v>
      </c>
      <c r="H268" s="69">
        <v>11607</v>
      </c>
      <c r="I268" s="69">
        <v>8567</v>
      </c>
    </row>
    <row r="269" spans="1:9" x14ac:dyDescent="0.25">
      <c r="A269" s="73">
        <v>70502</v>
      </c>
      <c r="B269" s="74" t="s">
        <v>344</v>
      </c>
      <c r="C269" s="74" t="s">
        <v>364</v>
      </c>
      <c r="D269" s="68">
        <v>26.761347799999999</v>
      </c>
      <c r="E269" s="69">
        <v>7182</v>
      </c>
      <c r="F269" s="69">
        <v>5260</v>
      </c>
      <c r="G269" s="68">
        <v>30.601387800000001</v>
      </c>
      <c r="H269" s="69">
        <v>12970</v>
      </c>
      <c r="I269" s="69">
        <v>9001</v>
      </c>
    </row>
    <row r="270" spans="1:9" x14ac:dyDescent="0.25">
      <c r="A270" s="73">
        <v>70503</v>
      </c>
      <c r="B270" s="74" t="s">
        <v>344</v>
      </c>
      <c r="C270" s="74" t="s">
        <v>365</v>
      </c>
      <c r="D270" s="68">
        <v>36.722711500000003</v>
      </c>
      <c r="E270" s="69">
        <v>3747</v>
      </c>
      <c r="F270" s="69">
        <v>2371</v>
      </c>
      <c r="G270" s="68">
        <v>57.591622999999998</v>
      </c>
      <c r="H270" s="69">
        <v>5348</v>
      </c>
      <c r="I270" s="69">
        <v>2268</v>
      </c>
    </row>
    <row r="271" spans="1:9" x14ac:dyDescent="0.25">
      <c r="A271" s="73">
        <v>70601</v>
      </c>
      <c r="B271" s="74" t="s">
        <v>344</v>
      </c>
      <c r="C271" s="74" t="s">
        <v>367</v>
      </c>
      <c r="D271" s="68">
        <v>69.070162600000003</v>
      </c>
      <c r="E271" s="69">
        <v>4119</v>
      </c>
      <c r="F271" s="69">
        <v>1274</v>
      </c>
      <c r="G271" s="68">
        <v>71.056014700000006</v>
      </c>
      <c r="H271" s="69">
        <v>5445</v>
      </c>
      <c r="I271" s="69">
        <v>1576</v>
      </c>
    </row>
    <row r="272" spans="1:9" x14ac:dyDescent="0.25">
      <c r="A272" s="73">
        <v>70602</v>
      </c>
      <c r="B272" s="74" t="s">
        <v>344</v>
      </c>
      <c r="C272" s="74" t="s">
        <v>368</v>
      </c>
      <c r="D272" s="68">
        <v>13.278425</v>
      </c>
      <c r="E272" s="69">
        <v>4978</v>
      </c>
      <c r="F272" s="69">
        <v>4317</v>
      </c>
      <c r="G272" s="68">
        <v>14.7557495</v>
      </c>
      <c r="H272" s="69">
        <v>5957</v>
      </c>
      <c r="I272" s="69">
        <v>5078</v>
      </c>
    </row>
    <row r="273" spans="1:9" x14ac:dyDescent="0.25">
      <c r="A273" s="73">
        <v>70603</v>
      </c>
      <c r="B273" s="74" t="s">
        <v>344</v>
      </c>
      <c r="C273" s="74" t="s">
        <v>369</v>
      </c>
      <c r="D273" s="68">
        <v>33.825701600000002</v>
      </c>
      <c r="E273" s="69">
        <v>1354</v>
      </c>
      <c r="F273" s="69">
        <v>896</v>
      </c>
      <c r="G273" s="68">
        <v>61.578604099999993</v>
      </c>
      <c r="H273" s="69">
        <v>1533</v>
      </c>
      <c r="I273" s="69">
        <v>589</v>
      </c>
    </row>
    <row r="274" spans="1:9" x14ac:dyDescent="0.25">
      <c r="A274" s="73">
        <v>70701</v>
      </c>
      <c r="B274" s="74" t="s">
        <v>344</v>
      </c>
      <c r="C274" s="74" t="s">
        <v>371</v>
      </c>
      <c r="D274" s="68">
        <v>0.37348270000000006</v>
      </c>
      <c r="E274" s="69">
        <v>1071</v>
      </c>
      <c r="F274" s="69">
        <v>1067</v>
      </c>
      <c r="G274" s="68">
        <v>14.0216698</v>
      </c>
      <c r="H274" s="69">
        <v>1569</v>
      </c>
      <c r="I274" s="69">
        <v>1349</v>
      </c>
    </row>
    <row r="275" spans="1:9" x14ac:dyDescent="0.25">
      <c r="A275" s="73">
        <v>70702</v>
      </c>
      <c r="B275" s="74" t="s">
        <v>344</v>
      </c>
      <c r="C275" s="74" t="s">
        <v>372</v>
      </c>
      <c r="D275" s="68">
        <v>12.4662109</v>
      </c>
      <c r="E275" s="69">
        <v>6289</v>
      </c>
      <c r="F275" s="69">
        <v>5505</v>
      </c>
      <c r="G275" s="68">
        <v>14.0134059</v>
      </c>
      <c r="H275" s="69">
        <v>9548</v>
      </c>
      <c r="I275" s="69">
        <v>8210</v>
      </c>
    </row>
    <row r="276" spans="1:9" x14ac:dyDescent="0.25">
      <c r="A276" s="73">
        <v>70703</v>
      </c>
      <c r="B276" s="74" t="s">
        <v>344</v>
      </c>
      <c r="C276" s="74" t="s">
        <v>373</v>
      </c>
      <c r="D276" s="68">
        <v>12.3489694</v>
      </c>
      <c r="E276" s="69">
        <v>5628</v>
      </c>
      <c r="F276" s="69">
        <v>4933</v>
      </c>
      <c r="G276" s="68">
        <v>28.4284164</v>
      </c>
      <c r="H276" s="69">
        <v>8291</v>
      </c>
      <c r="I276" s="69">
        <v>5934</v>
      </c>
    </row>
    <row r="277" spans="1:9" x14ac:dyDescent="0.25">
      <c r="A277" s="73">
        <v>70704</v>
      </c>
      <c r="B277" s="74" t="s">
        <v>344</v>
      </c>
      <c r="C277" s="74" t="s">
        <v>374</v>
      </c>
      <c r="D277" s="68">
        <v>23.455684900000001</v>
      </c>
      <c r="E277" s="69">
        <v>1117</v>
      </c>
      <c r="F277" s="69">
        <v>855</v>
      </c>
      <c r="G277" s="68">
        <v>40.206185499999997</v>
      </c>
      <c r="H277" s="69">
        <v>1261</v>
      </c>
      <c r="I277" s="69">
        <v>754</v>
      </c>
    </row>
    <row r="278" spans="1:9" x14ac:dyDescent="0.25">
      <c r="A278" s="73">
        <v>70705</v>
      </c>
      <c r="B278" s="74" t="s">
        <v>344</v>
      </c>
      <c r="C278" s="74" t="s">
        <v>375</v>
      </c>
      <c r="D278" s="68">
        <v>0.62761500000000003</v>
      </c>
      <c r="E278" s="69">
        <v>2390</v>
      </c>
      <c r="F278" s="69">
        <v>2375</v>
      </c>
      <c r="G278" s="68">
        <v>4.8814120000000001</v>
      </c>
      <c r="H278" s="69">
        <v>3626</v>
      </c>
      <c r="I278" s="69">
        <v>3449</v>
      </c>
    </row>
    <row r="279" spans="1:9" x14ac:dyDescent="0.25">
      <c r="A279" s="73">
        <v>70706</v>
      </c>
      <c r="B279" s="74" t="s">
        <v>344</v>
      </c>
      <c r="C279" s="74" t="s">
        <v>376</v>
      </c>
      <c r="D279" s="68">
        <v>85.562455200000002</v>
      </c>
      <c r="E279" s="69">
        <v>8374</v>
      </c>
      <c r="F279" s="69">
        <v>1209</v>
      </c>
      <c r="G279" s="68">
        <v>82.740462100000002</v>
      </c>
      <c r="H279" s="69">
        <v>9305</v>
      </c>
      <c r="I279" s="69">
        <v>1606</v>
      </c>
    </row>
    <row r="280" spans="1:9" x14ac:dyDescent="0.25">
      <c r="A280" s="73">
        <v>70707</v>
      </c>
      <c r="B280" s="74" t="s">
        <v>344</v>
      </c>
      <c r="C280" s="74" t="s">
        <v>377</v>
      </c>
      <c r="D280" s="68">
        <v>42.744323800000004</v>
      </c>
      <c r="E280" s="69">
        <v>1013</v>
      </c>
      <c r="F280" s="69">
        <v>580</v>
      </c>
      <c r="G280" s="68">
        <v>52.490974699999995</v>
      </c>
      <c r="H280" s="69">
        <v>1385</v>
      </c>
      <c r="I280" s="69">
        <v>658</v>
      </c>
    </row>
    <row r="281" spans="1:9" x14ac:dyDescent="0.25">
      <c r="A281" s="73">
        <v>70801</v>
      </c>
      <c r="B281" s="74" t="s">
        <v>344</v>
      </c>
      <c r="C281" s="74" t="s">
        <v>379</v>
      </c>
      <c r="D281" s="68">
        <v>55.3554502</v>
      </c>
      <c r="E281" s="69">
        <v>5275</v>
      </c>
      <c r="F281" s="69">
        <v>2355</v>
      </c>
      <c r="G281" s="68">
        <v>64.434403799999998</v>
      </c>
      <c r="H281" s="69">
        <v>6197</v>
      </c>
      <c r="I281" s="69">
        <v>2204</v>
      </c>
    </row>
    <row r="282" spans="1:9" x14ac:dyDescent="0.25">
      <c r="A282" s="73">
        <v>70802</v>
      </c>
      <c r="B282" s="74" t="s">
        <v>344</v>
      </c>
      <c r="C282" s="74" t="s">
        <v>380</v>
      </c>
      <c r="D282" s="68">
        <v>1.9097222</v>
      </c>
      <c r="E282" s="69">
        <v>576</v>
      </c>
      <c r="F282" s="69">
        <v>565</v>
      </c>
      <c r="G282" s="68">
        <v>8.0503145000000007</v>
      </c>
      <c r="H282" s="69">
        <v>795</v>
      </c>
      <c r="I282" s="69">
        <v>731</v>
      </c>
    </row>
    <row r="283" spans="1:9" x14ac:dyDescent="0.25">
      <c r="A283" s="73">
        <v>70803</v>
      </c>
      <c r="B283" s="74" t="s">
        <v>344</v>
      </c>
      <c r="C283" s="74" t="s">
        <v>381</v>
      </c>
      <c r="D283" s="68">
        <v>21.724137899999999</v>
      </c>
      <c r="E283" s="69">
        <v>870</v>
      </c>
      <c r="F283" s="69">
        <v>681</v>
      </c>
      <c r="G283" s="68">
        <v>24.318869799999998</v>
      </c>
      <c r="H283" s="69">
        <v>991</v>
      </c>
      <c r="I283" s="69">
        <v>750</v>
      </c>
    </row>
    <row r="284" spans="1:9" x14ac:dyDescent="0.25">
      <c r="A284" s="73">
        <v>70804</v>
      </c>
      <c r="B284" s="74" t="s">
        <v>344</v>
      </c>
      <c r="C284" s="74" t="s">
        <v>382</v>
      </c>
      <c r="D284" s="68">
        <v>35.8333333</v>
      </c>
      <c r="E284" s="69">
        <v>600</v>
      </c>
      <c r="F284" s="69">
        <v>385</v>
      </c>
      <c r="G284" s="68">
        <v>45.214521499999996</v>
      </c>
      <c r="H284" s="69">
        <v>606</v>
      </c>
      <c r="I284" s="69">
        <v>332</v>
      </c>
    </row>
    <row r="285" spans="1:9" x14ac:dyDescent="0.25">
      <c r="A285" s="73">
        <v>70805</v>
      </c>
      <c r="B285" s="74" t="s">
        <v>344</v>
      </c>
      <c r="C285" s="74" t="s">
        <v>383</v>
      </c>
      <c r="D285" s="68">
        <v>30.078740199999999</v>
      </c>
      <c r="E285" s="69">
        <v>635</v>
      </c>
      <c r="F285" s="69">
        <v>444</v>
      </c>
      <c r="G285" s="68">
        <v>37.2496662</v>
      </c>
      <c r="H285" s="69">
        <v>749</v>
      </c>
      <c r="I285" s="69">
        <v>470</v>
      </c>
    </row>
    <row r="286" spans="1:9" x14ac:dyDescent="0.25">
      <c r="A286" s="73">
        <v>70901</v>
      </c>
      <c r="B286" s="74" t="s">
        <v>344</v>
      </c>
      <c r="C286" s="74" t="s">
        <v>385</v>
      </c>
      <c r="D286" s="68">
        <v>36.3020329</v>
      </c>
      <c r="E286" s="69">
        <v>3099</v>
      </c>
      <c r="F286" s="69">
        <v>1974</v>
      </c>
      <c r="G286" s="68">
        <v>52.4185588</v>
      </c>
      <c r="H286" s="69">
        <v>4052</v>
      </c>
      <c r="I286" s="69">
        <v>1928</v>
      </c>
    </row>
    <row r="287" spans="1:9" x14ac:dyDescent="0.25">
      <c r="A287" s="73">
        <v>70902</v>
      </c>
      <c r="B287" s="74" t="s">
        <v>344</v>
      </c>
      <c r="C287" s="74" t="s">
        <v>386</v>
      </c>
      <c r="D287" s="68">
        <v>48.305084699999995</v>
      </c>
      <c r="E287" s="69">
        <v>2714</v>
      </c>
      <c r="F287" s="69">
        <v>1403</v>
      </c>
      <c r="G287" s="68">
        <v>67.770491800000002</v>
      </c>
      <c r="H287" s="69">
        <v>3050</v>
      </c>
      <c r="I287" s="69">
        <v>983</v>
      </c>
    </row>
    <row r="288" spans="1:9" x14ac:dyDescent="0.25">
      <c r="A288" s="73">
        <v>70903</v>
      </c>
      <c r="B288" s="74" t="s">
        <v>344</v>
      </c>
      <c r="C288" s="74" t="s">
        <v>387</v>
      </c>
      <c r="D288" s="68">
        <v>67.881241500000002</v>
      </c>
      <c r="E288" s="69">
        <v>2964</v>
      </c>
      <c r="F288" s="69">
        <v>952</v>
      </c>
      <c r="G288" s="68">
        <v>67.749419900000007</v>
      </c>
      <c r="H288" s="69">
        <v>4310</v>
      </c>
      <c r="I288" s="69">
        <v>1390</v>
      </c>
    </row>
    <row r="289" spans="1:9" x14ac:dyDescent="0.25">
      <c r="A289" s="73">
        <v>70904</v>
      </c>
      <c r="B289" s="74" t="s">
        <v>344</v>
      </c>
      <c r="C289" s="74" t="s">
        <v>388</v>
      </c>
      <c r="D289" s="68">
        <v>38.219178100000001</v>
      </c>
      <c r="E289" s="69">
        <v>730</v>
      </c>
      <c r="F289" s="69">
        <v>451</v>
      </c>
      <c r="G289" s="68">
        <v>57.814485399999995</v>
      </c>
      <c r="H289" s="69">
        <v>787</v>
      </c>
      <c r="I289" s="69">
        <v>332</v>
      </c>
    </row>
    <row r="290" spans="1:9" x14ac:dyDescent="0.25">
      <c r="A290" s="73">
        <v>71001</v>
      </c>
      <c r="B290" s="74" t="s">
        <v>344</v>
      </c>
      <c r="C290" s="74" t="s">
        <v>390</v>
      </c>
      <c r="D290" s="68">
        <v>77.682875899999999</v>
      </c>
      <c r="E290" s="69">
        <v>26343</v>
      </c>
      <c r="F290" s="69">
        <v>5879</v>
      </c>
      <c r="G290" s="68">
        <v>90.564342199999999</v>
      </c>
      <c r="H290" s="69">
        <v>33384</v>
      </c>
      <c r="I290" s="69">
        <v>3150</v>
      </c>
    </row>
    <row r="291" spans="1:9" x14ac:dyDescent="0.25">
      <c r="A291" s="73">
        <v>71002</v>
      </c>
      <c r="B291" s="74" t="s">
        <v>344</v>
      </c>
      <c r="C291" s="74" t="s">
        <v>391</v>
      </c>
      <c r="D291" s="68">
        <v>19.252163199999998</v>
      </c>
      <c r="E291" s="69">
        <v>3236</v>
      </c>
      <c r="F291" s="69">
        <v>2613</v>
      </c>
      <c r="G291" s="68">
        <v>36.3698944</v>
      </c>
      <c r="H291" s="69">
        <v>4358</v>
      </c>
      <c r="I291" s="69">
        <v>2773</v>
      </c>
    </row>
    <row r="292" spans="1:9" x14ac:dyDescent="0.25">
      <c r="A292" s="73">
        <v>71003</v>
      </c>
      <c r="B292" s="74" t="s">
        <v>344</v>
      </c>
      <c r="C292" s="74" t="s">
        <v>392</v>
      </c>
      <c r="D292" s="68">
        <v>33.320818500000001</v>
      </c>
      <c r="E292" s="69">
        <v>5327</v>
      </c>
      <c r="F292" s="69">
        <v>3552</v>
      </c>
      <c r="G292" s="68">
        <v>66.338391999999999</v>
      </c>
      <c r="H292" s="69">
        <v>6194</v>
      </c>
      <c r="I292" s="69">
        <v>2085</v>
      </c>
    </row>
    <row r="293" spans="1:9" x14ac:dyDescent="0.25">
      <c r="A293" s="73">
        <v>71004</v>
      </c>
      <c r="B293" s="74" t="s">
        <v>344</v>
      </c>
      <c r="C293" s="74" t="s">
        <v>393</v>
      </c>
      <c r="D293" s="68">
        <v>2.3711666</v>
      </c>
      <c r="E293" s="69">
        <v>3163</v>
      </c>
      <c r="F293" s="69">
        <v>3088</v>
      </c>
      <c r="G293" s="68">
        <v>43.048283900000001</v>
      </c>
      <c r="H293" s="69">
        <v>3438</v>
      </c>
      <c r="I293" s="69">
        <v>1958</v>
      </c>
    </row>
    <row r="294" spans="1:9" x14ac:dyDescent="0.25">
      <c r="A294" s="73">
        <v>71005</v>
      </c>
      <c r="B294" s="74" t="s">
        <v>344</v>
      </c>
      <c r="C294" s="74" t="s">
        <v>292</v>
      </c>
      <c r="D294" s="68">
        <v>2.4446361999999997</v>
      </c>
      <c r="E294" s="69">
        <v>3477</v>
      </c>
      <c r="F294" s="69">
        <v>3392</v>
      </c>
      <c r="G294" s="68">
        <v>6.3576158999999999</v>
      </c>
      <c r="H294" s="69">
        <v>3775</v>
      </c>
      <c r="I294" s="69">
        <v>3535</v>
      </c>
    </row>
    <row r="295" spans="1:9" x14ac:dyDescent="0.25">
      <c r="A295" s="73">
        <v>71101</v>
      </c>
      <c r="B295" s="74" t="s">
        <v>344</v>
      </c>
      <c r="C295" s="74" t="s">
        <v>395</v>
      </c>
      <c r="D295" s="68">
        <v>36.470312100000001</v>
      </c>
      <c r="E295" s="69">
        <v>4261</v>
      </c>
      <c r="F295" s="69">
        <v>2707</v>
      </c>
      <c r="G295" s="68">
        <v>35.367279699999997</v>
      </c>
      <c r="H295" s="69">
        <v>9407</v>
      </c>
      <c r="I295" s="69">
        <v>6080</v>
      </c>
    </row>
    <row r="296" spans="1:9" x14ac:dyDescent="0.25">
      <c r="A296" s="73">
        <v>71102</v>
      </c>
      <c r="B296" s="74" t="s">
        <v>344</v>
      </c>
      <c r="C296" s="74" t="s">
        <v>396</v>
      </c>
      <c r="D296" s="68">
        <v>45.494505499999995</v>
      </c>
      <c r="E296" s="69">
        <v>3185</v>
      </c>
      <c r="F296" s="69">
        <v>1736</v>
      </c>
      <c r="G296" s="68">
        <v>56.432377599999995</v>
      </c>
      <c r="H296" s="69">
        <v>3941</v>
      </c>
      <c r="I296" s="69">
        <v>1717</v>
      </c>
    </row>
    <row r="297" spans="1:9" x14ac:dyDescent="0.25">
      <c r="A297" s="73">
        <v>71103</v>
      </c>
      <c r="B297" s="74" t="s">
        <v>344</v>
      </c>
      <c r="C297" s="74" t="s">
        <v>399</v>
      </c>
      <c r="D297" s="68">
        <v>19.2284866</v>
      </c>
      <c r="E297" s="69">
        <v>1146</v>
      </c>
      <c r="F297" s="69">
        <v>1361</v>
      </c>
      <c r="G297" s="68">
        <v>43.321002800000002</v>
      </c>
      <c r="H297" s="69">
        <v>1475</v>
      </c>
      <c r="I297" s="69">
        <v>1379</v>
      </c>
    </row>
    <row r="298" spans="1:9" x14ac:dyDescent="0.25">
      <c r="A298" s="73">
        <v>71104</v>
      </c>
      <c r="B298" s="74" t="s">
        <v>344</v>
      </c>
      <c r="C298" s="74" t="s">
        <v>397</v>
      </c>
      <c r="D298" s="68">
        <v>14.012688900000001</v>
      </c>
      <c r="E298" s="69">
        <v>1685</v>
      </c>
      <c r="F298" s="69">
        <v>10978</v>
      </c>
      <c r="G298" s="68">
        <v>33.603266900000001</v>
      </c>
      <c r="H298" s="69">
        <v>2433</v>
      </c>
      <c r="I298" s="69">
        <v>9593</v>
      </c>
    </row>
    <row r="299" spans="1:9" x14ac:dyDescent="0.25">
      <c r="A299" s="73">
        <v>71105</v>
      </c>
      <c r="B299" s="74" t="s">
        <v>344</v>
      </c>
      <c r="C299" s="74" t="s">
        <v>398</v>
      </c>
      <c r="D299" s="68">
        <v>1.8324606999999999</v>
      </c>
      <c r="E299" s="69">
        <v>12767</v>
      </c>
      <c r="F299" s="69">
        <v>1125</v>
      </c>
      <c r="G299" s="68">
        <v>0.67796610000000002</v>
      </c>
      <c r="H299" s="69">
        <v>14448</v>
      </c>
      <c r="I299" s="69">
        <v>1465</v>
      </c>
    </row>
    <row r="300" spans="1:9" x14ac:dyDescent="0.25">
      <c r="A300" s="73">
        <v>71106</v>
      </c>
      <c r="B300" s="74" t="s">
        <v>344</v>
      </c>
      <c r="C300" s="74" t="s">
        <v>400</v>
      </c>
      <c r="D300" s="68">
        <v>31.6330566</v>
      </c>
      <c r="E300" s="69">
        <v>5058</v>
      </c>
      <c r="F300" s="69">
        <v>3458</v>
      </c>
      <c r="G300" s="68">
        <v>48.282704899999999</v>
      </c>
      <c r="H300" s="69">
        <v>6551</v>
      </c>
      <c r="I300" s="69">
        <v>3388</v>
      </c>
    </row>
    <row r="301" spans="1:9" x14ac:dyDescent="0.25">
      <c r="A301" s="73">
        <v>71201</v>
      </c>
      <c r="B301" s="74" t="s">
        <v>344</v>
      </c>
      <c r="C301" s="74" t="s">
        <v>402</v>
      </c>
      <c r="D301" s="68">
        <v>23.6391913</v>
      </c>
      <c r="E301" s="69">
        <v>3215</v>
      </c>
      <c r="F301" s="69">
        <v>2455</v>
      </c>
      <c r="G301" s="68">
        <v>22.1712907</v>
      </c>
      <c r="H301" s="69">
        <v>4145</v>
      </c>
      <c r="I301" s="69">
        <v>3226</v>
      </c>
    </row>
    <row r="302" spans="1:9" x14ac:dyDescent="0.25">
      <c r="A302" s="73">
        <v>71301</v>
      </c>
      <c r="B302" s="74" t="s">
        <v>344</v>
      </c>
      <c r="C302" s="74" t="s">
        <v>404</v>
      </c>
      <c r="D302" s="68">
        <v>57.253718499999998</v>
      </c>
      <c r="E302" s="69">
        <v>4639</v>
      </c>
      <c r="F302" s="69">
        <v>1983</v>
      </c>
      <c r="G302" s="68">
        <v>64.442127200000002</v>
      </c>
      <c r="H302" s="69">
        <v>5754</v>
      </c>
      <c r="I302" s="69">
        <v>2046</v>
      </c>
    </row>
    <row r="303" spans="1:9" x14ac:dyDescent="0.25">
      <c r="A303" s="73">
        <v>71302</v>
      </c>
      <c r="B303" s="74" t="s">
        <v>344</v>
      </c>
      <c r="C303" s="74" t="s">
        <v>405</v>
      </c>
      <c r="D303" s="68">
        <v>65.171059999999997</v>
      </c>
      <c r="E303" s="69">
        <v>1783</v>
      </c>
      <c r="F303" s="69">
        <v>621</v>
      </c>
      <c r="G303" s="68">
        <v>76.721970800000008</v>
      </c>
      <c r="H303" s="69">
        <v>1989</v>
      </c>
      <c r="I303" s="69">
        <v>463</v>
      </c>
    </row>
    <row r="304" spans="1:9" x14ac:dyDescent="0.25">
      <c r="A304" s="73">
        <v>71401</v>
      </c>
      <c r="B304" s="74" t="s">
        <v>344</v>
      </c>
      <c r="C304" s="74" t="s">
        <v>407</v>
      </c>
      <c r="D304" s="68">
        <v>40.338164300000003</v>
      </c>
      <c r="E304" s="69">
        <v>4554</v>
      </c>
      <c r="F304" s="69">
        <v>2717</v>
      </c>
      <c r="G304" s="68">
        <v>54.826095899999999</v>
      </c>
      <c r="H304" s="69">
        <v>4859</v>
      </c>
      <c r="I304" s="69">
        <v>2195</v>
      </c>
    </row>
    <row r="305" spans="1:9" x14ac:dyDescent="0.25">
      <c r="A305" s="73">
        <v>71402</v>
      </c>
      <c r="B305" s="74" t="s">
        <v>344</v>
      </c>
      <c r="C305" s="74" t="s">
        <v>408</v>
      </c>
      <c r="D305" s="68">
        <v>82.942540499999993</v>
      </c>
      <c r="E305" s="69">
        <v>3881</v>
      </c>
      <c r="F305" s="69">
        <v>662</v>
      </c>
      <c r="G305" s="68">
        <v>88.3932176</v>
      </c>
      <c r="H305" s="69">
        <v>4954</v>
      </c>
      <c r="I305" s="69">
        <v>575</v>
      </c>
    </row>
    <row r="306" spans="1:9" x14ac:dyDescent="0.25">
      <c r="A306" s="73">
        <v>71403</v>
      </c>
      <c r="B306" s="74" t="s">
        <v>344</v>
      </c>
      <c r="C306" s="74" t="s">
        <v>409</v>
      </c>
      <c r="D306" s="68">
        <v>1.2734585</v>
      </c>
      <c r="E306" s="69">
        <v>1492</v>
      </c>
      <c r="F306" s="69">
        <v>1473</v>
      </c>
      <c r="G306" s="68">
        <v>11.672831899999998</v>
      </c>
      <c r="H306" s="69">
        <v>2433</v>
      </c>
      <c r="I306" s="69">
        <v>2149</v>
      </c>
    </row>
    <row r="307" spans="1:9" x14ac:dyDescent="0.25">
      <c r="A307" s="73">
        <v>71501</v>
      </c>
      <c r="B307" s="74" t="s">
        <v>344</v>
      </c>
      <c r="C307" s="74" t="s">
        <v>411</v>
      </c>
      <c r="D307" s="68">
        <v>22.1880095</v>
      </c>
      <c r="E307" s="69">
        <v>5521</v>
      </c>
      <c r="F307" s="69">
        <v>4296</v>
      </c>
      <c r="G307" s="68">
        <v>18.809589899999999</v>
      </c>
      <c r="H307" s="69">
        <v>10803</v>
      </c>
      <c r="I307" s="69">
        <v>8771</v>
      </c>
    </row>
    <row r="308" spans="1:9" x14ac:dyDescent="0.25">
      <c r="A308" s="73">
        <v>71502</v>
      </c>
      <c r="B308" s="74" t="s">
        <v>344</v>
      </c>
      <c r="C308" s="74" t="s">
        <v>412</v>
      </c>
      <c r="D308" s="68">
        <v>26.734348600000001</v>
      </c>
      <c r="E308" s="69">
        <v>1182</v>
      </c>
      <c r="F308" s="69">
        <v>866</v>
      </c>
      <c r="G308" s="68">
        <v>6.4024390000000002</v>
      </c>
      <c r="H308" s="69">
        <v>1640</v>
      </c>
      <c r="I308" s="69">
        <v>1535</v>
      </c>
    </row>
    <row r="309" spans="1:9" x14ac:dyDescent="0.25">
      <c r="A309" s="73">
        <v>71503</v>
      </c>
      <c r="B309" s="74" t="s">
        <v>344</v>
      </c>
      <c r="C309" s="74" t="s">
        <v>342</v>
      </c>
      <c r="D309" s="68">
        <v>1.7709033999999999</v>
      </c>
      <c r="E309" s="69">
        <v>4461</v>
      </c>
      <c r="F309" s="69">
        <v>4382</v>
      </c>
      <c r="G309" s="68">
        <v>3.0678649</v>
      </c>
      <c r="H309" s="69">
        <v>6454</v>
      </c>
      <c r="I309" s="69">
        <v>6256</v>
      </c>
    </row>
    <row r="310" spans="1:9" x14ac:dyDescent="0.25">
      <c r="A310" s="73">
        <v>80101</v>
      </c>
      <c r="B310" s="74" t="s">
        <v>413</v>
      </c>
      <c r="C310" s="74" t="s">
        <v>414</v>
      </c>
      <c r="D310" s="68">
        <v>86.337162300000003</v>
      </c>
      <c r="E310" s="69">
        <v>24724</v>
      </c>
      <c r="F310" s="69">
        <v>3378</v>
      </c>
      <c r="G310" s="68">
        <v>90.849129300000001</v>
      </c>
      <c r="H310" s="69">
        <v>32445</v>
      </c>
      <c r="I310" s="69">
        <v>2969</v>
      </c>
    </row>
    <row r="311" spans="1:9" x14ac:dyDescent="0.25">
      <c r="A311" s="73">
        <v>80102</v>
      </c>
      <c r="B311" s="74" t="s">
        <v>413</v>
      </c>
      <c r="C311" s="74" t="s">
        <v>396</v>
      </c>
      <c r="D311" s="68">
        <v>0.73170730000000006</v>
      </c>
      <c r="E311" s="69">
        <v>1230</v>
      </c>
      <c r="F311" s="69">
        <v>1221</v>
      </c>
      <c r="G311" s="68">
        <v>2.6074359999999999</v>
      </c>
      <c r="H311" s="69">
        <v>2071</v>
      </c>
      <c r="I311" s="69">
        <v>2017</v>
      </c>
    </row>
    <row r="312" spans="1:9" x14ac:dyDescent="0.25">
      <c r="A312" s="73">
        <v>80201</v>
      </c>
      <c r="B312" s="74" t="s">
        <v>413</v>
      </c>
      <c r="C312" s="74" t="s">
        <v>416</v>
      </c>
      <c r="D312" s="68">
        <v>77.179906099999997</v>
      </c>
      <c r="E312" s="69">
        <v>19588</v>
      </c>
      <c r="F312" s="69">
        <v>4470</v>
      </c>
      <c r="G312" s="68">
        <v>71.208366799999993</v>
      </c>
      <c r="H312" s="69">
        <v>27442</v>
      </c>
      <c r="I312" s="69">
        <v>7901</v>
      </c>
    </row>
    <row r="313" spans="1:9" x14ac:dyDescent="0.25">
      <c r="A313" s="73">
        <v>80202</v>
      </c>
      <c r="B313" s="74" t="s">
        <v>413</v>
      </c>
      <c r="C313" s="74" t="s">
        <v>417</v>
      </c>
      <c r="D313" s="68">
        <v>81.5678652</v>
      </c>
      <c r="E313" s="69">
        <v>9261</v>
      </c>
      <c r="F313" s="69">
        <v>1707</v>
      </c>
      <c r="G313" s="68">
        <v>76.604535900000002</v>
      </c>
      <c r="H313" s="69">
        <v>10891</v>
      </c>
      <c r="I313" s="69">
        <v>2548</v>
      </c>
    </row>
    <row r="314" spans="1:9" x14ac:dyDescent="0.25">
      <c r="A314" s="73">
        <v>80301</v>
      </c>
      <c r="B314" s="74" t="s">
        <v>413</v>
      </c>
      <c r="C314" s="74" t="s">
        <v>419</v>
      </c>
      <c r="D314" s="68">
        <v>32.444294399999997</v>
      </c>
      <c r="E314" s="69">
        <v>2962</v>
      </c>
      <c r="F314" s="69">
        <v>2001</v>
      </c>
      <c r="G314" s="68">
        <v>48.551360899999999</v>
      </c>
      <c r="H314" s="69">
        <v>3417</v>
      </c>
      <c r="I314" s="69">
        <v>1758</v>
      </c>
    </row>
    <row r="315" spans="1:9" x14ac:dyDescent="0.25">
      <c r="A315" s="73">
        <v>80302</v>
      </c>
      <c r="B315" s="74" t="s">
        <v>413</v>
      </c>
      <c r="C315" s="74" t="s">
        <v>420</v>
      </c>
      <c r="D315" s="68">
        <v>22.1950702</v>
      </c>
      <c r="E315" s="69">
        <v>9412</v>
      </c>
      <c r="F315" s="69">
        <v>7323</v>
      </c>
      <c r="G315" s="68">
        <v>29.744847200000002</v>
      </c>
      <c r="H315" s="69">
        <v>13051</v>
      </c>
      <c r="I315" s="69">
        <v>9169</v>
      </c>
    </row>
    <row r="316" spans="1:9" x14ac:dyDescent="0.25">
      <c r="A316" s="73">
        <v>80303</v>
      </c>
      <c r="B316" s="74" t="s">
        <v>413</v>
      </c>
      <c r="C316" s="74" t="s">
        <v>368</v>
      </c>
      <c r="D316" s="68">
        <v>42.0546559</v>
      </c>
      <c r="E316" s="69">
        <v>1976</v>
      </c>
      <c r="F316" s="69">
        <v>1145</v>
      </c>
      <c r="G316" s="68">
        <v>30.707803999999999</v>
      </c>
      <c r="H316" s="69">
        <v>2755</v>
      </c>
      <c r="I316" s="69">
        <v>1909</v>
      </c>
    </row>
    <row r="317" spans="1:9" x14ac:dyDescent="0.25">
      <c r="A317" s="73">
        <v>80304</v>
      </c>
      <c r="B317" s="74" t="s">
        <v>413</v>
      </c>
      <c r="C317" s="74" t="s">
        <v>421</v>
      </c>
      <c r="D317" s="68">
        <v>60.675313899999999</v>
      </c>
      <c r="E317" s="69">
        <v>4857</v>
      </c>
      <c r="F317" s="69">
        <v>1910</v>
      </c>
      <c r="G317" s="68">
        <v>53.570909100000002</v>
      </c>
      <c r="H317" s="69">
        <v>6875</v>
      </c>
      <c r="I317" s="69">
        <v>3192</v>
      </c>
    </row>
    <row r="318" spans="1:9" x14ac:dyDescent="0.25">
      <c r="A318" s="73">
        <v>80401</v>
      </c>
      <c r="B318" s="74" t="s">
        <v>413</v>
      </c>
      <c r="C318" s="74" t="s">
        <v>423</v>
      </c>
      <c r="D318" s="68">
        <v>42.944606399999998</v>
      </c>
      <c r="E318" s="69">
        <v>3430</v>
      </c>
      <c r="F318" s="69">
        <v>1957</v>
      </c>
      <c r="G318" s="68">
        <v>65.750873100000007</v>
      </c>
      <c r="H318" s="69">
        <v>4295</v>
      </c>
      <c r="I318" s="69">
        <v>1471</v>
      </c>
    </row>
    <row r="319" spans="1:9" x14ac:dyDescent="0.25">
      <c r="A319" s="73">
        <v>80402</v>
      </c>
      <c r="B319" s="74" t="s">
        <v>413</v>
      </c>
      <c r="C319" s="74" t="s">
        <v>424</v>
      </c>
      <c r="D319" s="68">
        <v>0.74626859999999995</v>
      </c>
      <c r="E319" s="69">
        <v>938</v>
      </c>
      <c r="F319" s="69">
        <v>931</v>
      </c>
      <c r="G319" s="68">
        <v>0.68728519999999993</v>
      </c>
      <c r="H319" s="69">
        <v>1455</v>
      </c>
      <c r="I319" s="69">
        <v>1445</v>
      </c>
    </row>
    <row r="320" spans="1:9" x14ac:dyDescent="0.25">
      <c r="A320" s="73">
        <v>80501</v>
      </c>
      <c r="B320" s="74" t="s">
        <v>413</v>
      </c>
      <c r="C320" s="74" t="s">
        <v>354</v>
      </c>
      <c r="D320" s="68">
        <v>21.323345799999998</v>
      </c>
      <c r="E320" s="69">
        <v>4005</v>
      </c>
      <c r="F320" s="69">
        <v>3151</v>
      </c>
      <c r="G320" s="68">
        <v>25.728065299999997</v>
      </c>
      <c r="H320" s="69">
        <v>5391</v>
      </c>
      <c r="I320" s="69">
        <v>4004</v>
      </c>
    </row>
    <row r="321" spans="1:9" x14ac:dyDescent="0.25">
      <c r="A321" s="73">
        <v>80601</v>
      </c>
      <c r="B321" s="74" t="s">
        <v>413</v>
      </c>
      <c r="C321" s="74" t="s">
        <v>427</v>
      </c>
      <c r="D321" s="68">
        <v>3.125</v>
      </c>
      <c r="E321" s="69">
        <v>864</v>
      </c>
      <c r="F321" s="69">
        <v>837</v>
      </c>
      <c r="G321" s="68">
        <v>6.2678063000000002</v>
      </c>
      <c r="H321" s="69">
        <v>1053</v>
      </c>
      <c r="I321" s="69">
        <v>987</v>
      </c>
    </row>
    <row r="322" spans="1:9" x14ac:dyDescent="0.25">
      <c r="A322" s="73">
        <v>80602</v>
      </c>
      <c r="B322" s="74" t="s">
        <v>413</v>
      </c>
      <c r="C322" s="74" t="s">
        <v>428</v>
      </c>
      <c r="D322" s="68">
        <v>2.1695593999999998</v>
      </c>
      <c r="E322" s="69">
        <v>2996</v>
      </c>
      <c r="F322" s="69">
        <v>2931</v>
      </c>
      <c r="G322" s="68">
        <v>2.7514232000000001</v>
      </c>
      <c r="H322" s="69">
        <v>5270</v>
      </c>
      <c r="I322" s="69">
        <v>5125</v>
      </c>
    </row>
    <row r="323" spans="1:9" x14ac:dyDescent="0.25">
      <c r="A323" s="73">
        <v>80701</v>
      </c>
      <c r="B323" s="74" t="s">
        <v>413</v>
      </c>
      <c r="C323" s="74" t="s">
        <v>430</v>
      </c>
      <c r="D323" s="68">
        <v>23.046251999999999</v>
      </c>
      <c r="E323" s="69">
        <v>1254</v>
      </c>
      <c r="F323" s="69">
        <v>965</v>
      </c>
      <c r="G323" s="68">
        <v>65.252525200000008</v>
      </c>
      <c r="H323" s="69">
        <v>1485</v>
      </c>
      <c r="I323" s="69">
        <v>516</v>
      </c>
    </row>
    <row r="324" spans="1:9" x14ac:dyDescent="0.25">
      <c r="A324" s="73">
        <v>80702</v>
      </c>
      <c r="B324" s="74" t="s">
        <v>413</v>
      </c>
      <c r="C324" s="74" t="s">
        <v>399</v>
      </c>
      <c r="D324" s="68">
        <v>28.965517300000002</v>
      </c>
      <c r="E324" s="69">
        <v>1160</v>
      </c>
      <c r="F324" s="69">
        <v>824</v>
      </c>
      <c r="G324" s="68">
        <v>28.4574468</v>
      </c>
      <c r="H324" s="69">
        <v>1504</v>
      </c>
      <c r="I324" s="69">
        <v>1076</v>
      </c>
    </row>
    <row r="325" spans="1:9" x14ac:dyDescent="0.25">
      <c r="A325" s="73">
        <v>80703</v>
      </c>
      <c r="B325" s="74" t="s">
        <v>413</v>
      </c>
      <c r="C325" s="74" t="s">
        <v>431</v>
      </c>
      <c r="D325" s="68">
        <v>0</v>
      </c>
      <c r="E325" s="69">
        <v>195</v>
      </c>
      <c r="F325" s="69">
        <v>195</v>
      </c>
      <c r="G325" s="68">
        <v>0.9836066</v>
      </c>
      <c r="H325" s="69">
        <v>305</v>
      </c>
      <c r="I325" s="69">
        <v>302</v>
      </c>
    </row>
    <row r="326" spans="1:9" x14ac:dyDescent="0.25">
      <c r="A326" s="73">
        <v>80801</v>
      </c>
      <c r="B326" s="74" t="s">
        <v>413</v>
      </c>
      <c r="C326" s="74" t="s">
        <v>433</v>
      </c>
      <c r="D326" s="68">
        <v>30.913978499999999</v>
      </c>
      <c r="E326" s="69">
        <v>2232</v>
      </c>
      <c r="F326" s="69">
        <v>1542</v>
      </c>
      <c r="G326" s="68">
        <v>40.013517999999998</v>
      </c>
      <c r="H326" s="69">
        <v>2959</v>
      </c>
      <c r="I326" s="69">
        <v>1775</v>
      </c>
    </row>
    <row r="327" spans="1:9" x14ac:dyDescent="0.25">
      <c r="A327" s="73">
        <v>80802</v>
      </c>
      <c r="B327" s="74" t="s">
        <v>413</v>
      </c>
      <c r="C327" s="74" t="s">
        <v>434</v>
      </c>
      <c r="D327" s="68">
        <v>1.5486726</v>
      </c>
      <c r="E327" s="69">
        <v>1356</v>
      </c>
      <c r="F327" s="69">
        <v>1335</v>
      </c>
      <c r="G327" s="68">
        <v>27.955426299999999</v>
      </c>
      <c r="H327" s="69">
        <v>2064</v>
      </c>
      <c r="I327" s="69">
        <v>1487</v>
      </c>
    </row>
    <row r="328" spans="1:9" x14ac:dyDescent="0.25">
      <c r="A328" s="73">
        <v>80803</v>
      </c>
      <c r="B328" s="74" t="s">
        <v>413</v>
      </c>
      <c r="C328" s="74" t="s">
        <v>435</v>
      </c>
      <c r="D328" s="68">
        <v>19.047619000000001</v>
      </c>
      <c r="E328" s="69">
        <v>819</v>
      </c>
      <c r="F328" s="69">
        <v>663</v>
      </c>
      <c r="G328" s="68">
        <v>31.630648299999997</v>
      </c>
      <c r="H328" s="69">
        <v>1018</v>
      </c>
      <c r="I328" s="69">
        <v>696</v>
      </c>
    </row>
    <row r="329" spans="1:9" x14ac:dyDescent="0.25">
      <c r="A329" s="73">
        <v>80901</v>
      </c>
      <c r="B329" s="74" t="s">
        <v>413</v>
      </c>
      <c r="C329" s="74" t="s">
        <v>437</v>
      </c>
      <c r="D329" s="68">
        <v>0.1584786</v>
      </c>
      <c r="E329" s="69">
        <v>631</v>
      </c>
      <c r="F329" s="69">
        <v>630</v>
      </c>
      <c r="G329" s="68">
        <v>0.2169198</v>
      </c>
      <c r="H329" s="69">
        <v>922</v>
      </c>
      <c r="I329" s="69">
        <v>920</v>
      </c>
    </row>
    <row r="330" spans="1:9" x14ac:dyDescent="0.25">
      <c r="A330" s="73">
        <v>90101</v>
      </c>
      <c r="B330" s="74" t="s">
        <v>438</v>
      </c>
      <c r="C330" s="74" t="s">
        <v>440</v>
      </c>
      <c r="D330" s="68">
        <v>85.476267800000002</v>
      </c>
      <c r="E330" s="69">
        <v>12304</v>
      </c>
      <c r="F330" s="69">
        <v>1787</v>
      </c>
      <c r="G330" s="68">
        <v>87.830891799999989</v>
      </c>
      <c r="H330" s="69">
        <v>15564</v>
      </c>
      <c r="I330" s="69">
        <v>1894</v>
      </c>
    </row>
    <row r="331" spans="1:9" x14ac:dyDescent="0.25">
      <c r="A331" s="73">
        <v>90102</v>
      </c>
      <c r="B331" s="74" t="s">
        <v>438</v>
      </c>
      <c r="C331" s="74" t="s">
        <v>441</v>
      </c>
      <c r="D331" s="68">
        <v>22.960725100000001</v>
      </c>
      <c r="E331" s="69">
        <v>1655</v>
      </c>
      <c r="F331" s="69">
        <v>1275</v>
      </c>
      <c r="G331" s="68">
        <v>30.8071749</v>
      </c>
      <c r="H331" s="69">
        <v>2230</v>
      </c>
      <c r="I331" s="69">
        <v>1543</v>
      </c>
    </row>
    <row r="332" spans="1:9" x14ac:dyDescent="0.25">
      <c r="A332" s="73">
        <v>90103</v>
      </c>
      <c r="B332" s="74" t="s">
        <v>438</v>
      </c>
      <c r="C332" s="74" t="s">
        <v>442</v>
      </c>
      <c r="D332" s="68">
        <v>0</v>
      </c>
      <c r="E332" s="69">
        <v>545</v>
      </c>
      <c r="F332" s="69">
        <v>545</v>
      </c>
      <c r="G332" s="68">
        <v>1.4962594</v>
      </c>
      <c r="H332" s="69">
        <v>802</v>
      </c>
      <c r="I332" s="69">
        <v>790</v>
      </c>
    </row>
    <row r="333" spans="1:9" x14ac:dyDescent="0.25">
      <c r="A333" s="73">
        <v>90104</v>
      </c>
      <c r="B333" s="74" t="s">
        <v>438</v>
      </c>
      <c r="C333" s="74" t="s">
        <v>443</v>
      </c>
      <c r="D333" s="68">
        <v>1.0593219999999999</v>
      </c>
      <c r="E333" s="69">
        <v>944</v>
      </c>
      <c r="F333" s="69">
        <v>934</v>
      </c>
      <c r="G333" s="68">
        <v>17.9757085</v>
      </c>
      <c r="H333" s="69">
        <v>1235</v>
      </c>
      <c r="I333" s="69">
        <v>1013</v>
      </c>
    </row>
    <row r="334" spans="1:9" x14ac:dyDescent="0.25">
      <c r="A334" s="73">
        <v>90201</v>
      </c>
      <c r="B334" s="74" t="s">
        <v>438</v>
      </c>
      <c r="C334" s="74" t="s">
        <v>445</v>
      </c>
      <c r="D334" s="68">
        <v>37.264833599999996</v>
      </c>
      <c r="E334" s="69">
        <v>1382</v>
      </c>
      <c r="F334" s="69">
        <v>867</v>
      </c>
      <c r="G334" s="68">
        <v>40.774258400000001</v>
      </c>
      <c r="H334" s="69">
        <v>1989</v>
      </c>
      <c r="I334" s="69">
        <v>1178</v>
      </c>
    </row>
    <row r="335" spans="1:9" x14ac:dyDescent="0.25">
      <c r="A335" s="73">
        <v>90202</v>
      </c>
      <c r="B335" s="74" t="s">
        <v>438</v>
      </c>
      <c r="C335" s="74" t="s">
        <v>292</v>
      </c>
      <c r="D335" s="68">
        <v>3.4369885</v>
      </c>
      <c r="E335" s="69">
        <v>611</v>
      </c>
      <c r="F335" s="69">
        <v>590</v>
      </c>
      <c r="G335" s="68">
        <v>0.65359480000000003</v>
      </c>
      <c r="H335" s="69">
        <v>612</v>
      </c>
      <c r="I335" s="69">
        <v>608</v>
      </c>
    </row>
    <row r="336" spans="1:9" x14ac:dyDescent="0.25">
      <c r="A336" s="73">
        <v>90203</v>
      </c>
      <c r="B336" s="74" t="s">
        <v>438</v>
      </c>
      <c r="C336" s="74" t="s">
        <v>446</v>
      </c>
      <c r="D336" s="68">
        <v>1.4716187999999999</v>
      </c>
      <c r="E336" s="69">
        <v>1427</v>
      </c>
      <c r="F336" s="69">
        <v>1406</v>
      </c>
      <c r="G336" s="68">
        <v>3.5799523</v>
      </c>
      <c r="H336" s="69">
        <v>2514</v>
      </c>
      <c r="I336" s="69">
        <v>2424</v>
      </c>
    </row>
    <row r="337" spans="1:9" x14ac:dyDescent="0.25">
      <c r="A337" s="73">
        <v>90301</v>
      </c>
      <c r="B337" s="74" t="s">
        <v>438</v>
      </c>
      <c r="C337" s="74" t="s">
        <v>448</v>
      </c>
      <c r="D337" s="68">
        <v>0.29239769999999998</v>
      </c>
      <c r="E337" s="69">
        <v>1026</v>
      </c>
      <c r="F337" s="69">
        <v>1023</v>
      </c>
      <c r="G337" s="68">
        <v>1.6793893</v>
      </c>
      <c r="H337" s="69">
        <v>1965</v>
      </c>
      <c r="I337" s="69">
        <v>1932</v>
      </c>
    </row>
    <row r="338" spans="1:9" x14ac:dyDescent="0.25">
      <c r="A338" s="73">
        <v>90302</v>
      </c>
      <c r="B338" s="74" t="s">
        <v>438</v>
      </c>
      <c r="C338" s="74" t="s">
        <v>341</v>
      </c>
      <c r="D338" s="68">
        <v>1.3412817000000001</v>
      </c>
      <c r="E338" s="69">
        <v>1342</v>
      </c>
      <c r="F338" s="69">
        <v>1324</v>
      </c>
      <c r="G338" s="68">
        <v>5.9459460000000002</v>
      </c>
      <c r="H338" s="69">
        <v>1850</v>
      </c>
      <c r="I338" s="69">
        <v>1740</v>
      </c>
    </row>
    <row r="339" spans="1:9" x14ac:dyDescent="0.25">
      <c r="A339" s="73">
        <v>90303</v>
      </c>
      <c r="B339" s="74" t="s">
        <v>438</v>
      </c>
      <c r="C339" s="74" t="s">
        <v>449</v>
      </c>
      <c r="D339" s="68">
        <v>2.7828191000000002</v>
      </c>
      <c r="E339" s="69">
        <v>1653</v>
      </c>
      <c r="F339" s="69">
        <v>1607</v>
      </c>
      <c r="G339" s="68">
        <v>11.860869600000001</v>
      </c>
      <c r="H339" s="69">
        <v>2875</v>
      </c>
      <c r="I339" s="69">
        <v>2534</v>
      </c>
    </row>
    <row r="340" spans="1:9" x14ac:dyDescent="0.25">
      <c r="A340" s="73">
        <v>90401</v>
      </c>
      <c r="B340" s="74" t="s">
        <v>438</v>
      </c>
      <c r="C340" s="74" t="s">
        <v>368</v>
      </c>
      <c r="D340" s="68">
        <v>0.32733220000000002</v>
      </c>
      <c r="E340" s="69">
        <v>611</v>
      </c>
      <c r="F340" s="69">
        <v>609</v>
      </c>
      <c r="G340" s="68">
        <v>0.93023259999999997</v>
      </c>
      <c r="H340" s="69">
        <v>860</v>
      </c>
      <c r="I340" s="69">
        <v>852</v>
      </c>
    </row>
    <row r="341" spans="1:9" x14ac:dyDescent="0.25">
      <c r="A341" s="73">
        <v>90402</v>
      </c>
      <c r="B341" s="74" t="s">
        <v>438</v>
      </c>
      <c r="C341" s="74" t="s">
        <v>111</v>
      </c>
      <c r="D341" s="68">
        <v>2.0348837</v>
      </c>
      <c r="E341" s="69">
        <v>344</v>
      </c>
      <c r="F341" s="69">
        <v>337</v>
      </c>
      <c r="G341" s="68">
        <v>5.8551617999999994</v>
      </c>
      <c r="H341" s="69">
        <v>649</v>
      </c>
      <c r="I341" s="69">
        <v>611</v>
      </c>
    </row>
    <row r="342" spans="1:9" x14ac:dyDescent="0.25">
      <c r="A342" s="73">
        <v>90501</v>
      </c>
      <c r="B342" s="74" t="s">
        <v>438</v>
      </c>
      <c r="C342" s="74" t="s">
        <v>452</v>
      </c>
      <c r="D342" s="68">
        <v>1.2875537000000001</v>
      </c>
      <c r="E342" s="69">
        <v>466</v>
      </c>
      <c r="F342" s="69">
        <v>460</v>
      </c>
      <c r="G342" s="68">
        <v>0.61349690000000001</v>
      </c>
      <c r="H342" s="69">
        <v>489</v>
      </c>
      <c r="I342" s="69">
        <v>486</v>
      </c>
    </row>
    <row r="343" spans="1:9" x14ac:dyDescent="0.25">
      <c r="A343" s="73">
        <v>90502</v>
      </c>
      <c r="B343" s="74" t="s">
        <v>438</v>
      </c>
      <c r="C343" s="74" t="s">
        <v>453</v>
      </c>
      <c r="D343" s="68">
        <v>1.0186757</v>
      </c>
      <c r="E343" s="69">
        <v>589</v>
      </c>
      <c r="F343" s="69">
        <v>583</v>
      </c>
      <c r="G343" s="68">
        <v>1.4124293999999999</v>
      </c>
      <c r="H343" s="69">
        <v>708</v>
      </c>
      <c r="I343" s="69">
        <v>698</v>
      </c>
    </row>
    <row r="344" spans="1:9" x14ac:dyDescent="0.25">
      <c r="A344" s="73">
        <v>90503</v>
      </c>
      <c r="B344" s="74" t="s">
        <v>438</v>
      </c>
      <c r="C344" s="74" t="s">
        <v>454</v>
      </c>
      <c r="D344" s="68">
        <v>7.9399142000000005</v>
      </c>
      <c r="E344" s="69">
        <v>466</v>
      </c>
      <c r="F344" s="69">
        <v>429</v>
      </c>
      <c r="G344" s="68">
        <v>1.9966723000000002</v>
      </c>
      <c r="H344" s="69">
        <v>601</v>
      </c>
      <c r="I344" s="69">
        <v>589</v>
      </c>
    </row>
    <row r="345" spans="1:9" x14ac:dyDescent="0.25">
      <c r="A345" s="75"/>
      <c r="B345" s="76"/>
      <c r="C345" s="76"/>
      <c r="D345" s="76"/>
      <c r="E345" s="76"/>
      <c r="F345" s="76"/>
      <c r="G345" s="76"/>
    </row>
    <row r="346" spans="1:9" x14ac:dyDescent="0.25">
      <c r="A346" s="75"/>
      <c r="B346" s="76"/>
      <c r="C346" s="78" t="s">
        <v>471</v>
      </c>
      <c r="D346" s="77">
        <f>+AVERAGE(D2:D344)</f>
        <v>20.390884788629744</v>
      </c>
      <c r="E346" s="77">
        <f>+D346+D347</f>
        <v>43.348063604408523</v>
      </c>
      <c r="F346" s="78" t="s">
        <v>471</v>
      </c>
      <c r="G346" s="77">
        <f>+AVERAGE(G2:G344)</f>
        <v>29.40837428833818</v>
      </c>
      <c r="H346" s="77">
        <f>+G346+G347</f>
        <v>54.834450633262591</v>
      </c>
    </row>
    <row r="347" spans="1:9" x14ac:dyDescent="0.25">
      <c r="A347" s="75"/>
      <c r="B347" s="76"/>
      <c r="C347" s="78" t="s">
        <v>472</v>
      </c>
      <c r="D347" s="77">
        <f>+STDEVA(D2:D344)</f>
        <v>22.957178815778775</v>
      </c>
      <c r="E347" s="77">
        <f>+D346-D347</f>
        <v>-2.5662940271490307</v>
      </c>
      <c r="F347" s="78" t="s">
        <v>472</v>
      </c>
      <c r="G347" s="77">
        <f>+STDEVA(G2:G344)</f>
        <v>25.426076344924407</v>
      </c>
      <c r="H347" s="77">
        <f>+G346-G347</f>
        <v>3.9822979434137729</v>
      </c>
    </row>
    <row r="348" spans="1:9" x14ac:dyDescent="0.25">
      <c r="A348" s="75"/>
      <c r="B348" s="76"/>
      <c r="C348" s="75" t="s">
        <v>473</v>
      </c>
      <c r="D348" s="77">
        <f>+MIN(D2:D344)</f>
        <v>0</v>
      </c>
      <c r="E348" s="75"/>
      <c r="F348" s="75" t="s">
        <v>473</v>
      </c>
      <c r="G348" s="77">
        <f>+MIN(G2:G344)</f>
        <v>0.15162999999999999</v>
      </c>
      <c r="H348" s="75"/>
    </row>
    <row r="349" spans="1:9" x14ac:dyDescent="0.25">
      <c r="A349" s="75"/>
      <c r="B349" s="76"/>
      <c r="C349" s="75" t="s">
        <v>474</v>
      </c>
      <c r="D349" s="77">
        <f>+MAX(D2:D344)</f>
        <v>96.547704199999998</v>
      </c>
      <c r="E349" s="75"/>
      <c r="F349" s="75" t="s">
        <v>474</v>
      </c>
      <c r="G349" s="77">
        <f>+MAX(G2:G344)</f>
        <v>98.277215600000005</v>
      </c>
      <c r="H349" s="75"/>
    </row>
    <row r="350" spans="1:9" x14ac:dyDescent="0.25">
      <c r="A350" s="75"/>
      <c r="B350" s="76"/>
      <c r="C350" s="75" t="s">
        <v>475</v>
      </c>
      <c r="D350" s="79">
        <v>343</v>
      </c>
      <c r="E350" s="75"/>
      <c r="F350" s="75" t="s">
        <v>475</v>
      </c>
      <c r="G350" s="79">
        <v>343</v>
      </c>
      <c r="H350" s="75"/>
    </row>
    <row r="351" spans="1:9" x14ac:dyDescent="0.25">
      <c r="A351" s="75"/>
      <c r="B351" s="76"/>
      <c r="C351" s="76"/>
      <c r="D351" s="76"/>
      <c r="E351" s="76"/>
      <c r="F351" s="76"/>
      <c r="G351" s="76"/>
    </row>
    <row r="352" spans="1:9" x14ac:dyDescent="0.25">
      <c r="A352" s="75"/>
      <c r="B352" s="76"/>
      <c r="C352" s="76"/>
      <c r="D352" s="76"/>
      <c r="E352" s="76"/>
      <c r="F352" s="76"/>
      <c r="G352" s="76"/>
    </row>
    <row r="353" spans="1:7" x14ac:dyDescent="0.25">
      <c r="A353" s="75"/>
      <c r="B353" s="76"/>
      <c r="C353" s="76"/>
      <c r="D353" s="76"/>
      <c r="E353" s="76"/>
      <c r="F353" s="76"/>
      <c r="G353" s="76"/>
    </row>
    <row r="354" spans="1:7" x14ac:dyDescent="0.25">
      <c r="A354" s="75"/>
      <c r="B354" s="76"/>
      <c r="C354" s="76"/>
      <c r="D354" s="76"/>
      <c r="E354" s="76"/>
      <c r="F354" s="76"/>
      <c r="G354" s="76"/>
    </row>
    <row r="355" spans="1:7" x14ac:dyDescent="0.25">
      <c r="A355" s="75"/>
      <c r="B355" s="76"/>
      <c r="C355" s="76"/>
      <c r="D355" s="76"/>
      <c r="E355" s="76"/>
      <c r="F355" s="76"/>
      <c r="G355" s="76"/>
    </row>
    <row r="356" spans="1:7" x14ac:dyDescent="0.25">
      <c r="A356" s="75"/>
      <c r="B356" s="76"/>
      <c r="C356" s="76"/>
      <c r="D356" s="76"/>
      <c r="E356" s="76"/>
      <c r="F356" s="76"/>
      <c r="G356" s="76"/>
    </row>
    <row r="357" spans="1:7" x14ac:dyDescent="0.25">
      <c r="A357" s="75"/>
      <c r="B357" s="76"/>
      <c r="C357" s="76"/>
      <c r="D357" s="76"/>
      <c r="E357" s="76"/>
      <c r="F357" s="76"/>
      <c r="G357" s="76"/>
    </row>
    <row r="358" spans="1:7" x14ac:dyDescent="0.25">
      <c r="A358" s="75"/>
      <c r="B358" s="76"/>
      <c r="C358" s="76"/>
      <c r="D358" s="76"/>
      <c r="E358" s="76"/>
      <c r="F358" s="76"/>
      <c r="G358" s="76"/>
    </row>
    <row r="359" spans="1:7" x14ac:dyDescent="0.25">
      <c r="A359" s="75"/>
      <c r="B359" s="76"/>
      <c r="C359" s="76"/>
      <c r="D359" s="76"/>
      <c r="E359" s="76"/>
      <c r="F359" s="76"/>
      <c r="G359" s="76"/>
    </row>
    <row r="360" spans="1:7" x14ac:dyDescent="0.25">
      <c r="A360" s="75"/>
      <c r="B360" s="76"/>
      <c r="C360" s="76"/>
      <c r="D360" s="76"/>
      <c r="E360" s="76"/>
      <c r="F360" s="76"/>
      <c r="G360" s="76"/>
    </row>
    <row r="361" spans="1:7" x14ac:dyDescent="0.25">
      <c r="A361" s="75"/>
      <c r="B361" s="76"/>
      <c r="C361" s="76"/>
      <c r="D361" s="76"/>
      <c r="E361" s="76"/>
      <c r="F361" s="76"/>
      <c r="G361" s="76"/>
    </row>
    <row r="362" spans="1:7" x14ac:dyDescent="0.25">
      <c r="A362" s="75"/>
      <c r="B362" s="76"/>
      <c r="C362" s="76"/>
      <c r="D362" s="76"/>
      <c r="E362" s="76"/>
      <c r="F362" s="76"/>
      <c r="G362" s="76"/>
    </row>
    <row r="363" spans="1:7" x14ac:dyDescent="0.25">
      <c r="A363" s="75"/>
      <c r="B363" s="76"/>
      <c r="C363" s="76"/>
      <c r="D363" s="76"/>
      <c r="E363" s="76"/>
      <c r="F363" s="76"/>
      <c r="G363" s="76"/>
    </row>
    <row r="364" spans="1:7" x14ac:dyDescent="0.25">
      <c r="A364" s="75"/>
      <c r="B364" s="76"/>
      <c r="C364" s="76"/>
      <c r="D364" s="76"/>
      <c r="E364" s="76"/>
      <c r="F364" s="76"/>
      <c r="G364" s="76"/>
    </row>
    <row r="365" spans="1:7" x14ac:dyDescent="0.25">
      <c r="A365" s="75"/>
      <c r="B365" s="76"/>
      <c r="C365" s="76"/>
      <c r="D365" s="76"/>
      <c r="E365" s="76"/>
      <c r="F365" s="76"/>
      <c r="G365" s="76"/>
    </row>
    <row r="366" spans="1:7" x14ac:dyDescent="0.25">
      <c r="A366" s="75"/>
      <c r="B366" s="76"/>
      <c r="C366" s="76"/>
      <c r="D366" s="76"/>
      <c r="E366" s="76"/>
      <c r="F366" s="76"/>
      <c r="G366" s="76"/>
    </row>
    <row r="367" spans="1:7" x14ac:dyDescent="0.25">
      <c r="A367" s="75"/>
      <c r="B367" s="76"/>
      <c r="C367" s="76"/>
      <c r="D367" s="76"/>
      <c r="E367" s="76"/>
      <c r="F367" s="76"/>
      <c r="G367" s="76"/>
    </row>
    <row r="368" spans="1:7" x14ac:dyDescent="0.25">
      <c r="A368" s="75"/>
      <c r="B368" s="76"/>
      <c r="C368" s="76"/>
      <c r="D368" s="76"/>
      <c r="E368" s="76"/>
      <c r="F368" s="76"/>
      <c r="G368" s="76"/>
    </row>
    <row r="369" spans="1:7" x14ac:dyDescent="0.25">
      <c r="A369" s="75"/>
      <c r="B369" s="76"/>
      <c r="C369" s="76"/>
      <c r="D369" s="76"/>
      <c r="E369" s="76"/>
      <c r="F369" s="76"/>
      <c r="G369" s="76"/>
    </row>
    <row r="370" spans="1:7" x14ac:dyDescent="0.25">
      <c r="A370" s="75"/>
      <c r="B370" s="76"/>
      <c r="C370" s="76"/>
      <c r="D370" s="76"/>
      <c r="E370" s="76"/>
      <c r="F370" s="76"/>
      <c r="G370" s="76"/>
    </row>
    <row r="371" spans="1:7" x14ac:dyDescent="0.25">
      <c r="A371" s="75"/>
      <c r="B371" s="76"/>
      <c r="C371" s="76"/>
      <c r="D371" s="76"/>
      <c r="E371" s="76"/>
      <c r="F371" s="76"/>
      <c r="G371" s="76"/>
    </row>
    <row r="372" spans="1:7" x14ac:dyDescent="0.25">
      <c r="A372" s="75"/>
      <c r="B372" s="76"/>
      <c r="C372" s="76"/>
      <c r="D372" s="76"/>
      <c r="E372" s="76"/>
      <c r="F372" s="76"/>
      <c r="G372" s="76"/>
    </row>
    <row r="373" spans="1:7" x14ac:dyDescent="0.25">
      <c r="A373" s="75"/>
      <c r="B373" s="76"/>
      <c r="C373" s="76"/>
      <c r="D373" s="76"/>
      <c r="E373" s="76"/>
      <c r="F373" s="76"/>
      <c r="G373" s="76"/>
    </row>
    <row r="374" spans="1:7" x14ac:dyDescent="0.25">
      <c r="A374" s="75"/>
      <c r="B374" s="76"/>
      <c r="C374" s="76"/>
      <c r="D374" s="76"/>
      <c r="E374" s="76"/>
      <c r="F374" s="76"/>
      <c r="G374" s="76"/>
    </row>
    <row r="375" spans="1:7" x14ac:dyDescent="0.25">
      <c r="A375" s="75"/>
      <c r="B375" s="76"/>
      <c r="C375" s="76"/>
      <c r="D375" s="76"/>
      <c r="E375" s="76"/>
      <c r="F375" s="76"/>
      <c r="G375" s="76"/>
    </row>
    <row r="376" spans="1:7" x14ac:dyDescent="0.25">
      <c r="A376" s="75"/>
      <c r="B376" s="76"/>
      <c r="C376" s="76"/>
      <c r="D376" s="76"/>
      <c r="E376" s="76"/>
      <c r="F376" s="76"/>
      <c r="G376" s="76"/>
    </row>
    <row r="377" spans="1:7" x14ac:dyDescent="0.25">
      <c r="A377" s="75"/>
      <c r="B377" s="76"/>
      <c r="C377" s="76"/>
      <c r="D377" s="76"/>
      <c r="E377" s="76"/>
      <c r="F377" s="76"/>
      <c r="G377" s="76"/>
    </row>
    <row r="378" spans="1:7" x14ac:dyDescent="0.25">
      <c r="A378" s="75"/>
      <c r="B378" s="76"/>
      <c r="C378" s="76"/>
      <c r="D378" s="76"/>
      <c r="E378" s="76"/>
      <c r="F378" s="76"/>
      <c r="G378" s="76"/>
    </row>
    <row r="379" spans="1:7" x14ac:dyDescent="0.25">
      <c r="A379" s="75"/>
      <c r="B379" s="76"/>
      <c r="C379" s="76"/>
      <c r="D379" s="76"/>
      <c r="E379" s="76"/>
      <c r="F379" s="76"/>
      <c r="G379" s="76"/>
    </row>
    <row r="380" spans="1:7" x14ac:dyDescent="0.25">
      <c r="A380" s="75"/>
      <c r="B380" s="76"/>
      <c r="C380" s="76"/>
      <c r="D380" s="76"/>
      <c r="E380" s="76"/>
      <c r="F380" s="76"/>
      <c r="G380" s="76"/>
    </row>
    <row r="381" spans="1:7" x14ac:dyDescent="0.25">
      <c r="A381" s="75"/>
      <c r="B381" s="76"/>
      <c r="C381" s="76"/>
      <c r="D381" s="76"/>
      <c r="E381" s="76"/>
      <c r="F381" s="76"/>
      <c r="G381" s="76"/>
    </row>
    <row r="382" spans="1:7" x14ac:dyDescent="0.25">
      <c r="A382" s="75"/>
      <c r="B382" s="76"/>
      <c r="C382" s="76"/>
      <c r="D382" s="76"/>
      <c r="E382" s="76"/>
      <c r="F382" s="76"/>
      <c r="G382" s="76"/>
    </row>
    <row r="383" spans="1:7" x14ac:dyDescent="0.25">
      <c r="A383" s="75"/>
      <c r="B383" s="76"/>
      <c r="C383" s="76"/>
      <c r="D383" s="76"/>
      <c r="E383" s="76"/>
      <c r="F383" s="76"/>
      <c r="G383" s="76"/>
    </row>
    <row r="384" spans="1:7" x14ac:dyDescent="0.25">
      <c r="A384" s="75"/>
      <c r="B384" s="76"/>
      <c r="C384" s="76"/>
      <c r="D384" s="76"/>
      <c r="E384" s="76"/>
      <c r="F384" s="76"/>
      <c r="G384" s="76"/>
    </row>
    <row r="385" spans="1:7" x14ac:dyDescent="0.25">
      <c r="A385" s="75"/>
      <c r="B385" s="76"/>
      <c r="C385" s="76"/>
      <c r="D385" s="76"/>
      <c r="E385" s="76"/>
      <c r="F385" s="76"/>
      <c r="G385" s="76"/>
    </row>
    <row r="386" spans="1:7" x14ac:dyDescent="0.25">
      <c r="A386" s="75"/>
      <c r="B386" s="76"/>
      <c r="C386" s="76"/>
      <c r="D386" s="76"/>
      <c r="E386" s="76"/>
      <c r="F386" s="76"/>
      <c r="G386" s="76"/>
    </row>
    <row r="387" spans="1:7" x14ac:dyDescent="0.25">
      <c r="A387" s="75"/>
      <c r="B387" s="76"/>
      <c r="C387" s="76"/>
      <c r="D387" s="76"/>
      <c r="E387" s="76"/>
      <c r="F387" s="76"/>
      <c r="G387" s="76"/>
    </row>
    <row r="388" spans="1:7" x14ac:dyDescent="0.25">
      <c r="A388" s="75"/>
      <c r="B388" s="76"/>
      <c r="C388" s="76"/>
      <c r="D388" s="76"/>
      <c r="E388" s="76"/>
      <c r="F388" s="76"/>
      <c r="G388" s="76"/>
    </row>
    <row r="389" spans="1:7" x14ac:dyDescent="0.25">
      <c r="A389" s="75"/>
      <c r="B389" s="76"/>
      <c r="C389" s="76"/>
      <c r="D389" s="76"/>
      <c r="E389" s="76"/>
      <c r="F389" s="76"/>
      <c r="G389" s="76"/>
    </row>
    <row r="390" spans="1:7" x14ac:dyDescent="0.25">
      <c r="A390" s="75"/>
      <c r="B390" s="76"/>
      <c r="C390" s="76"/>
      <c r="D390" s="76"/>
      <c r="E390" s="76"/>
      <c r="F390" s="76"/>
      <c r="G390" s="76"/>
    </row>
    <row r="391" spans="1:7" x14ac:dyDescent="0.25">
      <c r="A391" s="75"/>
      <c r="B391" s="76"/>
      <c r="C391" s="76"/>
      <c r="D391" s="76"/>
      <c r="E391" s="76"/>
      <c r="F391" s="76"/>
      <c r="G391" s="76"/>
    </row>
    <row r="392" spans="1:7" x14ac:dyDescent="0.25">
      <c r="A392" s="75"/>
      <c r="B392" s="76"/>
      <c r="C392" s="76"/>
      <c r="D392" s="76"/>
      <c r="E392" s="76"/>
      <c r="F392" s="76"/>
      <c r="G392" s="76"/>
    </row>
    <row r="393" spans="1:7" x14ac:dyDescent="0.25">
      <c r="A393" s="75"/>
      <c r="B393" s="76"/>
      <c r="C393" s="76"/>
      <c r="D393" s="76"/>
      <c r="E393" s="76"/>
      <c r="F393" s="76"/>
      <c r="G393" s="76"/>
    </row>
    <row r="394" spans="1:7" x14ac:dyDescent="0.25">
      <c r="A394" s="75"/>
      <c r="B394" s="76"/>
      <c r="C394" s="76"/>
      <c r="D394" s="76"/>
      <c r="E394" s="76"/>
      <c r="F394" s="76"/>
      <c r="G394" s="76"/>
    </row>
    <row r="395" spans="1:7" x14ac:dyDescent="0.25">
      <c r="A395" s="75"/>
      <c r="B395" s="76"/>
      <c r="C395" s="76"/>
      <c r="D395" s="76"/>
      <c r="E395" s="76"/>
      <c r="F395" s="76"/>
      <c r="G395" s="76"/>
    </row>
    <row r="396" spans="1:7" x14ac:dyDescent="0.25">
      <c r="A396" s="75"/>
      <c r="B396" s="76"/>
      <c r="C396" s="76"/>
      <c r="D396" s="76"/>
      <c r="E396" s="76"/>
      <c r="F396" s="76"/>
      <c r="G396" s="76"/>
    </row>
    <row r="397" spans="1:7" x14ac:dyDescent="0.25">
      <c r="A397" s="75"/>
      <c r="B397" s="76"/>
      <c r="C397" s="76"/>
      <c r="D397" s="76"/>
      <c r="E397" s="76"/>
      <c r="F397" s="76"/>
      <c r="G397" s="76"/>
    </row>
    <row r="398" spans="1:7" x14ac:dyDescent="0.25">
      <c r="A398" s="75"/>
      <c r="B398" s="76"/>
      <c r="C398" s="76"/>
      <c r="D398" s="76"/>
      <c r="E398" s="76"/>
      <c r="F398" s="76"/>
      <c r="G398" s="76"/>
    </row>
    <row r="399" spans="1:7" x14ac:dyDescent="0.25">
      <c r="A399" s="75"/>
      <c r="B399" s="76"/>
      <c r="C399" s="76"/>
      <c r="D399" s="76"/>
      <c r="E399" s="76"/>
      <c r="F399" s="76"/>
      <c r="G399" s="76"/>
    </row>
    <row r="400" spans="1:7" x14ac:dyDescent="0.25">
      <c r="A400" s="75"/>
      <c r="B400" s="76"/>
      <c r="C400" s="76"/>
      <c r="D400" s="76"/>
      <c r="E400" s="76"/>
      <c r="F400" s="76"/>
      <c r="G400" s="76"/>
    </row>
    <row r="401" spans="1:7" x14ac:dyDescent="0.25">
      <c r="A401" s="75"/>
      <c r="B401" s="76"/>
      <c r="C401" s="76"/>
      <c r="D401" s="76"/>
      <c r="E401" s="76"/>
      <c r="F401" s="76"/>
      <c r="G401" s="76"/>
    </row>
    <row r="402" spans="1:7" x14ac:dyDescent="0.25">
      <c r="A402" s="75"/>
      <c r="B402" s="76"/>
      <c r="C402" s="76"/>
      <c r="D402" s="76"/>
      <c r="E402" s="76"/>
      <c r="F402" s="76"/>
      <c r="G402" s="76"/>
    </row>
    <row r="403" spans="1:7" x14ac:dyDescent="0.25">
      <c r="A403" s="75"/>
      <c r="B403" s="76"/>
      <c r="C403" s="76"/>
      <c r="D403" s="76"/>
      <c r="E403" s="76"/>
      <c r="F403" s="76"/>
      <c r="G403" s="76"/>
    </row>
    <row r="404" spans="1:7" x14ac:dyDescent="0.25">
      <c r="A404" s="75"/>
      <c r="B404" s="76"/>
      <c r="C404" s="76"/>
      <c r="D404" s="76"/>
      <c r="E404" s="76"/>
      <c r="F404" s="76"/>
      <c r="G404" s="76"/>
    </row>
    <row r="405" spans="1:7" x14ac:dyDescent="0.25">
      <c r="A405" s="75"/>
      <c r="B405" s="76"/>
      <c r="C405" s="76"/>
      <c r="D405" s="76"/>
      <c r="E405" s="76"/>
      <c r="F405" s="76"/>
      <c r="G405" s="76"/>
    </row>
    <row r="406" spans="1:7" x14ac:dyDescent="0.25">
      <c r="A406" s="75"/>
      <c r="B406" s="76"/>
      <c r="C406" s="76"/>
      <c r="D406" s="76"/>
      <c r="E406" s="76"/>
      <c r="F406" s="76"/>
      <c r="G406" s="76"/>
    </row>
    <row r="407" spans="1:7" x14ac:dyDescent="0.25">
      <c r="A407" s="75"/>
      <c r="B407" s="76"/>
      <c r="C407" s="76"/>
      <c r="D407" s="76"/>
      <c r="E407" s="76"/>
      <c r="F407" s="76"/>
      <c r="G407" s="76"/>
    </row>
    <row r="408" spans="1:7" x14ac:dyDescent="0.25">
      <c r="A408" s="75"/>
      <c r="B408" s="76"/>
      <c r="C408" s="76"/>
      <c r="D408" s="76"/>
      <c r="E408" s="76"/>
      <c r="F408" s="76"/>
      <c r="G408" s="76"/>
    </row>
    <row r="409" spans="1:7" x14ac:dyDescent="0.25">
      <c r="A409" s="75"/>
      <c r="B409" s="76"/>
      <c r="C409" s="76"/>
      <c r="D409" s="76"/>
      <c r="E409" s="76"/>
      <c r="F409" s="76"/>
      <c r="G409" s="76"/>
    </row>
    <row r="410" spans="1:7" x14ac:dyDescent="0.25">
      <c r="A410" s="75"/>
      <c r="B410" s="76"/>
      <c r="C410" s="76"/>
      <c r="D410" s="76"/>
      <c r="E410" s="76"/>
      <c r="F410" s="76"/>
      <c r="G410" s="76"/>
    </row>
    <row r="411" spans="1:7" x14ac:dyDescent="0.25">
      <c r="A411" s="75"/>
      <c r="B411" s="76"/>
      <c r="C411" s="76"/>
      <c r="D411" s="76"/>
      <c r="E411" s="76"/>
      <c r="F411" s="76"/>
      <c r="G411" s="76"/>
    </row>
    <row r="412" spans="1:7" x14ac:dyDescent="0.25">
      <c r="A412" s="75"/>
      <c r="B412" s="76"/>
      <c r="C412" s="76"/>
      <c r="D412" s="76"/>
      <c r="E412" s="76"/>
      <c r="F412" s="76"/>
      <c r="G412" s="76"/>
    </row>
    <row r="413" spans="1:7" x14ac:dyDescent="0.25">
      <c r="A413" s="75"/>
      <c r="B413" s="76"/>
      <c r="C413" s="76"/>
      <c r="D413" s="76"/>
      <c r="E413" s="76"/>
      <c r="F413" s="76"/>
      <c r="G413" s="76"/>
    </row>
    <row r="414" spans="1:7" x14ac:dyDescent="0.25">
      <c r="A414" s="75"/>
      <c r="B414" s="76"/>
      <c r="C414" s="76"/>
      <c r="D414" s="76"/>
      <c r="E414" s="76"/>
      <c r="F414" s="76"/>
      <c r="G414" s="76"/>
    </row>
    <row r="415" spans="1:7" x14ac:dyDescent="0.25">
      <c r="A415" s="75"/>
      <c r="B415" s="76"/>
      <c r="C415" s="76"/>
      <c r="D415" s="76"/>
      <c r="E415" s="76"/>
      <c r="F415" s="76"/>
      <c r="G415" s="76"/>
    </row>
    <row r="416" spans="1:7" x14ac:dyDescent="0.25">
      <c r="A416" s="75"/>
      <c r="B416" s="76"/>
      <c r="C416" s="76"/>
      <c r="D416" s="76"/>
      <c r="E416" s="76"/>
      <c r="F416" s="76"/>
      <c r="G416" s="76"/>
    </row>
    <row r="417" spans="1:7" x14ac:dyDescent="0.25">
      <c r="A417" s="75"/>
      <c r="B417" s="76"/>
      <c r="C417" s="76"/>
      <c r="D417" s="76"/>
      <c r="E417" s="76"/>
      <c r="F417" s="76"/>
      <c r="G417" s="76"/>
    </row>
    <row r="418" spans="1:7" x14ac:dyDescent="0.25">
      <c r="A418" s="75"/>
      <c r="B418" s="76"/>
      <c r="C418" s="76"/>
      <c r="D418" s="76"/>
      <c r="E418" s="76"/>
      <c r="F418" s="76"/>
      <c r="G418" s="76"/>
    </row>
    <row r="419" spans="1:7" x14ac:dyDescent="0.25">
      <c r="A419" s="75"/>
      <c r="B419" s="76"/>
      <c r="C419" s="76"/>
      <c r="D419" s="76"/>
      <c r="E419" s="76"/>
      <c r="F419" s="76"/>
      <c r="G419" s="76"/>
    </row>
    <row r="420" spans="1:7" x14ac:dyDescent="0.25">
      <c r="A420" s="75"/>
      <c r="B420" s="76"/>
      <c r="C420" s="76"/>
      <c r="D420" s="76"/>
      <c r="E420" s="76"/>
      <c r="F420" s="76"/>
      <c r="G420" s="76"/>
    </row>
    <row r="421" spans="1:7" x14ac:dyDescent="0.25">
      <c r="A421" s="75"/>
      <c r="B421" s="76"/>
      <c r="C421" s="76"/>
      <c r="D421" s="76"/>
      <c r="E421" s="76"/>
      <c r="F421" s="76"/>
      <c r="G421" s="76"/>
    </row>
    <row r="422" spans="1:7" x14ac:dyDescent="0.25">
      <c r="A422" s="75"/>
      <c r="B422" s="76"/>
      <c r="C422" s="76"/>
      <c r="D422" s="76"/>
      <c r="E422" s="76"/>
      <c r="F422" s="76"/>
      <c r="G422" s="76"/>
    </row>
    <row r="423" spans="1:7" x14ac:dyDescent="0.25">
      <c r="A423" s="75"/>
      <c r="B423" s="76"/>
      <c r="C423" s="76"/>
      <c r="D423" s="76"/>
      <c r="E423" s="76"/>
      <c r="F423" s="76"/>
      <c r="G423" s="76"/>
    </row>
    <row r="424" spans="1:7" x14ac:dyDescent="0.25">
      <c r="A424" s="75"/>
      <c r="B424" s="76"/>
      <c r="C424" s="76"/>
      <c r="D424" s="76"/>
      <c r="E424" s="76"/>
      <c r="F424" s="76"/>
      <c r="G424" s="76"/>
    </row>
    <row r="425" spans="1:7" x14ac:dyDescent="0.25">
      <c r="A425" s="75"/>
      <c r="B425" s="76"/>
      <c r="C425" s="76"/>
      <c r="D425" s="76"/>
      <c r="E425" s="76"/>
      <c r="F425" s="76"/>
      <c r="G425" s="76"/>
    </row>
    <row r="426" spans="1:7" x14ac:dyDescent="0.25">
      <c r="A426" s="75"/>
      <c r="B426" s="76"/>
      <c r="C426" s="76"/>
      <c r="D426" s="76"/>
      <c r="E426" s="76"/>
      <c r="F426" s="76"/>
      <c r="G426" s="76"/>
    </row>
    <row r="427" spans="1:7" x14ac:dyDescent="0.25">
      <c r="A427" s="75"/>
      <c r="B427" s="76"/>
      <c r="C427" s="76"/>
      <c r="D427" s="76"/>
      <c r="E427" s="76"/>
      <c r="F427" s="76"/>
      <c r="G427" s="76"/>
    </row>
    <row r="428" spans="1:7" x14ac:dyDescent="0.25">
      <c r="A428" s="75"/>
      <c r="B428" s="76"/>
      <c r="C428" s="76"/>
      <c r="D428" s="76"/>
      <c r="E428" s="76"/>
      <c r="F428" s="76"/>
      <c r="G428" s="76"/>
    </row>
    <row r="429" spans="1:7" x14ac:dyDescent="0.25">
      <c r="A429" s="75"/>
      <c r="B429" s="76"/>
      <c r="C429" s="76"/>
      <c r="D429" s="76"/>
      <c r="E429" s="76"/>
      <c r="F429" s="76"/>
      <c r="G429" s="76"/>
    </row>
    <row r="430" spans="1:7" x14ac:dyDescent="0.25">
      <c r="A430" s="75"/>
      <c r="B430" s="76"/>
      <c r="C430" s="76"/>
      <c r="D430" s="76"/>
      <c r="E430" s="76"/>
      <c r="F430" s="76"/>
      <c r="G430" s="76"/>
    </row>
    <row r="431" spans="1:7" x14ac:dyDescent="0.25">
      <c r="A431" s="75"/>
      <c r="B431" s="76"/>
      <c r="C431" s="76"/>
      <c r="D431" s="76"/>
      <c r="E431" s="76"/>
      <c r="F431" s="76"/>
      <c r="G431" s="76"/>
    </row>
    <row r="432" spans="1:7" x14ac:dyDescent="0.25">
      <c r="A432" s="75"/>
      <c r="B432" s="76"/>
      <c r="C432" s="76"/>
      <c r="D432" s="76"/>
      <c r="E432" s="76"/>
      <c r="F432" s="76"/>
      <c r="G432" s="76"/>
    </row>
    <row r="433" spans="1:7" x14ac:dyDescent="0.25">
      <c r="A433" s="75"/>
      <c r="B433" s="76"/>
      <c r="C433" s="76"/>
      <c r="D433" s="76"/>
      <c r="E433" s="76"/>
      <c r="F433" s="76"/>
      <c r="G433" s="76"/>
    </row>
    <row r="434" spans="1:7" x14ac:dyDescent="0.25">
      <c r="A434" s="75"/>
      <c r="B434" s="76"/>
      <c r="C434" s="76"/>
      <c r="D434" s="76"/>
      <c r="E434" s="76"/>
      <c r="F434" s="76"/>
      <c r="G434" s="76"/>
    </row>
    <row r="435" spans="1:7" x14ac:dyDescent="0.25">
      <c r="A435" s="75"/>
      <c r="B435" s="76"/>
      <c r="C435" s="76"/>
      <c r="D435" s="76"/>
      <c r="E435" s="76"/>
      <c r="F435" s="76"/>
      <c r="G435" s="76"/>
    </row>
    <row r="436" spans="1:7" x14ac:dyDescent="0.25">
      <c r="A436" s="75"/>
      <c r="B436" s="76"/>
      <c r="C436" s="76"/>
      <c r="D436" s="76"/>
      <c r="E436" s="76"/>
      <c r="F436" s="76"/>
      <c r="G436" s="76"/>
    </row>
    <row r="437" spans="1:7" x14ac:dyDescent="0.25">
      <c r="A437" s="75"/>
      <c r="B437" s="76"/>
      <c r="C437" s="76"/>
      <c r="D437" s="76"/>
      <c r="E437" s="76"/>
      <c r="F437" s="76"/>
      <c r="G437" s="76"/>
    </row>
    <row r="438" spans="1:7" x14ac:dyDescent="0.25">
      <c r="A438" s="75"/>
      <c r="B438" s="76"/>
      <c r="C438" s="76"/>
      <c r="D438" s="76"/>
      <c r="E438" s="76"/>
      <c r="F438" s="76"/>
      <c r="G438" s="76"/>
    </row>
    <row r="439" spans="1:7" x14ac:dyDescent="0.25">
      <c r="A439" s="75"/>
      <c r="B439" s="76"/>
      <c r="C439" s="76"/>
      <c r="D439" s="76"/>
      <c r="E439" s="76"/>
      <c r="F439" s="76"/>
      <c r="G439" s="76"/>
    </row>
    <row r="440" spans="1:7" x14ac:dyDescent="0.25">
      <c r="A440" s="75"/>
      <c r="B440" s="76"/>
      <c r="C440" s="76"/>
      <c r="D440" s="76"/>
      <c r="E440" s="76"/>
      <c r="F440" s="76"/>
      <c r="G440" s="76"/>
    </row>
    <row r="441" spans="1:7" x14ac:dyDescent="0.25">
      <c r="A441" s="75"/>
      <c r="B441" s="76"/>
      <c r="C441" s="76"/>
      <c r="D441" s="76"/>
      <c r="E441" s="76"/>
      <c r="F441" s="76"/>
      <c r="G441" s="76"/>
    </row>
    <row r="442" spans="1:7" x14ac:dyDescent="0.25">
      <c r="A442" s="75"/>
      <c r="B442" s="76"/>
      <c r="C442" s="76"/>
      <c r="D442" s="76"/>
      <c r="E442" s="76"/>
      <c r="F442" s="76"/>
      <c r="G442" s="76"/>
    </row>
    <row r="443" spans="1:7" x14ac:dyDescent="0.25">
      <c r="A443" s="75"/>
      <c r="B443" s="76"/>
      <c r="C443" s="76"/>
      <c r="D443" s="76"/>
      <c r="E443" s="76"/>
      <c r="F443" s="76"/>
      <c r="G443" s="76"/>
    </row>
    <row r="444" spans="1:7" x14ac:dyDescent="0.25">
      <c r="A444" s="75"/>
      <c r="B444" s="76"/>
      <c r="C444" s="76"/>
      <c r="D444" s="76"/>
      <c r="E444" s="76"/>
      <c r="F444" s="76"/>
      <c r="G444" s="76"/>
    </row>
    <row r="445" spans="1:7" x14ac:dyDescent="0.25">
      <c r="A445" s="75"/>
      <c r="B445" s="76"/>
      <c r="C445" s="76"/>
      <c r="D445" s="76"/>
      <c r="E445" s="76"/>
      <c r="F445" s="76"/>
      <c r="G445" s="76"/>
    </row>
    <row r="446" spans="1:7" x14ac:dyDescent="0.25">
      <c r="A446" s="75"/>
      <c r="B446" s="76"/>
      <c r="C446" s="76"/>
      <c r="D446" s="76"/>
      <c r="E446" s="76"/>
      <c r="F446" s="76"/>
      <c r="G446" s="76"/>
    </row>
    <row r="447" spans="1:7" x14ac:dyDescent="0.25">
      <c r="A447" s="75"/>
      <c r="B447" s="76"/>
      <c r="C447" s="76"/>
      <c r="D447" s="76"/>
      <c r="E447" s="76"/>
      <c r="F447" s="76"/>
      <c r="G447" s="76"/>
    </row>
    <row r="448" spans="1:7" x14ac:dyDescent="0.25">
      <c r="A448" s="75"/>
      <c r="B448" s="76"/>
      <c r="C448" s="76"/>
      <c r="D448" s="76"/>
      <c r="E448" s="76"/>
      <c r="F448" s="76"/>
      <c r="G448" s="76"/>
    </row>
    <row r="449" spans="1:7" x14ac:dyDescent="0.25">
      <c r="A449" s="75"/>
      <c r="B449" s="76"/>
      <c r="C449" s="76"/>
      <c r="D449" s="76"/>
      <c r="E449" s="76"/>
      <c r="F449" s="76"/>
      <c r="G449" s="76"/>
    </row>
    <row r="450" spans="1:7" x14ac:dyDescent="0.25">
      <c r="A450" s="75"/>
      <c r="B450" s="76"/>
      <c r="C450" s="76"/>
      <c r="D450" s="76"/>
      <c r="E450" s="76"/>
      <c r="F450" s="76"/>
      <c r="G450" s="76"/>
    </row>
    <row r="451" spans="1:7" x14ac:dyDescent="0.25">
      <c r="A451" s="75"/>
      <c r="B451" s="76"/>
      <c r="C451" s="76"/>
      <c r="D451" s="76"/>
      <c r="E451" s="76"/>
      <c r="F451" s="76"/>
      <c r="G451" s="76"/>
    </row>
    <row r="452" spans="1:7" x14ac:dyDescent="0.25">
      <c r="A452" s="75"/>
      <c r="B452" s="76"/>
      <c r="C452" s="76"/>
      <c r="D452" s="76"/>
      <c r="E452" s="76"/>
      <c r="F452" s="76"/>
      <c r="G452" s="76"/>
    </row>
    <row r="453" spans="1:7" x14ac:dyDescent="0.25">
      <c r="A453" s="75"/>
      <c r="B453" s="76"/>
      <c r="C453" s="76"/>
      <c r="D453" s="76"/>
      <c r="E453" s="76"/>
      <c r="F453" s="76"/>
      <c r="G453" s="76"/>
    </row>
    <row r="454" spans="1:7" x14ac:dyDescent="0.25">
      <c r="A454" s="75"/>
      <c r="B454" s="76"/>
      <c r="C454" s="76"/>
      <c r="D454" s="76"/>
      <c r="E454" s="76"/>
      <c r="F454" s="76"/>
      <c r="G454" s="76"/>
    </row>
    <row r="455" spans="1:7" x14ac:dyDescent="0.25">
      <c r="A455" s="75"/>
      <c r="B455" s="76"/>
      <c r="C455" s="76"/>
      <c r="D455" s="76"/>
      <c r="E455" s="76"/>
      <c r="F455" s="76"/>
      <c r="G455" s="76"/>
    </row>
    <row r="456" spans="1:7" x14ac:dyDescent="0.25">
      <c r="A456" s="75"/>
      <c r="B456" s="76"/>
      <c r="C456" s="76"/>
      <c r="D456" s="76"/>
      <c r="E456" s="76"/>
      <c r="F456" s="76"/>
      <c r="G456" s="76"/>
    </row>
    <row r="457" spans="1:7" x14ac:dyDescent="0.25">
      <c r="A457" s="75"/>
      <c r="B457" s="76"/>
      <c r="C457" s="76"/>
      <c r="D457" s="76"/>
      <c r="E457" s="76"/>
      <c r="F457" s="76"/>
      <c r="G457" s="76"/>
    </row>
    <row r="458" spans="1:7" x14ac:dyDescent="0.25">
      <c r="A458" s="75"/>
      <c r="B458" s="76"/>
      <c r="C458" s="76"/>
      <c r="D458" s="76"/>
      <c r="E458" s="76"/>
      <c r="F458" s="76"/>
      <c r="G458" s="76"/>
    </row>
    <row r="459" spans="1:7" x14ac:dyDescent="0.25">
      <c r="A459" s="75"/>
      <c r="B459" s="76"/>
      <c r="C459" s="76"/>
      <c r="D459" s="76"/>
      <c r="E459" s="76"/>
      <c r="F459" s="76"/>
      <c r="G459" s="76"/>
    </row>
    <row r="460" spans="1:7" x14ac:dyDescent="0.25">
      <c r="A460" s="75"/>
      <c r="B460" s="76"/>
      <c r="C460" s="76"/>
      <c r="D460" s="76"/>
      <c r="E460" s="76"/>
      <c r="F460" s="76"/>
      <c r="G460" s="76"/>
    </row>
    <row r="461" spans="1:7" x14ac:dyDescent="0.25">
      <c r="A461" s="75"/>
      <c r="B461" s="76"/>
      <c r="C461" s="76"/>
      <c r="D461" s="76"/>
      <c r="E461" s="76"/>
      <c r="F461" s="76"/>
      <c r="G461" s="76"/>
    </row>
    <row r="462" spans="1:7" x14ac:dyDescent="0.25">
      <c r="A462" s="75"/>
      <c r="B462" s="76"/>
      <c r="C462" s="76"/>
      <c r="D462" s="76"/>
      <c r="E462" s="76"/>
      <c r="F462" s="76"/>
      <c r="G462" s="76"/>
    </row>
    <row r="463" spans="1:7" x14ac:dyDescent="0.25">
      <c r="A463" s="75"/>
      <c r="B463" s="76"/>
      <c r="C463" s="76"/>
      <c r="D463" s="76"/>
      <c r="E463" s="76"/>
      <c r="F463" s="76"/>
      <c r="G463" s="76"/>
    </row>
    <row r="464" spans="1:7" x14ac:dyDescent="0.25">
      <c r="A464" s="75"/>
      <c r="B464" s="76"/>
      <c r="C464" s="76"/>
      <c r="D464" s="76"/>
      <c r="E464" s="76"/>
      <c r="F464" s="76"/>
      <c r="G464" s="76"/>
    </row>
    <row r="465" spans="1:7" x14ac:dyDescent="0.25">
      <c r="A465" s="75"/>
      <c r="B465" s="76"/>
      <c r="C465" s="76"/>
      <c r="D465" s="76"/>
      <c r="E465" s="76"/>
      <c r="F465" s="76"/>
      <c r="G465" s="76"/>
    </row>
    <row r="466" spans="1:7" x14ac:dyDescent="0.25">
      <c r="A466" s="75"/>
      <c r="B466" s="76"/>
      <c r="C466" s="76"/>
      <c r="D466" s="76"/>
      <c r="E466" s="76"/>
      <c r="F466" s="76"/>
      <c r="G466" s="76"/>
    </row>
    <row r="467" spans="1:7" x14ac:dyDescent="0.25">
      <c r="A467" s="75"/>
      <c r="B467" s="76"/>
      <c r="C467" s="76"/>
      <c r="D467" s="76"/>
      <c r="E467" s="76"/>
      <c r="F467" s="76"/>
      <c r="G467" s="76"/>
    </row>
    <row r="468" spans="1:7" x14ac:dyDescent="0.25">
      <c r="A468" s="75"/>
      <c r="B468" s="76"/>
      <c r="C468" s="76"/>
      <c r="D468" s="76"/>
      <c r="E468" s="76"/>
      <c r="F468" s="76"/>
      <c r="G468" s="76"/>
    </row>
    <row r="469" spans="1:7" x14ac:dyDescent="0.25">
      <c r="A469" s="75"/>
      <c r="B469" s="76"/>
      <c r="C469" s="76"/>
      <c r="D469" s="76"/>
      <c r="E469" s="76"/>
      <c r="F469" s="76"/>
      <c r="G469" s="76"/>
    </row>
    <row r="470" spans="1:7" x14ac:dyDescent="0.25">
      <c r="A470" s="75"/>
      <c r="B470" s="76"/>
      <c r="C470" s="76"/>
      <c r="D470" s="76"/>
      <c r="E470" s="76"/>
      <c r="F470" s="76"/>
      <c r="G470" s="76"/>
    </row>
    <row r="471" spans="1:7" x14ac:dyDescent="0.25">
      <c r="A471" s="75"/>
      <c r="B471" s="76"/>
      <c r="C471" s="76"/>
      <c r="D471" s="76"/>
      <c r="E471" s="76"/>
      <c r="F471" s="76"/>
      <c r="G471" s="76"/>
    </row>
    <row r="472" spans="1:7" x14ac:dyDescent="0.25">
      <c r="A472" s="75"/>
      <c r="B472" s="76"/>
      <c r="C472" s="76"/>
      <c r="D472" s="76"/>
      <c r="E472" s="76"/>
      <c r="F472" s="76"/>
      <c r="G472" s="76"/>
    </row>
    <row r="473" spans="1:7" x14ac:dyDescent="0.25">
      <c r="A473" s="75"/>
      <c r="B473" s="76"/>
      <c r="C473" s="76"/>
      <c r="D473" s="76"/>
      <c r="E473" s="76"/>
      <c r="F473" s="76"/>
      <c r="G473" s="76"/>
    </row>
    <row r="474" spans="1:7" x14ac:dyDescent="0.25">
      <c r="A474" s="75"/>
      <c r="B474" s="76"/>
      <c r="C474" s="76"/>
      <c r="D474" s="76"/>
      <c r="E474" s="76"/>
      <c r="F474" s="76"/>
      <c r="G474" s="76"/>
    </row>
    <row r="475" spans="1:7" x14ac:dyDescent="0.25">
      <c r="A475" s="75"/>
      <c r="B475" s="76"/>
      <c r="C475" s="76"/>
      <c r="D475" s="76"/>
      <c r="E475" s="76"/>
      <c r="F475" s="76"/>
      <c r="G475" s="76"/>
    </row>
    <row r="476" spans="1:7" x14ac:dyDescent="0.25">
      <c r="A476" s="75"/>
      <c r="B476" s="76"/>
      <c r="C476" s="76"/>
      <c r="D476" s="76"/>
      <c r="E476" s="76"/>
      <c r="F476" s="76"/>
      <c r="G476" s="76"/>
    </row>
    <row r="477" spans="1:7" x14ac:dyDescent="0.25">
      <c r="A477" s="75"/>
      <c r="B477" s="76"/>
      <c r="C477" s="76"/>
      <c r="D477" s="76"/>
      <c r="E477" s="76"/>
      <c r="F477" s="76"/>
      <c r="G477" s="76"/>
    </row>
    <row r="478" spans="1:7" x14ac:dyDescent="0.25">
      <c r="A478" s="75"/>
      <c r="B478" s="76"/>
      <c r="C478" s="76"/>
      <c r="D478" s="76"/>
      <c r="E478" s="76"/>
      <c r="F478" s="76"/>
      <c r="G478" s="76"/>
    </row>
    <row r="479" spans="1:7" x14ac:dyDescent="0.25">
      <c r="A479" s="75"/>
      <c r="B479" s="76"/>
      <c r="C479" s="76"/>
      <c r="D479" s="76"/>
      <c r="E479" s="76"/>
      <c r="F479" s="76"/>
      <c r="G479" s="76"/>
    </row>
    <row r="480" spans="1:7" x14ac:dyDescent="0.25">
      <c r="A480" s="75"/>
      <c r="B480" s="76"/>
      <c r="C480" s="76"/>
      <c r="D480" s="76"/>
      <c r="E480" s="76"/>
      <c r="F480" s="76"/>
      <c r="G480" s="76"/>
    </row>
    <row r="481" spans="1:7" x14ac:dyDescent="0.25">
      <c r="A481" s="75"/>
      <c r="B481" s="76"/>
      <c r="C481" s="76"/>
      <c r="D481" s="76"/>
      <c r="E481" s="76"/>
      <c r="F481" s="76"/>
      <c r="G481" s="76"/>
    </row>
    <row r="482" spans="1:7" x14ac:dyDescent="0.25">
      <c r="A482" s="75"/>
      <c r="B482" s="76"/>
      <c r="C482" s="76"/>
      <c r="D482" s="76"/>
      <c r="E482" s="76"/>
      <c r="F482" s="76"/>
      <c r="G482" s="76"/>
    </row>
    <row r="483" spans="1:7" x14ac:dyDescent="0.25">
      <c r="A483" s="75"/>
      <c r="B483" s="76"/>
      <c r="C483" s="76"/>
      <c r="D483" s="76"/>
      <c r="E483" s="76"/>
      <c r="F483" s="76"/>
      <c r="G483" s="76"/>
    </row>
    <row r="484" spans="1:7" x14ac:dyDescent="0.25">
      <c r="A484" s="75"/>
      <c r="B484" s="76"/>
      <c r="C484" s="76"/>
      <c r="D484" s="76"/>
      <c r="E484" s="76"/>
      <c r="F484" s="76"/>
      <c r="G484" s="76"/>
    </row>
    <row r="485" spans="1:7" x14ac:dyDescent="0.25">
      <c r="A485" s="75"/>
      <c r="B485" s="76"/>
      <c r="C485" s="76"/>
      <c r="D485" s="76"/>
      <c r="E485" s="76"/>
      <c r="F485" s="76"/>
      <c r="G485" s="76"/>
    </row>
    <row r="486" spans="1:7" x14ac:dyDescent="0.25">
      <c r="A486" s="75"/>
      <c r="B486" s="76"/>
      <c r="C486" s="76"/>
      <c r="D486" s="76"/>
      <c r="E486" s="76"/>
      <c r="F486" s="76"/>
      <c r="G486" s="76"/>
    </row>
    <row r="487" spans="1:7" x14ac:dyDescent="0.25">
      <c r="A487" s="75"/>
      <c r="B487" s="76"/>
      <c r="C487" s="76"/>
      <c r="D487" s="76"/>
      <c r="E487" s="76"/>
      <c r="F487" s="76"/>
      <c r="G487" s="76"/>
    </row>
    <row r="488" spans="1:7" x14ac:dyDescent="0.25">
      <c r="A488" s="75"/>
      <c r="B488" s="76"/>
      <c r="C488" s="76"/>
      <c r="D488" s="76"/>
      <c r="E488" s="76"/>
      <c r="F488" s="76"/>
      <c r="G488" s="76"/>
    </row>
    <row r="489" spans="1:7" x14ac:dyDescent="0.25">
      <c r="A489" s="75"/>
      <c r="B489" s="76"/>
      <c r="C489" s="76"/>
      <c r="D489" s="76"/>
      <c r="E489" s="76"/>
      <c r="F489" s="76"/>
      <c r="G489" s="76"/>
    </row>
    <row r="490" spans="1:7" x14ac:dyDescent="0.25">
      <c r="A490" s="75"/>
      <c r="B490" s="76"/>
      <c r="C490" s="76"/>
      <c r="D490" s="76"/>
      <c r="E490" s="76"/>
      <c r="F490" s="76"/>
      <c r="G490" s="76"/>
    </row>
    <row r="491" spans="1:7" x14ac:dyDescent="0.25">
      <c r="A491" s="75"/>
      <c r="B491" s="76"/>
      <c r="C491" s="76"/>
      <c r="D491" s="76"/>
      <c r="E491" s="76"/>
      <c r="F491" s="76"/>
      <c r="G491" s="76"/>
    </row>
    <row r="492" spans="1:7" x14ac:dyDescent="0.25">
      <c r="A492" s="75"/>
      <c r="B492" s="76"/>
      <c r="C492" s="76"/>
      <c r="D492" s="76"/>
      <c r="E492" s="76"/>
      <c r="F492" s="76"/>
      <c r="G492" s="76"/>
    </row>
    <row r="493" spans="1:7" x14ac:dyDescent="0.25">
      <c r="A493" s="75"/>
      <c r="B493" s="76"/>
      <c r="C493" s="76"/>
      <c r="D493" s="76"/>
      <c r="E493" s="76"/>
      <c r="F493" s="76"/>
      <c r="G493" s="76"/>
    </row>
    <row r="494" spans="1:7" x14ac:dyDescent="0.25">
      <c r="A494" s="75"/>
      <c r="B494" s="76"/>
      <c r="C494" s="76"/>
      <c r="D494" s="76"/>
      <c r="E494" s="76"/>
      <c r="F494" s="76"/>
      <c r="G494" s="76"/>
    </row>
    <row r="495" spans="1:7" x14ac:dyDescent="0.25">
      <c r="A495" s="75"/>
      <c r="B495" s="76"/>
      <c r="C495" s="76"/>
      <c r="D495" s="76"/>
      <c r="E495" s="76"/>
      <c r="F495" s="76"/>
      <c r="G495" s="76"/>
    </row>
    <row r="496" spans="1:7" x14ac:dyDescent="0.25">
      <c r="A496" s="75"/>
      <c r="B496" s="76"/>
      <c r="C496" s="76"/>
      <c r="D496" s="76"/>
      <c r="E496" s="76"/>
      <c r="F496" s="76"/>
      <c r="G496" s="76"/>
    </row>
    <row r="497" spans="1:7" x14ac:dyDescent="0.25">
      <c r="A497" s="75"/>
      <c r="B497" s="76"/>
      <c r="C497" s="76"/>
      <c r="D497" s="76"/>
      <c r="E497" s="76"/>
      <c r="F497" s="76"/>
      <c r="G497" s="76"/>
    </row>
    <row r="498" spans="1:7" x14ac:dyDescent="0.25">
      <c r="A498" s="75"/>
      <c r="B498" s="76"/>
      <c r="C498" s="76"/>
      <c r="D498" s="76"/>
      <c r="E498" s="76"/>
      <c r="F498" s="76"/>
      <c r="G498" s="76"/>
    </row>
    <row r="499" spans="1:7" x14ac:dyDescent="0.25">
      <c r="A499" s="75"/>
      <c r="B499" s="76"/>
      <c r="C499" s="76"/>
      <c r="D499" s="76"/>
      <c r="E499" s="76"/>
      <c r="F499" s="76"/>
      <c r="G499" s="76"/>
    </row>
    <row r="500" spans="1:7" x14ac:dyDescent="0.25">
      <c r="A500" s="75"/>
      <c r="B500" s="76"/>
      <c r="C500" s="76"/>
      <c r="D500" s="76"/>
      <c r="E500" s="76"/>
      <c r="F500" s="76"/>
      <c r="G500" s="76"/>
    </row>
    <row r="501" spans="1:7" x14ac:dyDescent="0.25">
      <c r="A501" s="75"/>
      <c r="B501" s="76"/>
      <c r="C501" s="76"/>
      <c r="D501" s="76"/>
      <c r="E501" s="76"/>
      <c r="F501" s="76"/>
      <c r="G501" s="76"/>
    </row>
    <row r="502" spans="1:7" x14ac:dyDescent="0.25">
      <c r="A502" s="75"/>
      <c r="B502" s="76"/>
      <c r="C502" s="76"/>
      <c r="D502" s="76"/>
      <c r="E502" s="76"/>
      <c r="F502" s="76"/>
      <c r="G502" s="76"/>
    </row>
    <row r="503" spans="1:7" x14ac:dyDescent="0.25">
      <c r="A503" s="75"/>
      <c r="B503" s="76"/>
      <c r="C503" s="76"/>
      <c r="D503" s="76"/>
      <c r="E503" s="76"/>
      <c r="F503" s="76"/>
      <c r="G503" s="76"/>
    </row>
    <row r="504" spans="1:7" x14ac:dyDescent="0.25">
      <c r="A504" s="75"/>
      <c r="B504" s="76"/>
      <c r="C504" s="76"/>
      <c r="D504" s="76"/>
      <c r="E504" s="76"/>
      <c r="F504" s="76"/>
      <c r="G504" s="76"/>
    </row>
    <row r="505" spans="1:7" x14ac:dyDescent="0.25">
      <c r="A505" s="75"/>
      <c r="B505" s="76"/>
      <c r="C505" s="76"/>
      <c r="D505" s="76"/>
      <c r="E505" s="76"/>
      <c r="F505" s="76"/>
      <c r="G505" s="76"/>
    </row>
    <row r="506" spans="1:7" x14ac:dyDescent="0.25">
      <c r="A506" s="75"/>
      <c r="B506" s="76"/>
      <c r="C506" s="76"/>
      <c r="D506" s="76"/>
      <c r="E506" s="76"/>
      <c r="F506" s="76"/>
      <c r="G506" s="76"/>
    </row>
    <row r="507" spans="1:7" x14ac:dyDescent="0.25">
      <c r="A507" s="75"/>
      <c r="B507" s="76"/>
      <c r="C507" s="76"/>
      <c r="D507" s="76"/>
      <c r="E507" s="76"/>
      <c r="F507" s="76"/>
      <c r="G507" s="76"/>
    </row>
    <row r="508" spans="1:7" x14ac:dyDescent="0.25">
      <c r="A508" s="75"/>
      <c r="B508" s="76"/>
      <c r="C508" s="76"/>
      <c r="D508" s="76"/>
      <c r="E508" s="76"/>
      <c r="F508" s="76"/>
      <c r="G508" s="76"/>
    </row>
    <row r="509" spans="1:7" x14ac:dyDescent="0.25">
      <c r="A509" s="75"/>
      <c r="B509" s="76"/>
      <c r="C509" s="76"/>
      <c r="D509" s="76"/>
      <c r="E509" s="76"/>
      <c r="F509" s="76"/>
      <c r="G509" s="76"/>
    </row>
    <row r="510" spans="1:7" x14ac:dyDescent="0.25">
      <c r="A510" s="75"/>
      <c r="B510" s="76"/>
      <c r="C510" s="76"/>
      <c r="D510" s="76"/>
      <c r="E510" s="76"/>
      <c r="F510" s="76"/>
      <c r="G510" s="76"/>
    </row>
    <row r="511" spans="1:7" x14ac:dyDescent="0.25">
      <c r="A511" s="75"/>
      <c r="B511" s="76"/>
      <c r="C511" s="76"/>
      <c r="D511" s="76"/>
      <c r="E511" s="76"/>
      <c r="F511" s="76"/>
      <c r="G511" s="76"/>
    </row>
    <row r="512" spans="1:7" x14ac:dyDescent="0.25">
      <c r="A512" s="75"/>
      <c r="B512" s="76"/>
      <c r="C512" s="76"/>
      <c r="D512" s="76"/>
      <c r="E512" s="76"/>
      <c r="F512" s="76"/>
      <c r="G512" s="76"/>
    </row>
    <row r="513" spans="1:7" x14ac:dyDescent="0.25">
      <c r="A513" s="75"/>
      <c r="B513" s="76"/>
      <c r="C513" s="76"/>
      <c r="D513" s="76"/>
      <c r="E513" s="76"/>
      <c r="F513" s="76"/>
      <c r="G513" s="76"/>
    </row>
    <row r="514" spans="1:7" x14ac:dyDescent="0.25">
      <c r="A514" s="75"/>
      <c r="B514" s="76"/>
      <c r="C514" s="76"/>
      <c r="D514" s="76"/>
      <c r="E514" s="76"/>
      <c r="F514" s="76"/>
      <c r="G514" s="76"/>
    </row>
    <row r="515" spans="1:7" x14ac:dyDescent="0.25">
      <c r="A515" s="75"/>
      <c r="B515" s="76"/>
      <c r="C515" s="76"/>
      <c r="D515" s="76"/>
      <c r="E515" s="76"/>
      <c r="F515" s="76"/>
      <c r="G515" s="76"/>
    </row>
    <row r="516" spans="1:7" x14ac:dyDescent="0.25">
      <c r="A516" s="75"/>
      <c r="B516" s="76"/>
      <c r="C516" s="76"/>
      <c r="D516" s="76"/>
      <c r="E516" s="76"/>
      <c r="F516" s="76"/>
      <c r="G516" s="76"/>
    </row>
    <row r="517" spans="1:7" x14ac:dyDescent="0.25">
      <c r="A517" s="75"/>
      <c r="B517" s="76"/>
      <c r="C517" s="76"/>
      <c r="D517" s="76"/>
      <c r="E517" s="76"/>
      <c r="F517" s="76"/>
      <c r="G517" s="76"/>
    </row>
    <row r="518" spans="1:7" x14ac:dyDescent="0.25">
      <c r="A518" s="75"/>
      <c r="B518" s="76"/>
      <c r="C518" s="76"/>
      <c r="D518" s="76"/>
      <c r="E518" s="76"/>
      <c r="F518" s="76"/>
      <c r="G518" s="76"/>
    </row>
    <row r="519" spans="1:7" x14ac:dyDescent="0.25">
      <c r="A519" s="75"/>
      <c r="B519" s="76"/>
      <c r="C519" s="76"/>
      <c r="D519" s="76"/>
      <c r="E519" s="76"/>
      <c r="F519" s="76"/>
      <c r="G519" s="76"/>
    </row>
    <row r="520" spans="1:7" x14ac:dyDescent="0.25">
      <c r="A520" s="75"/>
      <c r="B520" s="76"/>
      <c r="C520" s="76"/>
      <c r="D520" s="76"/>
      <c r="E520" s="76"/>
      <c r="F520" s="76"/>
      <c r="G520" s="76"/>
    </row>
    <row r="521" spans="1:7" x14ac:dyDescent="0.25">
      <c r="A521" s="75"/>
      <c r="B521" s="76"/>
      <c r="C521" s="76"/>
      <c r="D521" s="76"/>
      <c r="E521" s="76"/>
      <c r="F521" s="76"/>
      <c r="G521" s="76"/>
    </row>
    <row r="522" spans="1:7" x14ac:dyDescent="0.25">
      <c r="A522" s="75"/>
      <c r="B522" s="76"/>
      <c r="C522" s="76"/>
      <c r="D522" s="76"/>
      <c r="E522" s="76"/>
      <c r="F522" s="76"/>
      <c r="G522" s="76"/>
    </row>
    <row r="523" spans="1:7" x14ac:dyDescent="0.25">
      <c r="A523" s="75"/>
      <c r="B523" s="76"/>
      <c r="C523" s="76"/>
      <c r="D523" s="76"/>
      <c r="E523" s="76"/>
      <c r="F523" s="76"/>
      <c r="G523" s="76"/>
    </row>
    <row r="524" spans="1:7" x14ac:dyDescent="0.25">
      <c r="A524" s="75"/>
      <c r="B524" s="76"/>
      <c r="C524" s="76"/>
      <c r="D524" s="76"/>
      <c r="E524" s="76"/>
      <c r="F524" s="76"/>
      <c r="G524" s="76"/>
    </row>
    <row r="525" spans="1:7" x14ac:dyDescent="0.25">
      <c r="A525" s="75"/>
      <c r="B525" s="76"/>
      <c r="C525" s="76"/>
      <c r="D525" s="76"/>
      <c r="E525" s="76"/>
      <c r="F525" s="76"/>
      <c r="G525" s="76"/>
    </row>
    <row r="526" spans="1:7" x14ac:dyDescent="0.25">
      <c r="A526" s="75"/>
      <c r="B526" s="76"/>
      <c r="C526" s="76"/>
      <c r="D526" s="76"/>
      <c r="E526" s="76"/>
      <c r="F526" s="76"/>
      <c r="G526" s="76"/>
    </row>
    <row r="527" spans="1:7" x14ac:dyDescent="0.25">
      <c r="A527" s="75"/>
      <c r="B527" s="76"/>
      <c r="C527" s="76"/>
      <c r="D527" s="76"/>
      <c r="E527" s="76"/>
      <c r="F527" s="76"/>
      <c r="G527" s="76"/>
    </row>
    <row r="528" spans="1:7" x14ac:dyDescent="0.25">
      <c r="A528" s="75"/>
      <c r="B528" s="76"/>
      <c r="C528" s="76"/>
      <c r="D528" s="76"/>
      <c r="E528" s="76"/>
      <c r="F528" s="76"/>
      <c r="G528" s="76"/>
    </row>
    <row r="529" spans="1:7" x14ac:dyDescent="0.25">
      <c r="A529" s="75"/>
      <c r="B529" s="76"/>
      <c r="C529" s="76"/>
      <c r="D529" s="76"/>
      <c r="E529" s="76"/>
      <c r="F529" s="76"/>
      <c r="G529" s="76"/>
    </row>
    <row r="530" spans="1:7" x14ac:dyDescent="0.25">
      <c r="A530" s="75"/>
      <c r="B530" s="76"/>
      <c r="C530" s="76"/>
      <c r="D530" s="76"/>
      <c r="E530" s="76"/>
      <c r="F530" s="76"/>
      <c r="G530" s="76"/>
    </row>
    <row r="531" spans="1:7" x14ac:dyDescent="0.25">
      <c r="A531" s="75"/>
      <c r="B531" s="76"/>
      <c r="C531" s="76"/>
      <c r="D531" s="76"/>
      <c r="E531" s="76"/>
      <c r="F531" s="76"/>
      <c r="G531" s="76"/>
    </row>
    <row r="532" spans="1:7" x14ac:dyDescent="0.25">
      <c r="A532" s="75"/>
      <c r="B532" s="76"/>
      <c r="C532" s="76"/>
      <c r="D532" s="76"/>
      <c r="E532" s="76"/>
      <c r="F532" s="76"/>
      <c r="G532" s="76"/>
    </row>
    <row r="533" spans="1:7" x14ac:dyDescent="0.25">
      <c r="A533" s="75"/>
      <c r="B533" s="76"/>
      <c r="C533" s="76"/>
      <c r="D533" s="76"/>
      <c r="E533" s="76"/>
      <c r="F533" s="76"/>
      <c r="G533" s="76"/>
    </row>
    <row r="534" spans="1:7" x14ac:dyDescent="0.25">
      <c r="A534" s="75"/>
      <c r="B534" s="76"/>
      <c r="C534" s="76"/>
      <c r="D534" s="76"/>
      <c r="E534" s="76"/>
      <c r="F534" s="76"/>
      <c r="G534" s="76"/>
    </row>
    <row r="535" spans="1:7" x14ac:dyDescent="0.25">
      <c r="A535" s="75"/>
      <c r="B535" s="76"/>
      <c r="C535" s="76"/>
      <c r="D535" s="76"/>
      <c r="E535" s="76"/>
      <c r="F535" s="76"/>
      <c r="G535" s="76"/>
    </row>
    <row r="536" spans="1:7" x14ac:dyDescent="0.25">
      <c r="A536" s="75"/>
      <c r="B536" s="76"/>
      <c r="C536" s="76"/>
      <c r="D536" s="76"/>
      <c r="E536" s="76"/>
      <c r="F536" s="76"/>
      <c r="G536" s="76"/>
    </row>
    <row r="537" spans="1:7" x14ac:dyDescent="0.25">
      <c r="A537" s="75"/>
      <c r="B537" s="76"/>
      <c r="C537" s="76"/>
      <c r="D537" s="76"/>
      <c r="E537" s="76"/>
      <c r="F537" s="76"/>
      <c r="G537" s="76"/>
    </row>
    <row r="538" spans="1:7" x14ac:dyDescent="0.25">
      <c r="A538" s="75"/>
      <c r="B538" s="76"/>
      <c r="C538" s="76"/>
      <c r="D538" s="76"/>
      <c r="E538" s="76"/>
      <c r="F538" s="76"/>
      <c r="G538" s="76"/>
    </row>
    <row r="539" spans="1:7" x14ac:dyDescent="0.25">
      <c r="A539" s="75"/>
      <c r="B539" s="76"/>
      <c r="C539" s="76"/>
      <c r="D539" s="76"/>
      <c r="E539" s="76"/>
      <c r="F539" s="76"/>
      <c r="G539" s="76"/>
    </row>
    <row r="540" spans="1:7" x14ac:dyDescent="0.25">
      <c r="A540" s="75"/>
      <c r="B540" s="76"/>
      <c r="C540" s="76"/>
      <c r="D540" s="76"/>
      <c r="E540" s="76"/>
      <c r="F540" s="76"/>
      <c r="G540" s="76"/>
    </row>
    <row r="541" spans="1:7" x14ac:dyDescent="0.25">
      <c r="A541" s="75"/>
      <c r="B541" s="76"/>
      <c r="C541" s="76"/>
      <c r="D541" s="76"/>
      <c r="E541" s="76"/>
      <c r="F541" s="76"/>
      <c r="G541" s="76"/>
    </row>
    <row r="542" spans="1:7" x14ac:dyDescent="0.25">
      <c r="A542" s="75"/>
      <c r="B542" s="76"/>
      <c r="C542" s="76"/>
      <c r="D542" s="76"/>
      <c r="E542" s="76"/>
      <c r="F542" s="76"/>
      <c r="G542" s="76"/>
    </row>
    <row r="543" spans="1:7" x14ac:dyDescent="0.25">
      <c r="A543" s="75"/>
      <c r="B543" s="76"/>
      <c r="C543" s="76"/>
      <c r="D543" s="76"/>
      <c r="E543" s="76"/>
      <c r="F543" s="76"/>
      <c r="G543" s="76"/>
    </row>
    <row r="544" spans="1:7" x14ac:dyDescent="0.25">
      <c r="A544" s="75"/>
      <c r="B544" s="76"/>
      <c r="C544" s="76"/>
      <c r="D544" s="76"/>
      <c r="E544" s="76"/>
      <c r="F544" s="76"/>
      <c r="G544" s="76"/>
    </row>
    <row r="545" spans="1:7" x14ac:dyDescent="0.25">
      <c r="A545" s="75"/>
      <c r="B545" s="76"/>
      <c r="C545" s="76"/>
      <c r="D545" s="76"/>
      <c r="E545" s="76"/>
      <c r="F545" s="76"/>
      <c r="G545" s="76"/>
    </row>
    <row r="546" spans="1:7" x14ac:dyDescent="0.25">
      <c r="A546" s="75"/>
      <c r="B546" s="76"/>
      <c r="C546" s="76"/>
      <c r="D546" s="76"/>
      <c r="E546" s="76"/>
      <c r="F546" s="76"/>
      <c r="G546" s="76"/>
    </row>
    <row r="547" spans="1:7" x14ac:dyDescent="0.25">
      <c r="A547" s="75"/>
      <c r="B547" s="76"/>
      <c r="C547" s="76"/>
      <c r="D547" s="76"/>
      <c r="E547" s="76"/>
      <c r="F547" s="76"/>
      <c r="G547" s="76"/>
    </row>
    <row r="548" spans="1:7" x14ac:dyDescent="0.25">
      <c r="A548" s="75"/>
      <c r="B548" s="76"/>
      <c r="C548" s="76"/>
      <c r="D548" s="76"/>
      <c r="E548" s="76"/>
      <c r="F548" s="76"/>
      <c r="G548" s="76"/>
    </row>
    <row r="549" spans="1:7" x14ac:dyDescent="0.25">
      <c r="A549" s="75"/>
      <c r="B549" s="76"/>
      <c r="C549" s="76"/>
      <c r="D549" s="76"/>
      <c r="E549" s="76"/>
      <c r="F549" s="76"/>
      <c r="G549" s="76"/>
    </row>
    <row r="550" spans="1:7" x14ac:dyDescent="0.25">
      <c r="A550" s="75"/>
      <c r="B550" s="76"/>
      <c r="C550" s="76"/>
      <c r="D550" s="76"/>
      <c r="E550" s="76"/>
      <c r="F550" s="76"/>
      <c r="G550" s="76"/>
    </row>
    <row r="551" spans="1:7" x14ac:dyDescent="0.25">
      <c r="A551" s="75"/>
      <c r="B551" s="76"/>
      <c r="C551" s="76"/>
      <c r="D551" s="76"/>
      <c r="E551" s="76"/>
      <c r="F551" s="76"/>
      <c r="G551" s="76"/>
    </row>
    <row r="552" spans="1:7" x14ac:dyDescent="0.25">
      <c r="A552" s="75"/>
      <c r="B552" s="76"/>
      <c r="C552" s="76"/>
      <c r="D552" s="76"/>
      <c r="E552" s="76"/>
      <c r="F552" s="76"/>
      <c r="G552" s="76"/>
    </row>
    <row r="553" spans="1:7" x14ac:dyDescent="0.25">
      <c r="A553" s="75"/>
      <c r="B553" s="76"/>
      <c r="C553" s="76"/>
      <c r="D553" s="76"/>
      <c r="E553" s="76"/>
      <c r="F553" s="76"/>
      <c r="G553" s="76"/>
    </row>
    <row r="554" spans="1:7" x14ac:dyDescent="0.25">
      <c r="A554" s="75"/>
      <c r="B554" s="76"/>
      <c r="C554" s="76"/>
      <c r="D554" s="76"/>
      <c r="E554" s="76"/>
      <c r="F554" s="76"/>
      <c r="G554" s="76"/>
    </row>
    <row r="555" spans="1:7" x14ac:dyDescent="0.25">
      <c r="A555" s="75"/>
      <c r="B555" s="76"/>
      <c r="C555" s="76"/>
      <c r="D555" s="76"/>
      <c r="E555" s="76"/>
      <c r="F555" s="76"/>
      <c r="G555" s="76"/>
    </row>
    <row r="556" spans="1:7" x14ac:dyDescent="0.25">
      <c r="A556" s="75"/>
      <c r="B556" s="76"/>
      <c r="C556" s="76"/>
      <c r="D556" s="76"/>
      <c r="E556" s="76"/>
      <c r="F556" s="76"/>
      <c r="G556" s="76"/>
    </row>
    <row r="557" spans="1:7" x14ac:dyDescent="0.25">
      <c r="A557" s="75"/>
      <c r="B557" s="76"/>
      <c r="C557" s="76"/>
      <c r="D557" s="76"/>
      <c r="E557" s="76"/>
      <c r="F557" s="76"/>
      <c r="G557" s="76"/>
    </row>
    <row r="558" spans="1:7" x14ac:dyDescent="0.25">
      <c r="A558" s="75"/>
      <c r="B558" s="76"/>
      <c r="C558" s="76"/>
      <c r="D558" s="76"/>
      <c r="E558" s="76"/>
      <c r="F558" s="76"/>
      <c r="G558" s="76"/>
    </row>
    <row r="559" spans="1:7" x14ac:dyDescent="0.25">
      <c r="A559" s="75"/>
      <c r="B559" s="76"/>
      <c r="C559" s="76"/>
      <c r="D559" s="76"/>
      <c r="E559" s="76"/>
      <c r="F559" s="76"/>
      <c r="G559" s="76"/>
    </row>
    <row r="560" spans="1:7" x14ac:dyDescent="0.25">
      <c r="A560" s="75"/>
      <c r="B560" s="76"/>
      <c r="C560" s="76"/>
      <c r="D560" s="76"/>
      <c r="E560" s="76"/>
      <c r="F560" s="76"/>
      <c r="G560" s="76"/>
    </row>
    <row r="561" spans="1:7" x14ac:dyDescent="0.25">
      <c r="A561" s="75"/>
      <c r="B561" s="76"/>
      <c r="C561" s="76"/>
      <c r="D561" s="76"/>
      <c r="E561" s="76"/>
      <c r="F561" s="76"/>
      <c r="G561" s="76"/>
    </row>
    <row r="562" spans="1:7" x14ac:dyDescent="0.25">
      <c r="A562" s="75"/>
      <c r="B562" s="76"/>
      <c r="C562" s="76"/>
      <c r="D562" s="76"/>
      <c r="E562" s="76"/>
      <c r="F562" s="76"/>
      <c r="G562" s="76"/>
    </row>
    <row r="563" spans="1:7" x14ac:dyDescent="0.25">
      <c r="A563" s="75"/>
      <c r="B563" s="76"/>
      <c r="C563" s="76"/>
      <c r="D563" s="76"/>
      <c r="E563" s="76"/>
      <c r="F563" s="76"/>
      <c r="G563" s="76"/>
    </row>
    <row r="564" spans="1:7" x14ac:dyDescent="0.25">
      <c r="A564" s="75"/>
      <c r="B564" s="76"/>
      <c r="C564" s="76"/>
      <c r="D564" s="76"/>
      <c r="E564" s="76"/>
      <c r="F564" s="76"/>
      <c r="G564" s="76"/>
    </row>
    <row r="565" spans="1:7" x14ac:dyDescent="0.25">
      <c r="A565" s="75"/>
      <c r="B565" s="76"/>
      <c r="C565" s="76"/>
      <c r="D565" s="76"/>
      <c r="E565" s="76"/>
      <c r="F565" s="76"/>
      <c r="G565" s="76"/>
    </row>
    <row r="566" spans="1:7" x14ac:dyDescent="0.25">
      <c r="A566" s="75"/>
      <c r="B566" s="76"/>
      <c r="C566" s="76"/>
      <c r="D566" s="76"/>
      <c r="E566" s="76"/>
      <c r="F566" s="76"/>
      <c r="G566" s="76"/>
    </row>
    <row r="567" spans="1:7" x14ac:dyDescent="0.25">
      <c r="A567" s="75"/>
      <c r="B567" s="76"/>
      <c r="C567" s="76"/>
      <c r="D567" s="76"/>
      <c r="E567" s="76"/>
      <c r="F567" s="76"/>
      <c r="G567" s="76"/>
    </row>
    <row r="568" spans="1:7" x14ac:dyDescent="0.25">
      <c r="A568" s="75"/>
      <c r="B568" s="76"/>
      <c r="C568" s="76"/>
      <c r="D568" s="76"/>
      <c r="E568" s="76"/>
      <c r="F568" s="76"/>
      <c r="G568" s="76"/>
    </row>
    <row r="569" spans="1:7" x14ac:dyDescent="0.25">
      <c r="A569" s="75"/>
      <c r="B569" s="76"/>
      <c r="C569" s="76"/>
      <c r="D569" s="76"/>
      <c r="E569" s="76"/>
      <c r="F569" s="76"/>
      <c r="G569" s="76"/>
    </row>
    <row r="570" spans="1:7" x14ac:dyDescent="0.25">
      <c r="A570" s="75"/>
      <c r="B570" s="76"/>
      <c r="C570" s="76"/>
      <c r="D570" s="76"/>
      <c r="E570" s="76"/>
      <c r="F570" s="76"/>
      <c r="G570" s="76"/>
    </row>
    <row r="571" spans="1:7" x14ac:dyDescent="0.25">
      <c r="A571" s="75"/>
      <c r="B571" s="76"/>
      <c r="C571" s="76"/>
      <c r="D571" s="76"/>
      <c r="E571" s="76"/>
      <c r="F571" s="76"/>
      <c r="G571" s="76"/>
    </row>
    <row r="572" spans="1:7" x14ac:dyDescent="0.25">
      <c r="A572" s="75"/>
      <c r="B572" s="76"/>
      <c r="C572" s="76"/>
      <c r="D572" s="76"/>
      <c r="E572" s="76"/>
      <c r="F572" s="76"/>
      <c r="G572" s="76"/>
    </row>
    <row r="573" spans="1:7" x14ac:dyDescent="0.25">
      <c r="A573" s="75"/>
      <c r="B573" s="76"/>
      <c r="C573" s="76"/>
      <c r="D573" s="76"/>
      <c r="E573" s="76"/>
      <c r="F573" s="76"/>
      <c r="G573" s="76"/>
    </row>
    <row r="574" spans="1:7" x14ac:dyDescent="0.25">
      <c r="A574" s="75"/>
      <c r="B574" s="76"/>
      <c r="C574" s="76"/>
      <c r="D574" s="76"/>
      <c r="E574" s="76"/>
      <c r="F574" s="76"/>
      <c r="G574" s="76"/>
    </row>
    <row r="575" spans="1:7" x14ac:dyDescent="0.25">
      <c r="A575" s="75"/>
      <c r="B575" s="76"/>
      <c r="C575" s="76"/>
      <c r="D575" s="76"/>
      <c r="E575" s="76"/>
      <c r="F575" s="76"/>
      <c r="G575" s="76"/>
    </row>
    <row r="576" spans="1:7" x14ac:dyDescent="0.25">
      <c r="A576" s="75"/>
      <c r="B576" s="76"/>
      <c r="C576" s="76"/>
      <c r="D576" s="76"/>
      <c r="E576" s="76"/>
      <c r="F576" s="76"/>
      <c r="G576" s="76"/>
    </row>
    <row r="577" spans="1:7" x14ac:dyDescent="0.25">
      <c r="A577" s="75"/>
      <c r="B577" s="76"/>
      <c r="C577" s="76"/>
      <c r="D577" s="76"/>
      <c r="E577" s="76"/>
      <c r="F577" s="76"/>
      <c r="G577" s="76"/>
    </row>
    <row r="578" spans="1:7" x14ac:dyDescent="0.25">
      <c r="A578" s="75"/>
      <c r="B578" s="76"/>
      <c r="C578" s="76"/>
      <c r="D578" s="76"/>
      <c r="E578" s="76"/>
      <c r="F578" s="76"/>
      <c r="G578" s="76"/>
    </row>
    <row r="579" spans="1:7" x14ac:dyDescent="0.25">
      <c r="A579" s="75"/>
      <c r="B579" s="76"/>
      <c r="C579" s="76"/>
      <c r="D579" s="76"/>
      <c r="E579" s="76"/>
      <c r="F579" s="76"/>
      <c r="G579" s="76"/>
    </row>
    <row r="580" spans="1:7" x14ac:dyDescent="0.25">
      <c r="A580" s="75"/>
      <c r="B580" s="76"/>
      <c r="C580" s="76"/>
      <c r="D580" s="76"/>
      <c r="E580" s="76"/>
      <c r="F580" s="76"/>
      <c r="G580" s="76"/>
    </row>
    <row r="581" spans="1:7" x14ac:dyDescent="0.25">
      <c r="A581" s="75"/>
      <c r="B581" s="76"/>
      <c r="C581" s="76"/>
      <c r="D581" s="76"/>
      <c r="E581" s="76"/>
      <c r="F581" s="76"/>
      <c r="G581" s="76"/>
    </row>
    <row r="582" spans="1:7" x14ac:dyDescent="0.25">
      <c r="A582" s="75"/>
      <c r="B582" s="76"/>
      <c r="C582" s="76"/>
      <c r="D582" s="76"/>
      <c r="E582" s="76"/>
      <c r="F582" s="76"/>
      <c r="G582" s="76"/>
    </row>
    <row r="583" spans="1:7" x14ac:dyDescent="0.25">
      <c r="A583" s="75"/>
      <c r="B583" s="76"/>
      <c r="C583" s="76"/>
      <c r="D583" s="76"/>
      <c r="E583" s="76"/>
      <c r="F583" s="76"/>
      <c r="G583" s="76"/>
    </row>
    <row r="584" spans="1:7" x14ac:dyDescent="0.25">
      <c r="A584" s="75"/>
      <c r="B584" s="76"/>
      <c r="C584" s="76"/>
      <c r="D584" s="76"/>
      <c r="E584" s="76"/>
      <c r="F584" s="76"/>
      <c r="G584" s="76"/>
    </row>
    <row r="585" spans="1:7" x14ac:dyDescent="0.25">
      <c r="A585" s="75"/>
      <c r="B585" s="76"/>
      <c r="C585" s="76"/>
      <c r="D585" s="76"/>
      <c r="E585" s="76"/>
      <c r="F585" s="76"/>
      <c r="G585" s="76"/>
    </row>
    <row r="586" spans="1:7" x14ac:dyDescent="0.25">
      <c r="A586" s="75"/>
      <c r="B586" s="76"/>
      <c r="C586" s="76"/>
      <c r="D586" s="76"/>
      <c r="E586" s="76"/>
      <c r="F586" s="76"/>
      <c r="G586" s="76"/>
    </row>
    <row r="587" spans="1:7" x14ac:dyDescent="0.25">
      <c r="A587" s="75"/>
      <c r="B587" s="76"/>
      <c r="C587" s="76"/>
      <c r="D587" s="76"/>
      <c r="E587" s="76"/>
      <c r="F587" s="76"/>
      <c r="G587" s="76"/>
    </row>
    <row r="588" spans="1:7" x14ac:dyDescent="0.25">
      <c r="A588" s="75"/>
      <c r="B588" s="76"/>
      <c r="C588" s="76"/>
      <c r="D588" s="76"/>
      <c r="E588" s="76"/>
      <c r="F588" s="76"/>
      <c r="G588" s="76"/>
    </row>
    <row r="589" spans="1:7" x14ac:dyDescent="0.25">
      <c r="A589" s="75"/>
      <c r="B589" s="76"/>
      <c r="C589" s="76"/>
      <c r="D589" s="76"/>
      <c r="E589" s="76"/>
      <c r="F589" s="76"/>
      <c r="G589" s="76"/>
    </row>
    <row r="590" spans="1:7" x14ac:dyDescent="0.25">
      <c r="A590" s="75"/>
      <c r="B590" s="76"/>
      <c r="C590" s="76"/>
      <c r="D590" s="76"/>
      <c r="E590" s="76"/>
      <c r="F590" s="76"/>
      <c r="G590" s="76"/>
    </row>
    <row r="591" spans="1:7" x14ac:dyDescent="0.25">
      <c r="A591" s="75"/>
      <c r="B591" s="76"/>
      <c r="C591" s="76"/>
      <c r="D591" s="76"/>
      <c r="E591" s="76"/>
      <c r="F591" s="76"/>
      <c r="G591" s="76"/>
    </row>
    <row r="592" spans="1:7" x14ac:dyDescent="0.25">
      <c r="A592" s="75"/>
      <c r="B592" s="76"/>
      <c r="C592" s="76"/>
      <c r="D592" s="76"/>
      <c r="E592" s="76"/>
      <c r="F592" s="76"/>
      <c r="G592" s="76"/>
    </row>
    <row r="593" spans="1:7" x14ac:dyDescent="0.25">
      <c r="A593" s="75"/>
      <c r="B593" s="76"/>
      <c r="C593" s="76"/>
      <c r="D593" s="76"/>
      <c r="E593" s="76"/>
      <c r="F593" s="76"/>
      <c r="G593" s="76"/>
    </row>
    <row r="594" spans="1:7" x14ac:dyDescent="0.25">
      <c r="A594" s="75"/>
      <c r="B594" s="76"/>
      <c r="C594" s="76"/>
      <c r="D594" s="76"/>
      <c r="E594" s="76"/>
      <c r="F594" s="76"/>
      <c r="G594" s="76"/>
    </row>
    <row r="595" spans="1:7" x14ac:dyDescent="0.25">
      <c r="A595" s="75"/>
      <c r="B595" s="76"/>
      <c r="C595" s="76"/>
      <c r="D595" s="76"/>
      <c r="E595" s="76"/>
      <c r="F595" s="76"/>
      <c r="G595" s="76"/>
    </row>
    <row r="596" spans="1:7" x14ac:dyDescent="0.25">
      <c r="A596" s="75"/>
      <c r="B596" s="76"/>
      <c r="C596" s="76"/>
      <c r="D596" s="76"/>
      <c r="E596" s="76"/>
      <c r="F596" s="76"/>
      <c r="G596" s="76"/>
    </row>
    <row r="597" spans="1:7" x14ac:dyDescent="0.25">
      <c r="A597" s="75"/>
      <c r="B597" s="76"/>
      <c r="C597" s="76"/>
      <c r="D597" s="76"/>
      <c r="E597" s="76"/>
      <c r="F597" s="76"/>
      <c r="G597" s="76"/>
    </row>
    <row r="598" spans="1:7" x14ac:dyDescent="0.25">
      <c r="A598" s="75"/>
      <c r="B598" s="76"/>
      <c r="C598" s="76"/>
      <c r="D598" s="76"/>
      <c r="E598" s="76"/>
      <c r="F598" s="76"/>
      <c r="G598" s="76"/>
    </row>
    <row r="599" spans="1:7" x14ac:dyDescent="0.25">
      <c r="A599" s="75"/>
      <c r="B599" s="76"/>
      <c r="C599" s="76"/>
      <c r="D599" s="76"/>
      <c r="E599" s="76"/>
      <c r="F599" s="76"/>
      <c r="G599" s="76"/>
    </row>
    <row r="600" spans="1:7" x14ac:dyDescent="0.25">
      <c r="A600" s="75"/>
      <c r="B600" s="76"/>
      <c r="C600" s="76"/>
      <c r="D600" s="76"/>
      <c r="E600" s="76"/>
      <c r="F600" s="76"/>
      <c r="G600" s="76"/>
    </row>
    <row r="601" spans="1:7" x14ac:dyDescent="0.25">
      <c r="A601" s="75"/>
      <c r="B601" s="76"/>
      <c r="C601" s="76"/>
      <c r="D601" s="76"/>
      <c r="E601" s="76"/>
      <c r="F601" s="76"/>
      <c r="G601" s="76"/>
    </row>
    <row r="602" spans="1:7" x14ac:dyDescent="0.25">
      <c r="A602" s="75"/>
      <c r="B602" s="76"/>
      <c r="C602" s="76"/>
      <c r="D602" s="76"/>
      <c r="E602" s="76"/>
      <c r="F602" s="76"/>
      <c r="G602" s="76"/>
    </row>
    <row r="603" spans="1:7" x14ac:dyDescent="0.25">
      <c r="A603" s="75"/>
      <c r="B603" s="76"/>
      <c r="C603" s="76"/>
      <c r="D603" s="76"/>
      <c r="E603" s="76"/>
      <c r="F603" s="76"/>
      <c r="G603" s="76"/>
    </row>
    <row r="604" spans="1:7" x14ac:dyDescent="0.25">
      <c r="A604" s="75"/>
      <c r="B604" s="76"/>
      <c r="C604" s="76"/>
      <c r="D604" s="76"/>
      <c r="E604" s="76"/>
      <c r="F604" s="76"/>
      <c r="G604" s="76"/>
    </row>
    <row r="605" spans="1:7" x14ac:dyDescent="0.25">
      <c r="A605" s="75"/>
      <c r="B605" s="76"/>
      <c r="C605" s="76"/>
      <c r="D605" s="76"/>
      <c r="E605" s="76"/>
      <c r="F605" s="76"/>
      <c r="G605" s="76"/>
    </row>
    <row r="606" spans="1:7" x14ac:dyDescent="0.25">
      <c r="A606" s="75"/>
      <c r="B606" s="76"/>
      <c r="C606" s="76"/>
      <c r="D606" s="76"/>
      <c r="E606" s="76"/>
      <c r="F606" s="76"/>
      <c r="G606" s="76"/>
    </row>
    <row r="607" spans="1:7" x14ac:dyDescent="0.25">
      <c r="A607" s="75"/>
      <c r="B607" s="76"/>
      <c r="C607" s="76"/>
      <c r="D607" s="76"/>
      <c r="E607" s="76"/>
      <c r="F607" s="76"/>
      <c r="G607" s="76"/>
    </row>
    <row r="608" spans="1:7" x14ac:dyDescent="0.25">
      <c r="A608" s="75"/>
      <c r="B608" s="76"/>
      <c r="C608" s="76"/>
      <c r="D608" s="76"/>
      <c r="E608" s="76"/>
      <c r="F608" s="76"/>
      <c r="G608" s="76"/>
    </row>
    <row r="609" spans="1:7" x14ac:dyDescent="0.25">
      <c r="A609" s="75"/>
      <c r="B609" s="76"/>
      <c r="C609" s="76"/>
      <c r="D609" s="76"/>
      <c r="E609" s="76"/>
      <c r="F609" s="76"/>
      <c r="G609" s="76"/>
    </row>
    <row r="610" spans="1:7" x14ac:dyDescent="0.25">
      <c r="A610" s="75"/>
      <c r="B610" s="76"/>
      <c r="C610" s="76"/>
      <c r="D610" s="76"/>
      <c r="E610" s="76"/>
      <c r="F610" s="76"/>
      <c r="G610" s="76"/>
    </row>
    <row r="611" spans="1:7" x14ac:dyDescent="0.25">
      <c r="A611" s="75"/>
      <c r="B611" s="76"/>
      <c r="C611" s="76"/>
      <c r="D611" s="76"/>
      <c r="E611" s="76"/>
      <c r="F611" s="76"/>
      <c r="G611" s="76"/>
    </row>
    <row r="612" spans="1:7" x14ac:dyDescent="0.25">
      <c r="A612" s="75"/>
      <c r="B612" s="76"/>
      <c r="C612" s="76"/>
      <c r="D612" s="76"/>
      <c r="E612" s="76"/>
      <c r="F612" s="76"/>
      <c r="G612" s="76"/>
    </row>
    <row r="613" spans="1:7" x14ac:dyDescent="0.25">
      <c r="A613" s="75"/>
      <c r="B613" s="76"/>
      <c r="C613" s="76"/>
      <c r="D613" s="76"/>
      <c r="E613" s="76"/>
      <c r="F613" s="76"/>
      <c r="G613" s="76"/>
    </row>
    <row r="614" spans="1:7" x14ac:dyDescent="0.25">
      <c r="A614" s="75"/>
      <c r="B614" s="76"/>
      <c r="C614" s="76"/>
      <c r="D614" s="76"/>
      <c r="E614" s="76"/>
      <c r="F614" s="76"/>
      <c r="G614" s="76"/>
    </row>
    <row r="615" spans="1:7" x14ac:dyDescent="0.25">
      <c r="A615" s="75"/>
      <c r="B615" s="76"/>
      <c r="C615" s="76"/>
      <c r="D615" s="76"/>
      <c r="E615" s="76"/>
      <c r="F615" s="76"/>
      <c r="G615" s="76"/>
    </row>
    <row r="616" spans="1:7" x14ac:dyDescent="0.25">
      <c r="A616" s="75"/>
      <c r="B616" s="76"/>
      <c r="C616" s="76"/>
      <c r="D616" s="76"/>
      <c r="E616" s="76"/>
      <c r="F616" s="76"/>
      <c r="G616" s="76"/>
    </row>
    <row r="617" spans="1:7" x14ac:dyDescent="0.25">
      <c r="A617" s="75"/>
      <c r="B617" s="76"/>
      <c r="C617" s="76"/>
      <c r="D617" s="76"/>
      <c r="E617" s="76"/>
      <c r="F617" s="76"/>
      <c r="G617" s="76"/>
    </row>
    <row r="618" spans="1:7" x14ac:dyDescent="0.25">
      <c r="A618" s="75"/>
      <c r="B618" s="76"/>
      <c r="C618" s="76"/>
      <c r="D618" s="76"/>
      <c r="E618" s="76"/>
      <c r="F618" s="76"/>
      <c r="G618" s="76"/>
    </row>
    <row r="619" spans="1:7" x14ac:dyDescent="0.25">
      <c r="A619" s="75"/>
      <c r="B619" s="76"/>
      <c r="C619" s="76"/>
      <c r="D619" s="76"/>
      <c r="E619" s="76"/>
      <c r="F619" s="76"/>
      <c r="G619" s="76"/>
    </row>
    <row r="620" spans="1:7" x14ac:dyDescent="0.25">
      <c r="A620" s="75"/>
      <c r="B620" s="76"/>
      <c r="C620" s="76"/>
      <c r="D620" s="76"/>
      <c r="E620" s="76"/>
      <c r="F620" s="76"/>
      <c r="G620" s="76"/>
    </row>
    <row r="621" spans="1:7" x14ac:dyDescent="0.25">
      <c r="A621" s="75"/>
      <c r="B621" s="76"/>
      <c r="C621" s="76"/>
      <c r="D621" s="76"/>
      <c r="E621" s="76"/>
      <c r="F621" s="76"/>
      <c r="G621" s="76"/>
    </row>
    <row r="622" spans="1:7" x14ac:dyDescent="0.25">
      <c r="A622" s="75"/>
      <c r="B622" s="76"/>
      <c r="C622" s="76"/>
      <c r="D622" s="76"/>
      <c r="E622" s="76"/>
      <c r="F622" s="76"/>
      <c r="G622" s="76"/>
    </row>
    <row r="623" spans="1:7" x14ac:dyDescent="0.25">
      <c r="A623" s="75"/>
      <c r="B623" s="76"/>
      <c r="C623" s="76"/>
      <c r="D623" s="76"/>
      <c r="E623" s="76"/>
      <c r="F623" s="76"/>
      <c r="G623" s="76"/>
    </row>
    <row r="624" spans="1:7" x14ac:dyDescent="0.25">
      <c r="A624" s="75"/>
      <c r="B624" s="76"/>
      <c r="C624" s="76"/>
      <c r="D624" s="76"/>
      <c r="E624" s="76"/>
      <c r="F624" s="76"/>
      <c r="G624" s="76"/>
    </row>
    <row r="625" spans="1:7" x14ac:dyDescent="0.25">
      <c r="A625" s="75"/>
      <c r="B625" s="76"/>
      <c r="C625" s="76"/>
      <c r="D625" s="76"/>
      <c r="E625" s="76"/>
      <c r="F625" s="76"/>
      <c r="G625" s="76"/>
    </row>
    <row r="626" spans="1:7" x14ac:dyDescent="0.25">
      <c r="A626" s="75"/>
      <c r="B626" s="76"/>
      <c r="C626" s="76"/>
      <c r="D626" s="76"/>
      <c r="E626" s="76"/>
      <c r="F626" s="76"/>
      <c r="G626" s="76"/>
    </row>
    <row r="627" spans="1:7" x14ac:dyDescent="0.25">
      <c r="A627" s="75"/>
      <c r="B627" s="76"/>
      <c r="C627" s="76"/>
      <c r="D627" s="76"/>
      <c r="E627" s="76"/>
      <c r="F627" s="76"/>
      <c r="G627" s="76"/>
    </row>
    <row r="628" spans="1:7" x14ac:dyDescent="0.25">
      <c r="A628" s="75"/>
      <c r="B628" s="76"/>
      <c r="C628" s="76"/>
      <c r="D628" s="76"/>
      <c r="E628" s="76"/>
      <c r="F628" s="76"/>
      <c r="G628" s="76"/>
    </row>
    <row r="629" spans="1:7" x14ac:dyDescent="0.25">
      <c r="A629" s="75"/>
      <c r="B629" s="76"/>
      <c r="C629" s="76"/>
      <c r="D629" s="76"/>
      <c r="E629" s="76"/>
      <c r="F629" s="76"/>
      <c r="G629" s="76"/>
    </row>
    <row r="630" spans="1:7" x14ac:dyDescent="0.25">
      <c r="A630" s="75"/>
      <c r="B630" s="76"/>
      <c r="C630" s="76"/>
      <c r="D630" s="76"/>
      <c r="E630" s="76"/>
      <c r="F630" s="76"/>
      <c r="G630" s="76"/>
    </row>
    <row r="631" spans="1:7" x14ac:dyDescent="0.25">
      <c r="A631" s="75"/>
      <c r="B631" s="76"/>
      <c r="C631" s="76"/>
      <c r="D631" s="76"/>
      <c r="E631" s="76"/>
      <c r="F631" s="76"/>
      <c r="G631" s="76"/>
    </row>
    <row r="632" spans="1:7" x14ac:dyDescent="0.25">
      <c r="A632" s="75"/>
      <c r="B632" s="76"/>
      <c r="C632" s="76"/>
      <c r="D632" s="76"/>
      <c r="E632" s="76"/>
      <c r="F632" s="76"/>
      <c r="G632" s="76"/>
    </row>
    <row r="633" spans="1:7" x14ac:dyDescent="0.25">
      <c r="A633" s="75"/>
      <c r="B633" s="76"/>
      <c r="C633" s="76"/>
      <c r="D633" s="76"/>
      <c r="E633" s="76"/>
      <c r="F633" s="76"/>
      <c r="G633" s="76"/>
    </row>
    <row r="634" spans="1:7" x14ac:dyDescent="0.25">
      <c r="A634" s="75"/>
      <c r="B634" s="76"/>
      <c r="C634" s="76"/>
      <c r="D634" s="76"/>
      <c r="E634" s="76"/>
      <c r="F634" s="76"/>
      <c r="G634" s="76"/>
    </row>
    <row r="635" spans="1:7" x14ac:dyDescent="0.25">
      <c r="A635" s="75"/>
      <c r="B635" s="76"/>
      <c r="C635" s="76"/>
      <c r="D635" s="76"/>
      <c r="E635" s="76"/>
      <c r="F635" s="76"/>
      <c r="G635" s="76"/>
    </row>
    <row r="636" spans="1:7" x14ac:dyDescent="0.25">
      <c r="A636" s="75"/>
      <c r="B636" s="76"/>
      <c r="C636" s="76"/>
      <c r="D636" s="76"/>
      <c r="E636" s="76"/>
      <c r="F636" s="76"/>
      <c r="G636" s="76"/>
    </row>
    <row r="637" spans="1:7" x14ac:dyDescent="0.25">
      <c r="A637" s="75"/>
      <c r="B637" s="76"/>
      <c r="C637" s="76"/>
      <c r="D637" s="76"/>
      <c r="E637" s="76"/>
      <c r="F637" s="76"/>
      <c r="G637" s="76"/>
    </row>
    <row r="638" spans="1:7" x14ac:dyDescent="0.25">
      <c r="A638" s="75"/>
      <c r="B638" s="76"/>
      <c r="C638" s="76"/>
      <c r="D638" s="76"/>
      <c r="E638" s="76"/>
      <c r="F638" s="76"/>
      <c r="G638" s="76"/>
    </row>
    <row r="639" spans="1:7" x14ac:dyDescent="0.25">
      <c r="A639" s="75"/>
      <c r="B639" s="76"/>
      <c r="C639" s="76"/>
      <c r="D639" s="76"/>
      <c r="E639" s="76"/>
      <c r="F639" s="76"/>
      <c r="G639" s="76"/>
    </row>
    <row r="640" spans="1:7" x14ac:dyDescent="0.25">
      <c r="A640" s="75"/>
      <c r="B640" s="76"/>
      <c r="C640" s="76"/>
      <c r="D640" s="76"/>
      <c r="E640" s="76"/>
      <c r="F640" s="76"/>
      <c r="G640" s="76"/>
    </row>
    <row r="641" spans="1:7" x14ac:dyDescent="0.25">
      <c r="A641" s="75"/>
      <c r="B641" s="76"/>
      <c r="C641" s="76"/>
      <c r="D641" s="76"/>
      <c r="E641" s="76"/>
      <c r="F641" s="76"/>
      <c r="G641" s="76"/>
    </row>
    <row r="642" spans="1:7" x14ac:dyDescent="0.25">
      <c r="A642" s="75"/>
      <c r="B642" s="76"/>
      <c r="C642" s="76"/>
      <c r="D642" s="76"/>
      <c r="E642" s="76"/>
      <c r="F642" s="76"/>
      <c r="G642" s="76"/>
    </row>
    <row r="643" spans="1:7" x14ac:dyDescent="0.25">
      <c r="A643" s="75"/>
      <c r="B643" s="76"/>
      <c r="C643" s="76"/>
      <c r="D643" s="76"/>
      <c r="E643" s="76"/>
      <c r="F643" s="76"/>
      <c r="G643" s="76"/>
    </row>
    <row r="644" spans="1:7" x14ac:dyDescent="0.25">
      <c r="A644" s="75"/>
      <c r="B644" s="76"/>
      <c r="C644" s="76"/>
      <c r="D644" s="76"/>
      <c r="E644" s="76"/>
      <c r="F644" s="76"/>
      <c r="G644" s="76"/>
    </row>
    <row r="645" spans="1:7" x14ac:dyDescent="0.25">
      <c r="A645" s="75"/>
      <c r="B645" s="76"/>
      <c r="C645" s="76"/>
      <c r="D645" s="76"/>
      <c r="E645" s="76"/>
      <c r="F645" s="76"/>
      <c r="G645" s="76"/>
    </row>
    <row r="646" spans="1:7" x14ac:dyDescent="0.25">
      <c r="A646" s="75"/>
      <c r="B646" s="76"/>
      <c r="C646" s="76"/>
      <c r="D646" s="76"/>
      <c r="E646" s="76"/>
      <c r="F646" s="76"/>
      <c r="G646" s="76"/>
    </row>
    <row r="647" spans="1:7" x14ac:dyDescent="0.25">
      <c r="A647" s="75"/>
      <c r="B647" s="76"/>
      <c r="C647" s="76"/>
      <c r="D647" s="76"/>
      <c r="E647" s="76"/>
      <c r="F647" s="76"/>
      <c r="G647" s="76"/>
    </row>
    <row r="648" spans="1:7" x14ac:dyDescent="0.25">
      <c r="A648" s="75"/>
      <c r="B648" s="76"/>
      <c r="C648" s="76"/>
      <c r="D648" s="76"/>
      <c r="E648" s="76"/>
      <c r="F648" s="76"/>
      <c r="G648" s="76"/>
    </row>
    <row r="649" spans="1:7" x14ac:dyDescent="0.25">
      <c r="A649" s="75"/>
      <c r="B649" s="76"/>
      <c r="C649" s="76"/>
      <c r="D649" s="76"/>
      <c r="E649" s="76"/>
      <c r="F649" s="76"/>
      <c r="G649" s="76"/>
    </row>
    <row r="650" spans="1:7" x14ac:dyDescent="0.25">
      <c r="A650" s="75"/>
      <c r="B650" s="76"/>
      <c r="C650" s="76"/>
      <c r="D650" s="76"/>
      <c r="E650" s="76"/>
      <c r="F650" s="76"/>
      <c r="G650" s="76"/>
    </row>
    <row r="651" spans="1:7" x14ac:dyDescent="0.25">
      <c r="A651" s="75"/>
      <c r="B651" s="76"/>
      <c r="C651" s="76"/>
      <c r="D651" s="76"/>
      <c r="E651" s="76"/>
      <c r="F651" s="76"/>
      <c r="G651" s="76"/>
    </row>
    <row r="652" spans="1:7" x14ac:dyDescent="0.25">
      <c r="A652" s="75"/>
      <c r="B652" s="76"/>
      <c r="C652" s="76"/>
      <c r="D652" s="76"/>
      <c r="E652" s="76"/>
      <c r="F652" s="76"/>
      <c r="G652" s="76"/>
    </row>
    <row r="653" spans="1:7" x14ac:dyDescent="0.25">
      <c r="A653" s="75"/>
      <c r="B653" s="76"/>
      <c r="C653" s="76"/>
      <c r="D653" s="76"/>
      <c r="E653" s="76"/>
      <c r="F653" s="76"/>
      <c r="G653" s="76"/>
    </row>
    <row r="654" spans="1:7" x14ac:dyDescent="0.25">
      <c r="A654" s="75"/>
      <c r="B654" s="76"/>
      <c r="C654" s="76"/>
      <c r="D654" s="76"/>
      <c r="E654" s="76"/>
      <c r="F654" s="76"/>
      <c r="G654" s="76"/>
    </row>
    <row r="655" spans="1:7" x14ac:dyDescent="0.25">
      <c r="A655" s="75"/>
      <c r="B655" s="76"/>
      <c r="C655" s="76"/>
      <c r="D655" s="76"/>
      <c r="E655" s="76"/>
      <c r="F655" s="76"/>
      <c r="G655" s="76"/>
    </row>
    <row r="656" spans="1:7" x14ac:dyDescent="0.25">
      <c r="A656" s="75"/>
      <c r="B656" s="76"/>
      <c r="C656" s="76"/>
      <c r="D656" s="76"/>
      <c r="E656" s="76"/>
      <c r="F656" s="76"/>
      <c r="G656" s="76"/>
    </row>
    <row r="657" spans="1:7" x14ac:dyDescent="0.25">
      <c r="A657" s="75"/>
      <c r="B657" s="76"/>
      <c r="C657" s="76"/>
      <c r="D657" s="76"/>
      <c r="E657" s="76"/>
      <c r="F657" s="76"/>
      <c r="G657" s="76"/>
    </row>
    <row r="658" spans="1:7" x14ac:dyDescent="0.25">
      <c r="A658" s="75"/>
      <c r="B658" s="76"/>
      <c r="C658" s="76"/>
      <c r="D658" s="76"/>
      <c r="E658" s="76"/>
      <c r="F658" s="76"/>
      <c r="G658" s="76"/>
    </row>
    <row r="659" spans="1:7" x14ac:dyDescent="0.25">
      <c r="A659" s="75"/>
      <c r="B659" s="76"/>
      <c r="C659" s="76"/>
      <c r="D659" s="76"/>
      <c r="E659" s="76"/>
      <c r="F659" s="76"/>
      <c r="G659" s="76"/>
    </row>
    <row r="660" spans="1:7" x14ac:dyDescent="0.25">
      <c r="A660" s="75"/>
      <c r="B660" s="76"/>
      <c r="C660" s="76"/>
      <c r="D660" s="76"/>
      <c r="E660" s="76"/>
      <c r="F660" s="76"/>
      <c r="G660" s="76"/>
    </row>
    <row r="661" spans="1:7" x14ac:dyDescent="0.25">
      <c r="A661" s="75"/>
      <c r="B661" s="76"/>
      <c r="C661" s="76"/>
      <c r="D661" s="76"/>
      <c r="E661" s="76"/>
      <c r="F661" s="76"/>
      <c r="G661" s="76"/>
    </row>
    <row r="662" spans="1:7" x14ac:dyDescent="0.25">
      <c r="A662" s="75"/>
      <c r="B662" s="76"/>
      <c r="C662" s="76"/>
      <c r="D662" s="76"/>
      <c r="E662" s="76"/>
      <c r="F662" s="76"/>
      <c r="G662" s="76"/>
    </row>
    <row r="663" spans="1:7" x14ac:dyDescent="0.25">
      <c r="A663" s="75"/>
      <c r="B663" s="76"/>
      <c r="C663" s="76"/>
      <c r="D663" s="76"/>
      <c r="E663" s="76"/>
      <c r="F663" s="76"/>
      <c r="G663" s="76"/>
    </row>
    <row r="664" spans="1:7" x14ac:dyDescent="0.25">
      <c r="A664" s="75"/>
      <c r="B664" s="76"/>
      <c r="C664" s="76"/>
      <c r="D664" s="76"/>
      <c r="E664" s="76"/>
      <c r="F664" s="76"/>
      <c r="G664" s="76"/>
    </row>
    <row r="665" spans="1:7" x14ac:dyDescent="0.25">
      <c r="A665" s="75"/>
      <c r="B665" s="76"/>
      <c r="C665" s="76"/>
      <c r="D665" s="76"/>
      <c r="E665" s="76"/>
      <c r="F665" s="76"/>
      <c r="G665" s="76"/>
    </row>
    <row r="666" spans="1:7" x14ac:dyDescent="0.25">
      <c r="A666" s="75"/>
      <c r="B666" s="76"/>
      <c r="C666" s="76"/>
      <c r="D666" s="76"/>
      <c r="E666" s="76"/>
      <c r="F666" s="76"/>
      <c r="G666" s="76"/>
    </row>
    <row r="667" spans="1:7" x14ac:dyDescent="0.25">
      <c r="A667" s="75"/>
      <c r="B667" s="76"/>
      <c r="C667" s="76"/>
      <c r="D667" s="76"/>
      <c r="E667" s="76"/>
      <c r="F667" s="76"/>
      <c r="G667" s="76"/>
    </row>
    <row r="668" spans="1:7" x14ac:dyDescent="0.25">
      <c r="A668" s="75"/>
      <c r="B668" s="76"/>
      <c r="C668" s="76"/>
      <c r="D668" s="76"/>
      <c r="E668" s="76"/>
      <c r="F668" s="76"/>
      <c r="G668" s="76"/>
    </row>
    <row r="669" spans="1:7" x14ac:dyDescent="0.25">
      <c r="A669" s="75"/>
      <c r="B669" s="76"/>
      <c r="C669" s="76"/>
      <c r="D669" s="76"/>
      <c r="E669" s="76"/>
      <c r="F669" s="76"/>
      <c r="G669" s="76"/>
    </row>
    <row r="670" spans="1:7" x14ac:dyDescent="0.25">
      <c r="A670" s="75"/>
      <c r="B670" s="76"/>
      <c r="C670" s="76"/>
      <c r="D670" s="76"/>
      <c r="E670" s="76"/>
      <c r="F670" s="76"/>
      <c r="G670" s="76"/>
    </row>
    <row r="671" spans="1:7" x14ac:dyDescent="0.25">
      <c r="A671" s="75"/>
      <c r="B671" s="76"/>
      <c r="C671" s="76"/>
      <c r="D671" s="76"/>
      <c r="E671" s="76"/>
      <c r="F671" s="76"/>
      <c r="G671" s="76"/>
    </row>
    <row r="672" spans="1:7" x14ac:dyDescent="0.25">
      <c r="A672" s="75"/>
      <c r="B672" s="76"/>
      <c r="C672" s="76"/>
      <c r="D672" s="76"/>
      <c r="E672" s="76"/>
      <c r="F672" s="76"/>
      <c r="G672" s="76"/>
    </row>
    <row r="673" spans="1:7" x14ac:dyDescent="0.25">
      <c r="A673" s="75"/>
      <c r="B673" s="76"/>
      <c r="C673" s="76"/>
      <c r="D673" s="76"/>
      <c r="E673" s="76"/>
      <c r="F673" s="76"/>
      <c r="G673" s="76"/>
    </row>
    <row r="674" spans="1:7" x14ac:dyDescent="0.25">
      <c r="A674" s="75"/>
      <c r="B674" s="76"/>
      <c r="C674" s="76"/>
      <c r="D674" s="76"/>
      <c r="E674" s="76"/>
      <c r="F674" s="76"/>
      <c r="G674" s="76"/>
    </row>
    <row r="675" spans="1:7" x14ac:dyDescent="0.25">
      <c r="A675" s="75"/>
      <c r="B675" s="76"/>
      <c r="C675" s="76"/>
      <c r="D675" s="76"/>
      <c r="E675" s="76"/>
      <c r="F675" s="76"/>
      <c r="G675" s="76"/>
    </row>
    <row r="676" spans="1:7" x14ac:dyDescent="0.25">
      <c r="A676" s="75"/>
      <c r="B676" s="76"/>
      <c r="C676" s="76"/>
      <c r="D676" s="76"/>
      <c r="E676" s="76"/>
      <c r="F676" s="76"/>
      <c r="G676" s="76"/>
    </row>
    <row r="677" spans="1:7" x14ac:dyDescent="0.25">
      <c r="A677" s="75"/>
      <c r="B677" s="76"/>
      <c r="C677" s="76"/>
      <c r="D677" s="76"/>
      <c r="E677" s="76"/>
      <c r="F677" s="76"/>
      <c r="G677" s="76"/>
    </row>
    <row r="678" spans="1:7" x14ac:dyDescent="0.25">
      <c r="A678" s="75"/>
      <c r="B678" s="76"/>
      <c r="C678" s="76"/>
      <c r="D678" s="76"/>
      <c r="E678" s="76"/>
      <c r="F678" s="76"/>
      <c r="G678" s="76"/>
    </row>
    <row r="679" spans="1:7" x14ac:dyDescent="0.25">
      <c r="A679" s="75"/>
      <c r="B679" s="76"/>
      <c r="C679" s="76"/>
      <c r="D679" s="76"/>
      <c r="E679" s="76"/>
      <c r="F679" s="76"/>
      <c r="G679" s="76"/>
    </row>
    <row r="680" spans="1:7" x14ac:dyDescent="0.25">
      <c r="A680" s="75"/>
      <c r="B680" s="76"/>
      <c r="C680" s="76"/>
      <c r="D680" s="76"/>
      <c r="E680" s="76"/>
      <c r="F680" s="76"/>
      <c r="G680" s="76"/>
    </row>
    <row r="681" spans="1:7" x14ac:dyDescent="0.25">
      <c r="A681" s="75"/>
      <c r="B681" s="76"/>
      <c r="C681" s="76"/>
      <c r="D681" s="76"/>
      <c r="E681" s="76"/>
      <c r="F681" s="76"/>
      <c r="G681" s="76"/>
    </row>
    <row r="682" spans="1:7" x14ac:dyDescent="0.25">
      <c r="A682" s="75"/>
      <c r="B682" s="76"/>
      <c r="C682" s="76"/>
      <c r="D682" s="76"/>
      <c r="E682" s="76"/>
      <c r="F682" s="76"/>
      <c r="G682" s="76"/>
    </row>
    <row r="683" spans="1:7" x14ac:dyDescent="0.25">
      <c r="A683" s="75"/>
      <c r="B683" s="76"/>
      <c r="C683" s="76"/>
      <c r="D683" s="76"/>
      <c r="E683" s="76"/>
      <c r="F683" s="76"/>
      <c r="G683" s="76"/>
    </row>
    <row r="684" spans="1:7" x14ac:dyDescent="0.25">
      <c r="A684" s="75"/>
      <c r="B684" s="76"/>
      <c r="C684" s="76"/>
      <c r="D684" s="76"/>
      <c r="E684" s="76"/>
      <c r="F684" s="76"/>
      <c r="G684" s="76"/>
    </row>
    <row r="685" spans="1:7" x14ac:dyDescent="0.25">
      <c r="A685" s="75"/>
      <c r="B685" s="76"/>
      <c r="C685" s="76"/>
      <c r="D685" s="76"/>
      <c r="E685" s="76"/>
      <c r="F685" s="76"/>
      <c r="G685" s="76"/>
    </row>
    <row r="686" spans="1:7" x14ac:dyDescent="0.25">
      <c r="A686" s="75"/>
      <c r="B686" s="76"/>
      <c r="C686" s="76"/>
      <c r="D686" s="76"/>
      <c r="E686" s="76"/>
      <c r="F686" s="76"/>
      <c r="G686" s="76"/>
    </row>
    <row r="687" spans="1:7" x14ac:dyDescent="0.25">
      <c r="A687" s="75"/>
      <c r="B687" s="76"/>
      <c r="C687" s="76"/>
      <c r="D687" s="76"/>
      <c r="E687" s="76"/>
      <c r="F687" s="76"/>
      <c r="G687" s="76"/>
    </row>
    <row r="688" spans="1:7" x14ac:dyDescent="0.25">
      <c r="A688" s="75"/>
      <c r="B688" s="76"/>
      <c r="C688" s="76"/>
      <c r="D688" s="76"/>
      <c r="E688" s="76"/>
      <c r="F688" s="76"/>
      <c r="G688" s="76"/>
    </row>
    <row r="689" spans="1:7" x14ac:dyDescent="0.25">
      <c r="A689" s="75"/>
      <c r="B689" s="76"/>
      <c r="C689" s="76"/>
      <c r="D689" s="76"/>
      <c r="E689" s="76"/>
      <c r="F689" s="76"/>
      <c r="G689" s="76"/>
    </row>
    <row r="690" spans="1:7" x14ac:dyDescent="0.25">
      <c r="A690" s="75"/>
      <c r="B690" s="76"/>
      <c r="C690" s="76"/>
      <c r="D690" s="76"/>
      <c r="E690" s="76"/>
      <c r="F690" s="76"/>
      <c r="G690" s="76"/>
    </row>
    <row r="691" spans="1:7" x14ac:dyDescent="0.25">
      <c r="A691" s="75"/>
      <c r="B691" s="76"/>
      <c r="C691" s="76"/>
      <c r="D691" s="76"/>
      <c r="E691" s="76"/>
      <c r="F691" s="76"/>
      <c r="G691" s="76"/>
    </row>
    <row r="692" spans="1:7" x14ac:dyDescent="0.25">
      <c r="A692" s="75"/>
      <c r="B692" s="76"/>
      <c r="C692" s="76"/>
      <c r="D692" s="76"/>
      <c r="E692" s="76"/>
      <c r="F692" s="76"/>
      <c r="G692" s="76"/>
    </row>
    <row r="693" spans="1:7" x14ac:dyDescent="0.25">
      <c r="A693" s="75"/>
      <c r="B693" s="76"/>
      <c r="C693" s="76"/>
      <c r="D693" s="76"/>
      <c r="E693" s="76"/>
      <c r="F693" s="76"/>
      <c r="G693" s="76"/>
    </row>
    <row r="694" spans="1:7" x14ac:dyDescent="0.25">
      <c r="A694" s="75"/>
      <c r="B694" s="76"/>
      <c r="C694" s="76"/>
      <c r="D694" s="76"/>
      <c r="E694" s="76"/>
      <c r="F694" s="76"/>
      <c r="G694" s="76"/>
    </row>
    <row r="695" spans="1:7" x14ac:dyDescent="0.25">
      <c r="A695" s="75"/>
      <c r="B695" s="76"/>
      <c r="C695" s="76"/>
      <c r="D695" s="76"/>
      <c r="E695" s="76"/>
      <c r="F695" s="76"/>
      <c r="G695" s="76"/>
    </row>
    <row r="696" spans="1:7" x14ac:dyDescent="0.25">
      <c r="A696" s="75"/>
      <c r="B696" s="76"/>
      <c r="C696" s="76"/>
      <c r="D696" s="76"/>
      <c r="E696" s="76"/>
      <c r="F696" s="76"/>
      <c r="G696" s="76"/>
    </row>
    <row r="697" spans="1:7" x14ac:dyDescent="0.25">
      <c r="A697" s="75"/>
      <c r="B697" s="76"/>
      <c r="C697" s="76"/>
      <c r="D697" s="76"/>
      <c r="E697" s="76"/>
      <c r="F697" s="76"/>
      <c r="G697" s="76"/>
    </row>
    <row r="698" spans="1:7" x14ac:dyDescent="0.25">
      <c r="A698" s="75"/>
      <c r="B698" s="76"/>
      <c r="C698" s="76"/>
      <c r="D698" s="76"/>
      <c r="E698" s="76"/>
      <c r="F698" s="76"/>
      <c r="G698" s="76"/>
    </row>
    <row r="699" spans="1:7" x14ac:dyDescent="0.25">
      <c r="A699" s="75"/>
      <c r="B699" s="76"/>
      <c r="C699" s="76"/>
      <c r="D699" s="76"/>
      <c r="E699" s="76"/>
      <c r="F699" s="76"/>
      <c r="G699" s="76"/>
    </row>
    <row r="700" spans="1:7" x14ac:dyDescent="0.25">
      <c r="A700" s="75"/>
      <c r="B700" s="76"/>
      <c r="C700" s="76"/>
      <c r="D700" s="76"/>
      <c r="E700" s="76"/>
      <c r="F700" s="76"/>
      <c r="G700" s="76"/>
    </row>
    <row r="701" spans="1:7" x14ac:dyDescent="0.25">
      <c r="A701" s="75"/>
      <c r="B701" s="76"/>
      <c r="C701" s="76"/>
      <c r="D701" s="76"/>
      <c r="E701" s="76"/>
      <c r="F701" s="76"/>
      <c r="G701" s="76"/>
    </row>
    <row r="702" spans="1:7" x14ac:dyDescent="0.25">
      <c r="A702" s="75"/>
      <c r="B702" s="76"/>
      <c r="C702" s="76"/>
      <c r="D702" s="76"/>
      <c r="E702" s="76"/>
      <c r="F702" s="76"/>
      <c r="G702" s="76"/>
    </row>
    <row r="703" spans="1:7" x14ac:dyDescent="0.25">
      <c r="A703" s="75"/>
      <c r="B703" s="76"/>
      <c r="C703" s="76"/>
      <c r="D703" s="76"/>
      <c r="E703" s="76"/>
      <c r="F703" s="76"/>
      <c r="G703" s="76"/>
    </row>
    <row r="704" spans="1:7" x14ac:dyDescent="0.25">
      <c r="A704" s="75"/>
      <c r="B704" s="76"/>
      <c r="C704" s="76"/>
      <c r="D704" s="76"/>
      <c r="E704" s="76"/>
      <c r="F704" s="76"/>
      <c r="G704" s="76"/>
    </row>
    <row r="705" spans="1:7" x14ac:dyDescent="0.25">
      <c r="A705" s="75"/>
      <c r="B705" s="76"/>
      <c r="C705" s="76"/>
      <c r="D705" s="76"/>
      <c r="E705" s="76"/>
      <c r="F705" s="76"/>
      <c r="G705" s="76"/>
    </row>
    <row r="706" spans="1:7" x14ac:dyDescent="0.25">
      <c r="A706" s="75"/>
      <c r="B706" s="76"/>
      <c r="C706" s="76"/>
      <c r="D706" s="76"/>
      <c r="E706" s="76"/>
      <c r="F706" s="76"/>
      <c r="G706" s="76"/>
    </row>
    <row r="707" spans="1:7" x14ac:dyDescent="0.25">
      <c r="A707" s="75"/>
      <c r="B707" s="76"/>
      <c r="C707" s="76"/>
      <c r="D707" s="76"/>
      <c r="E707" s="76"/>
      <c r="F707" s="76"/>
      <c r="G707" s="76"/>
    </row>
    <row r="708" spans="1:7" x14ac:dyDescent="0.25">
      <c r="A708" s="75"/>
      <c r="B708" s="76"/>
      <c r="C708" s="76"/>
      <c r="D708" s="76"/>
      <c r="E708" s="76"/>
      <c r="F708" s="76"/>
      <c r="G708" s="76"/>
    </row>
    <row r="709" spans="1:7" x14ac:dyDescent="0.25">
      <c r="A709" s="75"/>
      <c r="B709" s="76"/>
      <c r="C709" s="76"/>
      <c r="D709" s="76"/>
      <c r="E709" s="76"/>
      <c r="F709" s="76"/>
      <c r="G709" s="76"/>
    </row>
    <row r="710" spans="1:7" x14ac:dyDescent="0.25">
      <c r="A710" s="75"/>
      <c r="B710" s="76"/>
      <c r="C710" s="76"/>
      <c r="D710" s="76"/>
      <c r="E710" s="76"/>
      <c r="F710" s="76"/>
      <c r="G710" s="76"/>
    </row>
    <row r="711" spans="1:7" x14ac:dyDescent="0.25">
      <c r="A711" s="75"/>
      <c r="B711" s="76"/>
      <c r="C711" s="76"/>
      <c r="D711" s="76"/>
      <c r="E711" s="76"/>
      <c r="F711" s="76"/>
      <c r="G711" s="76"/>
    </row>
    <row r="712" spans="1:7" x14ac:dyDescent="0.25">
      <c r="A712" s="75"/>
      <c r="B712" s="76"/>
      <c r="C712" s="76"/>
      <c r="D712" s="76"/>
      <c r="E712" s="76"/>
      <c r="F712" s="76"/>
      <c r="G712" s="76"/>
    </row>
    <row r="713" spans="1:7" x14ac:dyDescent="0.25">
      <c r="A713" s="75"/>
      <c r="B713" s="76"/>
      <c r="C713" s="76"/>
      <c r="D713" s="76"/>
      <c r="E713" s="76"/>
      <c r="F713" s="76"/>
      <c r="G713" s="76"/>
    </row>
    <row r="714" spans="1:7" x14ac:dyDescent="0.25">
      <c r="A714" s="75"/>
      <c r="B714" s="76"/>
      <c r="C714" s="76"/>
      <c r="D714" s="76"/>
      <c r="E714" s="76"/>
      <c r="F714" s="76"/>
      <c r="G714" s="76"/>
    </row>
    <row r="715" spans="1:7" x14ac:dyDescent="0.25">
      <c r="A715" s="75"/>
      <c r="B715" s="76"/>
      <c r="C715" s="76"/>
      <c r="D715" s="76"/>
      <c r="E715" s="76"/>
      <c r="F715" s="76"/>
      <c r="G715" s="76"/>
    </row>
    <row r="716" spans="1:7" x14ac:dyDescent="0.25">
      <c r="A716" s="75"/>
      <c r="B716" s="76"/>
      <c r="C716" s="76"/>
      <c r="D716" s="76"/>
      <c r="E716" s="76"/>
      <c r="F716" s="76"/>
      <c r="G716" s="76"/>
    </row>
    <row r="717" spans="1:7" x14ac:dyDescent="0.25">
      <c r="A717" s="75"/>
      <c r="B717" s="76"/>
      <c r="C717" s="76"/>
      <c r="D717" s="76"/>
      <c r="E717" s="76"/>
      <c r="F717" s="76"/>
      <c r="G717" s="76"/>
    </row>
    <row r="718" spans="1:7" x14ac:dyDescent="0.25">
      <c r="A718" s="75"/>
      <c r="B718" s="76"/>
      <c r="C718" s="76"/>
      <c r="D718" s="76"/>
      <c r="E718" s="76"/>
      <c r="F718" s="76"/>
      <c r="G718" s="76"/>
    </row>
    <row r="719" spans="1:7" x14ac:dyDescent="0.25">
      <c r="A719" s="75"/>
      <c r="B719" s="76"/>
      <c r="C719" s="76"/>
      <c r="D719" s="76"/>
      <c r="E719" s="76"/>
      <c r="F719" s="76"/>
      <c r="G719" s="76"/>
    </row>
    <row r="720" spans="1:7" x14ac:dyDescent="0.25">
      <c r="A720" s="75"/>
      <c r="B720" s="76"/>
      <c r="C720" s="76"/>
      <c r="D720" s="76"/>
      <c r="E720" s="76"/>
      <c r="F720" s="76"/>
      <c r="G720" s="76"/>
    </row>
    <row r="721" spans="1:7" x14ac:dyDescent="0.25">
      <c r="A721" s="75"/>
      <c r="B721" s="76"/>
      <c r="C721" s="76"/>
      <c r="D721" s="76"/>
      <c r="E721" s="76"/>
      <c r="F721" s="76"/>
      <c r="G721" s="76"/>
    </row>
    <row r="722" spans="1:7" x14ac:dyDescent="0.25">
      <c r="A722" s="75"/>
      <c r="B722" s="76"/>
      <c r="C722" s="76"/>
      <c r="D722" s="76"/>
      <c r="E722" s="76"/>
      <c r="F722" s="76"/>
      <c r="G722" s="76"/>
    </row>
    <row r="723" spans="1:7" x14ac:dyDescent="0.25">
      <c r="A723" s="75"/>
      <c r="B723" s="76"/>
      <c r="C723" s="76"/>
      <c r="D723" s="76"/>
      <c r="E723" s="76"/>
      <c r="F723" s="76"/>
      <c r="G723" s="76"/>
    </row>
    <row r="724" spans="1:7" x14ac:dyDescent="0.25">
      <c r="A724" s="75"/>
      <c r="B724" s="76"/>
      <c r="C724" s="76"/>
      <c r="D724" s="76"/>
      <c r="E724" s="76"/>
      <c r="F724" s="76"/>
      <c r="G724" s="76"/>
    </row>
    <row r="725" spans="1:7" x14ac:dyDescent="0.25">
      <c r="A725" s="75"/>
      <c r="B725" s="76"/>
      <c r="C725" s="76"/>
      <c r="D725" s="76"/>
      <c r="E725" s="76"/>
      <c r="F725" s="76"/>
      <c r="G725" s="76"/>
    </row>
    <row r="726" spans="1:7" x14ac:dyDescent="0.25">
      <c r="A726" s="75"/>
      <c r="B726" s="76"/>
      <c r="C726" s="76"/>
      <c r="D726" s="76"/>
      <c r="E726" s="76"/>
      <c r="F726" s="76"/>
      <c r="G726" s="76"/>
    </row>
    <row r="727" spans="1:7" x14ac:dyDescent="0.25">
      <c r="A727" s="75"/>
      <c r="B727" s="76"/>
      <c r="C727" s="76"/>
      <c r="D727" s="76"/>
      <c r="E727" s="76"/>
      <c r="F727" s="76"/>
      <c r="G727" s="76"/>
    </row>
    <row r="728" spans="1:7" x14ac:dyDescent="0.25">
      <c r="A728" s="75"/>
      <c r="B728" s="76"/>
      <c r="C728" s="76"/>
      <c r="D728" s="76"/>
      <c r="E728" s="76"/>
      <c r="F728" s="76"/>
      <c r="G728" s="76"/>
    </row>
    <row r="729" spans="1:7" x14ac:dyDescent="0.25">
      <c r="A729" s="75"/>
      <c r="B729" s="76"/>
      <c r="C729" s="76"/>
      <c r="D729" s="76"/>
      <c r="E729" s="76"/>
      <c r="F729" s="76"/>
      <c r="G729" s="76"/>
    </row>
    <row r="730" spans="1:7" x14ac:dyDescent="0.25">
      <c r="A730" s="75"/>
      <c r="B730" s="76"/>
      <c r="C730" s="76"/>
      <c r="D730" s="76"/>
      <c r="E730" s="76"/>
      <c r="F730" s="76"/>
      <c r="G730" s="76"/>
    </row>
    <row r="731" spans="1:7" x14ac:dyDescent="0.25">
      <c r="A731" s="75"/>
      <c r="B731" s="76"/>
      <c r="C731" s="76"/>
      <c r="D731" s="76"/>
      <c r="E731" s="76"/>
      <c r="F731" s="76"/>
      <c r="G731" s="76"/>
    </row>
    <row r="732" spans="1:7" x14ac:dyDescent="0.25">
      <c r="A732" s="75"/>
      <c r="B732" s="76"/>
      <c r="C732" s="76"/>
      <c r="D732" s="76"/>
      <c r="E732" s="76"/>
      <c r="F732" s="76"/>
      <c r="G732" s="76"/>
    </row>
    <row r="733" spans="1:7" x14ac:dyDescent="0.25">
      <c r="A733" s="75"/>
      <c r="B733" s="76"/>
      <c r="C733" s="76"/>
      <c r="D733" s="76"/>
      <c r="E733" s="76"/>
      <c r="F733" s="76"/>
      <c r="G733" s="76"/>
    </row>
    <row r="734" spans="1:7" x14ac:dyDescent="0.25">
      <c r="A734" s="75"/>
      <c r="B734" s="76"/>
      <c r="C734" s="76"/>
      <c r="D734" s="76"/>
      <c r="E734" s="76"/>
      <c r="F734" s="76"/>
      <c r="G734" s="76"/>
    </row>
    <row r="735" spans="1:7" x14ac:dyDescent="0.25">
      <c r="A735" s="75"/>
      <c r="B735" s="76"/>
      <c r="C735" s="76"/>
      <c r="D735" s="76"/>
      <c r="E735" s="76"/>
      <c r="F735" s="76"/>
      <c r="G735" s="76"/>
    </row>
    <row r="736" spans="1:7" x14ac:dyDescent="0.25">
      <c r="A736" s="75"/>
      <c r="B736" s="76"/>
      <c r="C736" s="76"/>
      <c r="D736" s="76"/>
      <c r="E736" s="76"/>
      <c r="F736" s="76"/>
      <c r="G736" s="76"/>
    </row>
    <row r="737" spans="1:7" x14ac:dyDescent="0.25">
      <c r="A737" s="75"/>
      <c r="B737" s="76"/>
      <c r="C737" s="76"/>
      <c r="D737" s="76"/>
      <c r="E737" s="76"/>
      <c r="F737" s="76"/>
      <c r="G737" s="76"/>
    </row>
    <row r="738" spans="1:7" x14ac:dyDescent="0.25">
      <c r="A738" s="75"/>
      <c r="B738" s="76"/>
      <c r="C738" s="76"/>
      <c r="D738" s="76"/>
      <c r="E738" s="76"/>
      <c r="F738" s="76"/>
      <c r="G738" s="76"/>
    </row>
    <row r="739" spans="1:7" x14ac:dyDescent="0.25">
      <c r="A739" s="75"/>
      <c r="B739" s="76"/>
      <c r="C739" s="76"/>
      <c r="D739" s="76"/>
      <c r="E739" s="76"/>
      <c r="F739" s="76"/>
      <c r="G739" s="76"/>
    </row>
    <row r="740" spans="1:7" x14ac:dyDescent="0.25">
      <c r="A740" s="75"/>
      <c r="B740" s="76"/>
      <c r="C740" s="76"/>
      <c r="D740" s="76"/>
      <c r="E740" s="76"/>
      <c r="F740" s="76"/>
      <c r="G740" s="76"/>
    </row>
    <row r="741" spans="1:7" x14ac:dyDescent="0.25">
      <c r="A741" s="75"/>
      <c r="B741" s="76"/>
      <c r="C741" s="76"/>
      <c r="D741" s="76"/>
      <c r="E741" s="76"/>
      <c r="F741" s="76"/>
      <c r="G741" s="76"/>
    </row>
    <row r="742" spans="1:7" x14ac:dyDescent="0.25">
      <c r="A742" s="75"/>
      <c r="B742" s="76"/>
      <c r="C742" s="76"/>
      <c r="D742" s="76"/>
      <c r="E742" s="76"/>
      <c r="F742" s="76"/>
      <c r="G742" s="76"/>
    </row>
    <row r="743" spans="1:7" x14ac:dyDescent="0.25">
      <c r="A743" s="75"/>
      <c r="B743" s="76"/>
      <c r="C743" s="76"/>
      <c r="D743" s="76"/>
      <c r="E743" s="76"/>
      <c r="F743" s="76"/>
      <c r="G743" s="76"/>
    </row>
    <row r="744" spans="1:7" x14ac:dyDescent="0.25">
      <c r="A744" s="75"/>
      <c r="B744" s="76"/>
      <c r="C744" s="76"/>
      <c r="D744" s="76"/>
      <c r="E744" s="76"/>
      <c r="F744" s="76"/>
      <c r="G744" s="76"/>
    </row>
    <row r="745" spans="1:7" x14ac:dyDescent="0.25">
      <c r="A745" s="75"/>
      <c r="B745" s="76"/>
      <c r="C745" s="76"/>
      <c r="D745" s="76"/>
      <c r="E745" s="76"/>
      <c r="F745" s="76"/>
      <c r="G745" s="76"/>
    </row>
    <row r="746" spans="1:7" x14ac:dyDescent="0.25">
      <c r="A746" s="75"/>
      <c r="B746" s="76"/>
      <c r="C746" s="76"/>
      <c r="D746" s="76"/>
      <c r="E746" s="76"/>
      <c r="F746" s="76"/>
      <c r="G746" s="76"/>
    </row>
    <row r="747" spans="1:7" x14ac:dyDescent="0.25">
      <c r="A747" s="75"/>
      <c r="B747" s="76"/>
      <c r="C747" s="76"/>
      <c r="D747" s="76"/>
      <c r="E747" s="76"/>
      <c r="F747" s="76"/>
      <c r="G747" s="76"/>
    </row>
    <row r="748" spans="1:7" x14ac:dyDescent="0.25">
      <c r="A748" s="75"/>
      <c r="B748" s="76"/>
      <c r="C748" s="76"/>
      <c r="D748" s="76"/>
      <c r="E748" s="76"/>
      <c r="F748" s="76"/>
      <c r="G748" s="76"/>
    </row>
    <row r="749" spans="1:7" x14ac:dyDescent="0.25">
      <c r="A749" s="75"/>
      <c r="B749" s="76"/>
      <c r="C749" s="76"/>
      <c r="D749" s="76"/>
      <c r="E749" s="76"/>
      <c r="F749" s="76"/>
      <c r="G749" s="76"/>
    </row>
    <row r="750" spans="1:7" x14ac:dyDescent="0.25">
      <c r="A750" s="75"/>
      <c r="B750" s="76"/>
      <c r="C750" s="76"/>
      <c r="D750" s="76"/>
      <c r="E750" s="76"/>
      <c r="F750" s="76"/>
      <c r="G750" s="76"/>
    </row>
    <row r="751" spans="1:7" x14ac:dyDescent="0.25">
      <c r="A751" s="75"/>
      <c r="B751" s="76"/>
      <c r="C751" s="76"/>
      <c r="D751" s="76"/>
      <c r="E751" s="76"/>
      <c r="F751" s="76"/>
      <c r="G751" s="76"/>
    </row>
    <row r="752" spans="1:7" x14ac:dyDescent="0.25">
      <c r="A752" s="75"/>
      <c r="B752" s="76"/>
      <c r="C752" s="76"/>
      <c r="D752" s="76"/>
      <c r="E752" s="76"/>
      <c r="F752" s="76"/>
      <c r="G752" s="76"/>
    </row>
    <row r="753" spans="1:7" x14ac:dyDescent="0.25">
      <c r="A753" s="75"/>
      <c r="B753" s="76"/>
      <c r="C753" s="76"/>
      <c r="D753" s="76"/>
      <c r="E753" s="76"/>
      <c r="F753" s="76"/>
      <c r="G753" s="76"/>
    </row>
    <row r="754" spans="1:7" x14ac:dyDescent="0.25">
      <c r="A754" s="75"/>
      <c r="B754" s="76"/>
      <c r="C754" s="76"/>
      <c r="D754" s="76"/>
      <c r="E754" s="76"/>
      <c r="F754" s="76"/>
      <c r="G754" s="76"/>
    </row>
    <row r="755" spans="1:7" x14ac:dyDescent="0.25">
      <c r="A755" s="75"/>
      <c r="B755" s="76"/>
      <c r="C755" s="76"/>
      <c r="D755" s="76"/>
      <c r="E755" s="76"/>
      <c r="F755" s="76"/>
      <c r="G755" s="76"/>
    </row>
    <row r="756" spans="1:7" x14ac:dyDescent="0.25">
      <c r="A756" s="75"/>
      <c r="B756" s="76"/>
      <c r="C756" s="76"/>
      <c r="D756" s="76"/>
      <c r="E756" s="76"/>
      <c r="F756" s="76"/>
      <c r="G756" s="76"/>
    </row>
    <row r="757" spans="1:7" x14ac:dyDescent="0.25">
      <c r="A757" s="75"/>
      <c r="B757" s="76"/>
      <c r="C757" s="76"/>
      <c r="D757" s="76"/>
      <c r="E757" s="76"/>
      <c r="F757" s="76"/>
      <c r="G757" s="76"/>
    </row>
    <row r="758" spans="1:7" x14ac:dyDescent="0.25">
      <c r="A758" s="75"/>
      <c r="B758" s="76"/>
      <c r="C758" s="76"/>
      <c r="D758" s="76"/>
      <c r="E758" s="76"/>
      <c r="F758" s="76"/>
      <c r="G758" s="76"/>
    </row>
    <row r="759" spans="1:7" x14ac:dyDescent="0.25">
      <c r="A759" s="75"/>
      <c r="B759" s="76"/>
      <c r="C759" s="76"/>
      <c r="D759" s="76"/>
      <c r="E759" s="76"/>
      <c r="F759" s="76"/>
      <c r="G759" s="76"/>
    </row>
    <row r="760" spans="1:7" x14ac:dyDescent="0.25">
      <c r="A760" s="75"/>
      <c r="B760" s="76"/>
      <c r="C760" s="76"/>
      <c r="D760" s="76"/>
      <c r="E760" s="76"/>
      <c r="F760" s="76"/>
      <c r="G760" s="76"/>
    </row>
    <row r="761" spans="1:7" x14ac:dyDescent="0.25">
      <c r="A761" s="75"/>
      <c r="B761" s="76"/>
      <c r="C761" s="76"/>
      <c r="D761" s="76"/>
      <c r="E761" s="76"/>
      <c r="F761" s="76"/>
      <c r="G761" s="76"/>
    </row>
    <row r="762" spans="1:7" x14ac:dyDescent="0.25">
      <c r="A762" s="75"/>
      <c r="B762" s="76"/>
      <c r="C762" s="76"/>
      <c r="D762" s="76"/>
      <c r="E762" s="76"/>
      <c r="F762" s="76"/>
      <c r="G762" s="76"/>
    </row>
    <row r="763" spans="1:7" x14ac:dyDescent="0.25">
      <c r="A763" s="75"/>
      <c r="B763" s="76"/>
      <c r="C763" s="76"/>
      <c r="D763" s="76"/>
      <c r="E763" s="76"/>
      <c r="F763" s="76"/>
      <c r="G763" s="76"/>
    </row>
    <row r="764" spans="1:7" x14ac:dyDescent="0.25">
      <c r="A764" s="75"/>
      <c r="B764" s="76"/>
      <c r="C764" s="76"/>
      <c r="D764" s="76"/>
      <c r="E764" s="76"/>
      <c r="F764" s="76"/>
      <c r="G764" s="76"/>
    </row>
    <row r="765" spans="1:7" x14ac:dyDescent="0.25">
      <c r="A765" s="75"/>
      <c r="B765" s="76"/>
      <c r="C765" s="76"/>
      <c r="D765" s="76"/>
      <c r="E765" s="76"/>
      <c r="F765" s="76"/>
      <c r="G765" s="76"/>
    </row>
    <row r="766" spans="1:7" x14ac:dyDescent="0.25">
      <c r="A766" s="75"/>
      <c r="B766" s="76"/>
      <c r="C766" s="76"/>
      <c r="D766" s="76"/>
      <c r="E766" s="76"/>
      <c r="F766" s="76"/>
      <c r="G766" s="76"/>
    </row>
    <row r="767" spans="1:7" x14ac:dyDescent="0.25">
      <c r="A767" s="75"/>
      <c r="B767" s="76"/>
      <c r="C767" s="76"/>
      <c r="D767" s="76"/>
      <c r="E767" s="76"/>
      <c r="F767" s="76"/>
      <c r="G767" s="76"/>
    </row>
    <row r="768" spans="1:7" x14ac:dyDescent="0.25">
      <c r="A768" s="75"/>
      <c r="B768" s="76"/>
      <c r="C768" s="76"/>
      <c r="D768" s="76"/>
      <c r="E768" s="76"/>
      <c r="F768" s="76"/>
      <c r="G768" s="76"/>
    </row>
    <row r="769" spans="1:7" x14ac:dyDescent="0.25">
      <c r="A769" s="75"/>
      <c r="B769" s="76"/>
      <c r="C769" s="76"/>
      <c r="D769" s="76"/>
      <c r="E769" s="76"/>
      <c r="F769" s="76"/>
      <c r="G769" s="76"/>
    </row>
    <row r="770" spans="1:7" x14ac:dyDescent="0.25">
      <c r="A770" s="75"/>
      <c r="B770" s="76"/>
      <c r="C770" s="76"/>
      <c r="D770" s="76"/>
      <c r="E770" s="76"/>
      <c r="F770" s="76"/>
      <c r="G770" s="76"/>
    </row>
    <row r="771" spans="1:7" x14ac:dyDescent="0.25">
      <c r="A771" s="75"/>
      <c r="B771" s="76"/>
      <c r="C771" s="76"/>
      <c r="D771" s="76"/>
      <c r="E771" s="76"/>
      <c r="F771" s="76"/>
      <c r="G771" s="76"/>
    </row>
    <row r="772" spans="1:7" x14ac:dyDescent="0.25">
      <c r="A772" s="75"/>
      <c r="B772" s="76"/>
      <c r="C772" s="76"/>
      <c r="D772" s="76"/>
      <c r="E772" s="76"/>
      <c r="F772" s="76"/>
      <c r="G772" s="76"/>
    </row>
    <row r="773" spans="1:7" x14ac:dyDescent="0.25">
      <c r="A773" s="75"/>
      <c r="B773" s="76"/>
      <c r="C773" s="76"/>
      <c r="D773" s="76"/>
      <c r="E773" s="76"/>
      <c r="F773" s="76"/>
      <c r="G773" s="76"/>
    </row>
    <row r="774" spans="1:7" x14ac:dyDescent="0.25">
      <c r="A774" s="75"/>
      <c r="B774" s="76"/>
      <c r="C774" s="76"/>
      <c r="D774" s="76"/>
      <c r="E774" s="76"/>
      <c r="F774" s="76"/>
      <c r="G774" s="76"/>
    </row>
    <row r="775" spans="1:7" x14ac:dyDescent="0.25">
      <c r="A775" s="75"/>
      <c r="B775" s="76"/>
      <c r="C775" s="76"/>
      <c r="D775" s="76"/>
      <c r="E775" s="76"/>
      <c r="F775" s="76"/>
      <c r="G775" s="76"/>
    </row>
    <row r="776" spans="1:7" x14ac:dyDescent="0.25">
      <c r="A776" s="75"/>
      <c r="B776" s="76"/>
      <c r="C776" s="76"/>
      <c r="D776" s="76"/>
      <c r="E776" s="76"/>
      <c r="F776" s="76"/>
      <c r="G776" s="76"/>
    </row>
    <row r="777" spans="1:7" x14ac:dyDescent="0.25">
      <c r="A777" s="75"/>
      <c r="B777" s="76"/>
      <c r="C777" s="76"/>
      <c r="D777" s="76"/>
      <c r="E777" s="76"/>
      <c r="F777" s="76"/>
      <c r="G777" s="76"/>
    </row>
    <row r="778" spans="1:7" x14ac:dyDescent="0.25">
      <c r="A778" s="75"/>
      <c r="B778" s="76"/>
      <c r="C778" s="76"/>
      <c r="D778" s="76"/>
      <c r="E778" s="76"/>
      <c r="F778" s="76"/>
      <c r="G778" s="76"/>
    </row>
    <row r="779" spans="1:7" x14ac:dyDescent="0.25">
      <c r="A779" s="75"/>
      <c r="B779" s="76"/>
      <c r="C779" s="76"/>
      <c r="D779" s="76"/>
      <c r="E779" s="76"/>
      <c r="F779" s="76"/>
      <c r="G779" s="76"/>
    </row>
    <row r="780" spans="1:7" x14ac:dyDescent="0.25">
      <c r="A780" s="75"/>
      <c r="B780" s="76"/>
      <c r="C780" s="76"/>
      <c r="D780" s="76"/>
      <c r="E780" s="76"/>
      <c r="F780" s="76"/>
      <c r="G780" s="76"/>
    </row>
    <row r="781" spans="1:7" x14ac:dyDescent="0.25">
      <c r="A781" s="75"/>
      <c r="B781" s="76"/>
      <c r="C781" s="76"/>
      <c r="D781" s="76"/>
      <c r="E781" s="76"/>
      <c r="F781" s="76"/>
      <c r="G781" s="76"/>
    </row>
    <row r="782" spans="1:7" x14ac:dyDescent="0.25">
      <c r="A782" s="75"/>
      <c r="B782" s="76"/>
      <c r="C782" s="76"/>
      <c r="D782" s="76"/>
      <c r="E782" s="76"/>
      <c r="F782" s="76"/>
      <c r="G782" s="76"/>
    </row>
    <row r="783" spans="1:7" x14ac:dyDescent="0.25">
      <c r="A783" s="75"/>
      <c r="B783" s="76"/>
      <c r="C783" s="76"/>
      <c r="D783" s="76"/>
      <c r="E783" s="76"/>
      <c r="F783" s="76"/>
      <c r="G783" s="76"/>
    </row>
    <row r="784" spans="1:7" x14ac:dyDescent="0.25">
      <c r="A784" s="75"/>
      <c r="B784" s="76"/>
      <c r="C784" s="76"/>
      <c r="D784" s="76"/>
      <c r="E784" s="76"/>
      <c r="F784" s="76"/>
      <c r="G784" s="76"/>
    </row>
    <row r="785" spans="1:7" x14ac:dyDescent="0.25">
      <c r="A785" s="75"/>
      <c r="B785" s="76"/>
      <c r="C785" s="76"/>
      <c r="D785" s="76"/>
      <c r="E785" s="76"/>
      <c r="F785" s="76"/>
      <c r="G785" s="76"/>
    </row>
    <row r="786" spans="1:7" x14ac:dyDescent="0.25">
      <c r="A786" s="75"/>
      <c r="B786" s="76"/>
      <c r="C786" s="76"/>
      <c r="D786" s="76"/>
      <c r="E786" s="76"/>
      <c r="F786" s="76"/>
      <c r="G786" s="76"/>
    </row>
    <row r="787" spans="1:7" x14ac:dyDescent="0.25">
      <c r="A787" s="75"/>
      <c r="B787" s="76"/>
      <c r="C787" s="76"/>
      <c r="D787" s="76"/>
      <c r="E787" s="76"/>
      <c r="F787" s="76"/>
      <c r="G787" s="76"/>
    </row>
    <row r="788" spans="1:7" x14ac:dyDescent="0.25">
      <c r="A788" s="75"/>
      <c r="B788" s="76"/>
      <c r="C788" s="76"/>
      <c r="D788" s="76"/>
      <c r="E788" s="76"/>
      <c r="F788" s="76"/>
      <c r="G788" s="76"/>
    </row>
    <row r="789" spans="1:7" x14ac:dyDescent="0.25">
      <c r="A789" s="75"/>
      <c r="B789" s="76"/>
      <c r="C789" s="76"/>
      <c r="D789" s="76"/>
      <c r="E789" s="76"/>
      <c r="F789" s="76"/>
      <c r="G789" s="76"/>
    </row>
    <row r="790" spans="1:7" x14ac:dyDescent="0.25">
      <c r="A790" s="75"/>
      <c r="B790" s="76"/>
      <c r="C790" s="76"/>
      <c r="D790" s="76"/>
      <c r="E790" s="76"/>
      <c r="F790" s="76"/>
      <c r="G790" s="76"/>
    </row>
    <row r="791" spans="1:7" x14ac:dyDescent="0.25">
      <c r="A791" s="75"/>
      <c r="B791" s="76"/>
      <c r="C791" s="76"/>
      <c r="D791" s="76"/>
      <c r="E791" s="76"/>
      <c r="F791" s="76"/>
      <c r="G791" s="76"/>
    </row>
    <row r="792" spans="1:7" x14ac:dyDescent="0.25">
      <c r="A792" s="75"/>
      <c r="B792" s="76"/>
      <c r="C792" s="76"/>
      <c r="D792" s="76"/>
      <c r="E792" s="76"/>
      <c r="F792" s="76"/>
      <c r="G792" s="76"/>
    </row>
    <row r="793" spans="1:7" x14ac:dyDescent="0.25">
      <c r="A793" s="75"/>
      <c r="B793" s="76"/>
      <c r="C793" s="76"/>
      <c r="D793" s="76"/>
      <c r="E793" s="76"/>
      <c r="F793" s="76"/>
      <c r="G793" s="76"/>
    </row>
    <row r="794" spans="1:7" x14ac:dyDescent="0.25">
      <c r="A794" s="75"/>
      <c r="B794" s="76"/>
      <c r="C794" s="76"/>
      <c r="D794" s="76"/>
      <c r="E794" s="76"/>
      <c r="F794" s="76"/>
      <c r="G794" s="76"/>
    </row>
    <row r="795" spans="1:7" x14ac:dyDescent="0.25">
      <c r="A795" s="75"/>
      <c r="B795" s="76"/>
      <c r="C795" s="76"/>
      <c r="D795" s="76"/>
      <c r="E795" s="76"/>
      <c r="F795" s="76"/>
      <c r="G795" s="76"/>
    </row>
    <row r="796" spans="1:7" x14ac:dyDescent="0.25">
      <c r="A796" s="75"/>
      <c r="B796" s="76"/>
      <c r="C796" s="76"/>
      <c r="D796" s="76"/>
      <c r="E796" s="76"/>
      <c r="F796" s="76"/>
      <c r="G796" s="76"/>
    </row>
    <row r="797" spans="1:7" x14ac:dyDescent="0.25">
      <c r="A797" s="75"/>
      <c r="B797" s="76"/>
      <c r="C797" s="76"/>
      <c r="D797" s="76"/>
      <c r="E797" s="76"/>
      <c r="F797" s="76"/>
      <c r="G797" s="76"/>
    </row>
    <row r="798" spans="1:7" x14ac:dyDescent="0.25">
      <c r="A798" s="75"/>
      <c r="B798" s="76"/>
      <c r="C798" s="76"/>
      <c r="D798" s="76"/>
      <c r="E798" s="76"/>
      <c r="F798" s="76"/>
      <c r="G798" s="76"/>
    </row>
    <row r="799" spans="1:7" x14ac:dyDescent="0.25">
      <c r="A799" s="75"/>
      <c r="B799" s="76"/>
      <c r="C799" s="76"/>
      <c r="D799" s="76"/>
      <c r="E799" s="76"/>
      <c r="F799" s="76"/>
      <c r="G799" s="76"/>
    </row>
    <row r="800" spans="1:7" x14ac:dyDescent="0.25">
      <c r="A800" s="75"/>
      <c r="B800" s="76"/>
      <c r="C800" s="76"/>
      <c r="D800" s="76"/>
      <c r="E800" s="76"/>
      <c r="F800" s="76"/>
      <c r="G800" s="76"/>
    </row>
    <row r="801" spans="1:7" x14ac:dyDescent="0.25">
      <c r="A801" s="75"/>
      <c r="B801" s="76"/>
      <c r="C801" s="76"/>
      <c r="D801" s="76"/>
      <c r="E801" s="76"/>
      <c r="F801" s="76"/>
      <c r="G801" s="76"/>
    </row>
    <row r="802" spans="1:7" x14ac:dyDescent="0.25">
      <c r="A802" s="75"/>
      <c r="B802" s="76"/>
      <c r="C802" s="76"/>
      <c r="D802" s="76"/>
      <c r="E802" s="76"/>
      <c r="F802" s="76"/>
      <c r="G802" s="76"/>
    </row>
    <row r="803" spans="1:7" x14ac:dyDescent="0.25">
      <c r="A803" s="75"/>
      <c r="B803" s="76"/>
      <c r="C803" s="76"/>
      <c r="D803" s="76"/>
      <c r="E803" s="76"/>
      <c r="F803" s="76"/>
      <c r="G803" s="76"/>
    </row>
    <row r="804" spans="1:7" x14ac:dyDescent="0.25">
      <c r="A804" s="75"/>
      <c r="B804" s="76"/>
      <c r="C804" s="76"/>
      <c r="D804" s="76"/>
      <c r="E804" s="76"/>
      <c r="F804" s="76"/>
      <c r="G804" s="76"/>
    </row>
    <row r="805" spans="1:7" x14ac:dyDescent="0.25">
      <c r="A805" s="75"/>
      <c r="B805" s="76"/>
      <c r="C805" s="76"/>
      <c r="D805" s="76"/>
      <c r="E805" s="76"/>
      <c r="F805" s="76"/>
      <c r="G805" s="76"/>
    </row>
    <row r="806" spans="1:7" x14ac:dyDescent="0.25">
      <c r="A806" s="75"/>
      <c r="B806" s="76"/>
      <c r="C806" s="76"/>
      <c r="D806" s="76"/>
      <c r="E806" s="76"/>
      <c r="F806" s="76"/>
      <c r="G806" s="76"/>
    </row>
    <row r="807" spans="1:7" x14ac:dyDescent="0.25">
      <c r="A807" s="75"/>
      <c r="B807" s="76"/>
      <c r="C807" s="76"/>
      <c r="D807" s="76"/>
      <c r="E807" s="76"/>
      <c r="F807" s="76"/>
      <c r="G807" s="76"/>
    </row>
    <row r="808" spans="1:7" x14ac:dyDescent="0.25">
      <c r="A808" s="75"/>
      <c r="B808" s="76"/>
      <c r="C808" s="76"/>
      <c r="D808" s="76"/>
      <c r="E808" s="76"/>
      <c r="F808" s="76"/>
      <c r="G808" s="76"/>
    </row>
    <row r="809" spans="1:7" x14ac:dyDescent="0.25">
      <c r="A809" s="75"/>
      <c r="B809" s="76"/>
      <c r="C809" s="76"/>
      <c r="D809" s="76"/>
      <c r="E809" s="76"/>
      <c r="F809" s="76"/>
      <c r="G809" s="76"/>
    </row>
    <row r="810" spans="1:7" x14ac:dyDescent="0.25">
      <c r="A810" s="75"/>
      <c r="B810" s="76"/>
      <c r="C810" s="76"/>
      <c r="D810" s="76"/>
      <c r="E810" s="76"/>
      <c r="F810" s="76"/>
      <c r="G810" s="76"/>
    </row>
    <row r="811" spans="1:7" x14ac:dyDescent="0.25">
      <c r="A811" s="75"/>
      <c r="B811" s="76"/>
      <c r="C811" s="76"/>
      <c r="D811" s="76"/>
      <c r="E811" s="76"/>
      <c r="F811" s="76"/>
      <c r="G811" s="76"/>
    </row>
    <row r="812" spans="1:7" x14ac:dyDescent="0.25">
      <c r="A812" s="75"/>
      <c r="B812" s="76"/>
      <c r="C812" s="76"/>
      <c r="D812" s="76"/>
      <c r="E812" s="76"/>
      <c r="F812" s="76"/>
      <c r="G812" s="76"/>
    </row>
    <row r="813" spans="1:7" x14ac:dyDescent="0.25">
      <c r="A813" s="75"/>
      <c r="B813" s="76"/>
      <c r="C813" s="76"/>
      <c r="D813" s="76"/>
      <c r="E813" s="76"/>
      <c r="F813" s="76"/>
      <c r="G813" s="76"/>
    </row>
    <row r="814" spans="1:7" x14ac:dyDescent="0.25">
      <c r="A814" s="75"/>
      <c r="B814" s="76"/>
      <c r="C814" s="76"/>
      <c r="D814" s="76"/>
      <c r="E814" s="76"/>
      <c r="F814" s="76"/>
      <c r="G814" s="76"/>
    </row>
    <row r="815" spans="1:7" x14ac:dyDescent="0.25">
      <c r="A815" s="75"/>
      <c r="B815" s="76"/>
      <c r="C815" s="76"/>
      <c r="D815" s="76"/>
      <c r="E815" s="76"/>
      <c r="F815" s="76"/>
      <c r="G815" s="76"/>
    </row>
    <row r="816" spans="1:7" x14ac:dyDescent="0.25">
      <c r="A816" s="75"/>
      <c r="B816" s="76"/>
      <c r="C816" s="76"/>
      <c r="D816" s="76"/>
      <c r="E816" s="76"/>
      <c r="F816" s="76"/>
      <c r="G816" s="76"/>
    </row>
    <row r="817" spans="1:7" x14ac:dyDescent="0.25">
      <c r="A817" s="75"/>
      <c r="B817" s="76"/>
      <c r="C817" s="76"/>
      <c r="D817" s="76"/>
      <c r="E817" s="76"/>
      <c r="F817" s="76"/>
      <c r="G817" s="76"/>
    </row>
    <row r="818" spans="1:7" x14ac:dyDescent="0.25">
      <c r="A818" s="75"/>
      <c r="B818" s="76"/>
      <c r="C818" s="76"/>
      <c r="D818" s="76"/>
      <c r="E818" s="76"/>
      <c r="F818" s="76"/>
      <c r="G818" s="76"/>
    </row>
    <row r="819" spans="1:7" x14ac:dyDescent="0.25">
      <c r="A819" s="75"/>
      <c r="B819" s="76"/>
      <c r="C819" s="76"/>
      <c r="D819" s="76"/>
      <c r="E819" s="76"/>
      <c r="F819" s="76"/>
      <c r="G819" s="76"/>
    </row>
    <row r="820" spans="1:7" x14ac:dyDescent="0.25">
      <c r="A820" s="75"/>
      <c r="B820" s="76"/>
      <c r="C820" s="76"/>
      <c r="D820" s="76"/>
      <c r="E820" s="76"/>
      <c r="F820" s="76"/>
      <c r="G820" s="76"/>
    </row>
    <row r="821" spans="1:7" x14ac:dyDescent="0.25">
      <c r="A821" s="75"/>
      <c r="B821" s="76"/>
      <c r="C821" s="76"/>
      <c r="D821" s="76"/>
      <c r="E821" s="76"/>
      <c r="F821" s="76"/>
      <c r="G821" s="76"/>
    </row>
    <row r="822" spans="1:7" x14ac:dyDescent="0.25">
      <c r="A822" s="75"/>
      <c r="B822" s="76"/>
      <c r="C822" s="76"/>
      <c r="D822" s="76"/>
      <c r="E822" s="76"/>
      <c r="F822" s="76"/>
      <c r="G822" s="76"/>
    </row>
    <row r="823" spans="1:7" x14ac:dyDescent="0.25">
      <c r="A823" s="75"/>
      <c r="B823" s="76"/>
      <c r="C823" s="76"/>
      <c r="D823" s="76"/>
      <c r="E823" s="76"/>
      <c r="F823" s="76"/>
      <c r="G823" s="76"/>
    </row>
    <row r="824" spans="1:7" x14ac:dyDescent="0.25">
      <c r="A824" s="75"/>
      <c r="B824" s="76"/>
      <c r="C824" s="76"/>
      <c r="D824" s="76"/>
      <c r="E824" s="76"/>
      <c r="F824" s="76"/>
      <c r="G824" s="76"/>
    </row>
    <row r="825" spans="1:7" x14ac:dyDescent="0.25">
      <c r="A825" s="75"/>
      <c r="B825" s="76"/>
      <c r="C825" s="76"/>
      <c r="D825" s="76"/>
      <c r="E825" s="76"/>
      <c r="F825" s="76"/>
      <c r="G825" s="76"/>
    </row>
    <row r="826" spans="1:7" x14ac:dyDescent="0.25">
      <c r="A826" s="75"/>
      <c r="B826" s="76"/>
      <c r="C826" s="76"/>
      <c r="D826" s="76"/>
      <c r="E826" s="76"/>
      <c r="F826" s="76"/>
      <c r="G826" s="76"/>
    </row>
    <row r="827" spans="1:7" x14ac:dyDescent="0.25">
      <c r="A827" s="75"/>
      <c r="B827" s="76"/>
      <c r="C827" s="76"/>
      <c r="D827" s="76"/>
      <c r="E827" s="76"/>
      <c r="F827" s="76"/>
      <c r="G827" s="76"/>
    </row>
    <row r="828" spans="1:7" x14ac:dyDescent="0.25">
      <c r="A828" s="75"/>
      <c r="B828" s="76"/>
      <c r="C828" s="76"/>
      <c r="D828" s="76"/>
      <c r="E828" s="76"/>
      <c r="F828" s="76"/>
      <c r="G828" s="76"/>
    </row>
    <row r="829" spans="1:7" x14ac:dyDescent="0.25">
      <c r="A829" s="75"/>
      <c r="B829" s="76"/>
      <c r="C829" s="76"/>
      <c r="D829" s="76"/>
      <c r="E829" s="76"/>
      <c r="F829" s="76"/>
      <c r="G829" s="76"/>
    </row>
    <row r="830" spans="1:7" x14ac:dyDescent="0.25">
      <c r="A830" s="75"/>
      <c r="B830" s="76"/>
      <c r="C830" s="76"/>
      <c r="D830" s="76"/>
      <c r="E830" s="76"/>
      <c r="F830" s="76"/>
      <c r="G830" s="76"/>
    </row>
    <row r="831" spans="1:7" x14ac:dyDescent="0.25">
      <c r="A831" s="75"/>
      <c r="B831" s="76"/>
      <c r="C831" s="76"/>
      <c r="D831" s="76"/>
      <c r="E831" s="76"/>
      <c r="F831" s="76"/>
      <c r="G831" s="76"/>
    </row>
    <row r="832" spans="1:7" x14ac:dyDescent="0.25">
      <c r="A832" s="75"/>
      <c r="B832" s="76"/>
      <c r="C832" s="76"/>
      <c r="D832" s="76"/>
      <c r="E832" s="76"/>
      <c r="F832" s="76"/>
      <c r="G832" s="76"/>
    </row>
    <row r="833" spans="1:7" x14ac:dyDescent="0.25">
      <c r="A833" s="75"/>
      <c r="B833" s="76"/>
      <c r="C833" s="76"/>
      <c r="D833" s="76"/>
      <c r="E833" s="76"/>
      <c r="F833" s="76"/>
      <c r="G833" s="76"/>
    </row>
    <row r="834" spans="1:7" x14ac:dyDescent="0.25">
      <c r="A834" s="75"/>
      <c r="B834" s="76"/>
      <c r="C834" s="76"/>
      <c r="D834" s="76"/>
      <c r="E834" s="76"/>
      <c r="F834" s="76"/>
      <c r="G834" s="76"/>
    </row>
    <row r="835" spans="1:7" x14ac:dyDescent="0.25">
      <c r="A835" s="75"/>
      <c r="B835" s="76"/>
      <c r="C835" s="76"/>
      <c r="D835" s="76"/>
      <c r="E835" s="76"/>
      <c r="F835" s="76"/>
      <c r="G835" s="76"/>
    </row>
    <row r="836" spans="1:7" x14ac:dyDescent="0.25">
      <c r="A836" s="75"/>
      <c r="B836" s="76"/>
      <c r="C836" s="76"/>
      <c r="D836" s="76"/>
      <c r="E836" s="76"/>
      <c r="F836" s="76"/>
      <c r="G836" s="76"/>
    </row>
    <row r="837" spans="1:7" x14ac:dyDescent="0.25">
      <c r="A837" s="75"/>
      <c r="B837" s="76"/>
      <c r="C837" s="76"/>
      <c r="D837" s="76"/>
      <c r="E837" s="76"/>
      <c r="F837" s="76"/>
      <c r="G837" s="76"/>
    </row>
    <row r="838" spans="1:7" x14ac:dyDescent="0.25">
      <c r="A838" s="75"/>
      <c r="B838" s="76"/>
      <c r="C838" s="76"/>
      <c r="D838" s="76"/>
      <c r="E838" s="76"/>
      <c r="F838" s="76"/>
      <c r="G838" s="76"/>
    </row>
    <row r="839" spans="1:7" x14ac:dyDescent="0.25">
      <c r="A839" s="75"/>
      <c r="B839" s="76"/>
      <c r="C839" s="76"/>
      <c r="D839" s="76"/>
      <c r="E839" s="76"/>
      <c r="F839" s="76"/>
      <c r="G839" s="76"/>
    </row>
    <row r="840" spans="1:7" x14ac:dyDescent="0.25">
      <c r="A840" s="75"/>
      <c r="B840" s="76"/>
      <c r="C840" s="76"/>
      <c r="D840" s="76"/>
      <c r="E840" s="76"/>
      <c r="F840" s="76"/>
      <c r="G840" s="76"/>
    </row>
    <row r="841" spans="1:7" x14ac:dyDescent="0.25">
      <c r="A841" s="75"/>
      <c r="B841" s="76"/>
      <c r="C841" s="76"/>
      <c r="D841" s="76"/>
      <c r="E841" s="76"/>
      <c r="F841" s="76"/>
      <c r="G841" s="76"/>
    </row>
    <row r="842" spans="1:7" x14ac:dyDescent="0.25">
      <c r="A842" s="75"/>
      <c r="B842" s="76"/>
      <c r="C842" s="76"/>
      <c r="D842" s="76"/>
      <c r="E842" s="76"/>
      <c r="F842" s="76"/>
      <c r="G842" s="76"/>
    </row>
    <row r="843" spans="1:7" x14ac:dyDescent="0.25">
      <c r="A843" s="75"/>
      <c r="B843" s="76"/>
      <c r="C843" s="76"/>
      <c r="D843" s="76"/>
      <c r="E843" s="76"/>
      <c r="F843" s="76"/>
      <c r="G843" s="76"/>
    </row>
    <row r="844" spans="1:7" x14ac:dyDescent="0.25">
      <c r="A844" s="75"/>
      <c r="B844" s="76"/>
      <c r="C844" s="76"/>
      <c r="D844" s="76"/>
      <c r="E844" s="76"/>
      <c r="F844" s="76"/>
      <c r="G844" s="76"/>
    </row>
    <row r="845" spans="1:7" x14ac:dyDescent="0.25">
      <c r="A845" s="75"/>
      <c r="B845" s="76"/>
      <c r="C845" s="76"/>
      <c r="D845" s="76"/>
      <c r="E845" s="76"/>
      <c r="F845" s="76"/>
      <c r="G845" s="76"/>
    </row>
    <row r="846" spans="1:7" x14ac:dyDescent="0.25">
      <c r="A846" s="75"/>
      <c r="B846" s="76"/>
      <c r="C846" s="76"/>
      <c r="D846" s="76"/>
      <c r="E846" s="76"/>
      <c r="F846" s="76"/>
      <c r="G846" s="76"/>
    </row>
    <row r="847" spans="1:7" x14ac:dyDescent="0.25">
      <c r="A847" s="75"/>
      <c r="B847" s="76"/>
      <c r="C847" s="76"/>
      <c r="D847" s="76"/>
      <c r="E847" s="76"/>
      <c r="F847" s="76"/>
      <c r="G847" s="76"/>
    </row>
    <row r="848" spans="1:7" x14ac:dyDescent="0.25">
      <c r="A848" s="75"/>
      <c r="B848" s="76"/>
      <c r="C848" s="76"/>
      <c r="D848" s="76"/>
      <c r="E848" s="76"/>
      <c r="F848" s="76"/>
      <c r="G848" s="76"/>
    </row>
    <row r="849" spans="1:7" x14ac:dyDescent="0.25">
      <c r="A849" s="75"/>
      <c r="B849" s="76"/>
      <c r="C849" s="76"/>
      <c r="D849" s="76"/>
      <c r="E849" s="76"/>
      <c r="F849" s="76"/>
      <c r="G849" s="76"/>
    </row>
    <row r="850" spans="1:7" x14ac:dyDescent="0.25">
      <c r="A850" s="75"/>
      <c r="B850" s="76"/>
      <c r="C850" s="76"/>
      <c r="D850" s="76"/>
      <c r="E850" s="76"/>
      <c r="F850" s="76"/>
      <c r="G850" s="76"/>
    </row>
    <row r="851" spans="1:7" x14ac:dyDescent="0.25">
      <c r="A851" s="75"/>
      <c r="B851" s="76"/>
      <c r="C851" s="76"/>
      <c r="D851" s="76"/>
      <c r="E851" s="76"/>
      <c r="F851" s="76"/>
      <c r="G851" s="76"/>
    </row>
    <row r="852" spans="1:7" x14ac:dyDescent="0.25">
      <c r="A852" s="75"/>
      <c r="B852" s="76"/>
      <c r="C852" s="76"/>
      <c r="D852" s="76"/>
      <c r="E852" s="76"/>
      <c r="F852" s="76"/>
      <c r="G852" s="76"/>
    </row>
    <row r="853" spans="1:7" x14ac:dyDescent="0.25">
      <c r="A853" s="75"/>
      <c r="B853" s="76"/>
      <c r="C853" s="76"/>
      <c r="D853" s="76"/>
      <c r="E853" s="76"/>
      <c r="F853" s="76"/>
      <c r="G853" s="76"/>
    </row>
    <row r="854" spans="1:7" x14ac:dyDescent="0.25">
      <c r="A854" s="75"/>
      <c r="B854" s="76"/>
      <c r="C854" s="76"/>
      <c r="D854" s="76"/>
      <c r="E854" s="76"/>
      <c r="F854" s="76"/>
      <c r="G854" s="76"/>
    </row>
    <row r="855" spans="1:7" x14ac:dyDescent="0.25">
      <c r="A855" s="75"/>
      <c r="B855" s="76"/>
      <c r="C855" s="76"/>
      <c r="D855" s="76"/>
      <c r="E855" s="76"/>
      <c r="F855" s="76"/>
      <c r="G855" s="76"/>
    </row>
    <row r="856" spans="1:7" x14ac:dyDescent="0.25">
      <c r="A856" s="75"/>
      <c r="B856" s="76"/>
      <c r="C856" s="76"/>
      <c r="D856" s="76"/>
      <c r="E856" s="76"/>
      <c r="F856" s="76"/>
      <c r="G856" s="76"/>
    </row>
    <row r="857" spans="1:7" x14ac:dyDescent="0.25">
      <c r="A857" s="75"/>
      <c r="B857" s="76"/>
      <c r="C857" s="76"/>
      <c r="D857" s="76"/>
      <c r="E857" s="76"/>
      <c r="F857" s="76"/>
      <c r="G857" s="76"/>
    </row>
    <row r="858" spans="1:7" x14ac:dyDescent="0.25">
      <c r="A858" s="75"/>
      <c r="B858" s="76"/>
      <c r="C858" s="76"/>
      <c r="D858" s="76"/>
      <c r="E858" s="76"/>
      <c r="F858" s="76"/>
      <c r="G858" s="76"/>
    </row>
    <row r="859" spans="1:7" x14ac:dyDescent="0.25">
      <c r="A859" s="75"/>
      <c r="B859" s="76"/>
      <c r="C859" s="76"/>
      <c r="D859" s="76"/>
      <c r="E859" s="76"/>
      <c r="F859" s="76"/>
      <c r="G859" s="76"/>
    </row>
    <row r="860" spans="1:7" x14ac:dyDescent="0.25">
      <c r="A860" s="75"/>
      <c r="B860" s="76"/>
      <c r="C860" s="76"/>
      <c r="D860" s="76"/>
      <c r="E860" s="76"/>
      <c r="F860" s="76"/>
      <c r="G860" s="76"/>
    </row>
    <row r="861" spans="1:7" x14ac:dyDescent="0.25">
      <c r="A861" s="75"/>
      <c r="B861" s="76"/>
      <c r="C861" s="76"/>
      <c r="D861" s="76"/>
      <c r="E861" s="76"/>
      <c r="F861" s="76"/>
      <c r="G861" s="76"/>
    </row>
    <row r="862" spans="1:7" x14ac:dyDescent="0.25">
      <c r="A862" s="75"/>
      <c r="B862" s="76"/>
      <c r="C862" s="76"/>
      <c r="D862" s="76"/>
      <c r="E862" s="76"/>
      <c r="F862" s="76"/>
      <c r="G862" s="76"/>
    </row>
    <row r="863" spans="1:7" x14ac:dyDescent="0.25">
      <c r="A863" s="75"/>
      <c r="B863" s="76"/>
      <c r="C863" s="76"/>
      <c r="D863" s="76"/>
      <c r="E863" s="76"/>
      <c r="F863" s="76"/>
      <c r="G863" s="76"/>
    </row>
    <row r="864" spans="1:7" x14ac:dyDescent="0.25">
      <c r="A864" s="75"/>
      <c r="B864" s="76"/>
      <c r="C864" s="76"/>
      <c r="D864" s="76"/>
      <c r="E864" s="76"/>
      <c r="F864" s="76"/>
      <c r="G864" s="76"/>
    </row>
    <row r="865" spans="1:7" x14ac:dyDescent="0.25">
      <c r="A865" s="75"/>
      <c r="B865" s="76"/>
      <c r="C865" s="76"/>
      <c r="D865" s="76"/>
      <c r="E865" s="76"/>
      <c r="F865" s="76"/>
      <c r="G865" s="76"/>
    </row>
    <row r="866" spans="1:7" x14ac:dyDescent="0.25">
      <c r="A866" s="75"/>
      <c r="B866" s="76"/>
      <c r="C866" s="76"/>
      <c r="D866" s="76"/>
      <c r="E866" s="76"/>
      <c r="F866" s="76"/>
      <c r="G866" s="76"/>
    </row>
    <row r="867" spans="1:7" x14ac:dyDescent="0.25">
      <c r="A867" s="75"/>
      <c r="B867" s="76"/>
      <c r="C867" s="76"/>
      <c r="D867" s="76"/>
      <c r="E867" s="76"/>
      <c r="F867" s="76"/>
      <c r="G867" s="76"/>
    </row>
    <row r="868" spans="1:7" x14ac:dyDescent="0.25">
      <c r="A868" s="75"/>
      <c r="B868" s="76"/>
      <c r="C868" s="76"/>
      <c r="D868" s="76"/>
      <c r="E868" s="76"/>
      <c r="F868" s="76"/>
      <c r="G868" s="76"/>
    </row>
    <row r="869" spans="1:7" x14ac:dyDescent="0.25">
      <c r="A869" s="75"/>
      <c r="B869" s="76"/>
      <c r="C869" s="76"/>
      <c r="D869" s="76"/>
      <c r="E869" s="76"/>
      <c r="F869" s="76"/>
      <c r="G869" s="76"/>
    </row>
    <row r="870" spans="1:7" x14ac:dyDescent="0.25">
      <c r="A870" s="75"/>
      <c r="B870" s="76"/>
      <c r="C870" s="76"/>
      <c r="D870" s="76"/>
      <c r="E870" s="76"/>
      <c r="F870" s="76"/>
      <c r="G870" s="76"/>
    </row>
    <row r="871" spans="1:7" x14ac:dyDescent="0.25">
      <c r="A871" s="75"/>
      <c r="B871" s="76"/>
      <c r="C871" s="76"/>
      <c r="D871" s="76"/>
      <c r="E871" s="76"/>
      <c r="F871" s="76"/>
      <c r="G871" s="76"/>
    </row>
    <row r="872" spans="1:7" x14ac:dyDescent="0.25">
      <c r="A872" s="75"/>
      <c r="B872" s="76"/>
      <c r="C872" s="76"/>
      <c r="D872" s="76"/>
      <c r="E872" s="76"/>
      <c r="F872" s="76"/>
      <c r="G872" s="76"/>
    </row>
    <row r="873" spans="1:7" x14ac:dyDescent="0.25">
      <c r="A873" s="75"/>
      <c r="B873" s="76"/>
      <c r="C873" s="76"/>
      <c r="D873" s="76"/>
      <c r="E873" s="76"/>
      <c r="F873" s="76"/>
      <c r="G873" s="76"/>
    </row>
    <row r="874" spans="1:7" x14ac:dyDescent="0.25">
      <c r="A874" s="75"/>
      <c r="B874" s="76"/>
      <c r="C874" s="76"/>
      <c r="D874" s="76"/>
      <c r="E874" s="76"/>
      <c r="F874" s="76"/>
      <c r="G874" s="76"/>
    </row>
    <row r="875" spans="1:7" x14ac:dyDescent="0.25">
      <c r="A875" s="75"/>
      <c r="B875" s="76"/>
      <c r="C875" s="76"/>
      <c r="D875" s="76"/>
      <c r="E875" s="76"/>
      <c r="F875" s="76"/>
      <c r="G875" s="76"/>
    </row>
    <row r="876" spans="1:7" x14ac:dyDescent="0.25">
      <c r="A876" s="75"/>
      <c r="B876" s="76"/>
      <c r="C876" s="76"/>
      <c r="D876" s="76"/>
      <c r="E876" s="76"/>
      <c r="F876" s="76"/>
      <c r="G876" s="76"/>
    </row>
    <row r="877" spans="1:7" x14ac:dyDescent="0.25">
      <c r="A877" s="75"/>
      <c r="B877" s="76"/>
      <c r="C877" s="76"/>
      <c r="D877" s="76"/>
      <c r="E877" s="76"/>
      <c r="F877" s="76"/>
      <c r="G877" s="76"/>
    </row>
    <row r="878" spans="1:7" x14ac:dyDescent="0.25">
      <c r="A878" s="75"/>
      <c r="B878" s="76"/>
      <c r="C878" s="76"/>
      <c r="D878" s="76"/>
      <c r="E878" s="76"/>
      <c r="F878" s="76"/>
      <c r="G878" s="76"/>
    </row>
    <row r="879" spans="1:7" x14ac:dyDescent="0.25">
      <c r="A879" s="75"/>
      <c r="B879" s="76"/>
      <c r="C879" s="76"/>
      <c r="D879" s="76"/>
      <c r="E879" s="76"/>
      <c r="F879" s="76"/>
      <c r="G879" s="76"/>
    </row>
    <row r="880" spans="1:7" x14ac:dyDescent="0.25">
      <c r="A880" s="75"/>
      <c r="B880" s="76"/>
      <c r="C880" s="76"/>
      <c r="D880" s="76"/>
      <c r="E880" s="76"/>
      <c r="F880" s="76"/>
      <c r="G880" s="76"/>
    </row>
    <row r="881" spans="1:7" x14ac:dyDescent="0.25">
      <c r="A881" s="75"/>
      <c r="B881" s="76"/>
      <c r="C881" s="76"/>
      <c r="D881" s="76"/>
      <c r="E881" s="76"/>
      <c r="F881" s="76"/>
      <c r="G881" s="76"/>
    </row>
    <row r="882" spans="1:7" x14ac:dyDescent="0.25">
      <c r="A882" s="75"/>
      <c r="B882" s="76"/>
      <c r="C882" s="76"/>
      <c r="D882" s="76"/>
      <c r="E882" s="76"/>
      <c r="F882" s="76"/>
      <c r="G882" s="76"/>
    </row>
    <row r="883" spans="1:7" x14ac:dyDescent="0.25">
      <c r="A883" s="75"/>
      <c r="B883" s="76"/>
      <c r="C883" s="76"/>
      <c r="D883" s="76"/>
      <c r="E883" s="76"/>
      <c r="F883" s="76"/>
      <c r="G883" s="76"/>
    </row>
    <row r="884" spans="1:7" x14ac:dyDescent="0.25">
      <c r="A884" s="75"/>
      <c r="B884" s="76"/>
      <c r="C884" s="76"/>
      <c r="D884" s="76"/>
      <c r="E884" s="76"/>
      <c r="F884" s="76"/>
      <c r="G884" s="76"/>
    </row>
    <row r="885" spans="1:7" x14ac:dyDescent="0.25">
      <c r="A885" s="75"/>
      <c r="B885" s="76"/>
      <c r="C885" s="76"/>
      <c r="D885" s="76"/>
      <c r="E885" s="76"/>
      <c r="F885" s="76"/>
      <c r="G885" s="76"/>
    </row>
    <row r="886" spans="1:7" x14ac:dyDescent="0.25">
      <c r="A886" s="75"/>
      <c r="B886" s="76"/>
      <c r="C886" s="76"/>
      <c r="D886" s="76"/>
      <c r="E886" s="76"/>
      <c r="F886" s="76"/>
      <c r="G886" s="76"/>
    </row>
    <row r="887" spans="1:7" x14ac:dyDescent="0.25">
      <c r="A887" s="75"/>
      <c r="B887" s="76"/>
      <c r="C887" s="76"/>
      <c r="D887" s="76"/>
      <c r="E887" s="76"/>
      <c r="F887" s="76"/>
      <c r="G887" s="76"/>
    </row>
    <row r="888" spans="1:7" x14ac:dyDescent="0.25">
      <c r="A888" s="75"/>
      <c r="B888" s="76"/>
      <c r="C888" s="76"/>
      <c r="D888" s="76"/>
      <c r="E888" s="76"/>
      <c r="F888" s="76"/>
      <c r="G888" s="76"/>
    </row>
    <row r="889" spans="1:7" x14ac:dyDescent="0.25">
      <c r="A889" s="75"/>
      <c r="B889" s="76"/>
      <c r="C889" s="76"/>
      <c r="D889" s="76"/>
      <c r="E889" s="76"/>
      <c r="F889" s="76"/>
      <c r="G889" s="76"/>
    </row>
    <row r="890" spans="1:7" x14ac:dyDescent="0.25">
      <c r="A890" s="75"/>
      <c r="B890" s="76"/>
      <c r="C890" s="76"/>
      <c r="D890" s="76"/>
      <c r="E890" s="76"/>
      <c r="F890" s="76"/>
      <c r="G890" s="76"/>
    </row>
    <row r="891" spans="1:7" x14ac:dyDescent="0.25">
      <c r="A891" s="75"/>
      <c r="B891" s="76"/>
      <c r="C891" s="76"/>
      <c r="D891" s="76"/>
      <c r="E891" s="76"/>
      <c r="F891" s="76"/>
      <c r="G891" s="76"/>
    </row>
    <row r="892" spans="1:7" x14ac:dyDescent="0.25">
      <c r="A892" s="75"/>
      <c r="B892" s="76"/>
      <c r="C892" s="76"/>
      <c r="D892" s="76"/>
      <c r="E892" s="76"/>
      <c r="F892" s="76"/>
      <c r="G892" s="76"/>
    </row>
    <row r="893" spans="1:7" x14ac:dyDescent="0.25">
      <c r="A893" s="75"/>
      <c r="B893" s="76"/>
      <c r="C893" s="76"/>
      <c r="D893" s="76"/>
      <c r="E893" s="76"/>
      <c r="F893" s="76"/>
      <c r="G893" s="76"/>
    </row>
    <row r="894" spans="1:7" x14ac:dyDescent="0.25">
      <c r="A894" s="75"/>
      <c r="B894" s="76"/>
      <c r="C894" s="76"/>
      <c r="D894" s="76"/>
      <c r="E894" s="76"/>
      <c r="F894" s="76"/>
      <c r="G894" s="76"/>
    </row>
    <row r="895" spans="1:7" x14ac:dyDescent="0.25">
      <c r="A895" s="75"/>
      <c r="B895" s="76"/>
      <c r="C895" s="76"/>
      <c r="D895" s="76"/>
      <c r="E895" s="76"/>
      <c r="F895" s="76"/>
      <c r="G895" s="76"/>
    </row>
    <row r="896" spans="1:7" x14ac:dyDescent="0.25">
      <c r="A896" s="75"/>
      <c r="B896" s="76"/>
      <c r="C896" s="76"/>
      <c r="D896" s="76"/>
      <c r="E896" s="76"/>
      <c r="F896" s="76"/>
      <c r="G896" s="76"/>
    </row>
    <row r="897" spans="1:7" x14ac:dyDescent="0.25">
      <c r="A897" s="75"/>
      <c r="B897" s="76"/>
      <c r="C897" s="76"/>
      <c r="D897" s="76"/>
      <c r="E897" s="76"/>
      <c r="F897" s="76"/>
      <c r="G897" s="76"/>
    </row>
    <row r="898" spans="1:7" x14ac:dyDescent="0.25">
      <c r="A898" s="75"/>
      <c r="B898" s="76"/>
      <c r="C898" s="76"/>
      <c r="D898" s="76"/>
      <c r="E898" s="76"/>
      <c r="F898" s="76"/>
      <c r="G898" s="76"/>
    </row>
    <row r="899" spans="1:7" x14ac:dyDescent="0.25">
      <c r="A899" s="75"/>
      <c r="B899" s="76"/>
      <c r="C899" s="76"/>
      <c r="D899" s="76"/>
      <c r="E899" s="76"/>
      <c r="F899" s="76"/>
      <c r="G899" s="76"/>
    </row>
    <row r="900" spans="1:7" x14ac:dyDescent="0.25">
      <c r="A900" s="75"/>
      <c r="B900" s="76"/>
      <c r="C900" s="76"/>
      <c r="D900" s="76"/>
      <c r="E900" s="76"/>
      <c r="F900" s="76"/>
      <c r="G900" s="76"/>
    </row>
    <row r="901" spans="1:7" x14ac:dyDescent="0.25">
      <c r="A901" s="75"/>
      <c r="B901" s="76"/>
      <c r="C901" s="76"/>
      <c r="D901" s="76"/>
      <c r="E901" s="76"/>
      <c r="F901" s="76"/>
      <c r="G901" s="76"/>
    </row>
    <row r="902" spans="1:7" x14ac:dyDescent="0.25">
      <c r="A902" s="75"/>
      <c r="B902" s="76"/>
      <c r="C902" s="76"/>
      <c r="D902" s="76"/>
      <c r="E902" s="76"/>
      <c r="F902" s="76"/>
      <c r="G902" s="76"/>
    </row>
    <row r="903" spans="1:7" x14ac:dyDescent="0.25">
      <c r="A903" s="75"/>
      <c r="B903" s="76"/>
      <c r="C903" s="76"/>
      <c r="D903" s="76"/>
      <c r="E903" s="76"/>
      <c r="F903" s="76"/>
      <c r="G903" s="76"/>
    </row>
    <row r="904" spans="1:7" x14ac:dyDescent="0.25">
      <c r="A904" s="75"/>
      <c r="B904" s="76"/>
      <c r="C904" s="76"/>
      <c r="D904" s="76"/>
      <c r="E904" s="76"/>
      <c r="F904" s="76"/>
      <c r="G904" s="76"/>
    </row>
    <row r="905" spans="1:7" x14ac:dyDescent="0.25">
      <c r="A905" s="75"/>
      <c r="B905" s="76"/>
      <c r="C905" s="76"/>
      <c r="D905" s="76"/>
      <c r="E905" s="76"/>
      <c r="F905" s="76"/>
      <c r="G905" s="76"/>
    </row>
    <row r="906" spans="1:7" x14ac:dyDescent="0.25">
      <c r="A906" s="75"/>
      <c r="B906" s="76"/>
      <c r="C906" s="76"/>
      <c r="D906" s="76"/>
      <c r="E906" s="76"/>
      <c r="F906" s="76"/>
      <c r="G906" s="76"/>
    </row>
    <row r="907" spans="1:7" x14ac:dyDescent="0.25">
      <c r="A907" s="75"/>
      <c r="B907" s="76"/>
      <c r="C907" s="76"/>
      <c r="D907" s="76"/>
      <c r="E907" s="76"/>
      <c r="F907" s="76"/>
      <c r="G907" s="76"/>
    </row>
    <row r="908" spans="1:7" x14ac:dyDescent="0.25">
      <c r="A908" s="75"/>
      <c r="B908" s="76"/>
      <c r="C908" s="76"/>
      <c r="D908" s="76"/>
      <c r="E908" s="76"/>
      <c r="F908" s="76"/>
      <c r="G908" s="76"/>
    </row>
    <row r="909" spans="1:7" x14ac:dyDescent="0.25">
      <c r="A909" s="75"/>
      <c r="B909" s="76"/>
      <c r="C909" s="76"/>
      <c r="D909" s="76"/>
      <c r="E909" s="76"/>
      <c r="F909" s="76"/>
      <c r="G909" s="76"/>
    </row>
    <row r="910" spans="1:7" x14ac:dyDescent="0.25">
      <c r="A910" s="75"/>
      <c r="B910" s="76"/>
      <c r="C910" s="76"/>
      <c r="D910" s="76"/>
      <c r="E910" s="76"/>
      <c r="F910" s="76"/>
      <c r="G910" s="76"/>
    </row>
    <row r="911" spans="1:7" x14ac:dyDescent="0.25">
      <c r="A911" s="75"/>
      <c r="B911" s="76"/>
      <c r="C911" s="76"/>
      <c r="D911" s="76"/>
      <c r="E911" s="76"/>
      <c r="F911" s="76"/>
      <c r="G911" s="76"/>
    </row>
    <row r="912" spans="1:7" x14ac:dyDescent="0.25">
      <c r="A912" s="75"/>
      <c r="B912" s="76"/>
      <c r="C912" s="76"/>
      <c r="D912" s="76"/>
      <c r="E912" s="76"/>
      <c r="F912" s="76"/>
      <c r="G912" s="76"/>
    </row>
    <row r="913" spans="1:7" x14ac:dyDescent="0.25">
      <c r="A913" s="75"/>
      <c r="B913" s="76"/>
      <c r="C913" s="76"/>
      <c r="D913" s="76"/>
      <c r="E913" s="76"/>
      <c r="F913" s="76"/>
      <c r="G913" s="76"/>
    </row>
    <row r="914" spans="1:7" x14ac:dyDescent="0.25">
      <c r="A914" s="75"/>
      <c r="B914" s="76"/>
      <c r="C914" s="76"/>
      <c r="D914" s="76"/>
      <c r="E914" s="76"/>
      <c r="F914" s="76"/>
      <c r="G914" s="76"/>
    </row>
    <row r="915" spans="1:7" x14ac:dyDescent="0.25">
      <c r="A915" s="75"/>
      <c r="B915" s="76"/>
      <c r="C915" s="76"/>
      <c r="D915" s="76"/>
      <c r="E915" s="76"/>
      <c r="F915" s="76"/>
      <c r="G915" s="76"/>
    </row>
    <row r="916" spans="1:7" x14ac:dyDescent="0.25">
      <c r="A916" s="75"/>
      <c r="B916" s="76"/>
      <c r="C916" s="76"/>
      <c r="D916" s="76"/>
      <c r="E916" s="76"/>
      <c r="F916" s="76"/>
      <c r="G916" s="76"/>
    </row>
    <row r="917" spans="1:7" x14ac:dyDescent="0.25">
      <c r="A917" s="75"/>
      <c r="B917" s="76"/>
      <c r="C917" s="76"/>
      <c r="D917" s="76"/>
      <c r="E917" s="76"/>
      <c r="F917" s="76"/>
      <c r="G917" s="76"/>
    </row>
    <row r="918" spans="1:7" x14ac:dyDescent="0.25">
      <c r="A918" s="75"/>
      <c r="B918" s="76"/>
      <c r="C918" s="76"/>
      <c r="D918" s="76"/>
      <c r="E918" s="76"/>
      <c r="F918" s="76"/>
      <c r="G918" s="76"/>
    </row>
    <row r="919" spans="1:7" x14ac:dyDescent="0.25">
      <c r="A919" s="75"/>
      <c r="B919" s="76"/>
      <c r="C919" s="76"/>
      <c r="D919" s="76"/>
      <c r="E919" s="76"/>
      <c r="F919" s="76"/>
      <c r="G919" s="76"/>
    </row>
    <row r="920" spans="1:7" x14ac:dyDescent="0.25">
      <c r="A920" s="75"/>
      <c r="B920" s="76"/>
      <c r="C920" s="76"/>
      <c r="D920" s="76"/>
      <c r="E920" s="76"/>
      <c r="F920" s="76"/>
      <c r="G920" s="76"/>
    </row>
    <row r="921" spans="1:7" x14ac:dyDescent="0.25">
      <c r="A921" s="75"/>
      <c r="B921" s="76"/>
      <c r="C921" s="76"/>
      <c r="D921" s="76"/>
      <c r="E921" s="76"/>
      <c r="F921" s="76"/>
      <c r="G921" s="76"/>
    </row>
    <row r="922" spans="1:7" x14ac:dyDescent="0.25">
      <c r="A922" s="75"/>
      <c r="B922" s="76"/>
      <c r="C922" s="76"/>
      <c r="D922" s="76"/>
      <c r="E922" s="76"/>
      <c r="F922" s="76"/>
      <c r="G922" s="76"/>
    </row>
    <row r="923" spans="1:7" x14ac:dyDescent="0.25">
      <c r="A923" s="75"/>
      <c r="B923" s="76"/>
      <c r="C923" s="76"/>
      <c r="D923" s="76"/>
      <c r="E923" s="76"/>
      <c r="F923" s="76"/>
      <c r="G923" s="76"/>
    </row>
    <row r="924" spans="1:7" x14ac:dyDescent="0.25">
      <c r="A924" s="75"/>
      <c r="B924" s="76"/>
      <c r="C924" s="76"/>
      <c r="D924" s="76"/>
      <c r="E924" s="76"/>
      <c r="F924" s="76"/>
      <c r="G924" s="76"/>
    </row>
    <row r="925" spans="1:7" x14ac:dyDescent="0.25">
      <c r="A925" s="75"/>
      <c r="B925" s="76"/>
      <c r="C925" s="76"/>
      <c r="D925" s="76"/>
      <c r="E925" s="76"/>
      <c r="F925" s="76"/>
      <c r="G925" s="76"/>
    </row>
    <row r="926" spans="1:7" x14ac:dyDescent="0.25">
      <c r="A926" s="75"/>
      <c r="B926" s="76"/>
      <c r="C926" s="76"/>
      <c r="D926" s="76"/>
      <c r="E926" s="76"/>
      <c r="F926" s="76"/>
      <c r="G926" s="76"/>
    </row>
    <row r="927" spans="1:7" x14ac:dyDescent="0.25">
      <c r="A927" s="75"/>
      <c r="B927" s="76"/>
      <c r="C927" s="76"/>
      <c r="D927" s="76"/>
      <c r="E927" s="76"/>
      <c r="F927" s="76"/>
      <c r="G927" s="76"/>
    </row>
    <row r="928" spans="1:7" x14ac:dyDescent="0.25">
      <c r="A928" s="75"/>
      <c r="B928" s="76"/>
      <c r="C928" s="76"/>
      <c r="D928" s="76"/>
      <c r="E928" s="76"/>
      <c r="F928" s="76"/>
      <c r="G928" s="76"/>
    </row>
    <row r="929" spans="1:7" x14ac:dyDescent="0.25">
      <c r="A929" s="75"/>
      <c r="B929" s="76"/>
      <c r="C929" s="76"/>
      <c r="D929" s="76"/>
      <c r="E929" s="76"/>
      <c r="F929" s="76"/>
      <c r="G929" s="76"/>
    </row>
    <row r="930" spans="1:7" x14ac:dyDescent="0.25">
      <c r="A930" s="75"/>
      <c r="B930" s="76"/>
      <c r="C930" s="76"/>
      <c r="D930" s="76"/>
      <c r="E930" s="76"/>
      <c r="F930" s="76"/>
      <c r="G930" s="76"/>
    </row>
    <row r="931" spans="1:7" x14ac:dyDescent="0.25">
      <c r="A931" s="75"/>
      <c r="B931" s="76"/>
      <c r="C931" s="76"/>
      <c r="D931" s="76"/>
      <c r="E931" s="76"/>
      <c r="F931" s="76"/>
      <c r="G931" s="76"/>
    </row>
    <row r="932" spans="1:7" x14ac:dyDescent="0.25">
      <c r="A932" s="75"/>
      <c r="B932" s="76"/>
      <c r="C932" s="76"/>
      <c r="D932" s="76"/>
      <c r="E932" s="76"/>
      <c r="F932" s="76"/>
      <c r="G932" s="76"/>
    </row>
    <row r="933" spans="1:7" x14ac:dyDescent="0.25">
      <c r="A933" s="75"/>
      <c r="B933" s="76"/>
      <c r="C933" s="76"/>
      <c r="D933" s="76"/>
      <c r="E933" s="76"/>
      <c r="F933" s="76"/>
      <c r="G933" s="76"/>
    </row>
    <row r="934" spans="1:7" x14ac:dyDescent="0.25">
      <c r="A934" s="75"/>
      <c r="B934" s="76"/>
      <c r="C934" s="76"/>
      <c r="D934" s="76"/>
      <c r="E934" s="76"/>
      <c r="F934" s="76"/>
      <c r="G934" s="76"/>
    </row>
    <row r="935" spans="1:7" x14ac:dyDescent="0.25">
      <c r="A935" s="75"/>
      <c r="B935" s="76"/>
      <c r="C935" s="76"/>
      <c r="D935" s="76"/>
      <c r="E935" s="76"/>
      <c r="F935" s="76"/>
      <c r="G935" s="76"/>
    </row>
    <row r="936" spans="1:7" x14ac:dyDescent="0.25">
      <c r="A936" s="75"/>
      <c r="B936" s="76"/>
      <c r="C936" s="76"/>
      <c r="D936" s="76"/>
      <c r="E936" s="76"/>
      <c r="F936" s="76"/>
      <c r="G936" s="76"/>
    </row>
    <row r="937" spans="1:7" x14ac:dyDescent="0.25">
      <c r="A937" s="75"/>
      <c r="B937" s="76"/>
      <c r="C937" s="76"/>
      <c r="D937" s="76"/>
      <c r="E937" s="76"/>
      <c r="F937" s="76"/>
      <c r="G937" s="76"/>
    </row>
    <row r="938" spans="1:7" x14ac:dyDescent="0.25">
      <c r="A938" s="75"/>
      <c r="B938" s="76"/>
      <c r="C938" s="76"/>
      <c r="D938" s="76"/>
      <c r="E938" s="76"/>
      <c r="F938" s="76"/>
      <c r="G938" s="76"/>
    </row>
    <row r="939" spans="1:7" x14ac:dyDescent="0.25">
      <c r="A939" s="75"/>
      <c r="B939" s="76"/>
      <c r="C939" s="76"/>
      <c r="D939" s="76"/>
      <c r="E939" s="76"/>
      <c r="F939" s="76"/>
      <c r="G939" s="76"/>
    </row>
    <row r="940" spans="1:7" x14ac:dyDescent="0.25">
      <c r="A940" s="75"/>
      <c r="B940" s="76"/>
      <c r="C940" s="76"/>
      <c r="D940" s="76"/>
      <c r="E940" s="76"/>
      <c r="F940" s="76"/>
      <c r="G940" s="76"/>
    </row>
    <row r="941" spans="1:7" x14ac:dyDescent="0.25">
      <c r="A941" s="75"/>
      <c r="B941" s="76"/>
      <c r="C941" s="76"/>
      <c r="D941" s="76"/>
      <c r="E941" s="76"/>
      <c r="F941" s="76"/>
      <c r="G941" s="76"/>
    </row>
    <row r="942" spans="1:7" x14ac:dyDescent="0.25">
      <c r="A942" s="75"/>
      <c r="B942" s="76"/>
      <c r="C942" s="76"/>
      <c r="D942" s="76"/>
      <c r="E942" s="76"/>
      <c r="F942" s="76"/>
      <c r="G942" s="76"/>
    </row>
    <row r="943" spans="1:7" x14ac:dyDescent="0.25">
      <c r="A943" s="75"/>
      <c r="B943" s="76"/>
      <c r="C943" s="76"/>
      <c r="D943" s="76"/>
      <c r="E943" s="76"/>
      <c r="F943" s="76"/>
      <c r="G943" s="76"/>
    </row>
    <row r="944" spans="1:7" x14ac:dyDescent="0.25">
      <c r="A944" s="75"/>
      <c r="B944" s="76"/>
      <c r="C944" s="76"/>
      <c r="D944" s="76"/>
      <c r="E944" s="76"/>
      <c r="F944" s="76"/>
      <c r="G944" s="76"/>
    </row>
    <row r="945" spans="1:7" x14ac:dyDescent="0.25">
      <c r="A945" s="75"/>
      <c r="B945" s="76"/>
      <c r="C945" s="76"/>
      <c r="D945" s="76"/>
      <c r="E945" s="76"/>
      <c r="F945" s="76"/>
      <c r="G945" s="76"/>
    </row>
    <row r="946" spans="1:7" x14ac:dyDescent="0.25">
      <c r="A946" s="75"/>
      <c r="B946" s="76"/>
      <c r="C946" s="76"/>
      <c r="D946" s="76"/>
      <c r="E946" s="76"/>
      <c r="F946" s="76"/>
      <c r="G946" s="76"/>
    </row>
    <row r="947" spans="1:7" x14ac:dyDescent="0.25">
      <c r="A947" s="75"/>
      <c r="B947" s="76"/>
      <c r="C947" s="76"/>
      <c r="D947" s="76"/>
      <c r="E947" s="76"/>
      <c r="F947" s="76"/>
      <c r="G947" s="76"/>
    </row>
    <row r="948" spans="1:7" x14ac:dyDescent="0.25">
      <c r="A948" s="75"/>
      <c r="B948" s="76"/>
      <c r="C948" s="76"/>
      <c r="D948" s="76"/>
      <c r="E948" s="76"/>
      <c r="F948" s="76"/>
      <c r="G948" s="76"/>
    </row>
    <row r="949" spans="1:7" x14ac:dyDescent="0.25">
      <c r="A949" s="75"/>
      <c r="B949" s="76"/>
      <c r="C949" s="76"/>
      <c r="D949" s="76"/>
      <c r="E949" s="76"/>
      <c r="F949" s="76"/>
      <c r="G949" s="76"/>
    </row>
    <row r="950" spans="1:7" x14ac:dyDescent="0.25">
      <c r="A950" s="75"/>
      <c r="B950" s="76"/>
      <c r="C950" s="76"/>
      <c r="D950" s="76"/>
      <c r="E950" s="76"/>
      <c r="F950" s="76"/>
      <c r="G950" s="76"/>
    </row>
    <row r="951" spans="1:7" x14ac:dyDescent="0.25">
      <c r="A951" s="75"/>
      <c r="B951" s="76"/>
      <c r="C951" s="76"/>
      <c r="D951" s="76"/>
      <c r="E951" s="76"/>
      <c r="F951" s="76"/>
      <c r="G951" s="76"/>
    </row>
    <row r="952" spans="1:7" x14ac:dyDescent="0.25">
      <c r="A952" s="75"/>
      <c r="B952" s="76"/>
      <c r="C952" s="76"/>
      <c r="D952" s="76"/>
      <c r="E952" s="76"/>
      <c r="F952" s="76"/>
      <c r="G952" s="76"/>
    </row>
    <row r="953" spans="1:7" x14ac:dyDescent="0.25">
      <c r="A953" s="75"/>
      <c r="B953" s="76"/>
      <c r="C953" s="76"/>
      <c r="D953" s="76"/>
      <c r="E953" s="76"/>
      <c r="F953" s="76"/>
      <c r="G953" s="76"/>
    </row>
    <row r="954" spans="1:7" x14ac:dyDescent="0.25">
      <c r="A954" s="75"/>
      <c r="B954" s="76"/>
      <c r="C954" s="76"/>
      <c r="D954" s="76"/>
      <c r="E954" s="76"/>
      <c r="F954" s="76"/>
      <c r="G954" s="76"/>
    </row>
    <row r="955" spans="1:7" x14ac:dyDescent="0.25">
      <c r="A955" s="75"/>
      <c r="B955" s="76"/>
      <c r="C955" s="76"/>
      <c r="D955" s="76"/>
      <c r="E955" s="76"/>
      <c r="F955" s="76"/>
      <c r="G955" s="76"/>
    </row>
    <row r="956" spans="1:7" x14ac:dyDescent="0.25">
      <c r="A956" s="75"/>
      <c r="B956" s="76"/>
      <c r="C956" s="76"/>
      <c r="D956" s="76"/>
      <c r="E956" s="76"/>
      <c r="F956" s="76"/>
      <c r="G956" s="76"/>
    </row>
    <row r="957" spans="1:7" x14ac:dyDescent="0.25">
      <c r="A957" s="75"/>
      <c r="B957" s="76"/>
      <c r="C957" s="76"/>
      <c r="D957" s="76"/>
      <c r="E957" s="76"/>
      <c r="F957" s="76"/>
      <c r="G957" s="76"/>
    </row>
    <row r="958" spans="1:7" x14ac:dyDescent="0.25">
      <c r="A958" s="75"/>
      <c r="B958" s="76"/>
      <c r="C958" s="76"/>
      <c r="D958" s="76"/>
      <c r="E958" s="76"/>
      <c r="F958" s="76"/>
      <c r="G958" s="76"/>
    </row>
    <row r="959" spans="1:7" x14ac:dyDescent="0.25">
      <c r="A959" s="75"/>
      <c r="B959" s="76"/>
      <c r="C959" s="76"/>
      <c r="D959" s="76"/>
      <c r="E959" s="76"/>
      <c r="F959" s="76"/>
      <c r="G959" s="76"/>
    </row>
    <row r="960" spans="1:7" x14ac:dyDescent="0.25">
      <c r="A960" s="75"/>
      <c r="B960" s="76"/>
      <c r="C960" s="76"/>
      <c r="D960" s="76"/>
      <c r="E960" s="76"/>
      <c r="F960" s="76"/>
      <c r="G960" s="76"/>
    </row>
    <row r="961" spans="1:7" x14ac:dyDescent="0.25">
      <c r="A961" s="75"/>
      <c r="B961" s="76"/>
      <c r="C961" s="76"/>
      <c r="D961" s="76"/>
      <c r="E961" s="76"/>
      <c r="F961" s="76"/>
      <c r="G961" s="76"/>
    </row>
    <row r="962" spans="1:7" x14ac:dyDescent="0.25">
      <c r="A962" s="75"/>
      <c r="B962" s="76"/>
      <c r="C962" s="76"/>
      <c r="D962" s="76"/>
      <c r="E962" s="76"/>
      <c r="F962" s="76"/>
      <c r="G962" s="76"/>
    </row>
    <row r="963" spans="1:7" x14ac:dyDescent="0.25">
      <c r="A963" s="75"/>
      <c r="B963" s="76"/>
      <c r="C963" s="76"/>
      <c r="D963" s="76"/>
      <c r="E963" s="76"/>
      <c r="F963" s="76"/>
      <c r="G963" s="76"/>
    </row>
    <row r="964" spans="1:7" x14ac:dyDescent="0.25">
      <c r="A964" s="75"/>
      <c r="B964" s="76"/>
      <c r="C964" s="76"/>
      <c r="D964" s="76"/>
      <c r="E964" s="76"/>
      <c r="F964" s="76"/>
      <c r="G964" s="76"/>
    </row>
    <row r="965" spans="1:7" x14ac:dyDescent="0.25">
      <c r="A965" s="75"/>
      <c r="B965" s="76"/>
      <c r="C965" s="76"/>
      <c r="D965" s="76"/>
      <c r="E965" s="76"/>
      <c r="F965" s="76"/>
      <c r="G965" s="76"/>
    </row>
    <row r="966" spans="1:7" x14ac:dyDescent="0.25">
      <c r="A966" s="75"/>
      <c r="B966" s="76"/>
      <c r="C966" s="76"/>
      <c r="D966" s="76"/>
      <c r="E966" s="76"/>
      <c r="F966" s="76"/>
      <c r="G966" s="76"/>
    </row>
    <row r="967" spans="1:7" x14ac:dyDescent="0.25">
      <c r="A967" s="75"/>
      <c r="B967" s="76"/>
      <c r="C967" s="76"/>
      <c r="D967" s="76"/>
      <c r="E967" s="76"/>
      <c r="F967" s="76"/>
      <c r="G967" s="76"/>
    </row>
    <row r="968" spans="1:7" x14ac:dyDescent="0.25">
      <c r="A968" s="75"/>
      <c r="B968" s="76"/>
      <c r="C968" s="76"/>
      <c r="D968" s="76"/>
      <c r="E968" s="76"/>
      <c r="F968" s="76"/>
      <c r="G968" s="76"/>
    </row>
    <row r="969" spans="1:7" x14ac:dyDescent="0.25">
      <c r="A969" s="75"/>
      <c r="B969" s="76"/>
      <c r="C969" s="76"/>
      <c r="D969" s="76"/>
      <c r="E969" s="76"/>
      <c r="F969" s="76"/>
      <c r="G969" s="76"/>
    </row>
    <row r="970" spans="1:7" x14ac:dyDescent="0.25">
      <c r="A970" s="75"/>
      <c r="B970" s="76"/>
      <c r="C970" s="76"/>
      <c r="D970" s="76"/>
      <c r="E970" s="76"/>
      <c r="F970" s="76"/>
      <c r="G970" s="76"/>
    </row>
    <row r="971" spans="1:7" x14ac:dyDescent="0.25">
      <c r="A971" s="75"/>
      <c r="B971" s="76"/>
      <c r="C971" s="76"/>
      <c r="D971" s="76"/>
      <c r="E971" s="76"/>
      <c r="F971" s="76"/>
      <c r="G971" s="76"/>
    </row>
    <row r="972" spans="1:7" x14ac:dyDescent="0.25">
      <c r="A972" s="75"/>
      <c r="B972" s="76"/>
      <c r="C972" s="76"/>
      <c r="D972" s="76"/>
      <c r="E972" s="76"/>
      <c r="F972" s="76"/>
      <c r="G972" s="76"/>
    </row>
    <row r="973" spans="1:7" x14ac:dyDescent="0.25">
      <c r="A973" s="75"/>
      <c r="B973" s="76"/>
      <c r="C973" s="76"/>
      <c r="D973" s="76"/>
      <c r="E973" s="76"/>
      <c r="F973" s="76"/>
      <c r="G973" s="76"/>
    </row>
    <row r="974" spans="1:7" x14ac:dyDescent="0.25">
      <c r="A974" s="75"/>
      <c r="B974" s="76"/>
      <c r="C974" s="76"/>
      <c r="D974" s="76"/>
      <c r="E974" s="76"/>
      <c r="F974" s="76"/>
      <c r="G974" s="76"/>
    </row>
    <row r="975" spans="1:7" x14ac:dyDescent="0.25">
      <c r="A975" s="75"/>
      <c r="B975" s="76"/>
      <c r="C975" s="76"/>
      <c r="D975" s="76"/>
      <c r="E975" s="76"/>
      <c r="F975" s="76"/>
      <c r="G975" s="76"/>
    </row>
    <row r="976" spans="1:7" x14ac:dyDescent="0.25">
      <c r="A976" s="75"/>
      <c r="B976" s="76"/>
      <c r="C976" s="76"/>
      <c r="D976" s="76"/>
      <c r="E976" s="76"/>
      <c r="F976" s="76"/>
      <c r="G976" s="76"/>
    </row>
    <row r="977" spans="1:7" x14ac:dyDescent="0.25">
      <c r="A977" s="75"/>
      <c r="B977" s="76"/>
      <c r="C977" s="76"/>
      <c r="D977" s="76"/>
      <c r="E977" s="76"/>
      <c r="F977" s="76"/>
      <c r="G977" s="76"/>
    </row>
    <row r="978" spans="1:7" x14ac:dyDescent="0.25">
      <c r="A978" s="75"/>
      <c r="B978" s="76"/>
      <c r="C978" s="76"/>
      <c r="D978" s="76"/>
      <c r="E978" s="76"/>
      <c r="F978" s="76"/>
      <c r="G978" s="76"/>
    </row>
    <row r="979" spans="1:7" x14ac:dyDescent="0.25">
      <c r="A979" s="75"/>
      <c r="B979" s="76"/>
      <c r="C979" s="76"/>
      <c r="D979" s="76"/>
      <c r="E979" s="76"/>
      <c r="F979" s="76"/>
      <c r="G979" s="76"/>
    </row>
    <row r="980" spans="1:7" x14ac:dyDescent="0.25">
      <c r="A980" s="75"/>
      <c r="B980" s="76"/>
      <c r="C980" s="76"/>
      <c r="D980" s="76"/>
      <c r="E980" s="76"/>
      <c r="F980" s="76"/>
      <c r="G980" s="76"/>
    </row>
    <row r="981" spans="1:7" x14ac:dyDescent="0.25">
      <c r="A981" s="75"/>
      <c r="B981" s="76"/>
      <c r="C981" s="76"/>
      <c r="D981" s="76"/>
      <c r="E981" s="76"/>
      <c r="F981" s="76"/>
      <c r="G981" s="76"/>
    </row>
    <row r="982" spans="1:7" x14ac:dyDescent="0.25">
      <c r="A982" s="75"/>
      <c r="B982" s="76"/>
      <c r="C982" s="76"/>
      <c r="D982" s="76"/>
      <c r="E982" s="76"/>
      <c r="F982" s="76"/>
      <c r="G982" s="76"/>
    </row>
    <row r="983" spans="1:7" x14ac:dyDescent="0.25">
      <c r="A983" s="75"/>
      <c r="B983" s="76"/>
      <c r="C983" s="76"/>
      <c r="D983" s="76"/>
      <c r="E983" s="76"/>
      <c r="F983" s="76"/>
      <c r="G983" s="76"/>
    </row>
    <row r="984" spans="1:7" x14ac:dyDescent="0.25">
      <c r="A984" s="75"/>
      <c r="B984" s="76"/>
      <c r="C984" s="76"/>
      <c r="D984" s="76"/>
      <c r="E984" s="76"/>
      <c r="F984" s="76"/>
      <c r="G984" s="76"/>
    </row>
    <row r="985" spans="1:7" x14ac:dyDescent="0.25">
      <c r="A985" s="75"/>
      <c r="B985" s="76"/>
      <c r="C985" s="76"/>
      <c r="D985" s="76"/>
      <c r="E985" s="76"/>
      <c r="F985" s="76"/>
      <c r="G985" s="76"/>
    </row>
    <row r="986" spans="1:7" x14ac:dyDescent="0.25">
      <c r="A986" s="75"/>
      <c r="B986" s="76"/>
      <c r="C986" s="76"/>
      <c r="D986" s="76"/>
      <c r="E986" s="76"/>
      <c r="F986" s="76"/>
      <c r="G986" s="76"/>
    </row>
    <row r="987" spans="1:7" x14ac:dyDescent="0.25">
      <c r="A987" s="75"/>
      <c r="B987" s="76"/>
      <c r="C987" s="76"/>
      <c r="D987" s="76"/>
      <c r="E987" s="76"/>
      <c r="F987" s="76"/>
      <c r="G987" s="76"/>
    </row>
    <row r="988" spans="1:7" x14ac:dyDescent="0.25">
      <c r="A988" s="75"/>
      <c r="B988" s="76"/>
      <c r="C988" s="76"/>
      <c r="D988" s="76"/>
      <c r="E988" s="76"/>
      <c r="F988" s="76"/>
      <c r="G988" s="76"/>
    </row>
    <row r="989" spans="1:7" x14ac:dyDescent="0.25">
      <c r="A989" s="75"/>
      <c r="B989" s="76"/>
      <c r="C989" s="76"/>
      <c r="D989" s="76"/>
      <c r="E989" s="76"/>
      <c r="F989" s="76"/>
      <c r="G989" s="76"/>
    </row>
    <row r="990" spans="1:7" x14ac:dyDescent="0.25">
      <c r="A990" s="75"/>
      <c r="B990" s="76"/>
      <c r="C990" s="76"/>
      <c r="D990" s="76"/>
      <c r="E990" s="76"/>
      <c r="F990" s="76"/>
      <c r="G990" s="76"/>
    </row>
    <row r="991" spans="1:7" x14ac:dyDescent="0.25">
      <c r="A991" s="75"/>
      <c r="B991" s="76"/>
      <c r="C991" s="76"/>
      <c r="D991" s="76"/>
      <c r="E991" s="76"/>
      <c r="F991" s="76"/>
      <c r="G991" s="76"/>
    </row>
    <row r="992" spans="1:7" x14ac:dyDescent="0.25">
      <c r="A992" s="75"/>
      <c r="B992" s="76"/>
      <c r="C992" s="76"/>
      <c r="D992" s="76"/>
      <c r="E992" s="76"/>
      <c r="F992" s="76"/>
      <c r="G992" s="76"/>
    </row>
    <row r="993" spans="1:7" x14ac:dyDescent="0.25">
      <c r="A993" s="75"/>
      <c r="B993" s="76"/>
      <c r="C993" s="76"/>
      <c r="D993" s="76"/>
      <c r="E993" s="76"/>
      <c r="F993" s="76"/>
      <c r="G993" s="76"/>
    </row>
    <row r="994" spans="1:7" x14ac:dyDescent="0.25">
      <c r="A994" s="75"/>
      <c r="B994" s="76"/>
      <c r="C994" s="76"/>
      <c r="D994" s="76"/>
      <c r="E994" s="76"/>
      <c r="F994" s="76"/>
      <c r="G994" s="76"/>
    </row>
    <row r="995" spans="1:7" x14ac:dyDescent="0.25">
      <c r="A995" s="75"/>
      <c r="B995" s="76"/>
      <c r="C995" s="76"/>
      <c r="D995" s="76"/>
      <c r="E995" s="76"/>
      <c r="F995" s="76"/>
      <c r="G995" s="76"/>
    </row>
    <row r="996" spans="1:7" x14ac:dyDescent="0.25">
      <c r="A996" s="75"/>
      <c r="B996" s="76"/>
      <c r="C996" s="76"/>
      <c r="D996" s="76"/>
      <c r="E996" s="76"/>
      <c r="F996" s="76"/>
      <c r="G996" s="76"/>
    </row>
    <row r="997" spans="1:7" x14ac:dyDescent="0.25">
      <c r="A997" s="75"/>
      <c r="B997" s="76"/>
      <c r="C997" s="76"/>
      <c r="D997" s="76"/>
      <c r="E997" s="76"/>
      <c r="F997" s="76"/>
      <c r="G997" s="76"/>
    </row>
    <row r="998" spans="1:7" x14ac:dyDescent="0.25">
      <c r="A998" s="75"/>
      <c r="B998" s="76"/>
      <c r="C998" s="76"/>
      <c r="D998" s="76"/>
      <c r="E998" s="76"/>
      <c r="F998" s="76"/>
      <c r="G998" s="76"/>
    </row>
    <row r="999" spans="1:7" x14ac:dyDescent="0.25">
      <c r="A999" s="75"/>
      <c r="B999" s="76"/>
      <c r="C999" s="76"/>
      <c r="D999" s="76"/>
      <c r="E999" s="76"/>
      <c r="F999" s="76"/>
      <c r="G999" s="76"/>
    </row>
    <row r="1000" spans="1:7" x14ac:dyDescent="0.25">
      <c r="A1000" s="75"/>
      <c r="B1000" s="76"/>
      <c r="C1000" s="76"/>
      <c r="D1000" s="76"/>
      <c r="E1000" s="76"/>
      <c r="F1000" s="76"/>
      <c r="G1000" s="7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U1000"/>
  <sheetViews>
    <sheetView workbookViewId="0">
      <selection activeCell="B38" sqref="B38"/>
    </sheetView>
  </sheetViews>
  <sheetFormatPr baseColWidth="10" defaultColWidth="14.42578125" defaultRowHeight="15" customHeight="1" x14ac:dyDescent="0.25"/>
  <cols>
    <col min="2" max="2" width="28" customWidth="1"/>
  </cols>
  <sheetData>
    <row r="1" spans="1:21" x14ac:dyDescent="0.25">
      <c r="A1" s="62" t="s">
        <v>476</v>
      </c>
      <c r="B1" s="63" t="s">
        <v>459</v>
      </c>
      <c r="C1" s="80" t="s">
        <v>477</v>
      </c>
      <c r="D1" s="80" t="s">
        <v>478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x14ac:dyDescent="0.25">
      <c r="A2" s="66">
        <v>10101</v>
      </c>
      <c r="B2" s="67" t="s">
        <v>32</v>
      </c>
      <c r="C2" s="68">
        <v>71.883801000000005</v>
      </c>
      <c r="D2" s="68">
        <v>83.802185299999991</v>
      </c>
    </row>
    <row r="3" spans="1:21" x14ac:dyDescent="0.25">
      <c r="A3" s="66">
        <v>10102</v>
      </c>
      <c r="B3" s="67" t="s">
        <v>33</v>
      </c>
      <c r="C3" s="68">
        <v>19.198790599999999</v>
      </c>
      <c r="D3" s="68">
        <v>25.850785399999999</v>
      </c>
    </row>
    <row r="4" spans="1:21" x14ac:dyDescent="0.25">
      <c r="A4" s="66">
        <v>10103</v>
      </c>
      <c r="B4" s="67" t="s">
        <v>34</v>
      </c>
      <c r="C4" s="68">
        <v>0.32188839999999996</v>
      </c>
      <c r="D4" s="68">
        <v>5.6295659999999996</v>
      </c>
    </row>
    <row r="5" spans="1:21" x14ac:dyDescent="0.25">
      <c r="A5" s="66">
        <v>10201</v>
      </c>
      <c r="B5" s="67" t="s">
        <v>35</v>
      </c>
      <c r="C5" s="68">
        <v>10.756501199999999</v>
      </c>
      <c r="D5" s="68">
        <v>18.326530599999998</v>
      </c>
    </row>
    <row r="6" spans="1:21" x14ac:dyDescent="0.25">
      <c r="A6" s="66">
        <v>10202</v>
      </c>
      <c r="B6" s="67" t="s">
        <v>36</v>
      </c>
      <c r="C6" s="68">
        <v>9.1281451000000011</v>
      </c>
      <c r="D6" s="68">
        <v>12.8534145</v>
      </c>
    </row>
    <row r="7" spans="1:21" x14ac:dyDescent="0.25">
      <c r="A7" s="66">
        <v>10301</v>
      </c>
      <c r="B7" s="67" t="s">
        <v>37</v>
      </c>
      <c r="C7" s="68">
        <v>28.538283100000001</v>
      </c>
      <c r="D7" s="68">
        <v>33.354251699999999</v>
      </c>
    </row>
    <row r="8" spans="1:21" x14ac:dyDescent="0.25">
      <c r="A8" s="66">
        <v>10302</v>
      </c>
      <c r="B8" s="67" t="s">
        <v>38</v>
      </c>
      <c r="C8" s="68">
        <v>1.5826278999999999</v>
      </c>
      <c r="D8" s="68">
        <v>16.9672883</v>
      </c>
    </row>
    <row r="9" spans="1:21" x14ac:dyDescent="0.25">
      <c r="A9" s="66">
        <v>10303</v>
      </c>
      <c r="B9" s="67" t="s">
        <v>39</v>
      </c>
      <c r="C9" s="68">
        <v>23.461150399999998</v>
      </c>
      <c r="D9" s="68">
        <v>35.627212</v>
      </c>
    </row>
    <row r="10" spans="1:21" x14ac:dyDescent="0.25">
      <c r="A10" s="66">
        <v>10304</v>
      </c>
      <c r="B10" s="67" t="s">
        <v>40</v>
      </c>
      <c r="C10" s="68">
        <v>6.7176406999999996</v>
      </c>
      <c r="D10" s="68">
        <v>9.7912713999999994</v>
      </c>
    </row>
    <row r="11" spans="1:21" x14ac:dyDescent="0.25">
      <c r="A11" s="66">
        <v>10401</v>
      </c>
      <c r="B11" s="67" t="s">
        <v>42</v>
      </c>
      <c r="C11" s="68">
        <v>30.391459099999999</v>
      </c>
      <c r="D11" s="68">
        <v>45.354676699999999</v>
      </c>
    </row>
    <row r="12" spans="1:21" x14ac:dyDescent="0.25">
      <c r="A12" s="66">
        <v>10402</v>
      </c>
      <c r="B12" s="67" t="s">
        <v>41</v>
      </c>
      <c r="C12" s="68">
        <v>19.782299999999999</v>
      </c>
      <c r="D12" s="68">
        <v>29.380294299999999</v>
      </c>
    </row>
    <row r="13" spans="1:21" x14ac:dyDescent="0.25">
      <c r="A13" s="66">
        <v>10403</v>
      </c>
      <c r="B13" s="67" t="s">
        <v>43</v>
      </c>
      <c r="C13" s="68">
        <v>27.7114428</v>
      </c>
      <c r="D13" s="68">
        <v>31.672256900000001</v>
      </c>
    </row>
    <row r="14" spans="1:21" x14ac:dyDescent="0.25">
      <c r="A14" s="66">
        <v>10404</v>
      </c>
      <c r="B14" s="67" t="s">
        <v>44</v>
      </c>
      <c r="C14" s="68">
        <v>20.802238899999999</v>
      </c>
      <c r="D14" s="68">
        <v>44.827586199999999</v>
      </c>
    </row>
    <row r="15" spans="1:21" x14ac:dyDescent="0.25">
      <c r="A15" s="66">
        <v>10405</v>
      </c>
      <c r="B15" s="67" t="s">
        <v>45</v>
      </c>
      <c r="C15" s="68">
        <v>16.1716172</v>
      </c>
      <c r="D15" s="68">
        <v>19.5969424</v>
      </c>
    </row>
    <row r="16" spans="1:21" x14ac:dyDescent="0.25">
      <c r="A16" s="66">
        <v>10501</v>
      </c>
      <c r="B16" s="67" t="s">
        <v>47</v>
      </c>
      <c r="C16" s="68">
        <v>40.269781199999997</v>
      </c>
      <c r="D16" s="68">
        <v>51.834151399999996</v>
      </c>
    </row>
    <row r="17" spans="1:4" x14ac:dyDescent="0.25">
      <c r="A17" s="66">
        <v>10502</v>
      </c>
      <c r="B17" s="67" t="s">
        <v>48</v>
      </c>
      <c r="C17" s="68">
        <v>17.989418000000001</v>
      </c>
      <c r="D17" s="68">
        <v>30.769230700000001</v>
      </c>
    </row>
    <row r="18" spans="1:4" x14ac:dyDescent="0.25">
      <c r="A18" s="66">
        <v>10601</v>
      </c>
      <c r="B18" s="67" t="s">
        <v>50</v>
      </c>
      <c r="C18" s="68">
        <v>20.269037900000001</v>
      </c>
      <c r="D18" s="68">
        <v>25.052582399999999</v>
      </c>
    </row>
    <row r="19" spans="1:4" x14ac:dyDescent="0.25">
      <c r="A19" s="66">
        <v>10602</v>
      </c>
      <c r="B19" s="67" t="s">
        <v>49</v>
      </c>
      <c r="C19" s="68">
        <v>6.6779660999999999</v>
      </c>
      <c r="D19" s="68">
        <v>17.204301000000001</v>
      </c>
    </row>
    <row r="20" spans="1:4" x14ac:dyDescent="0.25">
      <c r="A20" s="66">
        <v>10701</v>
      </c>
      <c r="B20" s="67" t="s">
        <v>52</v>
      </c>
      <c r="C20" s="68">
        <v>33.017341099999996</v>
      </c>
      <c r="D20" s="68">
        <v>38.022587599999994</v>
      </c>
    </row>
    <row r="21" spans="1:4" x14ac:dyDescent="0.25">
      <c r="A21" s="66">
        <v>10702</v>
      </c>
      <c r="B21" s="67" t="s">
        <v>53</v>
      </c>
      <c r="C21" s="68">
        <v>9.2782218000000007</v>
      </c>
      <c r="D21" s="68">
        <v>23.696682499999998</v>
      </c>
    </row>
    <row r="22" spans="1:4" x14ac:dyDescent="0.25">
      <c r="A22" s="66">
        <v>10703</v>
      </c>
      <c r="B22" s="67" t="s">
        <v>54</v>
      </c>
      <c r="C22" s="68">
        <v>9.9316300999999996</v>
      </c>
      <c r="D22" s="68">
        <v>18.349299999999999</v>
      </c>
    </row>
    <row r="23" spans="1:4" x14ac:dyDescent="0.25">
      <c r="A23" s="66">
        <v>10704</v>
      </c>
      <c r="B23" s="67" t="s">
        <v>55</v>
      </c>
      <c r="C23" s="68">
        <v>15.280575599999999</v>
      </c>
      <c r="D23" s="68">
        <v>29.55</v>
      </c>
    </row>
    <row r="24" spans="1:4" x14ac:dyDescent="0.25">
      <c r="A24" s="66">
        <v>10801</v>
      </c>
      <c r="B24" s="67" t="s">
        <v>57</v>
      </c>
      <c r="C24" s="68">
        <v>29.755945000000001</v>
      </c>
      <c r="D24" s="68">
        <v>35.017257600000001</v>
      </c>
    </row>
    <row r="25" spans="1:4" x14ac:dyDescent="0.25">
      <c r="A25" s="66">
        <v>10901</v>
      </c>
      <c r="B25" s="67" t="s">
        <v>59</v>
      </c>
      <c r="C25" s="68">
        <v>24.2487046</v>
      </c>
      <c r="D25" s="68">
        <v>38.220277199999998</v>
      </c>
    </row>
    <row r="26" spans="1:4" x14ac:dyDescent="0.25">
      <c r="A26" s="66">
        <v>10902</v>
      </c>
      <c r="B26" s="67" t="s">
        <v>60</v>
      </c>
      <c r="C26" s="68">
        <v>16.333103300000001</v>
      </c>
      <c r="D26" s="68">
        <v>22.381974199999998</v>
      </c>
    </row>
    <row r="27" spans="1:4" x14ac:dyDescent="0.25">
      <c r="A27" s="66">
        <v>10903</v>
      </c>
      <c r="B27" s="67" t="s">
        <v>61</v>
      </c>
      <c r="C27" s="68">
        <v>14.689265599999999</v>
      </c>
      <c r="D27" s="68">
        <v>16.25</v>
      </c>
    </row>
    <row r="28" spans="1:4" x14ac:dyDescent="0.25">
      <c r="A28" s="66">
        <v>11001</v>
      </c>
      <c r="B28" s="67" t="s">
        <v>63</v>
      </c>
      <c r="C28" s="68">
        <v>33.372827799999996</v>
      </c>
      <c r="D28" s="68">
        <v>36.926020399999999</v>
      </c>
    </row>
    <row r="29" spans="1:4" x14ac:dyDescent="0.25">
      <c r="A29" s="66">
        <v>11002</v>
      </c>
      <c r="B29" s="67" t="s">
        <v>64</v>
      </c>
      <c r="C29" s="68">
        <v>3.9800994999999997</v>
      </c>
      <c r="D29" s="68">
        <v>5.0122249999999999</v>
      </c>
    </row>
    <row r="30" spans="1:4" x14ac:dyDescent="0.25">
      <c r="A30" s="66">
        <v>11003</v>
      </c>
      <c r="B30" s="67" t="s">
        <v>65</v>
      </c>
      <c r="C30" s="68">
        <v>17.3043975</v>
      </c>
      <c r="D30" s="68">
        <v>26.180069899999999</v>
      </c>
    </row>
    <row r="31" spans="1:4" x14ac:dyDescent="0.25">
      <c r="A31" s="66">
        <v>20101</v>
      </c>
      <c r="B31" s="67" t="s">
        <v>68</v>
      </c>
      <c r="C31" s="68">
        <v>96.547704199999998</v>
      </c>
      <c r="D31" s="68">
        <v>98.277215600000005</v>
      </c>
    </row>
    <row r="32" spans="1:4" x14ac:dyDescent="0.25">
      <c r="A32" s="73">
        <v>20102</v>
      </c>
      <c r="B32" s="74" t="s">
        <v>69</v>
      </c>
      <c r="C32" s="68">
        <v>0.57696269999999994</v>
      </c>
      <c r="D32" s="68">
        <v>10.613052</v>
      </c>
    </row>
    <row r="33" spans="1:4" x14ac:dyDescent="0.25">
      <c r="A33" s="73">
        <v>20103</v>
      </c>
      <c r="B33" s="74" t="s">
        <v>70</v>
      </c>
      <c r="C33" s="68">
        <v>11.232187799999998</v>
      </c>
      <c r="D33" s="68">
        <v>51.978391000000002</v>
      </c>
    </row>
    <row r="34" spans="1:4" x14ac:dyDescent="0.25">
      <c r="A34" s="73">
        <v>20104</v>
      </c>
      <c r="B34" s="74" t="s">
        <v>71</v>
      </c>
      <c r="C34" s="68">
        <v>11.718640799999999</v>
      </c>
      <c r="D34" s="68">
        <v>76.191937200000012</v>
      </c>
    </row>
    <row r="35" spans="1:4" x14ac:dyDescent="0.25">
      <c r="A35" s="73">
        <v>20105</v>
      </c>
      <c r="B35" s="74" t="s">
        <v>72</v>
      </c>
      <c r="C35" s="68">
        <v>82.764004200000002</v>
      </c>
      <c r="D35" s="68">
        <v>93.651518300000006</v>
      </c>
    </row>
    <row r="36" spans="1:4" x14ac:dyDescent="0.25">
      <c r="A36" s="73">
        <v>20201</v>
      </c>
      <c r="B36" s="74" t="s">
        <v>74</v>
      </c>
      <c r="C36" s="68">
        <v>17.174020200000001</v>
      </c>
      <c r="D36" s="68">
        <v>21.511246999999997</v>
      </c>
    </row>
    <row r="37" spans="1:4" x14ac:dyDescent="0.25">
      <c r="A37" s="73">
        <v>20202</v>
      </c>
      <c r="B37" s="74" t="s">
        <v>75</v>
      </c>
      <c r="C37" s="68">
        <v>1.2930177</v>
      </c>
      <c r="D37" s="68">
        <v>4.4975508</v>
      </c>
    </row>
    <row r="38" spans="1:4" x14ac:dyDescent="0.25">
      <c r="A38" s="73">
        <v>20203</v>
      </c>
      <c r="B38" s="74" t="s">
        <v>79</v>
      </c>
      <c r="C38" s="68">
        <v>0.88582680000000003</v>
      </c>
      <c r="D38" s="68">
        <v>22.767008799999999</v>
      </c>
    </row>
    <row r="39" spans="1:4" x14ac:dyDescent="0.25">
      <c r="A39" s="73">
        <v>20204</v>
      </c>
      <c r="B39" s="74" t="s">
        <v>76</v>
      </c>
      <c r="C39" s="68">
        <v>1.0615710999999999</v>
      </c>
      <c r="D39" s="68">
        <v>18.149646100000002</v>
      </c>
    </row>
    <row r="40" spans="1:4" x14ac:dyDescent="0.25">
      <c r="A40" s="73">
        <v>20205</v>
      </c>
      <c r="B40" s="74" t="s">
        <v>77</v>
      </c>
      <c r="C40" s="68">
        <v>5.5570186999999995</v>
      </c>
      <c r="D40" s="68">
        <v>16.476892100000001</v>
      </c>
    </row>
    <row r="41" spans="1:4" x14ac:dyDescent="0.25">
      <c r="A41" s="73">
        <v>20206</v>
      </c>
      <c r="B41" s="74" t="s">
        <v>78</v>
      </c>
      <c r="C41" s="68">
        <v>0.2406739</v>
      </c>
      <c r="D41" s="68">
        <v>63.252291800000002</v>
      </c>
    </row>
    <row r="42" spans="1:4" x14ac:dyDescent="0.25">
      <c r="A42" s="73">
        <v>20301</v>
      </c>
      <c r="B42" s="74" t="s">
        <v>81</v>
      </c>
      <c r="C42" s="68">
        <v>7.3529412000000001</v>
      </c>
      <c r="D42" s="68">
        <v>14.340198299999999</v>
      </c>
    </row>
    <row r="43" spans="1:4" x14ac:dyDescent="0.25">
      <c r="A43" s="73">
        <v>20302</v>
      </c>
      <c r="B43" s="74" t="s">
        <v>82</v>
      </c>
      <c r="C43" s="68">
        <v>0.89013819999999999</v>
      </c>
      <c r="D43" s="68">
        <v>6.0386011000000002</v>
      </c>
    </row>
    <row r="44" spans="1:4" x14ac:dyDescent="0.25">
      <c r="A44" s="73">
        <v>20303</v>
      </c>
      <c r="B44" s="74" t="s">
        <v>83</v>
      </c>
      <c r="C44" s="68">
        <v>1.7831870999999999</v>
      </c>
      <c r="D44" s="68">
        <v>2.3296789000000002</v>
      </c>
    </row>
    <row r="45" spans="1:4" x14ac:dyDescent="0.25">
      <c r="A45" s="73">
        <v>20304</v>
      </c>
      <c r="B45" s="74" t="s">
        <v>84</v>
      </c>
      <c r="C45" s="68">
        <v>1.754386</v>
      </c>
      <c r="D45" s="68">
        <v>2.642487</v>
      </c>
    </row>
    <row r="46" spans="1:4" x14ac:dyDescent="0.25">
      <c r="A46" s="73">
        <v>20305</v>
      </c>
      <c r="B46" s="74" t="s">
        <v>85</v>
      </c>
      <c r="C46" s="68">
        <v>2.1570319000000002</v>
      </c>
      <c r="D46" s="68">
        <v>5.9701492999999992</v>
      </c>
    </row>
    <row r="47" spans="1:4" x14ac:dyDescent="0.25">
      <c r="A47" s="73">
        <v>20306</v>
      </c>
      <c r="B47" s="74" t="s">
        <v>86</v>
      </c>
      <c r="C47" s="68">
        <v>1.6822429999999999</v>
      </c>
      <c r="D47" s="68">
        <v>10.731373900000001</v>
      </c>
    </row>
    <row r="48" spans="1:4" x14ac:dyDescent="0.25">
      <c r="A48" s="73">
        <v>20307</v>
      </c>
      <c r="B48" s="74" t="s">
        <v>87</v>
      </c>
      <c r="C48" s="68">
        <v>10.380622799999999</v>
      </c>
      <c r="D48" s="68">
        <v>5.5234955000000001</v>
      </c>
    </row>
    <row r="49" spans="1:4" x14ac:dyDescent="0.25">
      <c r="A49" s="73">
        <v>20308</v>
      </c>
      <c r="B49" s="74" t="s">
        <v>88</v>
      </c>
      <c r="C49" s="68">
        <v>0.1433692</v>
      </c>
      <c r="D49" s="68">
        <v>0.98066680000000006</v>
      </c>
    </row>
    <row r="50" spans="1:4" x14ac:dyDescent="0.25">
      <c r="A50" s="73">
        <v>20401</v>
      </c>
      <c r="B50" s="74" t="s">
        <v>90</v>
      </c>
      <c r="C50" s="68">
        <v>8.4214726999999989</v>
      </c>
      <c r="D50" s="68">
        <v>8.1011507999999992</v>
      </c>
    </row>
    <row r="51" spans="1:4" x14ac:dyDescent="0.25">
      <c r="A51" s="73">
        <v>20402</v>
      </c>
      <c r="B51" s="74" t="s">
        <v>91</v>
      </c>
      <c r="C51" s="68">
        <v>0.93854070000000001</v>
      </c>
      <c r="D51" s="68">
        <v>4.7672531999999999</v>
      </c>
    </row>
    <row r="52" spans="1:4" x14ac:dyDescent="0.25">
      <c r="A52" s="73">
        <v>20403</v>
      </c>
      <c r="B52" s="74" t="s">
        <v>92</v>
      </c>
      <c r="C52" s="68">
        <v>1.3465495000000001</v>
      </c>
      <c r="D52" s="68">
        <v>4.1472045</v>
      </c>
    </row>
    <row r="53" spans="1:4" x14ac:dyDescent="0.25">
      <c r="A53" s="73">
        <v>20404</v>
      </c>
      <c r="B53" s="74" t="s">
        <v>93</v>
      </c>
      <c r="C53" s="68">
        <v>2.2296014999999998</v>
      </c>
      <c r="D53" s="68">
        <v>3.7593985000000001</v>
      </c>
    </row>
    <row r="54" spans="1:4" x14ac:dyDescent="0.25">
      <c r="A54" s="73">
        <v>20405</v>
      </c>
      <c r="B54" s="74" t="s">
        <v>94</v>
      </c>
      <c r="C54" s="68">
        <v>8.0938222</v>
      </c>
      <c r="D54" s="68">
        <v>17.2740525</v>
      </c>
    </row>
    <row r="55" spans="1:4" x14ac:dyDescent="0.25">
      <c r="A55" s="73">
        <v>20501</v>
      </c>
      <c r="B55" s="74" t="s">
        <v>96</v>
      </c>
      <c r="C55" s="68">
        <v>0.76180800000000004</v>
      </c>
      <c r="D55" s="68">
        <v>5.8390732999999999</v>
      </c>
    </row>
    <row r="56" spans="1:4" x14ac:dyDescent="0.25">
      <c r="A56" s="73">
        <v>20502</v>
      </c>
      <c r="B56" s="74" t="s">
        <v>97</v>
      </c>
      <c r="C56" s="68">
        <v>1.1285037999999998</v>
      </c>
      <c r="D56" s="68">
        <v>3.0623926999999997</v>
      </c>
    </row>
    <row r="57" spans="1:4" x14ac:dyDescent="0.25">
      <c r="A57" s="73">
        <v>20503</v>
      </c>
      <c r="B57" s="74" t="s">
        <v>98</v>
      </c>
      <c r="C57" s="68">
        <v>4.6955624</v>
      </c>
      <c r="D57" s="68">
        <v>12.28</v>
      </c>
    </row>
    <row r="58" spans="1:4" x14ac:dyDescent="0.25">
      <c r="A58" s="73">
        <v>20601</v>
      </c>
      <c r="B58" s="74" t="s">
        <v>100</v>
      </c>
      <c r="C58" s="68">
        <v>11.4415955</v>
      </c>
      <c r="D58" s="68">
        <v>20.7871542</v>
      </c>
    </row>
    <row r="59" spans="1:4" x14ac:dyDescent="0.25">
      <c r="A59" s="73">
        <v>20602</v>
      </c>
      <c r="B59" s="74" t="s">
        <v>101</v>
      </c>
      <c r="C59" s="68">
        <v>16.876735799999999</v>
      </c>
      <c r="D59" s="68">
        <v>22.427819400000001</v>
      </c>
    </row>
    <row r="60" spans="1:4" x14ac:dyDescent="0.25">
      <c r="A60" s="73">
        <v>20603</v>
      </c>
      <c r="B60" s="74" t="s">
        <v>102</v>
      </c>
      <c r="C60" s="68">
        <v>4.5637584000000002</v>
      </c>
      <c r="D60" s="68">
        <v>8.4055876999999999</v>
      </c>
    </row>
    <row r="61" spans="1:4" x14ac:dyDescent="0.25">
      <c r="A61" s="73">
        <v>20604</v>
      </c>
      <c r="B61" s="74" t="s">
        <v>103</v>
      </c>
      <c r="C61" s="68">
        <v>0.48685489999999998</v>
      </c>
      <c r="D61" s="68">
        <v>6.5420560999999999</v>
      </c>
    </row>
    <row r="62" spans="1:4" x14ac:dyDescent="0.25">
      <c r="A62" s="73">
        <v>20605</v>
      </c>
      <c r="B62" s="74" t="s">
        <v>104</v>
      </c>
      <c r="C62" s="68">
        <v>0.30181079999999999</v>
      </c>
      <c r="D62" s="68">
        <v>28.0701754</v>
      </c>
    </row>
    <row r="63" spans="1:4" x14ac:dyDescent="0.25">
      <c r="A63" s="73">
        <v>20606</v>
      </c>
      <c r="B63" s="74" t="s">
        <v>105</v>
      </c>
      <c r="C63" s="68">
        <v>2.2562914999999997</v>
      </c>
      <c r="D63" s="68">
        <v>24.329324700000001</v>
      </c>
    </row>
    <row r="64" spans="1:4" x14ac:dyDescent="0.25">
      <c r="A64" s="73">
        <v>20607</v>
      </c>
      <c r="B64" s="74" t="s">
        <v>106</v>
      </c>
      <c r="C64" s="68">
        <v>37.0617284</v>
      </c>
      <c r="D64" s="68">
        <v>49.260655299999996</v>
      </c>
    </row>
    <row r="65" spans="1:4" x14ac:dyDescent="0.25">
      <c r="A65" s="73">
        <v>20608</v>
      </c>
      <c r="B65" s="74" t="s">
        <v>107</v>
      </c>
      <c r="C65" s="68">
        <v>10.1806711</v>
      </c>
      <c r="D65" s="68">
        <v>10.495436700000001</v>
      </c>
    </row>
    <row r="66" spans="1:4" x14ac:dyDescent="0.25">
      <c r="A66" s="73">
        <v>20701</v>
      </c>
      <c r="B66" s="74" t="s">
        <v>109</v>
      </c>
      <c r="C66" s="68">
        <v>26.378378399999999</v>
      </c>
      <c r="D66" s="68">
        <v>31.748864400000002</v>
      </c>
    </row>
    <row r="67" spans="1:4" x14ac:dyDescent="0.25">
      <c r="A67" s="73">
        <v>20702</v>
      </c>
      <c r="B67" s="74" t="s">
        <v>110</v>
      </c>
      <c r="C67" s="68">
        <v>16.950672699999998</v>
      </c>
      <c r="D67" s="68">
        <v>20.4693611</v>
      </c>
    </row>
    <row r="68" spans="1:4" x14ac:dyDescent="0.25">
      <c r="A68" s="73">
        <v>20801</v>
      </c>
      <c r="B68" s="74" t="s">
        <v>112</v>
      </c>
      <c r="C68" s="68">
        <v>61.738037200000001</v>
      </c>
      <c r="D68" s="68">
        <v>73.648696999999999</v>
      </c>
    </row>
    <row r="69" spans="1:4" x14ac:dyDescent="0.25">
      <c r="A69" s="73">
        <v>20802</v>
      </c>
      <c r="B69" s="74" t="s">
        <v>113</v>
      </c>
      <c r="C69" s="68">
        <v>3.1490297000000003</v>
      </c>
      <c r="D69" s="68">
        <v>10.4968944</v>
      </c>
    </row>
    <row r="70" spans="1:4" x14ac:dyDescent="0.25">
      <c r="A70" s="73">
        <v>20803</v>
      </c>
      <c r="B70" s="74" t="s">
        <v>114</v>
      </c>
      <c r="C70" s="68">
        <v>3.0050083000000001</v>
      </c>
      <c r="D70" s="68">
        <v>19.2778852</v>
      </c>
    </row>
    <row r="71" spans="1:4" x14ac:dyDescent="0.25">
      <c r="A71" s="73">
        <v>20804</v>
      </c>
      <c r="B71" s="74" t="s">
        <v>115</v>
      </c>
      <c r="C71" s="68">
        <v>30.7111111</v>
      </c>
      <c r="D71" s="68">
        <v>51.4392523</v>
      </c>
    </row>
    <row r="72" spans="1:4" x14ac:dyDescent="0.25">
      <c r="A72" s="73">
        <v>20805</v>
      </c>
      <c r="B72" s="74" t="s">
        <v>116</v>
      </c>
      <c r="C72" s="68">
        <v>2.0493516999999999</v>
      </c>
      <c r="D72" s="68">
        <v>5.3307643000000002</v>
      </c>
    </row>
    <row r="73" spans="1:4" x14ac:dyDescent="0.25">
      <c r="A73" s="73">
        <v>20806</v>
      </c>
      <c r="B73" s="74" t="s">
        <v>117</v>
      </c>
      <c r="C73" s="68">
        <v>3.7447151000000001</v>
      </c>
      <c r="D73" s="68">
        <v>9.1048071999999998</v>
      </c>
    </row>
    <row r="74" spans="1:4" x14ac:dyDescent="0.25">
      <c r="A74" s="73">
        <v>20807</v>
      </c>
      <c r="B74" s="74" t="s">
        <v>118</v>
      </c>
      <c r="C74" s="68">
        <v>0.27487630000000002</v>
      </c>
      <c r="D74" s="68">
        <v>6.5964090000000004</v>
      </c>
    </row>
    <row r="75" spans="1:4" x14ac:dyDescent="0.25">
      <c r="A75" s="73">
        <v>20901</v>
      </c>
      <c r="B75" s="74" t="s">
        <v>120</v>
      </c>
      <c r="C75" s="68">
        <v>0.97112189999999998</v>
      </c>
      <c r="D75" s="68">
        <v>3.3378439000000002</v>
      </c>
    </row>
    <row r="76" spans="1:4" x14ac:dyDescent="0.25">
      <c r="A76" s="73">
        <v>20902</v>
      </c>
      <c r="B76" s="74" t="s">
        <v>121</v>
      </c>
      <c r="C76" s="68">
        <v>0.17301040000000001</v>
      </c>
      <c r="D76" s="68">
        <v>2.2597167999999996</v>
      </c>
    </row>
    <row r="77" spans="1:4" x14ac:dyDescent="0.25">
      <c r="A77" s="73">
        <v>20903</v>
      </c>
      <c r="B77" s="74" t="s">
        <v>122</v>
      </c>
      <c r="C77" s="68">
        <v>1.1708587000000001</v>
      </c>
      <c r="D77" s="68">
        <v>11.9990343</v>
      </c>
    </row>
    <row r="78" spans="1:4" x14ac:dyDescent="0.25">
      <c r="A78" s="73">
        <v>20904</v>
      </c>
      <c r="B78" s="74" t="s">
        <v>123</v>
      </c>
      <c r="C78" s="68">
        <v>1.8638572999999998</v>
      </c>
      <c r="D78" s="68">
        <v>39.167135599999995</v>
      </c>
    </row>
    <row r="79" spans="1:4" x14ac:dyDescent="0.25">
      <c r="A79" s="73">
        <v>20905</v>
      </c>
      <c r="B79" s="74" t="s">
        <v>124</v>
      </c>
      <c r="C79" s="68">
        <v>18.9250814</v>
      </c>
      <c r="D79" s="68">
        <v>20.1349141</v>
      </c>
    </row>
    <row r="80" spans="1:4" x14ac:dyDescent="0.25">
      <c r="A80" s="73">
        <v>21001</v>
      </c>
      <c r="B80" s="74" t="s">
        <v>125</v>
      </c>
      <c r="C80" s="68">
        <v>3.6779730000000002</v>
      </c>
      <c r="D80" s="68">
        <v>6.9988801999999994</v>
      </c>
    </row>
    <row r="81" spans="1:4" x14ac:dyDescent="0.25">
      <c r="A81" s="73">
        <v>21002</v>
      </c>
      <c r="B81" s="74" t="s">
        <v>126</v>
      </c>
      <c r="C81" s="68">
        <v>35.222911199999999</v>
      </c>
      <c r="D81" s="68">
        <v>56.540369900000002</v>
      </c>
    </row>
    <row r="82" spans="1:4" x14ac:dyDescent="0.25">
      <c r="A82" s="73">
        <v>21003</v>
      </c>
      <c r="B82" s="74" t="s">
        <v>127</v>
      </c>
      <c r="C82" s="68">
        <v>12.851937700000001</v>
      </c>
      <c r="D82" s="68">
        <v>42.933379199999997</v>
      </c>
    </row>
    <row r="83" spans="1:4" x14ac:dyDescent="0.25">
      <c r="A83" s="73">
        <v>21004</v>
      </c>
      <c r="B83" s="74" t="s">
        <v>128</v>
      </c>
      <c r="C83" s="68">
        <v>28.576329399999999</v>
      </c>
      <c r="D83" s="68">
        <v>28.614993600000002</v>
      </c>
    </row>
    <row r="84" spans="1:4" x14ac:dyDescent="0.25">
      <c r="A84" s="73">
        <v>21005</v>
      </c>
      <c r="B84" s="74" t="s">
        <v>129</v>
      </c>
      <c r="C84" s="68">
        <v>0.58997050000000006</v>
      </c>
      <c r="D84" s="68">
        <v>3.5890014999999997</v>
      </c>
    </row>
    <row r="85" spans="1:4" x14ac:dyDescent="0.25">
      <c r="A85" s="73">
        <v>21006</v>
      </c>
      <c r="B85" s="74" t="s">
        <v>130</v>
      </c>
      <c r="C85" s="68">
        <v>37.022526999999997</v>
      </c>
      <c r="D85" s="68">
        <v>40.4596473</v>
      </c>
    </row>
    <row r="86" spans="1:4" x14ac:dyDescent="0.25">
      <c r="A86" s="73">
        <v>21101</v>
      </c>
      <c r="B86" s="74" t="s">
        <v>132</v>
      </c>
      <c r="C86" s="68">
        <v>18.9175851</v>
      </c>
      <c r="D86" s="68">
        <v>15.580815100000001</v>
      </c>
    </row>
    <row r="87" spans="1:4" x14ac:dyDescent="0.25">
      <c r="A87" s="73">
        <v>21102</v>
      </c>
      <c r="B87" s="74" t="s">
        <v>133</v>
      </c>
      <c r="C87" s="68">
        <v>18.187413400000001</v>
      </c>
      <c r="D87" s="68">
        <v>28.156058299999998</v>
      </c>
    </row>
    <row r="88" spans="1:4" x14ac:dyDescent="0.25">
      <c r="A88" s="73">
        <v>21103</v>
      </c>
      <c r="B88" s="74" t="s">
        <v>134</v>
      </c>
      <c r="C88" s="68">
        <v>18.804159499999997</v>
      </c>
      <c r="D88" s="68">
        <v>16.977985400000001</v>
      </c>
    </row>
    <row r="89" spans="1:4" x14ac:dyDescent="0.25">
      <c r="A89" s="73">
        <v>21104</v>
      </c>
      <c r="B89" s="74" t="s">
        <v>135</v>
      </c>
      <c r="C89" s="68">
        <v>16.785637000000001</v>
      </c>
      <c r="D89" s="68">
        <v>16.225279499999999</v>
      </c>
    </row>
    <row r="90" spans="1:4" x14ac:dyDescent="0.25">
      <c r="A90" s="73">
        <v>21105</v>
      </c>
      <c r="B90" s="74" t="s">
        <v>136</v>
      </c>
      <c r="C90" s="68">
        <v>12.971110100000001</v>
      </c>
      <c r="D90" s="68">
        <v>22.225244799999999</v>
      </c>
    </row>
    <row r="91" spans="1:4" x14ac:dyDescent="0.25">
      <c r="A91" s="73">
        <v>21201</v>
      </c>
      <c r="B91" s="74" t="s">
        <v>138</v>
      </c>
      <c r="C91" s="68">
        <v>2.0861434000000001</v>
      </c>
      <c r="D91" s="68">
        <v>26.021715800000003</v>
      </c>
    </row>
    <row r="92" spans="1:4" x14ac:dyDescent="0.25">
      <c r="A92" s="73">
        <v>21202</v>
      </c>
      <c r="B92" s="74" t="s">
        <v>139</v>
      </c>
      <c r="C92" s="68">
        <v>5.0122407000000004</v>
      </c>
      <c r="D92" s="68">
        <v>32.799529899999996</v>
      </c>
    </row>
    <row r="93" spans="1:4" x14ac:dyDescent="0.25">
      <c r="A93" s="73">
        <v>21203</v>
      </c>
      <c r="B93" s="74" t="s">
        <v>140</v>
      </c>
      <c r="C93" s="68">
        <v>10.8380072</v>
      </c>
      <c r="D93" s="68">
        <v>17.440903200000001</v>
      </c>
    </row>
    <row r="94" spans="1:4" x14ac:dyDescent="0.25">
      <c r="A94" s="73">
        <v>21204</v>
      </c>
      <c r="B94" s="74" t="s">
        <v>141</v>
      </c>
      <c r="C94" s="68">
        <v>0.6814309999999999</v>
      </c>
      <c r="D94" s="68">
        <v>6.3362610000000004</v>
      </c>
    </row>
    <row r="95" spans="1:4" x14ac:dyDescent="0.25">
      <c r="A95" s="73">
        <v>21301</v>
      </c>
      <c r="B95" s="74" t="s">
        <v>143</v>
      </c>
      <c r="C95" s="68">
        <v>10.1273886</v>
      </c>
      <c r="D95" s="68">
        <v>22.705314000000001</v>
      </c>
    </row>
    <row r="96" spans="1:4" x14ac:dyDescent="0.25">
      <c r="A96" s="73">
        <v>21302</v>
      </c>
      <c r="B96" s="74" t="s">
        <v>144</v>
      </c>
      <c r="C96" s="68">
        <v>0.33856569999999997</v>
      </c>
      <c r="D96" s="68">
        <v>3.6215250999999999</v>
      </c>
    </row>
    <row r="97" spans="1:4" x14ac:dyDescent="0.25">
      <c r="A97" s="73">
        <v>21303</v>
      </c>
      <c r="B97" s="74" t="s">
        <v>145</v>
      </c>
      <c r="C97" s="68">
        <v>0.460503</v>
      </c>
      <c r="D97" s="68">
        <v>5.4443054000000002</v>
      </c>
    </row>
    <row r="98" spans="1:4" x14ac:dyDescent="0.25">
      <c r="A98" s="73">
        <v>21304</v>
      </c>
      <c r="B98" s="74" t="s">
        <v>146</v>
      </c>
      <c r="C98" s="68">
        <v>0.65325319999999998</v>
      </c>
      <c r="D98" s="68">
        <v>7.0239618999999998</v>
      </c>
    </row>
    <row r="99" spans="1:4" x14ac:dyDescent="0.25">
      <c r="A99" s="73">
        <v>21305</v>
      </c>
      <c r="B99" s="74" t="s">
        <v>147</v>
      </c>
      <c r="C99" s="68">
        <v>40.269441099999995</v>
      </c>
      <c r="D99" s="68">
        <v>50.326307900000003</v>
      </c>
    </row>
    <row r="100" spans="1:4" x14ac:dyDescent="0.25">
      <c r="A100" s="73">
        <v>21306</v>
      </c>
      <c r="B100" s="74" t="s">
        <v>148</v>
      </c>
      <c r="C100" s="68">
        <v>1.625</v>
      </c>
      <c r="D100" s="68">
        <v>12.098214299999999</v>
      </c>
    </row>
    <row r="101" spans="1:4" x14ac:dyDescent="0.25">
      <c r="A101" s="73">
        <v>21307</v>
      </c>
      <c r="B101" s="74" t="s">
        <v>149</v>
      </c>
      <c r="C101" s="68">
        <v>3.8522012999999999</v>
      </c>
      <c r="D101" s="68">
        <v>7.1385360000000002</v>
      </c>
    </row>
    <row r="102" spans="1:4" x14ac:dyDescent="0.25">
      <c r="A102" s="73">
        <v>21401</v>
      </c>
      <c r="B102" s="74" t="s">
        <v>151</v>
      </c>
      <c r="C102" s="68">
        <v>20.797598700000002</v>
      </c>
      <c r="D102" s="68">
        <v>16.114109500000001</v>
      </c>
    </row>
    <row r="103" spans="1:4" x14ac:dyDescent="0.25">
      <c r="A103" s="73">
        <v>21402</v>
      </c>
      <c r="B103" s="74" t="s">
        <v>152</v>
      </c>
      <c r="C103" s="68">
        <v>20.631970199999998</v>
      </c>
      <c r="D103" s="68">
        <v>23.404016599999999</v>
      </c>
    </row>
    <row r="104" spans="1:4" x14ac:dyDescent="0.25">
      <c r="A104" s="73">
        <v>21501</v>
      </c>
      <c r="B104" s="74" t="s">
        <v>154</v>
      </c>
      <c r="C104" s="68">
        <v>26.607929500000001</v>
      </c>
      <c r="D104" s="68">
        <v>22.504537200000001</v>
      </c>
    </row>
    <row r="105" spans="1:4" x14ac:dyDescent="0.25">
      <c r="A105" s="73">
        <v>21502</v>
      </c>
      <c r="B105" s="74" t="s">
        <v>155</v>
      </c>
      <c r="C105" s="68">
        <v>12.269326700000001</v>
      </c>
      <c r="D105" s="68">
        <v>53.211653200000001</v>
      </c>
    </row>
    <row r="106" spans="1:4" x14ac:dyDescent="0.25">
      <c r="A106" s="73">
        <v>21601</v>
      </c>
      <c r="B106" s="74" t="s">
        <v>157</v>
      </c>
      <c r="C106" s="68">
        <v>9.4647887999999991</v>
      </c>
      <c r="D106" s="68">
        <v>23.018717600000002</v>
      </c>
    </row>
    <row r="107" spans="1:4" x14ac:dyDescent="0.25">
      <c r="A107" s="73">
        <v>21602</v>
      </c>
      <c r="B107" s="74" t="s">
        <v>158</v>
      </c>
      <c r="C107" s="68">
        <v>23.4215886</v>
      </c>
      <c r="D107" s="68">
        <v>30.495169099999998</v>
      </c>
    </row>
    <row r="108" spans="1:4" x14ac:dyDescent="0.25">
      <c r="A108" s="73">
        <v>21701</v>
      </c>
      <c r="B108" s="74" t="s">
        <v>160</v>
      </c>
      <c r="C108" s="68">
        <v>29.898911400000003</v>
      </c>
      <c r="D108" s="68">
        <v>30.717324399999999</v>
      </c>
    </row>
    <row r="109" spans="1:4" x14ac:dyDescent="0.25">
      <c r="A109" s="73">
        <v>21702</v>
      </c>
      <c r="B109" s="74" t="s">
        <v>161</v>
      </c>
      <c r="C109" s="68">
        <v>1.2160518</v>
      </c>
      <c r="D109" s="68">
        <v>19.774166899999997</v>
      </c>
    </row>
    <row r="110" spans="1:4" x14ac:dyDescent="0.25">
      <c r="A110" s="73">
        <v>21703</v>
      </c>
      <c r="B110" s="74" t="s">
        <v>162</v>
      </c>
      <c r="C110" s="68">
        <v>0.69498070000000001</v>
      </c>
      <c r="D110" s="68">
        <v>10.786974300000001</v>
      </c>
    </row>
    <row r="111" spans="1:4" x14ac:dyDescent="0.25">
      <c r="A111" s="73">
        <v>21801</v>
      </c>
      <c r="B111" s="74" t="s">
        <v>164</v>
      </c>
      <c r="C111" s="68">
        <v>0.28288540000000001</v>
      </c>
      <c r="D111" s="68">
        <v>1.2055108999999999</v>
      </c>
    </row>
    <row r="112" spans="1:4" x14ac:dyDescent="0.25">
      <c r="A112" s="73">
        <v>21802</v>
      </c>
      <c r="B112" s="74" t="s">
        <v>165</v>
      </c>
      <c r="C112" s="68">
        <v>0.37052280000000004</v>
      </c>
      <c r="D112" s="68">
        <v>2.3199445999999999</v>
      </c>
    </row>
    <row r="113" spans="1:4" x14ac:dyDescent="0.25">
      <c r="A113" s="73">
        <v>21803</v>
      </c>
      <c r="B113" s="74" t="s">
        <v>166</v>
      </c>
      <c r="C113" s="68">
        <v>0.26007799999999998</v>
      </c>
      <c r="D113" s="68">
        <v>2.4971622999999998</v>
      </c>
    </row>
    <row r="114" spans="1:4" x14ac:dyDescent="0.25">
      <c r="A114" s="73">
        <v>21901</v>
      </c>
      <c r="B114" s="74" t="s">
        <v>168</v>
      </c>
      <c r="C114" s="68">
        <v>3.3879782000000001</v>
      </c>
      <c r="D114" s="68">
        <v>11.5358593</v>
      </c>
    </row>
    <row r="115" spans="1:4" x14ac:dyDescent="0.25">
      <c r="A115" s="73">
        <v>21902</v>
      </c>
      <c r="B115" s="74" t="s">
        <v>169</v>
      </c>
      <c r="C115" s="68">
        <v>5.5706521000000002</v>
      </c>
      <c r="D115" s="68">
        <v>6.6076696999999998</v>
      </c>
    </row>
    <row r="116" spans="1:4" x14ac:dyDescent="0.25">
      <c r="A116" s="73">
        <v>22001</v>
      </c>
      <c r="B116" s="74" t="s">
        <v>170</v>
      </c>
      <c r="C116" s="68">
        <v>26.0207978</v>
      </c>
      <c r="D116" s="68">
        <v>30.871400800000004</v>
      </c>
    </row>
    <row r="117" spans="1:4" x14ac:dyDescent="0.25">
      <c r="A117" s="73">
        <v>22002</v>
      </c>
      <c r="B117" s="74" t="s">
        <v>171</v>
      </c>
      <c r="C117" s="68">
        <v>2.0665083000000002</v>
      </c>
      <c r="D117" s="68">
        <v>1.8481406999999999</v>
      </c>
    </row>
    <row r="118" spans="1:4" x14ac:dyDescent="0.25">
      <c r="A118" s="73">
        <v>30101</v>
      </c>
      <c r="B118" s="74" t="s">
        <v>172</v>
      </c>
      <c r="C118" s="68">
        <v>89.879690600000004</v>
      </c>
      <c r="D118" s="68">
        <v>96.757477399999999</v>
      </c>
    </row>
    <row r="119" spans="1:4" x14ac:dyDescent="0.25">
      <c r="A119" s="73">
        <v>30201</v>
      </c>
      <c r="B119" s="74" t="s">
        <v>175</v>
      </c>
      <c r="C119" s="68">
        <v>33.805200800000001</v>
      </c>
      <c r="D119" s="68">
        <v>38.593289400000003</v>
      </c>
    </row>
    <row r="120" spans="1:4" x14ac:dyDescent="0.25">
      <c r="A120" s="73">
        <v>30202</v>
      </c>
      <c r="B120" s="74" t="s">
        <v>176</v>
      </c>
      <c r="C120" s="68">
        <v>30.253741000000002</v>
      </c>
      <c r="D120" s="68">
        <v>33.713633799999997</v>
      </c>
    </row>
    <row r="121" spans="1:4" x14ac:dyDescent="0.25">
      <c r="A121" s="73">
        <v>30203</v>
      </c>
      <c r="B121" s="74" t="s">
        <v>177</v>
      </c>
      <c r="C121" s="68">
        <v>30.822873099999999</v>
      </c>
      <c r="D121" s="68">
        <v>42.65625</v>
      </c>
    </row>
    <row r="122" spans="1:4" x14ac:dyDescent="0.25">
      <c r="A122" s="73">
        <v>30301</v>
      </c>
      <c r="B122" s="74" t="s">
        <v>178</v>
      </c>
      <c r="C122" s="68">
        <v>9.7590854</v>
      </c>
      <c r="D122" s="68">
        <v>7.3442312000000003</v>
      </c>
    </row>
    <row r="123" spans="1:4" x14ac:dyDescent="0.25">
      <c r="A123" s="73">
        <v>30302</v>
      </c>
      <c r="B123" s="74" t="s">
        <v>179</v>
      </c>
      <c r="C123" s="68">
        <v>5.1321137999999999</v>
      </c>
      <c r="D123" s="68">
        <v>4.4676244999999994</v>
      </c>
    </row>
    <row r="124" spans="1:4" x14ac:dyDescent="0.25">
      <c r="A124" s="73">
        <v>30303</v>
      </c>
      <c r="B124" s="74" t="s">
        <v>180</v>
      </c>
      <c r="C124" s="68">
        <v>0.69105689999999997</v>
      </c>
      <c r="D124" s="68">
        <v>0.69231789999999993</v>
      </c>
    </row>
    <row r="125" spans="1:4" x14ac:dyDescent="0.25">
      <c r="A125" s="73">
        <v>30401</v>
      </c>
      <c r="B125" s="74" t="s">
        <v>182</v>
      </c>
      <c r="C125" s="68">
        <v>26.841496299999999</v>
      </c>
      <c r="D125" s="68">
        <v>39.478908199999999</v>
      </c>
    </row>
    <row r="126" spans="1:4" x14ac:dyDescent="0.25">
      <c r="A126" s="73">
        <v>30402</v>
      </c>
      <c r="B126" s="74" t="s">
        <v>183</v>
      </c>
      <c r="C126" s="68">
        <v>14.377845199999999</v>
      </c>
      <c r="D126" s="68">
        <v>17.816775700000001</v>
      </c>
    </row>
    <row r="127" spans="1:4" x14ac:dyDescent="0.25">
      <c r="A127" s="73">
        <v>30403</v>
      </c>
      <c r="B127" s="74" t="s">
        <v>184</v>
      </c>
      <c r="C127" s="68">
        <v>4.7722341999999998</v>
      </c>
      <c r="D127" s="68">
        <v>37.536873200000002</v>
      </c>
    </row>
    <row r="128" spans="1:4" x14ac:dyDescent="0.25">
      <c r="A128" s="73">
        <v>30404</v>
      </c>
      <c r="B128" s="74" t="s">
        <v>185</v>
      </c>
      <c r="C128" s="68">
        <v>7.2640869000000006</v>
      </c>
      <c r="D128" s="68">
        <v>10.1831897</v>
      </c>
    </row>
    <row r="129" spans="1:4" x14ac:dyDescent="0.25">
      <c r="A129" s="73">
        <v>30501</v>
      </c>
      <c r="B129" s="74" t="s">
        <v>186</v>
      </c>
      <c r="C129" s="68">
        <v>25.826972099999999</v>
      </c>
      <c r="D129" s="68">
        <v>56.7319028</v>
      </c>
    </row>
    <row r="130" spans="1:4" x14ac:dyDescent="0.25">
      <c r="A130" s="73">
        <v>30502</v>
      </c>
      <c r="B130" s="74" t="s">
        <v>187</v>
      </c>
      <c r="C130" s="68">
        <v>0.18738290000000002</v>
      </c>
      <c r="D130" s="68">
        <v>6.7387686999999996</v>
      </c>
    </row>
    <row r="131" spans="1:4" x14ac:dyDescent="0.25">
      <c r="A131" s="73">
        <v>30601</v>
      </c>
      <c r="B131" s="74" t="s">
        <v>188</v>
      </c>
      <c r="C131" s="68">
        <v>0.57523459999999993</v>
      </c>
      <c r="D131" s="68">
        <v>2.1794870999999998</v>
      </c>
    </row>
    <row r="132" spans="1:4" x14ac:dyDescent="0.25">
      <c r="A132" s="73">
        <v>30602</v>
      </c>
      <c r="B132" s="74" t="s">
        <v>189</v>
      </c>
      <c r="C132" s="68">
        <v>0.47947260000000003</v>
      </c>
      <c r="D132" s="68">
        <v>0.44959769999999999</v>
      </c>
    </row>
    <row r="133" spans="1:4" x14ac:dyDescent="0.25">
      <c r="A133" s="73">
        <v>30701</v>
      </c>
      <c r="B133" s="74" t="s">
        <v>190</v>
      </c>
      <c r="C133" s="68">
        <v>37.365047199999999</v>
      </c>
      <c r="D133" s="68">
        <v>47.775711599999994</v>
      </c>
    </row>
    <row r="134" spans="1:4" x14ac:dyDescent="0.25">
      <c r="A134" s="73">
        <v>30702</v>
      </c>
      <c r="B134" s="74" t="s">
        <v>191</v>
      </c>
      <c r="C134" s="68">
        <v>14.024136499999999</v>
      </c>
      <c r="D134" s="68">
        <v>21.775265999999998</v>
      </c>
    </row>
    <row r="135" spans="1:4" x14ac:dyDescent="0.25">
      <c r="A135" s="73">
        <v>30703</v>
      </c>
      <c r="B135" s="74" t="s">
        <v>192</v>
      </c>
      <c r="C135" s="68">
        <v>0.46168050000000005</v>
      </c>
      <c r="D135" s="68">
        <v>0.15162999999999999</v>
      </c>
    </row>
    <row r="136" spans="1:4" x14ac:dyDescent="0.25">
      <c r="A136" s="73">
        <v>30801</v>
      </c>
      <c r="B136" s="74" t="s">
        <v>194</v>
      </c>
      <c r="C136" s="68">
        <v>51.677852299999998</v>
      </c>
      <c r="D136" s="68">
        <v>77.390343999999999</v>
      </c>
    </row>
    <row r="137" spans="1:4" x14ac:dyDescent="0.25">
      <c r="A137" s="73">
        <v>30802</v>
      </c>
      <c r="B137" s="74" t="s">
        <v>195</v>
      </c>
      <c r="C137" s="68">
        <v>8.0058223999999996</v>
      </c>
      <c r="D137" s="68">
        <v>33.670295400000001</v>
      </c>
    </row>
    <row r="138" spans="1:4" x14ac:dyDescent="0.25">
      <c r="A138" s="73">
        <v>30803</v>
      </c>
      <c r="B138" s="74" t="s">
        <v>196</v>
      </c>
      <c r="C138" s="68">
        <v>28.9115647</v>
      </c>
      <c r="D138" s="68">
        <v>28.7758346</v>
      </c>
    </row>
    <row r="139" spans="1:4" x14ac:dyDescent="0.25">
      <c r="A139" s="73">
        <v>30901</v>
      </c>
      <c r="B139" s="74" t="s">
        <v>197</v>
      </c>
      <c r="C139" s="68">
        <v>76.218307300000006</v>
      </c>
      <c r="D139" s="68">
        <v>89.089097300000006</v>
      </c>
    </row>
    <row r="140" spans="1:4" x14ac:dyDescent="0.25">
      <c r="A140" s="73">
        <v>30902</v>
      </c>
      <c r="B140" s="74" t="s">
        <v>198</v>
      </c>
      <c r="C140" s="68">
        <v>19.856933600000001</v>
      </c>
      <c r="D140" s="68">
        <v>68.693895900000001</v>
      </c>
    </row>
    <row r="141" spans="1:4" x14ac:dyDescent="0.25">
      <c r="A141" s="73">
        <v>30903</v>
      </c>
      <c r="B141" s="74" t="s">
        <v>199</v>
      </c>
      <c r="C141" s="68">
        <v>79.605975300000011</v>
      </c>
      <c r="D141" s="68">
        <v>91.657372300000006</v>
      </c>
    </row>
    <row r="142" spans="1:4" x14ac:dyDescent="0.25">
      <c r="A142" s="73">
        <v>30904</v>
      </c>
      <c r="B142" s="74" t="s">
        <v>200</v>
      </c>
      <c r="C142" s="68">
        <v>49.406092799999996</v>
      </c>
      <c r="D142" s="68">
        <v>70.840661299999994</v>
      </c>
    </row>
    <row r="143" spans="1:4" x14ac:dyDescent="0.25">
      <c r="A143" s="73">
        <v>30905</v>
      </c>
      <c r="B143" s="74" t="s">
        <v>201</v>
      </c>
      <c r="C143" s="68">
        <v>87.316856599999994</v>
      </c>
      <c r="D143" s="68">
        <v>97.941636299999999</v>
      </c>
    </row>
    <row r="144" spans="1:4" x14ac:dyDescent="0.25">
      <c r="A144" s="73">
        <v>31001</v>
      </c>
      <c r="B144" s="74" t="s">
        <v>203</v>
      </c>
      <c r="C144" s="68">
        <v>66.229804799999997</v>
      </c>
      <c r="D144" s="68">
        <v>83.831315900000007</v>
      </c>
    </row>
    <row r="145" spans="1:4" x14ac:dyDescent="0.25">
      <c r="A145" s="73">
        <v>31002</v>
      </c>
      <c r="B145" s="74" t="s">
        <v>204</v>
      </c>
      <c r="C145" s="68">
        <v>20.939887000000002</v>
      </c>
      <c r="D145" s="68">
        <v>29.4477805</v>
      </c>
    </row>
    <row r="146" spans="1:4" x14ac:dyDescent="0.25">
      <c r="A146" s="73">
        <v>31003</v>
      </c>
      <c r="B146" s="74" t="s">
        <v>205</v>
      </c>
      <c r="C146" s="68">
        <v>9.8821328000000008</v>
      </c>
      <c r="D146" s="68">
        <v>13.4323377</v>
      </c>
    </row>
    <row r="147" spans="1:4" x14ac:dyDescent="0.25">
      <c r="A147" s="73">
        <v>31101</v>
      </c>
      <c r="B147" s="74" t="s">
        <v>206</v>
      </c>
      <c r="C147" s="68">
        <v>0.44373230000000002</v>
      </c>
      <c r="D147" s="68">
        <v>2.1373728999999999</v>
      </c>
    </row>
    <row r="148" spans="1:4" x14ac:dyDescent="0.25">
      <c r="A148" s="73">
        <v>31201</v>
      </c>
      <c r="B148" s="74" t="s">
        <v>208</v>
      </c>
      <c r="C148" s="68">
        <v>11.461196900000001</v>
      </c>
      <c r="D148" s="68">
        <v>15.6980003</v>
      </c>
    </row>
    <row r="149" spans="1:4" x14ac:dyDescent="0.25">
      <c r="A149" s="73">
        <v>31202</v>
      </c>
      <c r="B149" s="74" t="s">
        <v>209</v>
      </c>
      <c r="C149" s="68">
        <v>5.4279054999999996</v>
      </c>
      <c r="D149" s="68">
        <v>16.329284699999999</v>
      </c>
    </row>
    <row r="150" spans="1:4" x14ac:dyDescent="0.25">
      <c r="A150" s="73">
        <v>31203</v>
      </c>
      <c r="B150" s="74" t="s">
        <v>210</v>
      </c>
      <c r="C150" s="68">
        <v>5.2200902999999998</v>
      </c>
      <c r="D150" s="68">
        <v>1.0508964000000001</v>
      </c>
    </row>
    <row r="151" spans="1:4" x14ac:dyDescent="0.25">
      <c r="A151" s="73">
        <v>31204</v>
      </c>
      <c r="B151" s="74" t="s">
        <v>211</v>
      </c>
      <c r="C151" s="68">
        <v>28.101335499999998</v>
      </c>
      <c r="D151" s="68">
        <v>30.643175100000001</v>
      </c>
    </row>
    <row r="152" spans="1:4" x14ac:dyDescent="0.25">
      <c r="A152" s="73">
        <v>31205</v>
      </c>
      <c r="B152" s="74" t="s">
        <v>212</v>
      </c>
      <c r="C152" s="68">
        <v>15.190844199999999</v>
      </c>
      <c r="D152" s="68">
        <v>35.659097200000005</v>
      </c>
    </row>
    <row r="153" spans="1:4" x14ac:dyDescent="0.25">
      <c r="A153" s="73">
        <v>31206</v>
      </c>
      <c r="B153" s="74" t="s">
        <v>213</v>
      </c>
      <c r="C153" s="68">
        <v>30.541082200000002</v>
      </c>
      <c r="D153" s="68">
        <v>41.891297199999997</v>
      </c>
    </row>
    <row r="154" spans="1:4" x14ac:dyDescent="0.25">
      <c r="A154" s="73">
        <v>31301</v>
      </c>
      <c r="B154" s="74" t="s">
        <v>214</v>
      </c>
      <c r="C154" s="68">
        <v>23.614864900000001</v>
      </c>
      <c r="D154" s="68">
        <v>35.063235900000002</v>
      </c>
    </row>
    <row r="155" spans="1:4" x14ac:dyDescent="0.25">
      <c r="A155" s="73">
        <v>31302</v>
      </c>
      <c r="B155" s="74" t="s">
        <v>215</v>
      </c>
      <c r="C155" s="68">
        <v>0.71428570000000002</v>
      </c>
      <c r="D155" s="68">
        <v>1.3390466000000001</v>
      </c>
    </row>
    <row r="156" spans="1:4" x14ac:dyDescent="0.25">
      <c r="A156" s="73">
        <v>31303</v>
      </c>
      <c r="B156" s="74" t="s">
        <v>216</v>
      </c>
      <c r="C156" s="68">
        <v>0.5347594</v>
      </c>
      <c r="D156" s="68">
        <v>0.62597809999999998</v>
      </c>
    </row>
    <row r="157" spans="1:4" x14ac:dyDescent="0.25">
      <c r="A157" s="73">
        <v>31304</v>
      </c>
      <c r="B157" s="74" t="s">
        <v>217</v>
      </c>
      <c r="C157" s="68">
        <v>0.75339030000000007</v>
      </c>
      <c r="D157" s="68">
        <v>0.90771559999999996</v>
      </c>
    </row>
    <row r="158" spans="1:4" x14ac:dyDescent="0.25">
      <c r="A158" s="73">
        <v>31401</v>
      </c>
      <c r="B158" s="74" t="s">
        <v>218</v>
      </c>
      <c r="C158" s="68">
        <v>51.297814200000005</v>
      </c>
      <c r="D158" s="68">
        <v>66.707898900000004</v>
      </c>
    </row>
    <row r="159" spans="1:4" x14ac:dyDescent="0.25">
      <c r="A159" s="73">
        <v>31402</v>
      </c>
      <c r="B159" s="74" t="s">
        <v>219</v>
      </c>
      <c r="C159" s="68">
        <v>6.4760026000000002</v>
      </c>
      <c r="D159" s="68">
        <v>11.710607</v>
      </c>
    </row>
    <row r="160" spans="1:4" x14ac:dyDescent="0.25">
      <c r="A160" s="73">
        <v>31403</v>
      </c>
      <c r="B160" s="74" t="s">
        <v>220</v>
      </c>
      <c r="C160" s="68">
        <v>13.455657499999999</v>
      </c>
      <c r="D160" s="68">
        <v>75.248440000000002</v>
      </c>
    </row>
    <row r="161" spans="1:4" x14ac:dyDescent="0.25">
      <c r="A161" s="73">
        <v>31404</v>
      </c>
      <c r="B161" s="74" t="s">
        <v>221</v>
      </c>
      <c r="C161" s="68">
        <v>0</v>
      </c>
      <c r="D161" s="68">
        <v>3.2989690999999999</v>
      </c>
    </row>
    <row r="162" spans="1:4" x14ac:dyDescent="0.25">
      <c r="A162" s="73">
        <v>31405</v>
      </c>
      <c r="B162" s="74" t="s">
        <v>222</v>
      </c>
      <c r="C162" s="68">
        <v>0</v>
      </c>
      <c r="D162" s="68">
        <v>0.94607379999999996</v>
      </c>
    </row>
    <row r="163" spans="1:4" x14ac:dyDescent="0.25">
      <c r="A163" s="73">
        <v>31501</v>
      </c>
      <c r="B163" s="74" t="s">
        <v>223</v>
      </c>
      <c r="C163" s="68">
        <v>5.4099747000000002</v>
      </c>
      <c r="D163" s="68">
        <v>5.7925879</v>
      </c>
    </row>
    <row r="164" spans="1:4" x14ac:dyDescent="0.25">
      <c r="A164" s="73">
        <v>31601</v>
      </c>
      <c r="B164" s="74" t="s">
        <v>224</v>
      </c>
      <c r="C164" s="68">
        <v>8.9439656000000003</v>
      </c>
      <c r="D164" s="68">
        <v>15.109314099999999</v>
      </c>
    </row>
    <row r="165" spans="1:4" x14ac:dyDescent="0.25">
      <c r="A165" s="73">
        <v>31602</v>
      </c>
      <c r="B165" s="74" t="s">
        <v>225</v>
      </c>
      <c r="C165" s="68">
        <v>27.565366000000001</v>
      </c>
      <c r="D165" s="68">
        <v>32.729364400000001</v>
      </c>
    </row>
    <row r="166" spans="1:4" x14ac:dyDescent="0.25">
      <c r="A166" s="73">
        <v>40101</v>
      </c>
      <c r="B166" s="74" t="s">
        <v>226</v>
      </c>
      <c r="C166" s="68">
        <v>89.228924400000011</v>
      </c>
      <c r="D166" s="68">
        <v>93.127555399999991</v>
      </c>
    </row>
    <row r="167" spans="1:4" x14ac:dyDescent="0.25">
      <c r="A167" s="73">
        <v>40102</v>
      </c>
      <c r="B167" s="74" t="s">
        <v>227</v>
      </c>
      <c r="C167" s="68">
        <v>28.7443946</v>
      </c>
      <c r="D167" s="68">
        <v>32.789764099999999</v>
      </c>
    </row>
    <row r="168" spans="1:4" x14ac:dyDescent="0.25">
      <c r="A168" s="73">
        <v>40103</v>
      </c>
      <c r="B168" s="74" t="s">
        <v>228</v>
      </c>
      <c r="C168" s="68">
        <v>1.1039558</v>
      </c>
      <c r="D168" s="68">
        <v>1.326743</v>
      </c>
    </row>
    <row r="169" spans="1:4" x14ac:dyDescent="0.25">
      <c r="A169" s="73">
        <v>40104</v>
      </c>
      <c r="B169" s="74" t="s">
        <v>229</v>
      </c>
      <c r="C169" s="68">
        <v>0.57803470000000001</v>
      </c>
      <c r="D169" s="68">
        <v>6.7166911000000002</v>
      </c>
    </row>
    <row r="170" spans="1:4" x14ac:dyDescent="0.25">
      <c r="A170" s="73">
        <v>40201</v>
      </c>
      <c r="B170" s="74" t="s">
        <v>231</v>
      </c>
      <c r="C170" s="68">
        <v>30.466930000000001</v>
      </c>
      <c r="D170" s="68">
        <v>33.995421900000004</v>
      </c>
    </row>
    <row r="171" spans="1:4" x14ac:dyDescent="0.25">
      <c r="A171" s="73">
        <v>40202</v>
      </c>
      <c r="B171" s="74" t="s">
        <v>232</v>
      </c>
      <c r="C171" s="68">
        <v>0.90032159999999994</v>
      </c>
      <c r="D171" s="68">
        <v>18.830610499999999</v>
      </c>
    </row>
    <row r="172" spans="1:4" x14ac:dyDescent="0.25">
      <c r="A172" s="73">
        <v>40301</v>
      </c>
      <c r="B172" s="74" t="s">
        <v>234</v>
      </c>
      <c r="C172" s="68">
        <v>1.1034048000000001</v>
      </c>
      <c r="D172" s="68">
        <v>6.7066638999999997</v>
      </c>
    </row>
    <row r="173" spans="1:4" x14ac:dyDescent="0.25">
      <c r="A173" s="73">
        <v>40302</v>
      </c>
      <c r="B173" s="74" t="s">
        <v>235</v>
      </c>
      <c r="C173" s="68">
        <v>7.1705425999999992</v>
      </c>
      <c r="D173" s="68">
        <v>13.2637854</v>
      </c>
    </row>
    <row r="174" spans="1:4" x14ac:dyDescent="0.25">
      <c r="A174" s="73">
        <v>40401</v>
      </c>
      <c r="B174" s="74" t="s">
        <v>237</v>
      </c>
      <c r="C174" s="68">
        <v>34.981549799999996</v>
      </c>
      <c r="D174" s="68">
        <v>30.9008556</v>
      </c>
    </row>
    <row r="175" spans="1:4" x14ac:dyDescent="0.25">
      <c r="A175" s="73">
        <v>40402</v>
      </c>
      <c r="B175" s="74" t="s">
        <v>238</v>
      </c>
      <c r="C175" s="68">
        <v>8.6118252000000002</v>
      </c>
      <c r="D175" s="68">
        <v>17.1022727</v>
      </c>
    </row>
    <row r="176" spans="1:4" x14ac:dyDescent="0.25">
      <c r="A176" s="73">
        <v>40501</v>
      </c>
      <c r="B176" s="74" t="s">
        <v>240</v>
      </c>
      <c r="C176" s="68">
        <v>3.1518625</v>
      </c>
      <c r="D176" s="68">
        <v>28.859060399999997</v>
      </c>
    </row>
    <row r="177" spans="1:4" x14ac:dyDescent="0.25">
      <c r="A177" s="73">
        <v>40502</v>
      </c>
      <c r="B177" s="74" t="s">
        <v>241</v>
      </c>
      <c r="C177" s="68">
        <v>0.55452869999999999</v>
      </c>
      <c r="D177" s="68">
        <v>24.360189599999998</v>
      </c>
    </row>
    <row r="178" spans="1:4" x14ac:dyDescent="0.25">
      <c r="A178" s="73">
        <v>40503</v>
      </c>
      <c r="B178" s="74" t="s">
        <v>242</v>
      </c>
      <c r="C178" s="68">
        <v>0.17123289999999999</v>
      </c>
      <c r="D178" s="68">
        <v>0.85227269999999999</v>
      </c>
    </row>
    <row r="179" spans="1:4" x14ac:dyDescent="0.25">
      <c r="A179" s="73">
        <v>40504</v>
      </c>
      <c r="B179" s="74" t="s">
        <v>243</v>
      </c>
      <c r="C179" s="68">
        <v>0</v>
      </c>
      <c r="D179" s="68">
        <v>1.7341040000000001</v>
      </c>
    </row>
    <row r="180" spans="1:4" x14ac:dyDescent="0.25">
      <c r="A180" s="73">
        <v>40505</v>
      </c>
      <c r="B180" s="74" t="s">
        <v>244</v>
      </c>
      <c r="C180" s="68">
        <v>0.97357450000000001</v>
      </c>
      <c r="D180" s="68">
        <v>1.2600229000000001</v>
      </c>
    </row>
    <row r="181" spans="1:4" x14ac:dyDescent="0.25">
      <c r="A181" s="73">
        <v>40601</v>
      </c>
      <c r="B181" s="74" t="s">
        <v>245</v>
      </c>
      <c r="C181" s="68">
        <v>33.568157800000002</v>
      </c>
      <c r="D181" s="68">
        <v>40.988530900000001</v>
      </c>
    </row>
    <row r="182" spans="1:4" x14ac:dyDescent="0.25">
      <c r="A182" s="73">
        <v>40602</v>
      </c>
      <c r="B182" s="74" t="s">
        <v>246</v>
      </c>
      <c r="C182" s="68">
        <v>1.4645309000000002</v>
      </c>
      <c r="D182" s="68">
        <v>28.3776145</v>
      </c>
    </row>
    <row r="183" spans="1:4" x14ac:dyDescent="0.25">
      <c r="A183" s="73">
        <v>40603</v>
      </c>
      <c r="B183" s="74" t="s">
        <v>247</v>
      </c>
      <c r="C183" s="68">
        <v>42.918825599999998</v>
      </c>
      <c r="D183" s="68">
        <v>40.827586199999999</v>
      </c>
    </row>
    <row r="184" spans="1:4" x14ac:dyDescent="0.25">
      <c r="A184" s="73">
        <v>40701</v>
      </c>
      <c r="B184" s="74" t="s">
        <v>249</v>
      </c>
      <c r="C184" s="68">
        <v>46.014744800000003</v>
      </c>
      <c r="D184" s="68">
        <v>79.495562800000002</v>
      </c>
    </row>
    <row r="185" spans="1:4" x14ac:dyDescent="0.25">
      <c r="A185" s="73">
        <v>40702</v>
      </c>
      <c r="B185" s="74" t="s">
        <v>250</v>
      </c>
      <c r="C185" s="68">
        <v>5.4557124000000004</v>
      </c>
      <c r="D185" s="68">
        <v>50.965073500000003</v>
      </c>
    </row>
    <row r="186" spans="1:4" x14ac:dyDescent="0.25">
      <c r="A186" s="73">
        <v>40801</v>
      </c>
      <c r="B186" s="74" t="s">
        <v>252</v>
      </c>
      <c r="C186" s="68">
        <v>7.2065188999999998</v>
      </c>
      <c r="D186" s="68">
        <v>19.802311899999999</v>
      </c>
    </row>
    <row r="187" spans="1:4" x14ac:dyDescent="0.25">
      <c r="A187" s="73">
        <v>40802</v>
      </c>
      <c r="B187" s="74" t="s">
        <v>253</v>
      </c>
      <c r="C187" s="68">
        <v>0.86538460000000006</v>
      </c>
      <c r="D187" s="68">
        <v>12.3137255</v>
      </c>
    </row>
    <row r="188" spans="1:4" x14ac:dyDescent="0.25">
      <c r="A188" s="73">
        <v>40901</v>
      </c>
      <c r="B188" s="74" t="s">
        <v>254</v>
      </c>
      <c r="C188" s="68">
        <v>7.5656431</v>
      </c>
      <c r="D188" s="68">
        <v>19.9740596</v>
      </c>
    </row>
    <row r="189" spans="1:4" x14ac:dyDescent="0.25">
      <c r="A189" s="73">
        <v>40902</v>
      </c>
      <c r="B189" s="74" t="s">
        <v>255</v>
      </c>
      <c r="C189" s="68">
        <v>28.4584981</v>
      </c>
      <c r="D189" s="68">
        <v>53.781512599999999</v>
      </c>
    </row>
    <row r="190" spans="1:4" x14ac:dyDescent="0.25">
      <c r="A190" s="73">
        <v>40903</v>
      </c>
      <c r="B190" s="74" t="s">
        <v>256</v>
      </c>
      <c r="C190" s="68">
        <v>4.9152542000000006</v>
      </c>
      <c r="D190" s="68">
        <v>12.036199099999999</v>
      </c>
    </row>
    <row r="191" spans="1:4" x14ac:dyDescent="0.25">
      <c r="A191" s="73">
        <v>41001</v>
      </c>
      <c r="B191" s="74" t="s">
        <v>258</v>
      </c>
      <c r="C191" s="68">
        <v>3.7866542999999999</v>
      </c>
      <c r="D191" s="68">
        <v>12.024514</v>
      </c>
    </row>
    <row r="192" spans="1:4" x14ac:dyDescent="0.25">
      <c r="A192" s="73">
        <v>41101</v>
      </c>
      <c r="B192" s="74" t="s">
        <v>260</v>
      </c>
      <c r="C192" s="68">
        <v>3.5300316</v>
      </c>
      <c r="D192" s="68">
        <v>20.7128099</v>
      </c>
    </row>
    <row r="193" spans="1:4" x14ac:dyDescent="0.25">
      <c r="A193" s="73">
        <v>41201</v>
      </c>
      <c r="B193" s="74" t="s">
        <v>262</v>
      </c>
      <c r="C193" s="68">
        <v>8.4839357999999994</v>
      </c>
      <c r="D193" s="68">
        <v>21.531728600000001</v>
      </c>
    </row>
    <row r="194" spans="1:4" x14ac:dyDescent="0.25">
      <c r="A194" s="73">
        <v>41202</v>
      </c>
      <c r="B194" s="74" t="s">
        <v>263</v>
      </c>
      <c r="C194" s="68">
        <v>0.1373626</v>
      </c>
      <c r="D194" s="68">
        <v>3.9126479000000001</v>
      </c>
    </row>
    <row r="195" spans="1:4" x14ac:dyDescent="0.25">
      <c r="A195" s="73">
        <v>41301</v>
      </c>
      <c r="B195" s="74" t="s">
        <v>208</v>
      </c>
      <c r="C195" s="68">
        <v>2.3860020999999998</v>
      </c>
      <c r="D195" s="68">
        <v>11.329305099999999</v>
      </c>
    </row>
    <row r="196" spans="1:4" x14ac:dyDescent="0.25">
      <c r="A196" s="73">
        <v>41401</v>
      </c>
      <c r="B196" s="74" t="s">
        <v>266</v>
      </c>
      <c r="C196" s="68">
        <v>26.4993026</v>
      </c>
      <c r="D196" s="68">
        <v>25.371847299999999</v>
      </c>
    </row>
    <row r="197" spans="1:4" x14ac:dyDescent="0.25">
      <c r="A197" s="73">
        <v>41501</v>
      </c>
      <c r="B197" s="74" t="s">
        <v>268</v>
      </c>
      <c r="C197" s="68">
        <v>0</v>
      </c>
      <c r="D197" s="68">
        <v>0.70671379999999995</v>
      </c>
    </row>
    <row r="198" spans="1:4" x14ac:dyDescent="0.25">
      <c r="A198" s="73">
        <v>41502</v>
      </c>
      <c r="B198" s="74" t="s">
        <v>269</v>
      </c>
      <c r="C198" s="68">
        <v>1.5544040999999997</v>
      </c>
      <c r="D198" s="68">
        <v>55.623100399999998</v>
      </c>
    </row>
    <row r="199" spans="1:4" x14ac:dyDescent="0.25">
      <c r="A199" s="73">
        <v>41503</v>
      </c>
      <c r="B199" s="74" t="s">
        <v>233</v>
      </c>
      <c r="C199" s="68">
        <v>2.4489795999999999</v>
      </c>
      <c r="D199" s="68">
        <v>7.0038910999999997</v>
      </c>
    </row>
    <row r="200" spans="1:4" x14ac:dyDescent="0.25">
      <c r="A200" s="73">
        <v>41601</v>
      </c>
      <c r="B200" s="74" t="s">
        <v>271</v>
      </c>
      <c r="C200" s="68">
        <v>0.44365569999999999</v>
      </c>
      <c r="D200" s="68">
        <v>10.1396032</v>
      </c>
    </row>
    <row r="201" spans="1:4" x14ac:dyDescent="0.25">
      <c r="A201" s="73">
        <v>50101</v>
      </c>
      <c r="B201" s="74" t="s">
        <v>272</v>
      </c>
      <c r="C201" s="68">
        <v>82.445839700000008</v>
      </c>
      <c r="D201" s="68">
        <v>87.746924100000001</v>
      </c>
    </row>
    <row r="202" spans="1:4" x14ac:dyDescent="0.25">
      <c r="A202" s="73">
        <v>50102</v>
      </c>
      <c r="B202" s="74" t="s">
        <v>274</v>
      </c>
      <c r="C202" s="68">
        <v>0.72895960000000004</v>
      </c>
      <c r="D202" s="68">
        <v>2.8072683</v>
      </c>
    </row>
    <row r="203" spans="1:4" x14ac:dyDescent="0.25">
      <c r="A203" s="73">
        <v>50103</v>
      </c>
      <c r="B203" s="74" t="s">
        <v>275</v>
      </c>
      <c r="C203" s="68">
        <v>7.3045267999999997</v>
      </c>
      <c r="D203" s="68">
        <v>7.5161058999999995</v>
      </c>
    </row>
    <row r="204" spans="1:4" x14ac:dyDescent="0.25">
      <c r="A204" s="73">
        <v>50104</v>
      </c>
      <c r="B204" s="74" t="s">
        <v>276</v>
      </c>
      <c r="C204" s="68">
        <v>9.0744099999999994E-2</v>
      </c>
      <c r="D204" s="68">
        <v>0.90090090000000012</v>
      </c>
    </row>
    <row r="205" spans="1:4" x14ac:dyDescent="0.25">
      <c r="A205" s="73">
        <v>50201</v>
      </c>
      <c r="B205" s="74" t="s">
        <v>278</v>
      </c>
      <c r="C205" s="68">
        <v>22.915407900000002</v>
      </c>
      <c r="D205" s="68">
        <v>40.085338399999998</v>
      </c>
    </row>
    <row r="206" spans="1:4" x14ac:dyDescent="0.25">
      <c r="A206" s="73">
        <v>50202</v>
      </c>
      <c r="B206" s="74" t="s">
        <v>279</v>
      </c>
      <c r="C206" s="68">
        <v>25.4981787</v>
      </c>
      <c r="D206" s="68">
        <v>21.420996800000001</v>
      </c>
    </row>
    <row r="207" spans="1:4" x14ac:dyDescent="0.25">
      <c r="A207" s="73">
        <v>50203</v>
      </c>
      <c r="B207" s="74" t="s">
        <v>280</v>
      </c>
      <c r="C207" s="68">
        <v>67.475219600000003</v>
      </c>
      <c r="D207" s="68">
        <v>75.563463799999994</v>
      </c>
    </row>
    <row r="208" spans="1:4" x14ac:dyDescent="0.25">
      <c r="A208" s="73">
        <v>50204</v>
      </c>
      <c r="B208" s="74" t="s">
        <v>281</v>
      </c>
      <c r="C208" s="68">
        <v>17.1441163</v>
      </c>
      <c r="D208" s="68">
        <v>19.4261214</v>
      </c>
    </row>
    <row r="209" spans="1:4" x14ac:dyDescent="0.25">
      <c r="A209" s="73">
        <v>50301</v>
      </c>
      <c r="B209" s="74" t="s">
        <v>283</v>
      </c>
      <c r="C209" s="68">
        <v>14.0006173</v>
      </c>
      <c r="D209" s="68">
        <v>17.260324099999998</v>
      </c>
    </row>
    <row r="210" spans="1:4" x14ac:dyDescent="0.25">
      <c r="A210" s="73">
        <v>50302</v>
      </c>
      <c r="B210" s="74" t="s">
        <v>284</v>
      </c>
      <c r="C210" s="68">
        <v>6.7970205000000004</v>
      </c>
      <c r="D210" s="68">
        <v>10.626076900000001</v>
      </c>
    </row>
    <row r="211" spans="1:4" x14ac:dyDescent="0.25">
      <c r="A211" s="73">
        <v>50303</v>
      </c>
      <c r="B211" s="74" t="s">
        <v>285</v>
      </c>
      <c r="C211" s="68">
        <v>0.4105722</v>
      </c>
      <c r="D211" s="68">
        <v>1.6792125</v>
      </c>
    </row>
    <row r="212" spans="1:4" x14ac:dyDescent="0.25">
      <c r="A212" s="73">
        <v>50401</v>
      </c>
      <c r="B212" s="74" t="s">
        <v>286</v>
      </c>
      <c r="C212" s="68">
        <v>13.952403200000001</v>
      </c>
      <c r="D212" s="68">
        <v>26.720024599999999</v>
      </c>
    </row>
    <row r="213" spans="1:4" x14ac:dyDescent="0.25">
      <c r="A213" s="73">
        <v>50402</v>
      </c>
      <c r="B213" s="74" t="s">
        <v>287</v>
      </c>
      <c r="C213" s="68">
        <v>7.2999251999999997</v>
      </c>
      <c r="D213" s="68">
        <v>8.9970929999999996</v>
      </c>
    </row>
    <row r="214" spans="1:4" x14ac:dyDescent="0.25">
      <c r="A214" s="73">
        <v>50403</v>
      </c>
      <c r="B214" s="74" t="s">
        <v>288</v>
      </c>
      <c r="C214" s="68">
        <v>4.3859649000000003</v>
      </c>
      <c r="D214" s="68">
        <v>6.2609665999999997</v>
      </c>
    </row>
    <row r="215" spans="1:4" x14ac:dyDescent="0.25">
      <c r="A215" s="73">
        <v>50404</v>
      </c>
      <c r="B215" s="74" t="s">
        <v>289</v>
      </c>
      <c r="C215" s="68">
        <v>1.2566267</v>
      </c>
      <c r="D215" s="68">
        <v>10.4999191</v>
      </c>
    </row>
    <row r="216" spans="1:4" x14ac:dyDescent="0.25">
      <c r="A216" s="73">
        <v>50405</v>
      </c>
      <c r="B216" s="74" t="s">
        <v>290</v>
      </c>
      <c r="C216" s="68">
        <v>0.40854810000000003</v>
      </c>
      <c r="D216" s="68">
        <v>7.8573122000000009</v>
      </c>
    </row>
    <row r="217" spans="1:4" x14ac:dyDescent="0.25">
      <c r="A217" s="73">
        <v>50501</v>
      </c>
      <c r="B217" s="74" t="s">
        <v>292</v>
      </c>
      <c r="C217" s="68">
        <v>6.7778180999999993</v>
      </c>
      <c r="D217" s="68">
        <v>7.0512253000000005</v>
      </c>
    </row>
    <row r="218" spans="1:4" x14ac:dyDescent="0.25">
      <c r="A218" s="73">
        <v>50502</v>
      </c>
      <c r="B218" s="74" t="s">
        <v>293</v>
      </c>
      <c r="C218" s="68">
        <v>9.5984049999999996</v>
      </c>
      <c r="D218" s="68">
        <v>12.9532443</v>
      </c>
    </row>
    <row r="219" spans="1:4" x14ac:dyDescent="0.25">
      <c r="A219" s="73">
        <v>50601</v>
      </c>
      <c r="B219" s="74" t="s">
        <v>295</v>
      </c>
      <c r="C219" s="68">
        <v>24.157955900000001</v>
      </c>
      <c r="D219" s="68">
        <v>26.238417700000003</v>
      </c>
    </row>
    <row r="220" spans="1:4" x14ac:dyDescent="0.25">
      <c r="A220" s="73">
        <v>50602</v>
      </c>
      <c r="B220" s="74" t="s">
        <v>296</v>
      </c>
      <c r="C220" s="68">
        <v>6.8501919999999998</v>
      </c>
      <c r="D220" s="68">
        <v>10.051546399999999</v>
      </c>
    </row>
    <row r="221" spans="1:4" x14ac:dyDescent="0.25">
      <c r="A221" s="73">
        <v>50701</v>
      </c>
      <c r="B221" s="74" t="s">
        <v>298</v>
      </c>
      <c r="C221" s="68">
        <v>13.741545</v>
      </c>
      <c r="D221" s="68">
        <v>15.297241400000001</v>
      </c>
    </row>
    <row r="222" spans="1:4" x14ac:dyDescent="0.25">
      <c r="A222" s="73">
        <v>50702</v>
      </c>
      <c r="B222" s="74" t="s">
        <v>299</v>
      </c>
      <c r="C222" s="68">
        <v>6.0197009000000001</v>
      </c>
      <c r="D222" s="68">
        <v>6.2553312000000005</v>
      </c>
    </row>
    <row r="223" spans="1:4" x14ac:dyDescent="0.25">
      <c r="A223" s="73">
        <v>50801</v>
      </c>
      <c r="B223" s="74" t="s">
        <v>301</v>
      </c>
      <c r="C223" s="68">
        <v>57.068849</v>
      </c>
      <c r="D223" s="68">
        <v>60.1095994</v>
      </c>
    </row>
    <row r="224" spans="1:4" x14ac:dyDescent="0.25">
      <c r="A224" s="73">
        <v>50802</v>
      </c>
      <c r="B224" s="74" t="s">
        <v>302</v>
      </c>
      <c r="C224" s="68">
        <v>63.0033557</v>
      </c>
      <c r="D224" s="68">
        <v>84.857371299999997</v>
      </c>
    </row>
    <row r="225" spans="1:4" x14ac:dyDescent="0.25">
      <c r="A225" s="73">
        <v>50901</v>
      </c>
      <c r="B225" s="74" t="s">
        <v>304</v>
      </c>
      <c r="C225" s="68">
        <v>34.895675900000001</v>
      </c>
      <c r="D225" s="68">
        <v>63.337334999999996</v>
      </c>
    </row>
    <row r="226" spans="1:4" x14ac:dyDescent="0.25">
      <c r="A226" s="73">
        <v>50902</v>
      </c>
      <c r="B226" s="74" t="s">
        <v>305</v>
      </c>
      <c r="C226" s="68">
        <v>4.8387096999999999</v>
      </c>
      <c r="D226" s="68">
        <v>24.961948199999998</v>
      </c>
    </row>
    <row r="227" spans="1:4" x14ac:dyDescent="0.25">
      <c r="A227" s="73">
        <v>51001</v>
      </c>
      <c r="B227" s="74" t="s">
        <v>307</v>
      </c>
      <c r="C227" s="68">
        <v>9.9885189000000008</v>
      </c>
      <c r="D227" s="68">
        <v>20.342034200000001</v>
      </c>
    </row>
    <row r="228" spans="1:4" x14ac:dyDescent="0.25">
      <c r="A228" s="73">
        <v>51002</v>
      </c>
      <c r="B228" s="74" t="s">
        <v>308</v>
      </c>
      <c r="C228" s="68">
        <v>3.0726257000000001</v>
      </c>
      <c r="D228" s="68">
        <v>25.925925899999999</v>
      </c>
    </row>
    <row r="229" spans="1:4" x14ac:dyDescent="0.25">
      <c r="A229" s="73">
        <v>51003</v>
      </c>
      <c r="B229" s="74" t="s">
        <v>309</v>
      </c>
      <c r="C229" s="68">
        <v>6.7132867000000003</v>
      </c>
      <c r="D229" s="68">
        <v>22.7536232</v>
      </c>
    </row>
    <row r="230" spans="1:4" x14ac:dyDescent="0.25">
      <c r="A230" s="73">
        <v>51101</v>
      </c>
      <c r="B230" s="74" t="s">
        <v>311</v>
      </c>
      <c r="C230" s="68">
        <v>8.038856899999999</v>
      </c>
      <c r="D230" s="68">
        <v>17.837146099999998</v>
      </c>
    </row>
    <row r="231" spans="1:4" x14ac:dyDescent="0.25">
      <c r="A231" s="73">
        <v>51102</v>
      </c>
      <c r="B231" s="74" t="s">
        <v>312</v>
      </c>
      <c r="C231" s="68">
        <v>22.184589299999999</v>
      </c>
      <c r="D231" s="68">
        <v>40.211070399999997</v>
      </c>
    </row>
    <row r="232" spans="1:4" x14ac:dyDescent="0.25">
      <c r="A232" s="73">
        <v>51103</v>
      </c>
      <c r="B232" s="74" t="s">
        <v>313</v>
      </c>
      <c r="C232" s="68">
        <v>2.7182436000000001</v>
      </c>
      <c r="D232" s="68">
        <v>4.8298833999999999</v>
      </c>
    </row>
    <row r="233" spans="1:4" x14ac:dyDescent="0.25">
      <c r="A233" s="73">
        <v>51201</v>
      </c>
      <c r="B233" s="74" t="s">
        <v>315</v>
      </c>
      <c r="C233" s="68">
        <v>50.588725600000004</v>
      </c>
      <c r="D233" s="68">
        <v>64.291152799999992</v>
      </c>
    </row>
    <row r="234" spans="1:4" x14ac:dyDescent="0.25">
      <c r="A234" s="73">
        <v>51202</v>
      </c>
      <c r="B234" s="74" t="s">
        <v>316</v>
      </c>
      <c r="C234" s="68">
        <v>14.267143300000001</v>
      </c>
      <c r="D234" s="68">
        <v>20.379861300000002</v>
      </c>
    </row>
    <row r="235" spans="1:4" x14ac:dyDescent="0.25">
      <c r="A235" s="73">
        <v>51203</v>
      </c>
      <c r="B235" s="74" t="s">
        <v>317</v>
      </c>
      <c r="C235" s="68">
        <v>69.930291499999996</v>
      </c>
      <c r="D235" s="68">
        <v>77.222852799999998</v>
      </c>
    </row>
    <row r="236" spans="1:4" x14ac:dyDescent="0.25">
      <c r="A236" s="73">
        <v>51204</v>
      </c>
      <c r="B236" s="74" t="s">
        <v>318</v>
      </c>
      <c r="C236" s="68">
        <v>15.3810191</v>
      </c>
      <c r="D236" s="68">
        <v>18.105101600000001</v>
      </c>
    </row>
    <row r="237" spans="1:4" x14ac:dyDescent="0.25">
      <c r="A237" s="73">
        <v>51301</v>
      </c>
      <c r="B237" s="74" t="s">
        <v>320</v>
      </c>
      <c r="C237" s="68">
        <v>0.38520799999999999</v>
      </c>
      <c r="D237" s="68">
        <v>0.82361010000000001</v>
      </c>
    </row>
    <row r="238" spans="1:4" x14ac:dyDescent="0.25">
      <c r="A238" s="73">
        <v>51302</v>
      </c>
      <c r="B238" s="74" t="s">
        <v>321</v>
      </c>
      <c r="C238" s="68">
        <v>12.681791799999999</v>
      </c>
      <c r="D238" s="68">
        <v>14.309120699999999</v>
      </c>
    </row>
    <row r="239" spans="1:4" x14ac:dyDescent="0.25">
      <c r="A239" s="73">
        <v>51401</v>
      </c>
      <c r="B239" s="74" t="s">
        <v>323</v>
      </c>
      <c r="C239" s="68">
        <v>24.401595800000003</v>
      </c>
      <c r="D239" s="68">
        <v>37.715517200000001</v>
      </c>
    </row>
    <row r="240" spans="1:4" x14ac:dyDescent="0.25">
      <c r="A240" s="73">
        <v>51402</v>
      </c>
      <c r="B240" s="74" t="s">
        <v>324</v>
      </c>
      <c r="C240" s="68">
        <v>10.4565538</v>
      </c>
      <c r="D240" s="68">
        <v>23.989218299999997</v>
      </c>
    </row>
    <row r="241" spans="1:4" x14ac:dyDescent="0.25">
      <c r="A241" s="73">
        <v>51501</v>
      </c>
      <c r="B241" s="74" t="s">
        <v>326</v>
      </c>
      <c r="C241" s="68">
        <v>75.749544499999999</v>
      </c>
      <c r="D241" s="68">
        <v>79.498371800000001</v>
      </c>
    </row>
    <row r="242" spans="1:4" x14ac:dyDescent="0.25">
      <c r="A242" s="73">
        <v>51601</v>
      </c>
      <c r="B242" s="74" t="s">
        <v>328</v>
      </c>
      <c r="C242" s="68">
        <v>6.5439673000000003</v>
      </c>
      <c r="D242" s="68">
        <v>52.473763099999999</v>
      </c>
    </row>
    <row r="243" spans="1:4" x14ac:dyDescent="0.25">
      <c r="A243" s="73">
        <v>60101</v>
      </c>
      <c r="B243" s="74" t="s">
        <v>329</v>
      </c>
      <c r="C243" s="68">
        <v>85.393074299999995</v>
      </c>
      <c r="D243" s="68">
        <v>90.470230600000008</v>
      </c>
    </row>
    <row r="244" spans="1:4" x14ac:dyDescent="0.25">
      <c r="A244" s="73">
        <v>60201</v>
      </c>
      <c r="B244" s="74" t="s">
        <v>331</v>
      </c>
      <c r="C244" s="68">
        <v>17.7210216</v>
      </c>
      <c r="D244" s="68">
        <v>29.137900500000001</v>
      </c>
    </row>
    <row r="245" spans="1:4" x14ac:dyDescent="0.25">
      <c r="A245" s="73">
        <v>60202</v>
      </c>
      <c r="B245" s="74" t="s">
        <v>332</v>
      </c>
      <c r="C245" s="68">
        <v>76.509098999999992</v>
      </c>
      <c r="D245" s="68">
        <v>85.846037999999993</v>
      </c>
    </row>
    <row r="246" spans="1:4" x14ac:dyDescent="0.25">
      <c r="A246" s="73">
        <v>60301</v>
      </c>
      <c r="B246" s="74" t="s">
        <v>334</v>
      </c>
      <c r="C246" s="68">
        <v>70.837474099999994</v>
      </c>
      <c r="D246" s="68">
        <v>78.259118200000003</v>
      </c>
    </row>
    <row r="247" spans="1:4" x14ac:dyDescent="0.25">
      <c r="A247" s="73">
        <v>60302</v>
      </c>
      <c r="B247" s="74" t="s">
        <v>335</v>
      </c>
      <c r="C247" s="68">
        <v>24.355444299999998</v>
      </c>
      <c r="D247" s="68">
        <v>37.489325399999998</v>
      </c>
    </row>
    <row r="248" spans="1:4" x14ac:dyDescent="0.25">
      <c r="A248" s="73">
        <v>60303</v>
      </c>
      <c r="B248" s="74" t="s">
        <v>336</v>
      </c>
      <c r="C248" s="68">
        <v>61.78443</v>
      </c>
      <c r="D248" s="68">
        <v>71.745014300000008</v>
      </c>
    </row>
    <row r="249" spans="1:4" x14ac:dyDescent="0.25">
      <c r="A249" s="73">
        <v>60401</v>
      </c>
      <c r="B249" s="74" t="s">
        <v>338</v>
      </c>
      <c r="C249" s="68">
        <v>25.2763095</v>
      </c>
      <c r="D249" s="68">
        <v>33.116354700000002</v>
      </c>
    </row>
    <row r="250" spans="1:4" x14ac:dyDescent="0.25">
      <c r="A250" s="73">
        <v>60402</v>
      </c>
      <c r="B250" s="74" t="s">
        <v>339</v>
      </c>
      <c r="C250" s="68">
        <v>9.1644204999999985</v>
      </c>
      <c r="D250" s="68">
        <v>10.6535948</v>
      </c>
    </row>
    <row r="251" spans="1:4" x14ac:dyDescent="0.25">
      <c r="A251" s="73">
        <v>60501</v>
      </c>
      <c r="B251" s="74" t="s">
        <v>341</v>
      </c>
      <c r="C251" s="68">
        <v>29.333744599999999</v>
      </c>
      <c r="D251" s="68">
        <v>62.125107100000001</v>
      </c>
    </row>
    <row r="252" spans="1:4" x14ac:dyDescent="0.25">
      <c r="A252" s="73">
        <v>60502</v>
      </c>
      <c r="B252" s="74" t="s">
        <v>342</v>
      </c>
      <c r="C252" s="68">
        <v>13.003381500000001</v>
      </c>
      <c r="D252" s="68">
        <v>17.685185199999999</v>
      </c>
    </row>
    <row r="253" spans="1:4" x14ac:dyDescent="0.25">
      <c r="A253" s="73">
        <v>60601</v>
      </c>
      <c r="B253" s="74" t="s">
        <v>213</v>
      </c>
      <c r="C253" s="68">
        <v>22.511541999999999</v>
      </c>
      <c r="D253" s="68">
        <v>24.259974199999998</v>
      </c>
    </row>
    <row r="254" spans="1:4" x14ac:dyDescent="0.25">
      <c r="A254" s="73">
        <v>70101</v>
      </c>
      <c r="B254" s="74" t="s">
        <v>346</v>
      </c>
      <c r="C254" s="68">
        <v>93.714366499999997</v>
      </c>
      <c r="D254" s="68">
        <v>96.974785800000006</v>
      </c>
    </row>
    <row r="255" spans="1:4" x14ac:dyDescent="0.25">
      <c r="A255" s="73">
        <v>70102</v>
      </c>
      <c r="B255" s="74" t="s">
        <v>347</v>
      </c>
      <c r="C255" s="68">
        <v>37.185454</v>
      </c>
      <c r="D255" s="68">
        <v>50.192217899999996</v>
      </c>
    </row>
    <row r="256" spans="1:4" x14ac:dyDescent="0.25">
      <c r="A256" s="73">
        <v>70103</v>
      </c>
      <c r="B256" s="74" t="s">
        <v>348</v>
      </c>
      <c r="C256" s="68">
        <v>24.406405300000003</v>
      </c>
      <c r="D256" s="68">
        <v>57.9795242</v>
      </c>
    </row>
    <row r="257" spans="1:4" x14ac:dyDescent="0.25">
      <c r="A257" s="73">
        <v>70104</v>
      </c>
      <c r="B257" s="74" t="s">
        <v>349</v>
      </c>
      <c r="C257" s="68">
        <v>70.240217700000002</v>
      </c>
      <c r="D257" s="68">
        <v>83.768346300000005</v>
      </c>
    </row>
    <row r="258" spans="1:4" x14ac:dyDescent="0.25">
      <c r="A258" s="73">
        <v>70105</v>
      </c>
      <c r="B258" s="74" t="s">
        <v>350</v>
      </c>
      <c r="C258" s="68">
        <v>53.240702900000002</v>
      </c>
      <c r="D258" s="68">
        <v>63.9056104</v>
      </c>
    </row>
    <row r="259" spans="1:4" x14ac:dyDescent="0.25">
      <c r="A259" s="73">
        <v>70201</v>
      </c>
      <c r="B259" s="74" t="s">
        <v>351</v>
      </c>
      <c r="C259" s="68">
        <v>54.673098400000001</v>
      </c>
      <c r="D259" s="68">
        <v>60.731088499999998</v>
      </c>
    </row>
    <row r="260" spans="1:4" x14ac:dyDescent="0.25">
      <c r="A260" s="73">
        <v>70202</v>
      </c>
      <c r="B260" s="74" t="s">
        <v>352</v>
      </c>
      <c r="C260" s="68">
        <v>34.21875</v>
      </c>
      <c r="D260" s="68">
        <v>45.787292800000003</v>
      </c>
    </row>
    <row r="261" spans="1:4" x14ac:dyDescent="0.25">
      <c r="A261" s="73">
        <v>70301</v>
      </c>
      <c r="B261" s="74" t="s">
        <v>354</v>
      </c>
      <c r="C261" s="68">
        <v>36.461893799999999</v>
      </c>
      <c r="D261" s="68">
        <v>35.4166667</v>
      </c>
    </row>
    <row r="262" spans="1:4" x14ac:dyDescent="0.25">
      <c r="A262" s="73">
        <v>70302</v>
      </c>
      <c r="B262" s="74" t="s">
        <v>355</v>
      </c>
      <c r="C262" s="68">
        <v>25.2517429</v>
      </c>
      <c r="D262" s="68">
        <v>17.944681799999998</v>
      </c>
    </row>
    <row r="263" spans="1:4" x14ac:dyDescent="0.25">
      <c r="A263" s="73">
        <v>70303</v>
      </c>
      <c r="B263" s="74" t="s">
        <v>356</v>
      </c>
      <c r="C263" s="68">
        <v>6.7603159999999995</v>
      </c>
      <c r="D263" s="68">
        <v>19.019675499999998</v>
      </c>
    </row>
    <row r="264" spans="1:4" x14ac:dyDescent="0.25">
      <c r="A264" s="73">
        <v>70401</v>
      </c>
      <c r="B264" s="74" t="s">
        <v>358</v>
      </c>
      <c r="C264" s="68">
        <v>18.9845474</v>
      </c>
      <c r="D264" s="68">
        <v>30.270127100000003</v>
      </c>
    </row>
    <row r="265" spans="1:4" x14ac:dyDescent="0.25">
      <c r="A265" s="73">
        <v>70402</v>
      </c>
      <c r="B265" s="74" t="s">
        <v>359</v>
      </c>
      <c r="C265" s="68">
        <v>36.496829299999995</v>
      </c>
      <c r="D265" s="68">
        <v>52.254209700000004</v>
      </c>
    </row>
    <row r="266" spans="1:4" x14ac:dyDescent="0.25">
      <c r="A266" s="73">
        <v>70403</v>
      </c>
      <c r="B266" s="74" t="s">
        <v>360</v>
      </c>
      <c r="C266" s="68">
        <v>18.747885</v>
      </c>
      <c r="D266" s="68">
        <v>38.605230399999996</v>
      </c>
    </row>
    <row r="267" spans="1:4" x14ac:dyDescent="0.25">
      <c r="A267" s="73">
        <v>70404</v>
      </c>
      <c r="B267" s="74" t="s">
        <v>361</v>
      </c>
      <c r="C267" s="68">
        <v>43.211678899999995</v>
      </c>
      <c r="D267" s="68">
        <v>47.243828200000003</v>
      </c>
    </row>
    <row r="268" spans="1:4" x14ac:dyDescent="0.25">
      <c r="A268" s="73">
        <v>70501</v>
      </c>
      <c r="B268" s="74" t="s">
        <v>363</v>
      </c>
      <c r="C268" s="68">
        <v>49.036355700000001</v>
      </c>
      <c r="D268" s="68">
        <v>26.1910916</v>
      </c>
    </row>
    <row r="269" spans="1:4" x14ac:dyDescent="0.25">
      <c r="A269" s="73">
        <v>70502</v>
      </c>
      <c r="B269" s="74" t="s">
        <v>364</v>
      </c>
      <c r="C269" s="68">
        <v>26.761347799999999</v>
      </c>
      <c r="D269" s="68">
        <v>30.601387800000001</v>
      </c>
    </row>
    <row r="270" spans="1:4" x14ac:dyDescent="0.25">
      <c r="A270" s="73">
        <v>70503</v>
      </c>
      <c r="B270" s="74" t="s">
        <v>365</v>
      </c>
      <c r="C270" s="68">
        <v>36.722711500000003</v>
      </c>
      <c r="D270" s="68">
        <v>57.591622999999998</v>
      </c>
    </row>
    <row r="271" spans="1:4" x14ac:dyDescent="0.25">
      <c r="A271" s="73">
        <v>70601</v>
      </c>
      <c r="B271" s="74" t="s">
        <v>367</v>
      </c>
      <c r="C271" s="68">
        <v>69.070162600000003</v>
      </c>
      <c r="D271" s="68">
        <v>71.056014700000006</v>
      </c>
    </row>
    <row r="272" spans="1:4" x14ac:dyDescent="0.25">
      <c r="A272" s="73">
        <v>70602</v>
      </c>
      <c r="B272" s="74" t="s">
        <v>368</v>
      </c>
      <c r="C272" s="68">
        <v>13.278425</v>
      </c>
      <c r="D272" s="68">
        <v>14.7557495</v>
      </c>
    </row>
    <row r="273" spans="1:4" x14ac:dyDescent="0.25">
      <c r="A273" s="73">
        <v>70603</v>
      </c>
      <c r="B273" s="74" t="s">
        <v>369</v>
      </c>
      <c r="C273" s="68">
        <v>33.825701600000002</v>
      </c>
      <c r="D273" s="68">
        <v>61.578604099999993</v>
      </c>
    </row>
    <row r="274" spans="1:4" x14ac:dyDescent="0.25">
      <c r="A274" s="73">
        <v>70701</v>
      </c>
      <c r="B274" s="74" t="s">
        <v>371</v>
      </c>
      <c r="C274" s="68">
        <v>0.37348270000000006</v>
      </c>
      <c r="D274" s="68">
        <v>14.0216698</v>
      </c>
    </row>
    <row r="275" spans="1:4" x14ac:dyDescent="0.25">
      <c r="A275" s="73">
        <v>70702</v>
      </c>
      <c r="B275" s="74" t="s">
        <v>372</v>
      </c>
      <c r="C275" s="68">
        <v>12.4662109</v>
      </c>
      <c r="D275" s="68">
        <v>14.0134059</v>
      </c>
    </row>
    <row r="276" spans="1:4" x14ac:dyDescent="0.25">
      <c r="A276" s="73">
        <v>70703</v>
      </c>
      <c r="B276" s="74" t="s">
        <v>373</v>
      </c>
      <c r="C276" s="68">
        <v>12.3489694</v>
      </c>
      <c r="D276" s="68">
        <v>28.4284164</v>
      </c>
    </row>
    <row r="277" spans="1:4" x14ac:dyDescent="0.25">
      <c r="A277" s="73">
        <v>70704</v>
      </c>
      <c r="B277" s="74" t="s">
        <v>374</v>
      </c>
      <c r="C277" s="68">
        <v>23.455684900000001</v>
      </c>
      <c r="D277" s="68">
        <v>40.206185499999997</v>
      </c>
    </row>
    <row r="278" spans="1:4" x14ac:dyDescent="0.25">
      <c r="A278" s="73">
        <v>70705</v>
      </c>
      <c r="B278" s="74" t="s">
        <v>375</v>
      </c>
      <c r="C278" s="68">
        <v>0.62761500000000003</v>
      </c>
      <c r="D278" s="68">
        <v>4.8814120000000001</v>
      </c>
    </row>
    <row r="279" spans="1:4" x14ac:dyDescent="0.25">
      <c r="A279" s="73">
        <v>70706</v>
      </c>
      <c r="B279" s="74" t="s">
        <v>376</v>
      </c>
      <c r="C279" s="68">
        <v>85.562455200000002</v>
      </c>
      <c r="D279" s="68">
        <v>82.740462100000002</v>
      </c>
    </row>
    <row r="280" spans="1:4" x14ac:dyDescent="0.25">
      <c r="A280" s="73">
        <v>70707</v>
      </c>
      <c r="B280" s="74" t="s">
        <v>377</v>
      </c>
      <c r="C280" s="68">
        <v>42.744323800000004</v>
      </c>
      <c r="D280" s="68">
        <v>52.490974699999995</v>
      </c>
    </row>
    <row r="281" spans="1:4" x14ac:dyDescent="0.25">
      <c r="A281" s="73">
        <v>70801</v>
      </c>
      <c r="B281" s="74" t="s">
        <v>379</v>
      </c>
      <c r="C281" s="68">
        <v>55.3554502</v>
      </c>
      <c r="D281" s="68">
        <v>64.434403799999998</v>
      </c>
    </row>
    <row r="282" spans="1:4" x14ac:dyDescent="0.25">
      <c r="A282" s="73">
        <v>70802</v>
      </c>
      <c r="B282" s="74" t="s">
        <v>380</v>
      </c>
      <c r="C282" s="68">
        <v>1.9097222</v>
      </c>
      <c r="D282" s="68">
        <v>8.0503145000000007</v>
      </c>
    </row>
    <row r="283" spans="1:4" x14ac:dyDescent="0.25">
      <c r="A283" s="73">
        <v>70803</v>
      </c>
      <c r="B283" s="74" t="s">
        <v>381</v>
      </c>
      <c r="C283" s="68">
        <v>21.724137899999999</v>
      </c>
      <c r="D283" s="68">
        <v>24.318869799999998</v>
      </c>
    </row>
    <row r="284" spans="1:4" x14ac:dyDescent="0.25">
      <c r="A284" s="73">
        <v>70804</v>
      </c>
      <c r="B284" s="74" t="s">
        <v>382</v>
      </c>
      <c r="C284" s="68">
        <v>35.8333333</v>
      </c>
      <c r="D284" s="68">
        <v>45.214521499999996</v>
      </c>
    </row>
    <row r="285" spans="1:4" x14ac:dyDescent="0.25">
      <c r="A285" s="73">
        <v>70805</v>
      </c>
      <c r="B285" s="74" t="s">
        <v>383</v>
      </c>
      <c r="C285" s="68">
        <v>30.078740199999999</v>
      </c>
      <c r="D285" s="68">
        <v>37.2496662</v>
      </c>
    </row>
    <row r="286" spans="1:4" x14ac:dyDescent="0.25">
      <c r="A286" s="73">
        <v>70901</v>
      </c>
      <c r="B286" s="74" t="s">
        <v>385</v>
      </c>
      <c r="C286" s="68">
        <v>36.3020329</v>
      </c>
      <c r="D286" s="68">
        <v>52.4185588</v>
      </c>
    </row>
    <row r="287" spans="1:4" x14ac:dyDescent="0.25">
      <c r="A287" s="73">
        <v>70902</v>
      </c>
      <c r="B287" s="74" t="s">
        <v>386</v>
      </c>
      <c r="C287" s="68">
        <v>48.305084699999995</v>
      </c>
      <c r="D287" s="68">
        <v>67.770491800000002</v>
      </c>
    </row>
    <row r="288" spans="1:4" x14ac:dyDescent="0.25">
      <c r="A288" s="73">
        <v>70903</v>
      </c>
      <c r="B288" s="74" t="s">
        <v>387</v>
      </c>
      <c r="C288" s="68">
        <v>67.881241500000002</v>
      </c>
      <c r="D288" s="68">
        <v>67.749419900000007</v>
      </c>
    </row>
    <row r="289" spans="1:4" x14ac:dyDescent="0.25">
      <c r="A289" s="73">
        <v>70904</v>
      </c>
      <c r="B289" s="74" t="s">
        <v>388</v>
      </c>
      <c r="C289" s="68">
        <v>38.219178100000001</v>
      </c>
      <c r="D289" s="68">
        <v>57.814485399999995</v>
      </c>
    </row>
    <row r="290" spans="1:4" x14ac:dyDescent="0.25">
      <c r="A290" s="73">
        <v>71001</v>
      </c>
      <c r="B290" s="74" t="s">
        <v>390</v>
      </c>
      <c r="C290" s="68">
        <v>77.682875899999999</v>
      </c>
      <c r="D290" s="68">
        <v>90.564342199999999</v>
      </c>
    </row>
    <row r="291" spans="1:4" x14ac:dyDescent="0.25">
      <c r="A291" s="73">
        <v>71002</v>
      </c>
      <c r="B291" s="74" t="s">
        <v>391</v>
      </c>
      <c r="C291" s="68">
        <v>19.252163199999998</v>
      </c>
      <c r="D291" s="68">
        <v>36.3698944</v>
      </c>
    </row>
    <row r="292" spans="1:4" x14ac:dyDescent="0.25">
      <c r="A292" s="73">
        <v>71003</v>
      </c>
      <c r="B292" s="74" t="s">
        <v>392</v>
      </c>
      <c r="C292" s="68">
        <v>33.320818500000001</v>
      </c>
      <c r="D292" s="68">
        <v>66.338391999999999</v>
      </c>
    </row>
    <row r="293" spans="1:4" x14ac:dyDescent="0.25">
      <c r="A293" s="73">
        <v>71004</v>
      </c>
      <c r="B293" s="74" t="s">
        <v>393</v>
      </c>
      <c r="C293" s="68">
        <v>2.3711666</v>
      </c>
      <c r="D293" s="68">
        <v>43.048283900000001</v>
      </c>
    </row>
    <row r="294" spans="1:4" x14ac:dyDescent="0.25">
      <c r="A294" s="73">
        <v>71005</v>
      </c>
      <c r="B294" s="74" t="s">
        <v>292</v>
      </c>
      <c r="C294" s="68">
        <v>2.4446361999999997</v>
      </c>
      <c r="D294" s="68">
        <v>6.3576158999999999</v>
      </c>
    </row>
    <row r="295" spans="1:4" x14ac:dyDescent="0.25">
      <c r="A295" s="73">
        <v>71101</v>
      </c>
      <c r="B295" s="74" t="s">
        <v>395</v>
      </c>
      <c r="C295" s="68">
        <v>36.470312100000001</v>
      </c>
      <c r="D295" s="68">
        <v>35.367279699999997</v>
      </c>
    </row>
    <row r="296" spans="1:4" x14ac:dyDescent="0.25">
      <c r="A296" s="73">
        <v>71102</v>
      </c>
      <c r="B296" s="74" t="s">
        <v>396</v>
      </c>
      <c r="C296" s="68">
        <v>45.494505499999995</v>
      </c>
      <c r="D296" s="68">
        <v>56.432377599999995</v>
      </c>
    </row>
    <row r="297" spans="1:4" x14ac:dyDescent="0.25">
      <c r="A297" s="73">
        <v>71103</v>
      </c>
      <c r="B297" s="74" t="s">
        <v>399</v>
      </c>
      <c r="C297" s="68">
        <v>19.2284866</v>
      </c>
      <c r="D297" s="68">
        <v>43.321002800000002</v>
      </c>
    </row>
    <row r="298" spans="1:4" x14ac:dyDescent="0.25">
      <c r="A298" s="73">
        <v>71104</v>
      </c>
      <c r="B298" s="74" t="s">
        <v>397</v>
      </c>
      <c r="C298" s="68">
        <v>14.012688900000001</v>
      </c>
      <c r="D298" s="68">
        <v>33.603266900000001</v>
      </c>
    </row>
    <row r="299" spans="1:4" x14ac:dyDescent="0.25">
      <c r="A299" s="73">
        <v>71105</v>
      </c>
      <c r="B299" s="74" t="s">
        <v>398</v>
      </c>
      <c r="C299" s="68">
        <v>1.8324606999999999</v>
      </c>
      <c r="D299" s="68">
        <v>0.67796610000000002</v>
      </c>
    </row>
    <row r="300" spans="1:4" x14ac:dyDescent="0.25">
      <c r="A300" s="73">
        <v>71106</v>
      </c>
      <c r="B300" s="74" t="s">
        <v>400</v>
      </c>
      <c r="C300" s="68">
        <v>31.6330566</v>
      </c>
      <c r="D300" s="68">
        <v>48.282704899999999</v>
      </c>
    </row>
    <row r="301" spans="1:4" x14ac:dyDescent="0.25">
      <c r="A301" s="73">
        <v>71201</v>
      </c>
      <c r="B301" s="74" t="s">
        <v>402</v>
      </c>
      <c r="C301" s="68">
        <v>23.6391913</v>
      </c>
      <c r="D301" s="68">
        <v>22.1712907</v>
      </c>
    </row>
    <row r="302" spans="1:4" x14ac:dyDescent="0.25">
      <c r="A302" s="73">
        <v>71301</v>
      </c>
      <c r="B302" s="74" t="s">
        <v>404</v>
      </c>
      <c r="C302" s="68">
        <v>57.253718499999998</v>
      </c>
      <c r="D302" s="68">
        <v>64.442127200000002</v>
      </c>
    </row>
    <row r="303" spans="1:4" x14ac:dyDescent="0.25">
      <c r="A303" s="73">
        <v>71302</v>
      </c>
      <c r="B303" s="74" t="s">
        <v>405</v>
      </c>
      <c r="C303" s="68">
        <v>65.171059999999997</v>
      </c>
      <c r="D303" s="68">
        <v>76.721970800000008</v>
      </c>
    </row>
    <row r="304" spans="1:4" x14ac:dyDescent="0.25">
      <c r="A304" s="73">
        <v>71401</v>
      </c>
      <c r="B304" s="74" t="s">
        <v>407</v>
      </c>
      <c r="C304" s="68">
        <v>40.338164300000003</v>
      </c>
      <c r="D304" s="68">
        <v>54.826095899999999</v>
      </c>
    </row>
    <row r="305" spans="1:4" x14ac:dyDescent="0.25">
      <c r="A305" s="73">
        <v>71402</v>
      </c>
      <c r="B305" s="74" t="s">
        <v>408</v>
      </c>
      <c r="C305" s="68">
        <v>82.942540499999993</v>
      </c>
      <c r="D305" s="68">
        <v>88.3932176</v>
      </c>
    </row>
    <row r="306" spans="1:4" x14ac:dyDescent="0.25">
      <c r="A306" s="73">
        <v>71403</v>
      </c>
      <c r="B306" s="74" t="s">
        <v>409</v>
      </c>
      <c r="C306" s="68">
        <v>1.2734585</v>
      </c>
      <c r="D306" s="68">
        <v>11.672831899999998</v>
      </c>
    </row>
    <row r="307" spans="1:4" x14ac:dyDescent="0.25">
      <c r="A307" s="73">
        <v>71501</v>
      </c>
      <c r="B307" s="74" t="s">
        <v>411</v>
      </c>
      <c r="C307" s="68">
        <v>22.1880095</v>
      </c>
      <c r="D307" s="68">
        <v>18.809589899999999</v>
      </c>
    </row>
    <row r="308" spans="1:4" x14ac:dyDescent="0.25">
      <c r="A308" s="73">
        <v>71502</v>
      </c>
      <c r="B308" s="74" t="s">
        <v>412</v>
      </c>
      <c r="C308" s="68">
        <v>26.734348600000001</v>
      </c>
      <c r="D308" s="68">
        <v>6.4024390000000002</v>
      </c>
    </row>
    <row r="309" spans="1:4" x14ac:dyDescent="0.25">
      <c r="A309" s="73">
        <v>71503</v>
      </c>
      <c r="B309" s="74" t="s">
        <v>342</v>
      </c>
      <c r="C309" s="68">
        <v>1.7709033999999999</v>
      </c>
      <c r="D309" s="68">
        <v>3.0678649</v>
      </c>
    </row>
    <row r="310" spans="1:4" x14ac:dyDescent="0.25">
      <c r="A310" s="73">
        <v>80101</v>
      </c>
      <c r="B310" s="74" t="s">
        <v>414</v>
      </c>
      <c r="C310" s="68">
        <v>86.337162300000003</v>
      </c>
      <c r="D310" s="68">
        <v>90.849129300000001</v>
      </c>
    </row>
    <row r="311" spans="1:4" x14ac:dyDescent="0.25">
      <c r="A311" s="73">
        <v>80102</v>
      </c>
      <c r="B311" s="74" t="s">
        <v>396</v>
      </c>
      <c r="C311" s="68">
        <v>0.73170730000000006</v>
      </c>
      <c r="D311" s="68">
        <v>2.6074359999999999</v>
      </c>
    </row>
    <row r="312" spans="1:4" x14ac:dyDescent="0.25">
      <c r="A312" s="73">
        <v>80201</v>
      </c>
      <c r="B312" s="74" t="s">
        <v>416</v>
      </c>
      <c r="C312" s="68">
        <v>77.179906099999997</v>
      </c>
      <c r="D312" s="68">
        <v>71.208366799999993</v>
      </c>
    </row>
    <row r="313" spans="1:4" x14ac:dyDescent="0.25">
      <c r="A313" s="73">
        <v>80202</v>
      </c>
      <c r="B313" s="74" t="s">
        <v>417</v>
      </c>
      <c r="C313" s="68">
        <v>81.5678652</v>
      </c>
      <c r="D313" s="68">
        <v>76.604535900000002</v>
      </c>
    </row>
    <row r="314" spans="1:4" x14ac:dyDescent="0.25">
      <c r="A314" s="73">
        <v>80301</v>
      </c>
      <c r="B314" s="74" t="s">
        <v>419</v>
      </c>
      <c r="C314" s="68">
        <v>32.444294399999997</v>
      </c>
      <c r="D314" s="68">
        <v>48.551360899999999</v>
      </c>
    </row>
    <row r="315" spans="1:4" x14ac:dyDescent="0.25">
      <c r="A315" s="73">
        <v>80302</v>
      </c>
      <c r="B315" s="74" t="s">
        <v>420</v>
      </c>
      <c r="C315" s="68">
        <v>22.1950702</v>
      </c>
      <c r="D315" s="68">
        <v>29.744847200000002</v>
      </c>
    </row>
    <row r="316" spans="1:4" x14ac:dyDescent="0.25">
      <c r="A316" s="73">
        <v>80303</v>
      </c>
      <c r="B316" s="74" t="s">
        <v>368</v>
      </c>
      <c r="C316" s="68">
        <v>42.0546559</v>
      </c>
      <c r="D316" s="68">
        <v>30.707803999999999</v>
      </c>
    </row>
    <row r="317" spans="1:4" x14ac:dyDescent="0.25">
      <c r="A317" s="73">
        <v>80304</v>
      </c>
      <c r="B317" s="74" t="s">
        <v>421</v>
      </c>
      <c r="C317" s="68">
        <v>60.675313899999999</v>
      </c>
      <c r="D317" s="68">
        <v>53.570909100000002</v>
      </c>
    </row>
    <row r="318" spans="1:4" x14ac:dyDescent="0.25">
      <c r="A318" s="73">
        <v>80401</v>
      </c>
      <c r="B318" s="74" t="s">
        <v>423</v>
      </c>
      <c r="C318" s="68">
        <v>42.944606399999998</v>
      </c>
      <c r="D318" s="68">
        <v>65.750873100000007</v>
      </c>
    </row>
    <row r="319" spans="1:4" x14ac:dyDescent="0.25">
      <c r="A319" s="73">
        <v>80402</v>
      </c>
      <c r="B319" s="74" t="s">
        <v>424</v>
      </c>
      <c r="C319" s="68">
        <v>0.74626859999999995</v>
      </c>
      <c r="D319" s="68">
        <v>0.68728519999999993</v>
      </c>
    </row>
    <row r="320" spans="1:4" x14ac:dyDescent="0.25">
      <c r="A320" s="73">
        <v>80501</v>
      </c>
      <c r="B320" s="74" t="s">
        <v>354</v>
      </c>
      <c r="C320" s="68">
        <v>21.323345799999998</v>
      </c>
      <c r="D320" s="68">
        <v>25.728065299999997</v>
      </c>
    </row>
    <row r="321" spans="1:4" x14ac:dyDescent="0.25">
      <c r="A321" s="73">
        <v>80601</v>
      </c>
      <c r="B321" s="74" t="s">
        <v>427</v>
      </c>
      <c r="C321" s="68">
        <v>3.125</v>
      </c>
      <c r="D321" s="68">
        <v>6.2678063000000002</v>
      </c>
    </row>
    <row r="322" spans="1:4" x14ac:dyDescent="0.25">
      <c r="A322" s="73">
        <v>80602</v>
      </c>
      <c r="B322" s="74" t="s">
        <v>428</v>
      </c>
      <c r="C322" s="68">
        <v>2.1695593999999998</v>
      </c>
      <c r="D322" s="68">
        <v>2.7514232000000001</v>
      </c>
    </row>
    <row r="323" spans="1:4" x14ac:dyDescent="0.25">
      <c r="A323" s="73">
        <v>80701</v>
      </c>
      <c r="B323" s="74" t="s">
        <v>430</v>
      </c>
      <c r="C323" s="68">
        <v>23.046251999999999</v>
      </c>
      <c r="D323" s="68">
        <v>65.252525200000008</v>
      </c>
    </row>
    <row r="324" spans="1:4" x14ac:dyDescent="0.25">
      <c r="A324" s="73">
        <v>80702</v>
      </c>
      <c r="B324" s="74" t="s">
        <v>399</v>
      </c>
      <c r="C324" s="68">
        <v>28.965517300000002</v>
      </c>
      <c r="D324" s="68">
        <v>28.4574468</v>
      </c>
    </row>
    <row r="325" spans="1:4" x14ac:dyDescent="0.25">
      <c r="A325" s="73">
        <v>80703</v>
      </c>
      <c r="B325" s="74" t="s">
        <v>431</v>
      </c>
      <c r="C325" s="68">
        <v>0</v>
      </c>
      <c r="D325" s="68">
        <v>0.9836066</v>
      </c>
    </row>
    <row r="326" spans="1:4" x14ac:dyDescent="0.25">
      <c r="A326" s="73">
        <v>80801</v>
      </c>
      <c r="B326" s="74" t="s">
        <v>433</v>
      </c>
      <c r="C326" s="68">
        <v>30.913978499999999</v>
      </c>
      <c r="D326" s="68">
        <v>40.013517999999998</v>
      </c>
    </row>
    <row r="327" spans="1:4" x14ac:dyDescent="0.25">
      <c r="A327" s="73">
        <v>80802</v>
      </c>
      <c r="B327" s="74" t="s">
        <v>434</v>
      </c>
      <c r="C327" s="68">
        <v>1.5486726</v>
      </c>
      <c r="D327" s="68">
        <v>27.955426299999999</v>
      </c>
    </row>
    <row r="328" spans="1:4" x14ac:dyDescent="0.25">
      <c r="A328" s="73">
        <v>80803</v>
      </c>
      <c r="B328" s="74" t="s">
        <v>435</v>
      </c>
      <c r="C328" s="68">
        <v>19.047619000000001</v>
      </c>
      <c r="D328" s="68">
        <v>31.630648299999997</v>
      </c>
    </row>
    <row r="329" spans="1:4" x14ac:dyDescent="0.25">
      <c r="A329" s="73">
        <v>80901</v>
      </c>
      <c r="B329" s="74" t="s">
        <v>437</v>
      </c>
      <c r="C329" s="68">
        <v>0.1584786</v>
      </c>
      <c r="D329" s="68">
        <v>0.2169198</v>
      </c>
    </row>
    <row r="330" spans="1:4" x14ac:dyDescent="0.25">
      <c r="A330" s="73">
        <v>90101</v>
      </c>
      <c r="B330" s="74" t="s">
        <v>440</v>
      </c>
      <c r="C330" s="68">
        <v>85.476267800000002</v>
      </c>
      <c r="D330" s="68">
        <v>87.830891799999989</v>
      </c>
    </row>
    <row r="331" spans="1:4" x14ac:dyDescent="0.25">
      <c r="A331" s="73">
        <v>90102</v>
      </c>
      <c r="B331" s="74" t="s">
        <v>441</v>
      </c>
      <c r="C331" s="68">
        <v>22.960725100000001</v>
      </c>
      <c r="D331" s="68">
        <v>30.8071749</v>
      </c>
    </row>
    <row r="332" spans="1:4" x14ac:dyDescent="0.25">
      <c r="A332" s="73">
        <v>90103</v>
      </c>
      <c r="B332" s="74" t="s">
        <v>442</v>
      </c>
      <c r="C332" s="68">
        <v>0</v>
      </c>
      <c r="D332" s="68">
        <v>1.4962594</v>
      </c>
    </row>
    <row r="333" spans="1:4" x14ac:dyDescent="0.25">
      <c r="A333" s="73">
        <v>90104</v>
      </c>
      <c r="B333" s="74" t="s">
        <v>443</v>
      </c>
      <c r="C333" s="68">
        <v>1.0593219999999999</v>
      </c>
      <c r="D333" s="68">
        <v>17.9757085</v>
      </c>
    </row>
    <row r="334" spans="1:4" x14ac:dyDescent="0.25">
      <c r="A334" s="73">
        <v>90201</v>
      </c>
      <c r="B334" s="74" t="s">
        <v>445</v>
      </c>
      <c r="C334" s="68">
        <v>37.264833599999996</v>
      </c>
      <c r="D334" s="68">
        <v>40.774258400000001</v>
      </c>
    </row>
    <row r="335" spans="1:4" x14ac:dyDescent="0.25">
      <c r="A335" s="73">
        <v>90202</v>
      </c>
      <c r="B335" s="74" t="s">
        <v>292</v>
      </c>
      <c r="C335" s="68">
        <v>3.4369885</v>
      </c>
      <c r="D335" s="68">
        <v>0.65359480000000003</v>
      </c>
    </row>
    <row r="336" spans="1:4" x14ac:dyDescent="0.25">
      <c r="A336" s="73">
        <v>90203</v>
      </c>
      <c r="B336" s="74" t="s">
        <v>446</v>
      </c>
      <c r="C336" s="68">
        <v>1.4716187999999999</v>
      </c>
      <c r="D336" s="68">
        <v>3.5799523</v>
      </c>
    </row>
    <row r="337" spans="1:4" x14ac:dyDescent="0.25">
      <c r="A337" s="73">
        <v>90301</v>
      </c>
      <c r="B337" s="74" t="s">
        <v>448</v>
      </c>
      <c r="C337" s="68">
        <v>0.29239769999999998</v>
      </c>
      <c r="D337" s="68">
        <v>1.6793893</v>
      </c>
    </row>
    <row r="338" spans="1:4" x14ac:dyDescent="0.25">
      <c r="A338" s="73">
        <v>90302</v>
      </c>
      <c r="B338" s="74" t="s">
        <v>341</v>
      </c>
      <c r="C338" s="68">
        <v>1.3412817000000001</v>
      </c>
      <c r="D338" s="68">
        <v>5.9459460000000002</v>
      </c>
    </row>
    <row r="339" spans="1:4" x14ac:dyDescent="0.25">
      <c r="A339" s="73">
        <v>90303</v>
      </c>
      <c r="B339" s="74" t="s">
        <v>449</v>
      </c>
      <c r="C339" s="68">
        <v>2.7828191000000002</v>
      </c>
      <c r="D339" s="68">
        <v>11.860869600000001</v>
      </c>
    </row>
    <row r="340" spans="1:4" x14ac:dyDescent="0.25">
      <c r="A340" s="73">
        <v>90401</v>
      </c>
      <c r="B340" s="74" t="s">
        <v>368</v>
      </c>
      <c r="C340" s="68">
        <v>0.32733220000000002</v>
      </c>
      <c r="D340" s="68">
        <v>0.93023259999999997</v>
      </c>
    </row>
    <row r="341" spans="1:4" x14ac:dyDescent="0.25">
      <c r="A341" s="73">
        <v>90402</v>
      </c>
      <c r="B341" s="74" t="s">
        <v>111</v>
      </c>
      <c r="C341" s="68">
        <v>2.0348837</v>
      </c>
      <c r="D341" s="68">
        <v>5.8551617999999994</v>
      </c>
    </row>
    <row r="342" spans="1:4" x14ac:dyDescent="0.25">
      <c r="A342" s="73">
        <v>90501</v>
      </c>
      <c r="B342" s="74" t="s">
        <v>452</v>
      </c>
      <c r="C342" s="68">
        <v>1.2875537000000001</v>
      </c>
      <c r="D342" s="68">
        <v>0.61349690000000001</v>
      </c>
    </row>
    <row r="343" spans="1:4" x14ac:dyDescent="0.25">
      <c r="A343" s="73">
        <v>90502</v>
      </c>
      <c r="B343" s="74" t="s">
        <v>453</v>
      </c>
      <c r="C343" s="68">
        <v>1.0186757</v>
      </c>
      <c r="D343" s="68">
        <v>1.4124293999999999</v>
      </c>
    </row>
    <row r="344" spans="1:4" x14ac:dyDescent="0.25">
      <c r="A344" s="73">
        <v>90503</v>
      </c>
      <c r="B344" s="74" t="s">
        <v>454</v>
      </c>
      <c r="C344" s="68">
        <v>7.9399142000000005</v>
      </c>
      <c r="D344" s="68">
        <v>1.9966723000000002</v>
      </c>
    </row>
    <row r="345" spans="1:4" x14ac:dyDescent="0.25">
      <c r="A345" s="75"/>
      <c r="B345" s="76"/>
      <c r="C345" s="76"/>
      <c r="D345" s="76"/>
    </row>
    <row r="346" spans="1:4" x14ac:dyDescent="0.25">
      <c r="A346" s="75"/>
      <c r="B346" s="76"/>
      <c r="C346" s="76"/>
      <c r="D346" s="76"/>
    </row>
    <row r="347" spans="1:4" x14ac:dyDescent="0.25">
      <c r="A347" s="75"/>
      <c r="B347" s="76"/>
      <c r="C347" s="76"/>
      <c r="D347" s="76"/>
    </row>
    <row r="348" spans="1:4" x14ac:dyDescent="0.25">
      <c r="A348" s="75"/>
      <c r="B348" s="76"/>
      <c r="C348" s="76"/>
      <c r="D348" s="76"/>
    </row>
    <row r="349" spans="1:4" x14ac:dyDescent="0.25">
      <c r="A349" s="75"/>
      <c r="B349" s="76"/>
      <c r="C349" s="76"/>
      <c r="D349" s="76"/>
    </row>
    <row r="350" spans="1:4" x14ac:dyDescent="0.25">
      <c r="A350" s="75"/>
      <c r="B350" s="76"/>
      <c r="C350" s="76"/>
      <c r="D350" s="76"/>
    </row>
    <row r="351" spans="1:4" x14ac:dyDescent="0.25">
      <c r="A351" s="75"/>
      <c r="B351" s="76"/>
      <c r="C351" s="76"/>
      <c r="D351" s="76"/>
    </row>
    <row r="352" spans="1:4" x14ac:dyDescent="0.25">
      <c r="A352" s="75"/>
      <c r="B352" s="76"/>
      <c r="C352" s="76"/>
      <c r="D352" s="76"/>
    </row>
    <row r="353" spans="1:4" x14ac:dyDescent="0.25">
      <c r="A353" s="75"/>
      <c r="B353" s="76"/>
      <c r="C353" s="76"/>
      <c r="D353" s="76"/>
    </row>
    <row r="354" spans="1:4" x14ac:dyDescent="0.25">
      <c r="A354" s="75"/>
      <c r="B354" s="76"/>
      <c r="C354" s="76"/>
      <c r="D354" s="76"/>
    </row>
    <row r="355" spans="1:4" x14ac:dyDescent="0.25">
      <c r="A355" s="75"/>
      <c r="B355" s="76"/>
      <c r="C355" s="76"/>
      <c r="D355" s="76"/>
    </row>
    <row r="356" spans="1:4" x14ac:dyDescent="0.25">
      <c r="A356" s="75"/>
      <c r="B356" s="76"/>
      <c r="C356" s="76"/>
      <c r="D356" s="76"/>
    </row>
    <row r="357" spans="1:4" x14ac:dyDescent="0.25">
      <c r="A357" s="75"/>
      <c r="B357" s="76"/>
      <c r="C357" s="76"/>
      <c r="D357" s="76"/>
    </row>
    <row r="358" spans="1:4" x14ac:dyDescent="0.25">
      <c r="A358" s="75"/>
      <c r="B358" s="76"/>
      <c r="C358" s="76"/>
      <c r="D358" s="76"/>
    </row>
    <row r="359" spans="1:4" x14ac:dyDescent="0.25">
      <c r="A359" s="75"/>
      <c r="B359" s="76"/>
      <c r="C359" s="76"/>
      <c r="D359" s="76"/>
    </row>
    <row r="360" spans="1:4" x14ac:dyDescent="0.25">
      <c r="A360" s="75"/>
      <c r="B360" s="76"/>
      <c r="C360" s="76"/>
      <c r="D360" s="76"/>
    </row>
    <row r="361" spans="1:4" x14ac:dyDescent="0.25">
      <c r="A361" s="75"/>
      <c r="B361" s="76"/>
      <c r="C361" s="76"/>
      <c r="D361" s="76"/>
    </row>
    <row r="362" spans="1:4" x14ac:dyDescent="0.25">
      <c r="A362" s="75"/>
      <c r="B362" s="76"/>
      <c r="C362" s="76"/>
      <c r="D362" s="76"/>
    </row>
    <row r="363" spans="1:4" x14ac:dyDescent="0.25">
      <c r="A363" s="75"/>
      <c r="B363" s="76"/>
      <c r="C363" s="76"/>
      <c r="D363" s="76"/>
    </row>
    <row r="364" spans="1:4" x14ac:dyDescent="0.25">
      <c r="A364" s="75"/>
      <c r="B364" s="76"/>
      <c r="C364" s="76"/>
      <c r="D364" s="76"/>
    </row>
    <row r="365" spans="1:4" x14ac:dyDescent="0.25">
      <c r="A365" s="75"/>
      <c r="B365" s="76"/>
      <c r="C365" s="76"/>
      <c r="D365" s="76"/>
    </row>
    <row r="366" spans="1:4" x14ac:dyDescent="0.25">
      <c r="A366" s="75"/>
      <c r="B366" s="76"/>
      <c r="C366" s="76"/>
      <c r="D366" s="76"/>
    </row>
    <row r="367" spans="1:4" x14ac:dyDescent="0.25">
      <c r="A367" s="75"/>
      <c r="B367" s="76"/>
      <c r="C367" s="76"/>
      <c r="D367" s="76"/>
    </row>
    <row r="368" spans="1:4" x14ac:dyDescent="0.25">
      <c r="A368" s="75"/>
      <c r="B368" s="76"/>
      <c r="C368" s="76"/>
      <c r="D368" s="76"/>
    </row>
    <row r="369" spans="1:4" x14ac:dyDescent="0.25">
      <c r="A369" s="75"/>
      <c r="B369" s="76"/>
      <c r="C369" s="76"/>
      <c r="D369" s="76"/>
    </row>
    <row r="370" spans="1:4" x14ac:dyDescent="0.25">
      <c r="A370" s="75"/>
      <c r="B370" s="76"/>
      <c r="C370" s="76"/>
      <c r="D370" s="76"/>
    </row>
    <row r="371" spans="1:4" x14ac:dyDescent="0.25">
      <c r="A371" s="75"/>
      <c r="B371" s="76"/>
      <c r="C371" s="76"/>
      <c r="D371" s="76"/>
    </row>
    <row r="372" spans="1:4" x14ac:dyDescent="0.25">
      <c r="A372" s="75"/>
      <c r="B372" s="76"/>
      <c r="C372" s="76"/>
      <c r="D372" s="76"/>
    </row>
    <row r="373" spans="1:4" x14ac:dyDescent="0.25">
      <c r="A373" s="75"/>
      <c r="B373" s="76"/>
      <c r="C373" s="76"/>
      <c r="D373" s="76"/>
    </row>
    <row r="374" spans="1:4" x14ac:dyDescent="0.25">
      <c r="A374" s="75"/>
      <c r="B374" s="76"/>
      <c r="C374" s="76"/>
      <c r="D374" s="76"/>
    </row>
    <row r="375" spans="1:4" x14ac:dyDescent="0.25">
      <c r="A375" s="75"/>
      <c r="B375" s="76"/>
      <c r="C375" s="76"/>
      <c r="D375" s="76"/>
    </row>
    <row r="376" spans="1:4" x14ac:dyDescent="0.25">
      <c r="A376" s="75"/>
      <c r="B376" s="76"/>
      <c r="C376" s="76"/>
      <c r="D376" s="76"/>
    </row>
    <row r="377" spans="1:4" x14ac:dyDescent="0.25">
      <c r="A377" s="75"/>
      <c r="B377" s="76"/>
      <c r="C377" s="76"/>
      <c r="D377" s="76"/>
    </row>
    <row r="378" spans="1:4" x14ac:dyDescent="0.25">
      <c r="A378" s="75"/>
      <c r="B378" s="76"/>
      <c r="C378" s="76"/>
      <c r="D378" s="76"/>
    </row>
    <row r="379" spans="1:4" x14ac:dyDescent="0.25">
      <c r="A379" s="75"/>
      <c r="B379" s="76"/>
      <c r="C379" s="76"/>
      <c r="D379" s="76"/>
    </row>
    <row r="380" spans="1:4" x14ac:dyDescent="0.25">
      <c r="A380" s="75"/>
      <c r="B380" s="76"/>
      <c r="C380" s="76"/>
      <c r="D380" s="76"/>
    </row>
    <row r="381" spans="1:4" x14ac:dyDescent="0.25">
      <c r="A381" s="75"/>
      <c r="B381" s="76"/>
      <c r="C381" s="76"/>
      <c r="D381" s="76"/>
    </row>
    <row r="382" spans="1:4" x14ac:dyDescent="0.25">
      <c r="A382" s="75"/>
      <c r="B382" s="76"/>
      <c r="C382" s="76"/>
      <c r="D382" s="76"/>
    </row>
    <row r="383" spans="1:4" x14ac:dyDescent="0.25">
      <c r="A383" s="75"/>
      <c r="B383" s="76"/>
      <c r="C383" s="76"/>
      <c r="D383" s="76"/>
    </row>
    <row r="384" spans="1:4" x14ac:dyDescent="0.25">
      <c r="A384" s="75"/>
      <c r="B384" s="76"/>
      <c r="C384" s="76"/>
      <c r="D384" s="76"/>
    </row>
    <row r="385" spans="1:4" x14ac:dyDescent="0.25">
      <c r="A385" s="75"/>
      <c r="B385" s="76"/>
      <c r="C385" s="76"/>
      <c r="D385" s="76"/>
    </row>
    <row r="386" spans="1:4" x14ac:dyDescent="0.25">
      <c r="A386" s="75"/>
      <c r="B386" s="76"/>
      <c r="C386" s="76"/>
      <c r="D386" s="76"/>
    </row>
    <row r="387" spans="1:4" x14ac:dyDescent="0.25">
      <c r="A387" s="75"/>
      <c r="B387" s="76"/>
      <c r="C387" s="76"/>
      <c r="D387" s="76"/>
    </row>
    <row r="388" spans="1:4" x14ac:dyDescent="0.25">
      <c r="A388" s="75"/>
      <c r="B388" s="76"/>
      <c r="C388" s="76"/>
      <c r="D388" s="76"/>
    </row>
    <row r="389" spans="1:4" x14ac:dyDescent="0.25">
      <c r="A389" s="75"/>
      <c r="B389" s="76"/>
      <c r="C389" s="76"/>
      <c r="D389" s="76"/>
    </row>
    <row r="390" spans="1:4" x14ac:dyDescent="0.25">
      <c r="A390" s="75"/>
      <c r="B390" s="76"/>
      <c r="C390" s="76"/>
      <c r="D390" s="76"/>
    </row>
    <row r="391" spans="1:4" x14ac:dyDescent="0.25">
      <c r="A391" s="75"/>
      <c r="B391" s="76"/>
      <c r="C391" s="76"/>
      <c r="D391" s="76"/>
    </row>
    <row r="392" spans="1:4" x14ac:dyDescent="0.25">
      <c r="A392" s="75"/>
      <c r="B392" s="76"/>
      <c r="C392" s="76"/>
      <c r="D392" s="76"/>
    </row>
    <row r="393" spans="1:4" x14ac:dyDescent="0.25">
      <c r="A393" s="75"/>
      <c r="B393" s="76"/>
      <c r="C393" s="76"/>
      <c r="D393" s="76"/>
    </row>
    <row r="394" spans="1:4" x14ac:dyDescent="0.25">
      <c r="A394" s="75"/>
      <c r="B394" s="76"/>
      <c r="C394" s="76"/>
      <c r="D394" s="76"/>
    </row>
    <row r="395" spans="1:4" x14ac:dyDescent="0.25">
      <c r="A395" s="75"/>
      <c r="B395" s="76"/>
      <c r="C395" s="76"/>
      <c r="D395" s="76"/>
    </row>
    <row r="396" spans="1:4" x14ac:dyDescent="0.25">
      <c r="A396" s="75"/>
      <c r="B396" s="76"/>
      <c r="C396" s="76"/>
      <c r="D396" s="76"/>
    </row>
    <row r="397" spans="1:4" x14ac:dyDescent="0.25">
      <c r="A397" s="75"/>
      <c r="B397" s="76"/>
      <c r="C397" s="76"/>
      <c r="D397" s="76"/>
    </row>
    <row r="398" spans="1:4" x14ac:dyDescent="0.25">
      <c r="A398" s="75"/>
      <c r="B398" s="76"/>
      <c r="C398" s="76"/>
      <c r="D398" s="76"/>
    </row>
    <row r="399" spans="1:4" x14ac:dyDescent="0.25">
      <c r="A399" s="75"/>
      <c r="B399" s="76"/>
      <c r="C399" s="76"/>
      <c r="D399" s="76"/>
    </row>
    <row r="400" spans="1:4" x14ac:dyDescent="0.25">
      <c r="A400" s="75"/>
      <c r="B400" s="76"/>
      <c r="C400" s="76"/>
      <c r="D400" s="76"/>
    </row>
    <row r="401" spans="1:4" x14ac:dyDescent="0.25">
      <c r="A401" s="75"/>
      <c r="B401" s="76"/>
      <c r="C401" s="76"/>
      <c r="D401" s="76"/>
    </row>
    <row r="402" spans="1:4" x14ac:dyDescent="0.25">
      <c r="A402" s="75"/>
      <c r="B402" s="76"/>
      <c r="C402" s="76"/>
      <c r="D402" s="76"/>
    </row>
    <row r="403" spans="1:4" x14ac:dyDescent="0.25">
      <c r="A403" s="75"/>
      <c r="B403" s="76"/>
      <c r="C403" s="76"/>
      <c r="D403" s="76"/>
    </row>
    <row r="404" spans="1:4" x14ac:dyDescent="0.25">
      <c r="A404" s="75"/>
      <c r="B404" s="76"/>
      <c r="C404" s="76"/>
      <c r="D404" s="76"/>
    </row>
    <row r="405" spans="1:4" x14ac:dyDescent="0.25">
      <c r="A405" s="75"/>
      <c r="B405" s="76"/>
      <c r="C405" s="76"/>
      <c r="D405" s="76"/>
    </row>
    <row r="406" spans="1:4" x14ac:dyDescent="0.25">
      <c r="A406" s="75"/>
      <c r="B406" s="76"/>
      <c r="C406" s="76"/>
      <c r="D406" s="76"/>
    </row>
    <row r="407" spans="1:4" x14ac:dyDescent="0.25">
      <c r="A407" s="75"/>
      <c r="B407" s="76"/>
      <c r="C407" s="76"/>
      <c r="D407" s="76"/>
    </row>
    <row r="408" spans="1:4" x14ac:dyDescent="0.25">
      <c r="A408" s="75"/>
      <c r="B408" s="76"/>
      <c r="C408" s="76"/>
      <c r="D408" s="76"/>
    </row>
    <row r="409" spans="1:4" x14ac:dyDescent="0.25">
      <c r="A409" s="75"/>
      <c r="B409" s="76"/>
      <c r="C409" s="76"/>
      <c r="D409" s="76"/>
    </row>
    <row r="410" spans="1:4" x14ac:dyDescent="0.25">
      <c r="A410" s="75"/>
      <c r="B410" s="76"/>
      <c r="C410" s="76"/>
      <c r="D410" s="76"/>
    </row>
    <row r="411" spans="1:4" x14ac:dyDescent="0.25">
      <c r="A411" s="75"/>
      <c r="B411" s="76"/>
      <c r="C411" s="76"/>
      <c r="D411" s="76"/>
    </row>
    <row r="412" spans="1:4" x14ac:dyDescent="0.25">
      <c r="A412" s="75"/>
      <c r="B412" s="76"/>
      <c r="C412" s="76"/>
      <c r="D412" s="76"/>
    </row>
    <row r="413" spans="1:4" x14ac:dyDescent="0.25">
      <c r="A413" s="75"/>
      <c r="B413" s="76"/>
      <c r="C413" s="76"/>
      <c r="D413" s="76"/>
    </row>
    <row r="414" spans="1:4" x14ac:dyDescent="0.25">
      <c r="A414" s="75"/>
      <c r="B414" s="76"/>
      <c r="C414" s="76"/>
      <c r="D414" s="76"/>
    </row>
    <row r="415" spans="1:4" x14ac:dyDescent="0.25">
      <c r="A415" s="75"/>
      <c r="B415" s="76"/>
      <c r="C415" s="76"/>
      <c r="D415" s="76"/>
    </row>
    <row r="416" spans="1:4" x14ac:dyDescent="0.25">
      <c r="A416" s="75"/>
      <c r="B416" s="76"/>
      <c r="C416" s="76"/>
      <c r="D416" s="76"/>
    </row>
    <row r="417" spans="1:4" x14ac:dyDescent="0.25">
      <c r="A417" s="75"/>
      <c r="B417" s="76"/>
      <c r="C417" s="76"/>
      <c r="D417" s="76"/>
    </row>
    <row r="418" spans="1:4" x14ac:dyDescent="0.25">
      <c r="A418" s="75"/>
      <c r="B418" s="76"/>
      <c r="C418" s="76"/>
      <c r="D418" s="76"/>
    </row>
    <row r="419" spans="1:4" x14ac:dyDescent="0.25">
      <c r="A419" s="75"/>
      <c r="B419" s="76"/>
      <c r="C419" s="76"/>
      <c r="D419" s="76"/>
    </row>
    <row r="420" spans="1:4" x14ac:dyDescent="0.25">
      <c r="A420" s="75"/>
      <c r="B420" s="76"/>
      <c r="C420" s="76"/>
      <c r="D420" s="76"/>
    </row>
    <row r="421" spans="1:4" x14ac:dyDescent="0.25">
      <c r="A421" s="75"/>
      <c r="B421" s="76"/>
      <c r="C421" s="76"/>
      <c r="D421" s="76"/>
    </row>
    <row r="422" spans="1:4" x14ac:dyDescent="0.25">
      <c r="A422" s="75"/>
      <c r="B422" s="76"/>
      <c r="C422" s="76"/>
      <c r="D422" s="76"/>
    </row>
    <row r="423" spans="1:4" x14ac:dyDescent="0.25">
      <c r="A423" s="75"/>
      <c r="B423" s="76"/>
      <c r="C423" s="76"/>
      <c r="D423" s="76"/>
    </row>
    <row r="424" spans="1:4" x14ac:dyDescent="0.25">
      <c r="A424" s="75"/>
      <c r="B424" s="76"/>
      <c r="C424" s="76"/>
      <c r="D424" s="76"/>
    </row>
    <row r="425" spans="1:4" x14ac:dyDescent="0.25">
      <c r="A425" s="75"/>
      <c r="B425" s="76"/>
      <c r="C425" s="76"/>
      <c r="D425" s="76"/>
    </row>
    <row r="426" spans="1:4" x14ac:dyDescent="0.25">
      <c r="A426" s="75"/>
      <c r="B426" s="76"/>
      <c r="C426" s="76"/>
      <c r="D426" s="76"/>
    </row>
    <row r="427" spans="1:4" x14ac:dyDescent="0.25">
      <c r="A427" s="75"/>
      <c r="B427" s="76"/>
      <c r="C427" s="76"/>
      <c r="D427" s="76"/>
    </row>
    <row r="428" spans="1:4" x14ac:dyDescent="0.25">
      <c r="A428" s="75"/>
      <c r="B428" s="76"/>
      <c r="C428" s="76"/>
      <c r="D428" s="76"/>
    </row>
    <row r="429" spans="1:4" x14ac:dyDescent="0.25">
      <c r="A429" s="75"/>
      <c r="B429" s="76"/>
      <c r="C429" s="76"/>
      <c r="D429" s="76"/>
    </row>
    <row r="430" spans="1:4" x14ac:dyDescent="0.25">
      <c r="A430" s="75"/>
      <c r="B430" s="76"/>
      <c r="C430" s="76"/>
      <c r="D430" s="76"/>
    </row>
    <row r="431" spans="1:4" x14ac:dyDescent="0.25">
      <c r="A431" s="75"/>
      <c r="B431" s="76"/>
      <c r="C431" s="76"/>
      <c r="D431" s="76"/>
    </row>
    <row r="432" spans="1:4" x14ac:dyDescent="0.25">
      <c r="A432" s="75"/>
      <c r="B432" s="76"/>
      <c r="C432" s="76"/>
      <c r="D432" s="76"/>
    </row>
    <row r="433" spans="1:4" x14ac:dyDescent="0.25">
      <c r="A433" s="75"/>
      <c r="B433" s="76"/>
      <c r="C433" s="76"/>
      <c r="D433" s="76"/>
    </row>
    <row r="434" spans="1:4" x14ac:dyDescent="0.25">
      <c r="A434" s="75"/>
      <c r="B434" s="76"/>
      <c r="C434" s="76"/>
      <c r="D434" s="76"/>
    </row>
    <row r="435" spans="1:4" x14ac:dyDescent="0.25">
      <c r="A435" s="75"/>
      <c r="B435" s="76"/>
      <c r="C435" s="76"/>
      <c r="D435" s="76"/>
    </row>
    <row r="436" spans="1:4" x14ac:dyDescent="0.25">
      <c r="A436" s="75"/>
      <c r="B436" s="76"/>
      <c r="C436" s="76"/>
      <c r="D436" s="76"/>
    </row>
    <row r="437" spans="1:4" x14ac:dyDescent="0.25">
      <c r="A437" s="75"/>
      <c r="B437" s="76"/>
      <c r="C437" s="76"/>
      <c r="D437" s="76"/>
    </row>
    <row r="438" spans="1:4" x14ac:dyDescent="0.25">
      <c r="A438" s="75"/>
      <c r="B438" s="76"/>
      <c r="C438" s="76"/>
      <c r="D438" s="76"/>
    </row>
    <row r="439" spans="1:4" x14ac:dyDescent="0.25">
      <c r="A439" s="75"/>
      <c r="B439" s="76"/>
      <c r="C439" s="76"/>
      <c r="D439" s="76"/>
    </row>
    <row r="440" spans="1:4" x14ac:dyDescent="0.25">
      <c r="A440" s="75"/>
      <c r="B440" s="76"/>
      <c r="C440" s="76"/>
      <c r="D440" s="76"/>
    </row>
    <row r="441" spans="1:4" x14ac:dyDescent="0.25">
      <c r="A441" s="75"/>
      <c r="B441" s="76"/>
      <c r="C441" s="76"/>
      <c r="D441" s="76"/>
    </row>
    <row r="442" spans="1:4" x14ac:dyDescent="0.25">
      <c r="A442" s="75"/>
      <c r="B442" s="76"/>
      <c r="C442" s="76"/>
      <c r="D442" s="76"/>
    </row>
    <row r="443" spans="1:4" x14ac:dyDescent="0.25">
      <c r="A443" s="75"/>
      <c r="B443" s="76"/>
      <c r="C443" s="76"/>
      <c r="D443" s="76"/>
    </row>
    <row r="444" spans="1:4" x14ac:dyDescent="0.25">
      <c r="A444" s="75"/>
      <c r="B444" s="76"/>
      <c r="C444" s="76"/>
      <c r="D444" s="76"/>
    </row>
    <row r="445" spans="1:4" x14ac:dyDescent="0.25">
      <c r="A445" s="75"/>
      <c r="B445" s="76"/>
      <c r="C445" s="76"/>
      <c r="D445" s="76"/>
    </row>
    <row r="446" spans="1:4" x14ac:dyDescent="0.25">
      <c r="A446" s="75"/>
      <c r="B446" s="76"/>
      <c r="C446" s="76"/>
      <c r="D446" s="76"/>
    </row>
    <row r="447" spans="1:4" x14ac:dyDescent="0.25">
      <c r="A447" s="75"/>
      <c r="B447" s="76"/>
      <c r="C447" s="76"/>
      <c r="D447" s="76"/>
    </row>
    <row r="448" spans="1:4" x14ac:dyDescent="0.25">
      <c r="A448" s="75"/>
      <c r="B448" s="76"/>
      <c r="C448" s="76"/>
      <c r="D448" s="76"/>
    </row>
    <row r="449" spans="1:4" x14ac:dyDescent="0.25">
      <c r="A449" s="75"/>
      <c r="B449" s="76"/>
      <c r="C449" s="76"/>
      <c r="D449" s="76"/>
    </row>
    <row r="450" spans="1:4" x14ac:dyDescent="0.25">
      <c r="A450" s="75"/>
      <c r="B450" s="76"/>
      <c r="C450" s="76"/>
      <c r="D450" s="76"/>
    </row>
    <row r="451" spans="1:4" x14ac:dyDescent="0.25">
      <c r="A451" s="75"/>
      <c r="B451" s="76"/>
      <c r="C451" s="76"/>
      <c r="D451" s="76"/>
    </row>
    <row r="452" spans="1:4" x14ac:dyDescent="0.25">
      <c r="A452" s="75"/>
      <c r="B452" s="76"/>
      <c r="C452" s="76"/>
      <c r="D452" s="76"/>
    </row>
    <row r="453" spans="1:4" x14ac:dyDescent="0.25">
      <c r="A453" s="75"/>
      <c r="B453" s="76"/>
      <c r="C453" s="76"/>
      <c r="D453" s="76"/>
    </row>
    <row r="454" spans="1:4" x14ac:dyDescent="0.25">
      <c r="A454" s="75"/>
      <c r="B454" s="76"/>
      <c r="C454" s="76"/>
      <c r="D454" s="76"/>
    </row>
    <row r="455" spans="1:4" x14ac:dyDescent="0.25">
      <c r="A455" s="75"/>
      <c r="B455" s="76"/>
      <c r="C455" s="76"/>
      <c r="D455" s="76"/>
    </row>
    <row r="456" spans="1:4" x14ac:dyDescent="0.25">
      <c r="A456" s="75"/>
      <c r="B456" s="76"/>
      <c r="C456" s="76"/>
      <c r="D456" s="76"/>
    </row>
    <row r="457" spans="1:4" x14ac:dyDescent="0.25">
      <c r="A457" s="75"/>
      <c r="B457" s="76"/>
      <c r="C457" s="76"/>
      <c r="D457" s="76"/>
    </row>
    <row r="458" spans="1:4" x14ac:dyDescent="0.25">
      <c r="A458" s="75"/>
      <c r="B458" s="76"/>
      <c r="C458" s="76"/>
      <c r="D458" s="76"/>
    </row>
    <row r="459" spans="1:4" x14ac:dyDescent="0.25">
      <c r="A459" s="75"/>
      <c r="B459" s="76"/>
      <c r="C459" s="76"/>
      <c r="D459" s="76"/>
    </row>
    <row r="460" spans="1:4" x14ac:dyDescent="0.25">
      <c r="A460" s="75"/>
      <c r="B460" s="76"/>
      <c r="C460" s="76"/>
      <c r="D460" s="76"/>
    </row>
    <row r="461" spans="1:4" x14ac:dyDescent="0.25">
      <c r="A461" s="75"/>
      <c r="B461" s="76"/>
      <c r="C461" s="76"/>
      <c r="D461" s="76"/>
    </row>
    <row r="462" spans="1:4" x14ac:dyDescent="0.25">
      <c r="A462" s="75"/>
      <c r="B462" s="76"/>
      <c r="C462" s="76"/>
      <c r="D462" s="76"/>
    </row>
    <row r="463" spans="1:4" x14ac:dyDescent="0.25">
      <c r="A463" s="75"/>
      <c r="B463" s="76"/>
      <c r="C463" s="76"/>
      <c r="D463" s="76"/>
    </row>
    <row r="464" spans="1:4" x14ac:dyDescent="0.25">
      <c r="A464" s="75"/>
      <c r="B464" s="76"/>
      <c r="C464" s="76"/>
      <c r="D464" s="76"/>
    </row>
    <row r="465" spans="1:4" x14ac:dyDescent="0.25">
      <c r="A465" s="75"/>
      <c r="B465" s="76"/>
      <c r="C465" s="76"/>
      <c r="D465" s="76"/>
    </row>
    <row r="466" spans="1:4" x14ac:dyDescent="0.25">
      <c r="A466" s="75"/>
      <c r="B466" s="76"/>
      <c r="C466" s="76"/>
      <c r="D466" s="76"/>
    </row>
    <row r="467" spans="1:4" x14ac:dyDescent="0.25">
      <c r="A467" s="75"/>
      <c r="B467" s="76"/>
      <c r="C467" s="76"/>
      <c r="D467" s="76"/>
    </row>
    <row r="468" spans="1:4" x14ac:dyDescent="0.25">
      <c r="A468" s="75"/>
      <c r="B468" s="76"/>
      <c r="C468" s="76"/>
      <c r="D468" s="76"/>
    </row>
    <row r="469" spans="1:4" x14ac:dyDescent="0.25">
      <c r="A469" s="75"/>
      <c r="B469" s="76"/>
      <c r="C469" s="76"/>
      <c r="D469" s="76"/>
    </row>
    <row r="470" spans="1:4" x14ac:dyDescent="0.25">
      <c r="A470" s="75"/>
      <c r="B470" s="76"/>
      <c r="C470" s="76"/>
      <c r="D470" s="76"/>
    </row>
    <row r="471" spans="1:4" x14ac:dyDescent="0.25">
      <c r="A471" s="75"/>
      <c r="B471" s="76"/>
      <c r="C471" s="76"/>
      <c r="D471" s="76"/>
    </row>
    <row r="472" spans="1:4" x14ac:dyDescent="0.25">
      <c r="A472" s="75"/>
      <c r="B472" s="76"/>
      <c r="C472" s="76"/>
      <c r="D472" s="76"/>
    </row>
    <row r="473" spans="1:4" x14ac:dyDescent="0.25">
      <c r="A473" s="75"/>
      <c r="B473" s="76"/>
      <c r="C473" s="76"/>
      <c r="D473" s="76"/>
    </row>
    <row r="474" spans="1:4" x14ac:dyDescent="0.25">
      <c r="A474" s="75"/>
      <c r="B474" s="76"/>
      <c r="C474" s="76"/>
      <c r="D474" s="76"/>
    </row>
    <row r="475" spans="1:4" x14ac:dyDescent="0.25">
      <c r="A475" s="75"/>
      <c r="B475" s="76"/>
      <c r="C475" s="76"/>
      <c r="D475" s="76"/>
    </row>
    <row r="476" spans="1:4" x14ac:dyDescent="0.25">
      <c r="A476" s="75"/>
      <c r="B476" s="76"/>
      <c r="C476" s="76"/>
      <c r="D476" s="76"/>
    </row>
    <row r="477" spans="1:4" x14ac:dyDescent="0.25">
      <c r="A477" s="75"/>
      <c r="B477" s="76"/>
      <c r="C477" s="76"/>
      <c r="D477" s="76"/>
    </row>
    <row r="478" spans="1:4" x14ac:dyDescent="0.25">
      <c r="A478" s="75"/>
      <c r="B478" s="76"/>
      <c r="C478" s="76"/>
      <c r="D478" s="76"/>
    </row>
    <row r="479" spans="1:4" x14ac:dyDescent="0.25">
      <c r="A479" s="75"/>
      <c r="B479" s="76"/>
      <c r="C479" s="76"/>
      <c r="D479" s="76"/>
    </row>
    <row r="480" spans="1:4" x14ac:dyDescent="0.25">
      <c r="A480" s="75"/>
      <c r="B480" s="76"/>
      <c r="C480" s="76"/>
      <c r="D480" s="76"/>
    </row>
    <row r="481" spans="1:4" x14ac:dyDescent="0.25">
      <c r="A481" s="75"/>
      <c r="B481" s="76"/>
      <c r="C481" s="76"/>
      <c r="D481" s="76"/>
    </row>
    <row r="482" spans="1:4" x14ac:dyDescent="0.25">
      <c r="A482" s="75"/>
      <c r="B482" s="76"/>
      <c r="C482" s="76"/>
      <c r="D482" s="76"/>
    </row>
    <row r="483" spans="1:4" x14ac:dyDescent="0.25">
      <c r="A483" s="75"/>
      <c r="B483" s="76"/>
      <c r="C483" s="76"/>
      <c r="D483" s="76"/>
    </row>
    <row r="484" spans="1:4" x14ac:dyDescent="0.25">
      <c r="A484" s="75"/>
      <c r="B484" s="76"/>
      <c r="C484" s="76"/>
      <c r="D484" s="76"/>
    </row>
    <row r="485" spans="1:4" x14ac:dyDescent="0.25">
      <c r="A485" s="75"/>
      <c r="B485" s="76"/>
      <c r="C485" s="76"/>
      <c r="D485" s="76"/>
    </row>
    <row r="486" spans="1:4" x14ac:dyDescent="0.25">
      <c r="A486" s="75"/>
      <c r="B486" s="76"/>
      <c r="C486" s="76"/>
      <c r="D486" s="76"/>
    </row>
    <row r="487" spans="1:4" x14ac:dyDescent="0.25">
      <c r="A487" s="75"/>
      <c r="B487" s="76"/>
      <c r="C487" s="76"/>
      <c r="D487" s="76"/>
    </row>
    <row r="488" spans="1:4" x14ac:dyDescent="0.25">
      <c r="A488" s="75"/>
      <c r="B488" s="76"/>
      <c r="C488" s="76"/>
      <c r="D488" s="76"/>
    </row>
    <row r="489" spans="1:4" x14ac:dyDescent="0.25">
      <c r="A489" s="75"/>
      <c r="B489" s="76"/>
      <c r="C489" s="76"/>
      <c r="D489" s="76"/>
    </row>
    <row r="490" spans="1:4" x14ac:dyDescent="0.25">
      <c r="A490" s="75"/>
      <c r="B490" s="76"/>
      <c r="C490" s="76"/>
      <c r="D490" s="76"/>
    </row>
    <row r="491" spans="1:4" x14ac:dyDescent="0.25">
      <c r="A491" s="75"/>
      <c r="B491" s="76"/>
      <c r="C491" s="76"/>
      <c r="D491" s="76"/>
    </row>
    <row r="492" spans="1:4" x14ac:dyDescent="0.25">
      <c r="A492" s="75"/>
      <c r="B492" s="76"/>
      <c r="C492" s="76"/>
      <c r="D492" s="76"/>
    </row>
    <row r="493" spans="1:4" x14ac:dyDescent="0.25">
      <c r="A493" s="75"/>
      <c r="B493" s="76"/>
      <c r="C493" s="76"/>
      <c r="D493" s="76"/>
    </row>
    <row r="494" spans="1:4" x14ac:dyDescent="0.25">
      <c r="A494" s="75"/>
      <c r="B494" s="76"/>
      <c r="C494" s="76"/>
      <c r="D494" s="76"/>
    </row>
    <row r="495" spans="1:4" x14ac:dyDescent="0.25">
      <c r="A495" s="75"/>
      <c r="B495" s="76"/>
      <c r="C495" s="76"/>
      <c r="D495" s="76"/>
    </row>
    <row r="496" spans="1:4" x14ac:dyDescent="0.25">
      <c r="A496" s="75"/>
      <c r="B496" s="76"/>
      <c r="C496" s="76"/>
      <c r="D496" s="76"/>
    </row>
    <row r="497" spans="1:4" x14ac:dyDescent="0.25">
      <c r="A497" s="75"/>
      <c r="B497" s="76"/>
      <c r="C497" s="76"/>
      <c r="D497" s="76"/>
    </row>
    <row r="498" spans="1:4" x14ac:dyDescent="0.25">
      <c r="A498" s="75"/>
      <c r="B498" s="76"/>
      <c r="C498" s="76"/>
      <c r="D498" s="76"/>
    </row>
    <row r="499" spans="1:4" x14ac:dyDescent="0.25">
      <c r="A499" s="75"/>
      <c r="B499" s="76"/>
      <c r="C499" s="76"/>
      <c r="D499" s="76"/>
    </row>
    <row r="500" spans="1:4" x14ac:dyDescent="0.25">
      <c r="A500" s="75"/>
      <c r="B500" s="76"/>
      <c r="C500" s="76"/>
      <c r="D500" s="76"/>
    </row>
    <row r="501" spans="1:4" x14ac:dyDescent="0.25">
      <c r="A501" s="75"/>
      <c r="B501" s="76"/>
      <c r="C501" s="76"/>
      <c r="D501" s="76"/>
    </row>
    <row r="502" spans="1:4" x14ac:dyDescent="0.25">
      <c r="A502" s="75"/>
      <c r="B502" s="76"/>
      <c r="C502" s="76"/>
      <c r="D502" s="76"/>
    </row>
    <row r="503" spans="1:4" x14ac:dyDescent="0.25">
      <c r="A503" s="75"/>
      <c r="B503" s="76"/>
      <c r="C503" s="76"/>
      <c r="D503" s="76"/>
    </row>
    <row r="504" spans="1:4" x14ac:dyDescent="0.25">
      <c r="A504" s="75"/>
      <c r="B504" s="76"/>
      <c r="C504" s="76"/>
      <c r="D504" s="76"/>
    </row>
    <row r="505" spans="1:4" x14ac:dyDescent="0.25">
      <c r="A505" s="75"/>
      <c r="B505" s="76"/>
      <c r="C505" s="76"/>
      <c r="D505" s="76"/>
    </row>
    <row r="506" spans="1:4" x14ac:dyDescent="0.25">
      <c r="A506" s="75"/>
      <c r="B506" s="76"/>
      <c r="C506" s="76"/>
      <c r="D506" s="76"/>
    </row>
    <row r="507" spans="1:4" x14ac:dyDescent="0.25">
      <c r="A507" s="75"/>
      <c r="B507" s="76"/>
      <c r="C507" s="76"/>
      <c r="D507" s="76"/>
    </row>
    <row r="508" spans="1:4" x14ac:dyDescent="0.25">
      <c r="A508" s="75"/>
      <c r="B508" s="76"/>
      <c r="C508" s="76"/>
      <c r="D508" s="76"/>
    </row>
    <row r="509" spans="1:4" x14ac:dyDescent="0.25">
      <c r="A509" s="75"/>
      <c r="B509" s="76"/>
      <c r="C509" s="76"/>
      <c r="D509" s="76"/>
    </row>
    <row r="510" spans="1:4" x14ac:dyDescent="0.25">
      <c r="A510" s="75"/>
      <c r="B510" s="76"/>
      <c r="C510" s="76"/>
      <c r="D510" s="76"/>
    </row>
    <row r="511" spans="1:4" x14ac:dyDescent="0.25">
      <c r="A511" s="75"/>
      <c r="B511" s="76"/>
      <c r="C511" s="76"/>
      <c r="D511" s="76"/>
    </row>
    <row r="512" spans="1:4" x14ac:dyDescent="0.25">
      <c r="A512" s="75"/>
      <c r="B512" s="76"/>
      <c r="C512" s="76"/>
      <c r="D512" s="76"/>
    </row>
    <row r="513" spans="1:4" x14ac:dyDescent="0.25">
      <c r="A513" s="75"/>
      <c r="B513" s="76"/>
      <c r="C513" s="76"/>
      <c r="D513" s="76"/>
    </row>
    <row r="514" spans="1:4" x14ac:dyDescent="0.25">
      <c r="A514" s="75"/>
      <c r="B514" s="76"/>
      <c r="C514" s="76"/>
      <c r="D514" s="76"/>
    </row>
    <row r="515" spans="1:4" x14ac:dyDescent="0.25">
      <c r="A515" s="75"/>
      <c r="B515" s="76"/>
      <c r="C515" s="76"/>
      <c r="D515" s="76"/>
    </row>
    <row r="516" spans="1:4" x14ac:dyDescent="0.25">
      <c r="A516" s="75"/>
      <c r="B516" s="76"/>
      <c r="C516" s="76"/>
      <c r="D516" s="76"/>
    </row>
    <row r="517" spans="1:4" x14ac:dyDescent="0.25">
      <c r="A517" s="75"/>
      <c r="B517" s="76"/>
      <c r="C517" s="76"/>
      <c r="D517" s="76"/>
    </row>
    <row r="518" spans="1:4" x14ac:dyDescent="0.25">
      <c r="A518" s="75"/>
      <c r="B518" s="76"/>
      <c r="C518" s="76"/>
      <c r="D518" s="76"/>
    </row>
    <row r="519" spans="1:4" x14ac:dyDescent="0.25">
      <c r="A519" s="75"/>
      <c r="B519" s="76"/>
      <c r="C519" s="76"/>
      <c r="D519" s="76"/>
    </row>
    <row r="520" spans="1:4" x14ac:dyDescent="0.25">
      <c r="A520" s="75"/>
      <c r="B520" s="76"/>
      <c r="C520" s="76"/>
      <c r="D520" s="76"/>
    </row>
    <row r="521" spans="1:4" x14ac:dyDescent="0.25">
      <c r="A521" s="75"/>
      <c r="B521" s="76"/>
      <c r="C521" s="76"/>
      <c r="D521" s="76"/>
    </row>
    <row r="522" spans="1:4" x14ac:dyDescent="0.25">
      <c r="A522" s="75"/>
      <c r="B522" s="76"/>
      <c r="C522" s="76"/>
      <c r="D522" s="76"/>
    </row>
    <row r="523" spans="1:4" x14ac:dyDescent="0.25">
      <c r="A523" s="75"/>
      <c r="B523" s="76"/>
      <c r="C523" s="76"/>
      <c r="D523" s="76"/>
    </row>
    <row r="524" spans="1:4" x14ac:dyDescent="0.25">
      <c r="A524" s="75"/>
      <c r="B524" s="76"/>
      <c r="C524" s="76"/>
      <c r="D524" s="76"/>
    </row>
    <row r="525" spans="1:4" x14ac:dyDescent="0.25">
      <c r="A525" s="75"/>
      <c r="B525" s="76"/>
      <c r="C525" s="76"/>
      <c r="D525" s="76"/>
    </row>
    <row r="526" spans="1:4" x14ac:dyDescent="0.25">
      <c r="A526" s="75"/>
      <c r="B526" s="76"/>
      <c r="C526" s="76"/>
      <c r="D526" s="76"/>
    </row>
    <row r="527" spans="1:4" x14ac:dyDescent="0.25">
      <c r="A527" s="75"/>
      <c r="B527" s="76"/>
      <c r="C527" s="76"/>
      <c r="D527" s="76"/>
    </row>
    <row r="528" spans="1:4" x14ac:dyDescent="0.25">
      <c r="A528" s="75"/>
      <c r="B528" s="76"/>
      <c r="C528" s="76"/>
      <c r="D528" s="76"/>
    </row>
    <row r="529" spans="1:4" x14ac:dyDescent="0.25">
      <c r="A529" s="75"/>
      <c r="B529" s="76"/>
      <c r="C529" s="76"/>
      <c r="D529" s="76"/>
    </row>
    <row r="530" spans="1:4" x14ac:dyDescent="0.25">
      <c r="A530" s="75"/>
      <c r="B530" s="76"/>
      <c r="C530" s="76"/>
      <c r="D530" s="76"/>
    </row>
    <row r="531" spans="1:4" x14ac:dyDescent="0.25">
      <c r="A531" s="75"/>
      <c r="B531" s="76"/>
      <c r="C531" s="76"/>
      <c r="D531" s="76"/>
    </row>
    <row r="532" spans="1:4" x14ac:dyDescent="0.25">
      <c r="A532" s="75"/>
      <c r="B532" s="76"/>
      <c r="C532" s="76"/>
      <c r="D532" s="76"/>
    </row>
    <row r="533" spans="1:4" x14ac:dyDescent="0.25">
      <c r="A533" s="75"/>
      <c r="B533" s="76"/>
      <c r="C533" s="76"/>
      <c r="D533" s="76"/>
    </row>
    <row r="534" spans="1:4" x14ac:dyDescent="0.25">
      <c r="A534" s="75"/>
      <c r="B534" s="76"/>
      <c r="C534" s="76"/>
      <c r="D534" s="76"/>
    </row>
    <row r="535" spans="1:4" x14ac:dyDescent="0.25">
      <c r="A535" s="75"/>
      <c r="B535" s="76"/>
      <c r="C535" s="76"/>
      <c r="D535" s="76"/>
    </row>
    <row r="536" spans="1:4" x14ac:dyDescent="0.25">
      <c r="A536" s="75"/>
      <c r="B536" s="76"/>
      <c r="C536" s="76"/>
      <c r="D536" s="76"/>
    </row>
    <row r="537" spans="1:4" x14ac:dyDescent="0.25">
      <c r="A537" s="75"/>
      <c r="B537" s="76"/>
      <c r="C537" s="76"/>
      <c r="D537" s="76"/>
    </row>
    <row r="538" spans="1:4" x14ac:dyDescent="0.25">
      <c r="A538" s="75"/>
      <c r="B538" s="76"/>
      <c r="C538" s="76"/>
      <c r="D538" s="76"/>
    </row>
    <row r="539" spans="1:4" x14ac:dyDescent="0.25">
      <c r="A539" s="75"/>
      <c r="B539" s="76"/>
      <c r="C539" s="76"/>
      <c r="D539" s="76"/>
    </row>
    <row r="540" spans="1:4" x14ac:dyDescent="0.25">
      <c r="A540" s="75"/>
      <c r="B540" s="76"/>
      <c r="C540" s="76"/>
      <c r="D540" s="76"/>
    </row>
    <row r="541" spans="1:4" x14ac:dyDescent="0.25">
      <c r="A541" s="75"/>
      <c r="B541" s="76"/>
      <c r="C541" s="76"/>
      <c r="D541" s="76"/>
    </row>
    <row r="542" spans="1:4" x14ac:dyDescent="0.25">
      <c r="A542" s="75"/>
      <c r="B542" s="76"/>
      <c r="C542" s="76"/>
      <c r="D542" s="76"/>
    </row>
    <row r="543" spans="1:4" x14ac:dyDescent="0.25">
      <c r="A543" s="75"/>
      <c r="B543" s="76"/>
      <c r="C543" s="76"/>
      <c r="D543" s="76"/>
    </row>
    <row r="544" spans="1:4" x14ac:dyDescent="0.25">
      <c r="A544" s="75"/>
      <c r="B544" s="76"/>
      <c r="C544" s="76"/>
      <c r="D544" s="76"/>
    </row>
    <row r="545" spans="1:4" x14ac:dyDescent="0.25">
      <c r="A545" s="75"/>
      <c r="B545" s="76"/>
      <c r="C545" s="76"/>
      <c r="D545" s="76"/>
    </row>
    <row r="546" spans="1:4" x14ac:dyDescent="0.25">
      <c r="A546" s="75"/>
      <c r="B546" s="76"/>
      <c r="C546" s="76"/>
      <c r="D546" s="76"/>
    </row>
    <row r="547" spans="1:4" x14ac:dyDescent="0.25">
      <c r="A547" s="75"/>
      <c r="B547" s="76"/>
      <c r="C547" s="76"/>
      <c r="D547" s="76"/>
    </row>
    <row r="548" spans="1:4" x14ac:dyDescent="0.25">
      <c r="A548" s="75"/>
      <c r="B548" s="76"/>
      <c r="C548" s="76"/>
      <c r="D548" s="76"/>
    </row>
    <row r="549" spans="1:4" x14ac:dyDescent="0.25">
      <c r="A549" s="75"/>
      <c r="B549" s="76"/>
      <c r="C549" s="76"/>
      <c r="D549" s="76"/>
    </row>
    <row r="550" spans="1:4" x14ac:dyDescent="0.25">
      <c r="A550" s="75"/>
      <c r="B550" s="76"/>
      <c r="C550" s="76"/>
      <c r="D550" s="76"/>
    </row>
    <row r="551" spans="1:4" x14ac:dyDescent="0.25">
      <c r="A551" s="75"/>
      <c r="B551" s="76"/>
      <c r="C551" s="76"/>
      <c r="D551" s="76"/>
    </row>
    <row r="552" spans="1:4" x14ac:dyDescent="0.25">
      <c r="A552" s="75"/>
      <c r="B552" s="76"/>
      <c r="C552" s="76"/>
      <c r="D552" s="76"/>
    </row>
    <row r="553" spans="1:4" x14ac:dyDescent="0.25">
      <c r="A553" s="75"/>
      <c r="B553" s="76"/>
      <c r="C553" s="76"/>
      <c r="D553" s="76"/>
    </row>
    <row r="554" spans="1:4" x14ac:dyDescent="0.25">
      <c r="A554" s="75"/>
      <c r="B554" s="76"/>
      <c r="C554" s="76"/>
      <c r="D554" s="76"/>
    </row>
    <row r="555" spans="1:4" x14ac:dyDescent="0.25">
      <c r="A555" s="75"/>
      <c r="B555" s="76"/>
      <c r="C555" s="76"/>
      <c r="D555" s="76"/>
    </row>
    <row r="556" spans="1:4" x14ac:dyDescent="0.25">
      <c r="A556" s="75"/>
      <c r="B556" s="76"/>
      <c r="C556" s="76"/>
      <c r="D556" s="76"/>
    </row>
    <row r="557" spans="1:4" x14ac:dyDescent="0.25">
      <c r="A557" s="75"/>
      <c r="B557" s="76"/>
      <c r="C557" s="76"/>
      <c r="D557" s="76"/>
    </row>
    <row r="558" spans="1:4" x14ac:dyDescent="0.25">
      <c r="A558" s="75"/>
      <c r="B558" s="76"/>
      <c r="C558" s="76"/>
      <c r="D558" s="76"/>
    </row>
    <row r="559" spans="1:4" x14ac:dyDescent="0.25">
      <c r="A559" s="75"/>
      <c r="B559" s="76"/>
      <c r="C559" s="76"/>
      <c r="D559" s="76"/>
    </row>
    <row r="560" spans="1:4" x14ac:dyDescent="0.25">
      <c r="A560" s="75"/>
      <c r="B560" s="76"/>
      <c r="C560" s="76"/>
      <c r="D560" s="76"/>
    </row>
    <row r="561" spans="1:4" x14ac:dyDescent="0.25">
      <c r="A561" s="75"/>
      <c r="B561" s="76"/>
      <c r="C561" s="76"/>
      <c r="D561" s="76"/>
    </row>
    <row r="562" spans="1:4" x14ac:dyDescent="0.25">
      <c r="A562" s="75"/>
      <c r="B562" s="76"/>
      <c r="C562" s="76"/>
      <c r="D562" s="76"/>
    </row>
    <row r="563" spans="1:4" x14ac:dyDescent="0.25">
      <c r="A563" s="75"/>
      <c r="B563" s="76"/>
      <c r="C563" s="76"/>
      <c r="D563" s="76"/>
    </row>
    <row r="564" spans="1:4" x14ac:dyDescent="0.25">
      <c r="A564" s="75"/>
      <c r="B564" s="76"/>
      <c r="C564" s="76"/>
      <c r="D564" s="76"/>
    </row>
    <row r="565" spans="1:4" x14ac:dyDescent="0.25">
      <c r="A565" s="75"/>
      <c r="B565" s="76"/>
      <c r="C565" s="76"/>
      <c r="D565" s="76"/>
    </row>
    <row r="566" spans="1:4" x14ac:dyDescent="0.25">
      <c r="A566" s="75"/>
      <c r="B566" s="76"/>
      <c r="C566" s="76"/>
      <c r="D566" s="76"/>
    </row>
    <row r="567" spans="1:4" x14ac:dyDescent="0.25">
      <c r="A567" s="75"/>
      <c r="B567" s="76"/>
      <c r="C567" s="76"/>
      <c r="D567" s="76"/>
    </row>
    <row r="568" spans="1:4" x14ac:dyDescent="0.25">
      <c r="A568" s="75"/>
      <c r="B568" s="76"/>
      <c r="C568" s="76"/>
      <c r="D568" s="76"/>
    </row>
    <row r="569" spans="1:4" x14ac:dyDescent="0.25">
      <c r="A569" s="75"/>
      <c r="B569" s="76"/>
      <c r="C569" s="76"/>
      <c r="D569" s="76"/>
    </row>
    <row r="570" spans="1:4" x14ac:dyDescent="0.25">
      <c r="A570" s="75"/>
      <c r="B570" s="76"/>
      <c r="C570" s="76"/>
      <c r="D570" s="76"/>
    </row>
    <row r="571" spans="1:4" x14ac:dyDescent="0.25">
      <c r="A571" s="75"/>
      <c r="B571" s="76"/>
      <c r="C571" s="76"/>
      <c r="D571" s="76"/>
    </row>
    <row r="572" spans="1:4" x14ac:dyDescent="0.25">
      <c r="A572" s="75"/>
      <c r="B572" s="76"/>
      <c r="C572" s="76"/>
      <c r="D572" s="76"/>
    </row>
    <row r="573" spans="1:4" x14ac:dyDescent="0.25">
      <c r="A573" s="75"/>
      <c r="B573" s="76"/>
      <c r="C573" s="76"/>
      <c r="D573" s="76"/>
    </row>
    <row r="574" spans="1:4" x14ac:dyDescent="0.25">
      <c r="A574" s="75"/>
      <c r="B574" s="76"/>
      <c r="C574" s="76"/>
      <c r="D574" s="76"/>
    </row>
    <row r="575" spans="1:4" x14ac:dyDescent="0.25">
      <c r="A575" s="75"/>
      <c r="B575" s="76"/>
      <c r="C575" s="76"/>
      <c r="D575" s="76"/>
    </row>
    <row r="576" spans="1:4" x14ac:dyDescent="0.25">
      <c r="A576" s="75"/>
      <c r="B576" s="76"/>
      <c r="C576" s="76"/>
      <c r="D576" s="76"/>
    </row>
    <row r="577" spans="1:4" x14ac:dyDescent="0.25">
      <c r="A577" s="75"/>
      <c r="B577" s="76"/>
      <c r="C577" s="76"/>
      <c r="D577" s="76"/>
    </row>
    <row r="578" spans="1:4" x14ac:dyDescent="0.25">
      <c r="A578" s="75"/>
      <c r="B578" s="76"/>
      <c r="C578" s="76"/>
      <c r="D578" s="76"/>
    </row>
    <row r="579" spans="1:4" x14ac:dyDescent="0.25">
      <c r="A579" s="75"/>
      <c r="B579" s="76"/>
      <c r="C579" s="76"/>
      <c r="D579" s="76"/>
    </row>
    <row r="580" spans="1:4" x14ac:dyDescent="0.25">
      <c r="A580" s="75"/>
      <c r="B580" s="76"/>
      <c r="C580" s="76"/>
      <c r="D580" s="76"/>
    </row>
    <row r="581" spans="1:4" x14ac:dyDescent="0.25">
      <c r="A581" s="75"/>
      <c r="B581" s="76"/>
      <c r="C581" s="76"/>
      <c r="D581" s="76"/>
    </row>
    <row r="582" spans="1:4" x14ac:dyDescent="0.25">
      <c r="A582" s="75"/>
      <c r="B582" s="76"/>
      <c r="C582" s="76"/>
      <c r="D582" s="76"/>
    </row>
    <row r="583" spans="1:4" x14ac:dyDescent="0.25">
      <c r="A583" s="75"/>
      <c r="B583" s="76"/>
      <c r="C583" s="76"/>
      <c r="D583" s="76"/>
    </row>
    <row r="584" spans="1:4" x14ac:dyDescent="0.25">
      <c r="A584" s="75"/>
      <c r="B584" s="76"/>
      <c r="C584" s="76"/>
      <c r="D584" s="76"/>
    </row>
    <row r="585" spans="1:4" x14ac:dyDescent="0.25">
      <c r="A585" s="75"/>
      <c r="B585" s="76"/>
      <c r="C585" s="76"/>
      <c r="D585" s="76"/>
    </row>
    <row r="586" spans="1:4" x14ac:dyDescent="0.25">
      <c r="A586" s="75"/>
      <c r="B586" s="76"/>
      <c r="C586" s="76"/>
      <c r="D586" s="76"/>
    </row>
    <row r="587" spans="1:4" x14ac:dyDescent="0.25">
      <c r="A587" s="75"/>
      <c r="B587" s="76"/>
      <c r="C587" s="76"/>
      <c r="D587" s="76"/>
    </row>
    <row r="588" spans="1:4" x14ac:dyDescent="0.25">
      <c r="A588" s="75"/>
      <c r="B588" s="76"/>
      <c r="C588" s="76"/>
      <c r="D588" s="76"/>
    </row>
    <row r="589" spans="1:4" x14ac:dyDescent="0.25">
      <c r="A589" s="75"/>
      <c r="B589" s="76"/>
      <c r="C589" s="76"/>
      <c r="D589" s="76"/>
    </row>
    <row r="590" spans="1:4" x14ac:dyDescent="0.25">
      <c r="A590" s="75"/>
      <c r="B590" s="76"/>
      <c r="C590" s="76"/>
      <c r="D590" s="76"/>
    </row>
    <row r="591" spans="1:4" x14ac:dyDescent="0.25">
      <c r="A591" s="75"/>
      <c r="B591" s="76"/>
      <c r="C591" s="76"/>
      <c r="D591" s="76"/>
    </row>
    <row r="592" spans="1:4" x14ac:dyDescent="0.25">
      <c r="A592" s="75"/>
      <c r="B592" s="76"/>
      <c r="C592" s="76"/>
      <c r="D592" s="76"/>
    </row>
    <row r="593" spans="1:4" x14ac:dyDescent="0.25">
      <c r="A593" s="75"/>
      <c r="B593" s="76"/>
      <c r="C593" s="76"/>
      <c r="D593" s="76"/>
    </row>
    <row r="594" spans="1:4" x14ac:dyDescent="0.25">
      <c r="A594" s="75"/>
      <c r="B594" s="76"/>
      <c r="C594" s="76"/>
      <c r="D594" s="76"/>
    </row>
    <row r="595" spans="1:4" x14ac:dyDescent="0.25">
      <c r="A595" s="75"/>
      <c r="B595" s="76"/>
      <c r="C595" s="76"/>
      <c r="D595" s="76"/>
    </row>
    <row r="596" spans="1:4" x14ac:dyDescent="0.25">
      <c r="A596" s="75"/>
      <c r="B596" s="76"/>
      <c r="C596" s="76"/>
      <c r="D596" s="76"/>
    </row>
    <row r="597" spans="1:4" x14ac:dyDescent="0.25">
      <c r="A597" s="75"/>
      <c r="B597" s="76"/>
      <c r="C597" s="76"/>
      <c r="D597" s="76"/>
    </row>
    <row r="598" spans="1:4" x14ac:dyDescent="0.25">
      <c r="A598" s="75"/>
      <c r="B598" s="76"/>
      <c r="C598" s="76"/>
      <c r="D598" s="76"/>
    </row>
    <row r="599" spans="1:4" x14ac:dyDescent="0.25">
      <c r="A599" s="75"/>
      <c r="B599" s="76"/>
      <c r="C599" s="76"/>
      <c r="D599" s="76"/>
    </row>
    <row r="600" spans="1:4" x14ac:dyDescent="0.25">
      <c r="A600" s="75"/>
      <c r="B600" s="76"/>
      <c r="C600" s="76"/>
      <c r="D600" s="76"/>
    </row>
    <row r="601" spans="1:4" x14ac:dyDescent="0.25">
      <c r="A601" s="75"/>
      <c r="B601" s="76"/>
      <c r="C601" s="76"/>
      <c r="D601" s="76"/>
    </row>
    <row r="602" spans="1:4" x14ac:dyDescent="0.25">
      <c r="A602" s="75"/>
      <c r="B602" s="76"/>
      <c r="C602" s="76"/>
      <c r="D602" s="76"/>
    </row>
    <row r="603" spans="1:4" x14ac:dyDescent="0.25">
      <c r="A603" s="75"/>
      <c r="B603" s="76"/>
      <c r="C603" s="76"/>
      <c r="D603" s="76"/>
    </row>
    <row r="604" spans="1:4" x14ac:dyDescent="0.25">
      <c r="A604" s="75"/>
      <c r="B604" s="76"/>
      <c r="C604" s="76"/>
      <c r="D604" s="76"/>
    </row>
    <row r="605" spans="1:4" x14ac:dyDescent="0.25">
      <c r="A605" s="75"/>
      <c r="B605" s="76"/>
      <c r="C605" s="76"/>
      <c r="D605" s="76"/>
    </row>
    <row r="606" spans="1:4" x14ac:dyDescent="0.25">
      <c r="A606" s="75"/>
      <c r="B606" s="76"/>
      <c r="C606" s="76"/>
      <c r="D606" s="76"/>
    </row>
    <row r="607" spans="1:4" x14ac:dyDescent="0.25">
      <c r="A607" s="75"/>
      <c r="B607" s="76"/>
      <c r="C607" s="76"/>
      <c r="D607" s="76"/>
    </row>
    <row r="608" spans="1:4" x14ac:dyDescent="0.25">
      <c r="A608" s="75"/>
      <c r="B608" s="76"/>
      <c r="C608" s="76"/>
      <c r="D608" s="76"/>
    </row>
    <row r="609" spans="1:4" x14ac:dyDescent="0.25">
      <c r="A609" s="75"/>
      <c r="B609" s="76"/>
      <c r="C609" s="76"/>
      <c r="D609" s="76"/>
    </row>
    <row r="610" spans="1:4" x14ac:dyDescent="0.25">
      <c r="A610" s="75"/>
      <c r="B610" s="76"/>
      <c r="C610" s="76"/>
      <c r="D610" s="76"/>
    </row>
    <row r="611" spans="1:4" x14ac:dyDescent="0.25">
      <c r="A611" s="75"/>
      <c r="B611" s="76"/>
      <c r="C611" s="76"/>
      <c r="D611" s="76"/>
    </row>
    <row r="612" spans="1:4" x14ac:dyDescent="0.25">
      <c r="A612" s="75"/>
      <c r="B612" s="76"/>
      <c r="C612" s="76"/>
      <c r="D612" s="76"/>
    </row>
    <row r="613" spans="1:4" x14ac:dyDescent="0.25">
      <c r="A613" s="75"/>
      <c r="B613" s="76"/>
      <c r="C613" s="76"/>
      <c r="D613" s="76"/>
    </row>
    <row r="614" spans="1:4" x14ac:dyDescent="0.25">
      <c r="A614" s="75"/>
      <c r="B614" s="76"/>
      <c r="C614" s="76"/>
      <c r="D614" s="76"/>
    </row>
    <row r="615" spans="1:4" x14ac:dyDescent="0.25">
      <c r="A615" s="75"/>
      <c r="B615" s="76"/>
      <c r="C615" s="76"/>
      <c r="D615" s="76"/>
    </row>
    <row r="616" spans="1:4" x14ac:dyDescent="0.25">
      <c r="A616" s="75"/>
      <c r="B616" s="76"/>
      <c r="C616" s="76"/>
      <c r="D616" s="76"/>
    </row>
    <row r="617" spans="1:4" x14ac:dyDescent="0.25">
      <c r="A617" s="75"/>
      <c r="B617" s="76"/>
      <c r="C617" s="76"/>
      <c r="D617" s="76"/>
    </row>
    <row r="618" spans="1:4" x14ac:dyDescent="0.25">
      <c r="A618" s="75"/>
      <c r="B618" s="76"/>
      <c r="C618" s="76"/>
      <c r="D618" s="76"/>
    </row>
    <row r="619" spans="1:4" x14ac:dyDescent="0.25">
      <c r="A619" s="75"/>
      <c r="B619" s="76"/>
      <c r="C619" s="76"/>
      <c r="D619" s="76"/>
    </row>
    <row r="620" spans="1:4" x14ac:dyDescent="0.25">
      <c r="A620" s="75"/>
      <c r="B620" s="76"/>
      <c r="C620" s="76"/>
      <c r="D620" s="76"/>
    </row>
    <row r="621" spans="1:4" x14ac:dyDescent="0.25">
      <c r="A621" s="75"/>
      <c r="B621" s="76"/>
      <c r="C621" s="76"/>
      <c r="D621" s="76"/>
    </row>
    <row r="622" spans="1:4" x14ac:dyDescent="0.25">
      <c r="A622" s="75"/>
      <c r="B622" s="76"/>
      <c r="C622" s="76"/>
      <c r="D622" s="76"/>
    </row>
    <row r="623" spans="1:4" x14ac:dyDescent="0.25">
      <c r="A623" s="75"/>
      <c r="B623" s="76"/>
      <c r="C623" s="76"/>
      <c r="D623" s="76"/>
    </row>
    <row r="624" spans="1:4" x14ac:dyDescent="0.25">
      <c r="A624" s="75"/>
      <c r="B624" s="76"/>
      <c r="C624" s="76"/>
      <c r="D624" s="76"/>
    </row>
    <row r="625" spans="1:4" x14ac:dyDescent="0.25">
      <c r="A625" s="75"/>
      <c r="B625" s="76"/>
      <c r="C625" s="76"/>
      <c r="D625" s="76"/>
    </row>
    <row r="626" spans="1:4" x14ac:dyDescent="0.25">
      <c r="A626" s="75"/>
      <c r="B626" s="76"/>
      <c r="C626" s="76"/>
      <c r="D626" s="76"/>
    </row>
    <row r="627" spans="1:4" x14ac:dyDescent="0.25">
      <c r="A627" s="75"/>
      <c r="B627" s="76"/>
      <c r="C627" s="76"/>
      <c r="D627" s="76"/>
    </row>
    <row r="628" spans="1:4" x14ac:dyDescent="0.25">
      <c r="A628" s="75"/>
      <c r="B628" s="76"/>
      <c r="C628" s="76"/>
      <c r="D628" s="76"/>
    </row>
    <row r="629" spans="1:4" x14ac:dyDescent="0.25">
      <c r="A629" s="75"/>
      <c r="B629" s="76"/>
      <c r="C629" s="76"/>
      <c r="D629" s="76"/>
    </row>
    <row r="630" spans="1:4" x14ac:dyDescent="0.25">
      <c r="A630" s="75"/>
      <c r="B630" s="76"/>
      <c r="C630" s="76"/>
      <c r="D630" s="76"/>
    </row>
    <row r="631" spans="1:4" x14ac:dyDescent="0.25">
      <c r="A631" s="75"/>
      <c r="B631" s="76"/>
      <c r="C631" s="76"/>
      <c r="D631" s="76"/>
    </row>
    <row r="632" spans="1:4" x14ac:dyDescent="0.25">
      <c r="A632" s="75"/>
      <c r="B632" s="76"/>
      <c r="C632" s="76"/>
      <c r="D632" s="76"/>
    </row>
    <row r="633" spans="1:4" x14ac:dyDescent="0.25">
      <c r="A633" s="75"/>
      <c r="B633" s="76"/>
      <c r="C633" s="76"/>
      <c r="D633" s="76"/>
    </row>
    <row r="634" spans="1:4" x14ac:dyDescent="0.25">
      <c r="A634" s="75"/>
      <c r="B634" s="76"/>
      <c r="C634" s="76"/>
      <c r="D634" s="76"/>
    </row>
    <row r="635" spans="1:4" x14ac:dyDescent="0.25">
      <c r="A635" s="75"/>
      <c r="B635" s="76"/>
      <c r="C635" s="76"/>
      <c r="D635" s="76"/>
    </row>
    <row r="636" spans="1:4" x14ac:dyDescent="0.25">
      <c r="A636" s="75"/>
      <c r="B636" s="76"/>
      <c r="C636" s="76"/>
      <c r="D636" s="76"/>
    </row>
    <row r="637" spans="1:4" x14ac:dyDescent="0.25">
      <c r="A637" s="75"/>
      <c r="B637" s="76"/>
      <c r="C637" s="76"/>
      <c r="D637" s="76"/>
    </row>
    <row r="638" spans="1:4" x14ac:dyDescent="0.25">
      <c r="A638" s="75"/>
      <c r="B638" s="76"/>
      <c r="C638" s="76"/>
      <c r="D638" s="76"/>
    </row>
    <row r="639" spans="1:4" x14ac:dyDescent="0.25">
      <c r="A639" s="75"/>
      <c r="B639" s="76"/>
      <c r="C639" s="76"/>
      <c r="D639" s="76"/>
    </row>
    <row r="640" spans="1:4" x14ac:dyDescent="0.25">
      <c r="A640" s="75"/>
      <c r="B640" s="76"/>
      <c r="C640" s="76"/>
      <c r="D640" s="76"/>
    </row>
    <row r="641" spans="1:4" x14ac:dyDescent="0.25">
      <c r="A641" s="75"/>
      <c r="B641" s="76"/>
      <c r="C641" s="76"/>
      <c r="D641" s="76"/>
    </row>
    <row r="642" spans="1:4" x14ac:dyDescent="0.25">
      <c r="A642" s="75"/>
      <c r="B642" s="76"/>
      <c r="C642" s="76"/>
      <c r="D642" s="76"/>
    </row>
    <row r="643" spans="1:4" x14ac:dyDescent="0.25">
      <c r="A643" s="75"/>
      <c r="B643" s="76"/>
      <c r="C643" s="76"/>
      <c r="D643" s="76"/>
    </row>
    <row r="644" spans="1:4" x14ac:dyDescent="0.25">
      <c r="A644" s="75"/>
      <c r="B644" s="76"/>
      <c r="C644" s="76"/>
      <c r="D644" s="76"/>
    </row>
    <row r="645" spans="1:4" x14ac:dyDescent="0.25">
      <c r="A645" s="75"/>
      <c r="B645" s="76"/>
      <c r="C645" s="76"/>
      <c r="D645" s="76"/>
    </row>
    <row r="646" spans="1:4" x14ac:dyDescent="0.25">
      <c r="A646" s="75"/>
      <c r="B646" s="76"/>
      <c r="C646" s="76"/>
      <c r="D646" s="76"/>
    </row>
    <row r="647" spans="1:4" x14ac:dyDescent="0.25">
      <c r="A647" s="75"/>
      <c r="B647" s="76"/>
      <c r="C647" s="76"/>
      <c r="D647" s="76"/>
    </row>
    <row r="648" spans="1:4" x14ac:dyDescent="0.25">
      <c r="A648" s="75"/>
      <c r="B648" s="76"/>
      <c r="C648" s="76"/>
      <c r="D648" s="76"/>
    </row>
    <row r="649" spans="1:4" x14ac:dyDescent="0.25">
      <c r="A649" s="75"/>
      <c r="B649" s="76"/>
      <c r="C649" s="76"/>
      <c r="D649" s="76"/>
    </row>
    <row r="650" spans="1:4" x14ac:dyDescent="0.25">
      <c r="A650" s="75"/>
      <c r="B650" s="76"/>
      <c r="C650" s="76"/>
      <c r="D650" s="76"/>
    </row>
    <row r="651" spans="1:4" x14ac:dyDescent="0.25">
      <c r="A651" s="75"/>
      <c r="B651" s="76"/>
      <c r="C651" s="76"/>
      <c r="D651" s="76"/>
    </row>
    <row r="652" spans="1:4" x14ac:dyDescent="0.25">
      <c r="A652" s="75"/>
      <c r="B652" s="76"/>
      <c r="C652" s="76"/>
      <c r="D652" s="76"/>
    </row>
    <row r="653" spans="1:4" x14ac:dyDescent="0.25">
      <c r="A653" s="75"/>
      <c r="B653" s="76"/>
      <c r="C653" s="76"/>
      <c r="D653" s="76"/>
    </row>
    <row r="654" spans="1:4" x14ac:dyDescent="0.25">
      <c r="A654" s="75"/>
      <c r="B654" s="76"/>
      <c r="C654" s="76"/>
      <c r="D654" s="76"/>
    </row>
    <row r="655" spans="1:4" x14ac:dyDescent="0.25">
      <c r="A655" s="75"/>
      <c r="B655" s="76"/>
      <c r="C655" s="76"/>
      <c r="D655" s="76"/>
    </row>
    <row r="656" spans="1:4" x14ac:dyDescent="0.25">
      <c r="A656" s="75"/>
      <c r="B656" s="76"/>
      <c r="C656" s="76"/>
      <c r="D656" s="76"/>
    </row>
    <row r="657" spans="1:4" x14ac:dyDescent="0.25">
      <c r="A657" s="75"/>
      <c r="B657" s="76"/>
      <c r="C657" s="76"/>
      <c r="D657" s="76"/>
    </row>
    <row r="658" spans="1:4" x14ac:dyDescent="0.25">
      <c r="A658" s="75"/>
      <c r="B658" s="76"/>
      <c r="C658" s="76"/>
      <c r="D658" s="76"/>
    </row>
    <row r="659" spans="1:4" x14ac:dyDescent="0.25">
      <c r="A659" s="75"/>
      <c r="B659" s="76"/>
      <c r="C659" s="76"/>
      <c r="D659" s="76"/>
    </row>
    <row r="660" spans="1:4" x14ac:dyDescent="0.25">
      <c r="A660" s="75"/>
      <c r="B660" s="76"/>
      <c r="C660" s="76"/>
      <c r="D660" s="76"/>
    </row>
    <row r="661" spans="1:4" x14ac:dyDescent="0.25">
      <c r="A661" s="75"/>
      <c r="B661" s="76"/>
      <c r="C661" s="76"/>
      <c r="D661" s="76"/>
    </row>
    <row r="662" spans="1:4" x14ac:dyDescent="0.25">
      <c r="A662" s="75"/>
      <c r="B662" s="76"/>
      <c r="C662" s="76"/>
      <c r="D662" s="76"/>
    </row>
    <row r="663" spans="1:4" x14ac:dyDescent="0.25">
      <c r="A663" s="75"/>
      <c r="B663" s="76"/>
      <c r="C663" s="76"/>
      <c r="D663" s="76"/>
    </row>
    <row r="664" spans="1:4" x14ac:dyDescent="0.25">
      <c r="A664" s="75"/>
      <c r="B664" s="76"/>
      <c r="C664" s="76"/>
      <c r="D664" s="76"/>
    </row>
    <row r="665" spans="1:4" x14ac:dyDescent="0.25">
      <c r="A665" s="75"/>
      <c r="B665" s="76"/>
      <c r="C665" s="76"/>
      <c r="D665" s="76"/>
    </row>
    <row r="666" spans="1:4" x14ac:dyDescent="0.25">
      <c r="A666" s="75"/>
      <c r="B666" s="76"/>
      <c r="C666" s="76"/>
      <c r="D666" s="76"/>
    </row>
    <row r="667" spans="1:4" x14ac:dyDescent="0.25">
      <c r="A667" s="75"/>
      <c r="B667" s="76"/>
      <c r="C667" s="76"/>
      <c r="D667" s="76"/>
    </row>
    <row r="668" spans="1:4" x14ac:dyDescent="0.25">
      <c r="A668" s="75"/>
      <c r="B668" s="76"/>
      <c r="C668" s="76"/>
      <c r="D668" s="76"/>
    </row>
    <row r="669" spans="1:4" x14ac:dyDescent="0.25">
      <c r="A669" s="75"/>
      <c r="B669" s="76"/>
      <c r="C669" s="76"/>
      <c r="D669" s="76"/>
    </row>
    <row r="670" spans="1:4" x14ac:dyDescent="0.25">
      <c r="A670" s="75"/>
      <c r="B670" s="76"/>
      <c r="C670" s="76"/>
      <c r="D670" s="76"/>
    </row>
    <row r="671" spans="1:4" x14ac:dyDescent="0.25">
      <c r="A671" s="75"/>
      <c r="B671" s="76"/>
      <c r="C671" s="76"/>
      <c r="D671" s="76"/>
    </row>
    <row r="672" spans="1:4" x14ac:dyDescent="0.25">
      <c r="A672" s="75"/>
      <c r="B672" s="76"/>
      <c r="C672" s="76"/>
      <c r="D672" s="76"/>
    </row>
    <row r="673" spans="1:4" x14ac:dyDescent="0.25">
      <c r="A673" s="75"/>
      <c r="B673" s="76"/>
      <c r="C673" s="76"/>
      <c r="D673" s="76"/>
    </row>
    <row r="674" spans="1:4" x14ac:dyDescent="0.25">
      <c r="A674" s="75"/>
      <c r="B674" s="76"/>
      <c r="C674" s="76"/>
      <c r="D674" s="76"/>
    </row>
    <row r="675" spans="1:4" x14ac:dyDescent="0.25">
      <c r="A675" s="75"/>
      <c r="B675" s="76"/>
      <c r="C675" s="76"/>
      <c r="D675" s="76"/>
    </row>
    <row r="676" spans="1:4" x14ac:dyDescent="0.25">
      <c r="A676" s="75"/>
      <c r="B676" s="76"/>
      <c r="C676" s="76"/>
      <c r="D676" s="76"/>
    </row>
    <row r="677" spans="1:4" x14ac:dyDescent="0.25">
      <c r="A677" s="75"/>
      <c r="B677" s="76"/>
      <c r="C677" s="76"/>
      <c r="D677" s="76"/>
    </row>
    <row r="678" spans="1:4" x14ac:dyDescent="0.25">
      <c r="A678" s="75"/>
      <c r="B678" s="76"/>
      <c r="C678" s="76"/>
      <c r="D678" s="76"/>
    </row>
    <row r="679" spans="1:4" x14ac:dyDescent="0.25">
      <c r="A679" s="75"/>
      <c r="B679" s="76"/>
      <c r="C679" s="76"/>
      <c r="D679" s="76"/>
    </row>
    <row r="680" spans="1:4" x14ac:dyDescent="0.25">
      <c r="A680" s="75"/>
      <c r="B680" s="76"/>
      <c r="C680" s="76"/>
      <c r="D680" s="76"/>
    </row>
    <row r="681" spans="1:4" x14ac:dyDescent="0.25">
      <c r="A681" s="75"/>
      <c r="B681" s="76"/>
      <c r="C681" s="76"/>
      <c r="D681" s="76"/>
    </row>
    <row r="682" spans="1:4" x14ac:dyDescent="0.25">
      <c r="A682" s="75"/>
      <c r="B682" s="76"/>
      <c r="C682" s="76"/>
      <c r="D682" s="76"/>
    </row>
    <row r="683" spans="1:4" x14ac:dyDescent="0.25">
      <c r="A683" s="75"/>
      <c r="B683" s="76"/>
      <c r="C683" s="76"/>
      <c r="D683" s="76"/>
    </row>
    <row r="684" spans="1:4" x14ac:dyDescent="0.25">
      <c r="A684" s="75"/>
      <c r="B684" s="76"/>
      <c r="C684" s="76"/>
      <c r="D684" s="76"/>
    </row>
    <row r="685" spans="1:4" x14ac:dyDescent="0.25">
      <c r="A685" s="75"/>
      <c r="B685" s="76"/>
      <c r="C685" s="76"/>
      <c r="D685" s="76"/>
    </row>
    <row r="686" spans="1:4" x14ac:dyDescent="0.25">
      <c r="A686" s="75"/>
      <c r="B686" s="76"/>
      <c r="C686" s="76"/>
      <c r="D686" s="76"/>
    </row>
    <row r="687" spans="1:4" x14ac:dyDescent="0.25">
      <c r="A687" s="75"/>
      <c r="B687" s="76"/>
      <c r="C687" s="76"/>
      <c r="D687" s="76"/>
    </row>
    <row r="688" spans="1:4" x14ac:dyDescent="0.25">
      <c r="A688" s="75"/>
      <c r="B688" s="76"/>
      <c r="C688" s="76"/>
      <c r="D688" s="76"/>
    </row>
    <row r="689" spans="1:4" x14ac:dyDescent="0.25">
      <c r="A689" s="75"/>
      <c r="B689" s="76"/>
      <c r="C689" s="76"/>
      <c r="D689" s="76"/>
    </row>
    <row r="690" spans="1:4" x14ac:dyDescent="0.25">
      <c r="A690" s="75"/>
      <c r="B690" s="76"/>
      <c r="C690" s="76"/>
      <c r="D690" s="76"/>
    </row>
    <row r="691" spans="1:4" x14ac:dyDescent="0.25">
      <c r="A691" s="75"/>
      <c r="B691" s="76"/>
      <c r="C691" s="76"/>
      <c r="D691" s="76"/>
    </row>
    <row r="692" spans="1:4" x14ac:dyDescent="0.25">
      <c r="A692" s="75"/>
      <c r="B692" s="76"/>
      <c r="C692" s="76"/>
      <c r="D692" s="76"/>
    </row>
    <row r="693" spans="1:4" x14ac:dyDescent="0.25">
      <c r="A693" s="75"/>
      <c r="B693" s="76"/>
      <c r="C693" s="76"/>
      <c r="D693" s="76"/>
    </row>
    <row r="694" spans="1:4" x14ac:dyDescent="0.25">
      <c r="A694" s="75"/>
      <c r="B694" s="76"/>
      <c r="C694" s="76"/>
      <c r="D694" s="76"/>
    </row>
    <row r="695" spans="1:4" x14ac:dyDescent="0.25">
      <c r="A695" s="75"/>
      <c r="B695" s="76"/>
      <c r="C695" s="76"/>
      <c r="D695" s="76"/>
    </row>
    <row r="696" spans="1:4" x14ac:dyDescent="0.25">
      <c r="A696" s="75"/>
      <c r="B696" s="76"/>
      <c r="C696" s="76"/>
      <c r="D696" s="76"/>
    </row>
    <row r="697" spans="1:4" x14ac:dyDescent="0.25">
      <c r="A697" s="75"/>
      <c r="B697" s="76"/>
      <c r="C697" s="76"/>
      <c r="D697" s="76"/>
    </row>
    <row r="698" spans="1:4" x14ac:dyDescent="0.25">
      <c r="A698" s="75"/>
      <c r="B698" s="76"/>
      <c r="C698" s="76"/>
      <c r="D698" s="76"/>
    </row>
    <row r="699" spans="1:4" x14ac:dyDescent="0.25">
      <c r="A699" s="75"/>
      <c r="B699" s="76"/>
      <c r="C699" s="76"/>
      <c r="D699" s="76"/>
    </row>
    <row r="700" spans="1:4" x14ac:dyDescent="0.25">
      <c r="A700" s="75"/>
      <c r="B700" s="76"/>
      <c r="C700" s="76"/>
      <c r="D700" s="76"/>
    </row>
    <row r="701" spans="1:4" x14ac:dyDescent="0.25">
      <c r="A701" s="75"/>
      <c r="B701" s="76"/>
      <c r="C701" s="76"/>
      <c r="D701" s="76"/>
    </row>
    <row r="702" spans="1:4" x14ac:dyDescent="0.25">
      <c r="A702" s="75"/>
      <c r="B702" s="76"/>
      <c r="C702" s="76"/>
      <c r="D702" s="76"/>
    </row>
    <row r="703" spans="1:4" x14ac:dyDescent="0.25">
      <c r="A703" s="75"/>
      <c r="B703" s="76"/>
      <c r="C703" s="76"/>
      <c r="D703" s="76"/>
    </row>
    <row r="704" spans="1:4" x14ac:dyDescent="0.25">
      <c r="A704" s="75"/>
      <c r="B704" s="76"/>
      <c r="C704" s="76"/>
      <c r="D704" s="76"/>
    </row>
    <row r="705" spans="1:4" x14ac:dyDescent="0.25">
      <c r="A705" s="75"/>
      <c r="B705" s="76"/>
      <c r="C705" s="76"/>
      <c r="D705" s="76"/>
    </row>
    <row r="706" spans="1:4" x14ac:dyDescent="0.25">
      <c r="A706" s="75"/>
      <c r="B706" s="76"/>
      <c r="C706" s="76"/>
      <c r="D706" s="76"/>
    </row>
    <row r="707" spans="1:4" x14ac:dyDescent="0.25">
      <c r="A707" s="75"/>
      <c r="B707" s="76"/>
      <c r="C707" s="76"/>
      <c r="D707" s="76"/>
    </row>
    <row r="708" spans="1:4" x14ac:dyDescent="0.25">
      <c r="A708" s="75"/>
      <c r="B708" s="76"/>
      <c r="C708" s="76"/>
      <c r="D708" s="76"/>
    </row>
    <row r="709" spans="1:4" x14ac:dyDescent="0.25">
      <c r="A709" s="75"/>
      <c r="B709" s="76"/>
      <c r="C709" s="76"/>
      <c r="D709" s="76"/>
    </row>
    <row r="710" spans="1:4" x14ac:dyDescent="0.25">
      <c r="A710" s="75"/>
      <c r="B710" s="76"/>
      <c r="C710" s="76"/>
      <c r="D710" s="76"/>
    </row>
    <row r="711" spans="1:4" x14ac:dyDescent="0.25">
      <c r="A711" s="75"/>
      <c r="B711" s="76"/>
      <c r="C711" s="76"/>
      <c r="D711" s="76"/>
    </row>
    <row r="712" spans="1:4" x14ac:dyDescent="0.25">
      <c r="A712" s="75"/>
      <c r="B712" s="76"/>
      <c r="C712" s="76"/>
      <c r="D712" s="76"/>
    </row>
    <row r="713" spans="1:4" x14ac:dyDescent="0.25">
      <c r="A713" s="75"/>
      <c r="B713" s="76"/>
      <c r="C713" s="76"/>
      <c r="D713" s="76"/>
    </row>
    <row r="714" spans="1:4" x14ac:dyDescent="0.25">
      <c r="A714" s="75"/>
      <c r="B714" s="76"/>
      <c r="C714" s="76"/>
      <c r="D714" s="76"/>
    </row>
    <row r="715" spans="1:4" x14ac:dyDescent="0.25">
      <c r="A715" s="75"/>
      <c r="B715" s="76"/>
      <c r="C715" s="76"/>
      <c r="D715" s="76"/>
    </row>
    <row r="716" spans="1:4" x14ac:dyDescent="0.25">
      <c r="A716" s="75"/>
      <c r="B716" s="76"/>
      <c r="C716" s="76"/>
      <c r="D716" s="76"/>
    </row>
    <row r="717" spans="1:4" x14ac:dyDescent="0.25">
      <c r="A717" s="75"/>
      <c r="B717" s="76"/>
      <c r="C717" s="76"/>
      <c r="D717" s="76"/>
    </row>
    <row r="718" spans="1:4" x14ac:dyDescent="0.25">
      <c r="A718" s="75"/>
      <c r="B718" s="76"/>
      <c r="C718" s="76"/>
      <c r="D718" s="76"/>
    </row>
    <row r="719" spans="1:4" x14ac:dyDescent="0.25">
      <c r="A719" s="75"/>
      <c r="B719" s="76"/>
      <c r="C719" s="76"/>
      <c r="D719" s="76"/>
    </row>
    <row r="720" spans="1:4" x14ac:dyDescent="0.25">
      <c r="A720" s="75"/>
      <c r="B720" s="76"/>
      <c r="C720" s="76"/>
      <c r="D720" s="76"/>
    </row>
    <row r="721" spans="1:4" x14ac:dyDescent="0.25">
      <c r="A721" s="75"/>
      <c r="B721" s="76"/>
      <c r="C721" s="76"/>
      <c r="D721" s="76"/>
    </row>
    <row r="722" spans="1:4" x14ac:dyDescent="0.25">
      <c r="A722" s="75"/>
      <c r="B722" s="76"/>
      <c r="C722" s="76"/>
      <c r="D722" s="76"/>
    </row>
    <row r="723" spans="1:4" x14ac:dyDescent="0.25">
      <c r="A723" s="75"/>
      <c r="B723" s="76"/>
      <c r="C723" s="76"/>
      <c r="D723" s="76"/>
    </row>
    <row r="724" spans="1:4" x14ac:dyDescent="0.25">
      <c r="A724" s="75"/>
      <c r="B724" s="76"/>
      <c r="C724" s="76"/>
      <c r="D724" s="76"/>
    </row>
    <row r="725" spans="1:4" x14ac:dyDescent="0.25">
      <c r="A725" s="75"/>
      <c r="B725" s="76"/>
      <c r="C725" s="76"/>
      <c r="D725" s="76"/>
    </row>
    <row r="726" spans="1:4" x14ac:dyDescent="0.25">
      <c r="A726" s="75"/>
      <c r="B726" s="76"/>
      <c r="C726" s="76"/>
      <c r="D726" s="76"/>
    </row>
    <row r="727" spans="1:4" x14ac:dyDescent="0.25">
      <c r="A727" s="75"/>
      <c r="B727" s="76"/>
      <c r="C727" s="76"/>
      <c r="D727" s="76"/>
    </row>
    <row r="728" spans="1:4" x14ac:dyDescent="0.25">
      <c r="A728" s="75"/>
      <c r="B728" s="76"/>
      <c r="C728" s="76"/>
      <c r="D728" s="76"/>
    </row>
    <row r="729" spans="1:4" x14ac:dyDescent="0.25">
      <c r="A729" s="75"/>
      <c r="B729" s="76"/>
      <c r="C729" s="76"/>
      <c r="D729" s="76"/>
    </row>
    <row r="730" spans="1:4" x14ac:dyDescent="0.25">
      <c r="A730" s="75"/>
      <c r="B730" s="76"/>
      <c r="C730" s="76"/>
      <c r="D730" s="76"/>
    </row>
    <row r="731" spans="1:4" x14ac:dyDescent="0.25">
      <c r="A731" s="75"/>
      <c r="B731" s="76"/>
      <c r="C731" s="76"/>
      <c r="D731" s="76"/>
    </row>
    <row r="732" spans="1:4" x14ac:dyDescent="0.25">
      <c r="A732" s="75"/>
      <c r="B732" s="76"/>
      <c r="C732" s="76"/>
      <c r="D732" s="76"/>
    </row>
    <row r="733" spans="1:4" x14ac:dyDescent="0.25">
      <c r="A733" s="75"/>
      <c r="B733" s="76"/>
      <c r="C733" s="76"/>
      <c r="D733" s="76"/>
    </row>
    <row r="734" spans="1:4" x14ac:dyDescent="0.25">
      <c r="A734" s="75"/>
      <c r="B734" s="76"/>
      <c r="C734" s="76"/>
      <c r="D734" s="76"/>
    </row>
    <row r="735" spans="1:4" x14ac:dyDescent="0.25">
      <c r="A735" s="75"/>
      <c r="B735" s="76"/>
      <c r="C735" s="76"/>
      <c r="D735" s="76"/>
    </row>
    <row r="736" spans="1:4" x14ac:dyDescent="0.25">
      <c r="A736" s="75"/>
      <c r="B736" s="76"/>
      <c r="C736" s="76"/>
      <c r="D736" s="76"/>
    </row>
    <row r="737" spans="1:4" x14ac:dyDescent="0.25">
      <c r="A737" s="75"/>
      <c r="B737" s="76"/>
      <c r="C737" s="76"/>
      <c r="D737" s="76"/>
    </row>
    <row r="738" spans="1:4" x14ac:dyDescent="0.25">
      <c r="A738" s="75"/>
      <c r="B738" s="76"/>
      <c r="C738" s="76"/>
      <c r="D738" s="76"/>
    </row>
    <row r="739" spans="1:4" x14ac:dyDescent="0.25">
      <c r="A739" s="75"/>
      <c r="B739" s="76"/>
      <c r="C739" s="76"/>
      <c r="D739" s="76"/>
    </row>
    <row r="740" spans="1:4" x14ac:dyDescent="0.25">
      <c r="A740" s="75"/>
      <c r="B740" s="76"/>
      <c r="C740" s="76"/>
      <c r="D740" s="76"/>
    </row>
    <row r="741" spans="1:4" x14ac:dyDescent="0.25">
      <c r="A741" s="75"/>
      <c r="B741" s="76"/>
      <c r="C741" s="76"/>
      <c r="D741" s="76"/>
    </row>
    <row r="742" spans="1:4" x14ac:dyDescent="0.25">
      <c r="A742" s="75"/>
      <c r="B742" s="76"/>
      <c r="C742" s="76"/>
      <c r="D742" s="76"/>
    </row>
    <row r="743" spans="1:4" x14ac:dyDescent="0.25">
      <c r="A743" s="75"/>
      <c r="B743" s="76"/>
      <c r="C743" s="76"/>
      <c r="D743" s="76"/>
    </row>
    <row r="744" spans="1:4" x14ac:dyDescent="0.25">
      <c r="A744" s="75"/>
      <c r="B744" s="76"/>
      <c r="C744" s="76"/>
      <c r="D744" s="76"/>
    </row>
    <row r="745" spans="1:4" x14ac:dyDescent="0.25">
      <c r="A745" s="75"/>
      <c r="B745" s="76"/>
      <c r="C745" s="76"/>
      <c r="D745" s="76"/>
    </row>
    <row r="746" spans="1:4" x14ac:dyDescent="0.25">
      <c r="A746" s="75"/>
      <c r="B746" s="76"/>
      <c r="C746" s="76"/>
      <c r="D746" s="76"/>
    </row>
    <row r="747" spans="1:4" x14ac:dyDescent="0.25">
      <c r="A747" s="75"/>
      <c r="B747" s="76"/>
      <c r="C747" s="76"/>
      <c r="D747" s="76"/>
    </row>
    <row r="748" spans="1:4" x14ac:dyDescent="0.25">
      <c r="A748" s="75"/>
      <c r="B748" s="76"/>
      <c r="C748" s="76"/>
      <c r="D748" s="76"/>
    </row>
    <row r="749" spans="1:4" x14ac:dyDescent="0.25">
      <c r="A749" s="75"/>
      <c r="B749" s="76"/>
      <c r="C749" s="76"/>
      <c r="D749" s="76"/>
    </row>
    <row r="750" spans="1:4" x14ac:dyDescent="0.25">
      <c r="A750" s="75"/>
      <c r="B750" s="76"/>
      <c r="C750" s="76"/>
      <c r="D750" s="76"/>
    </row>
    <row r="751" spans="1:4" x14ac:dyDescent="0.25">
      <c r="A751" s="75"/>
      <c r="B751" s="76"/>
      <c r="C751" s="76"/>
      <c r="D751" s="76"/>
    </row>
    <row r="752" spans="1:4" x14ac:dyDescent="0.25">
      <c r="A752" s="75"/>
      <c r="B752" s="76"/>
      <c r="C752" s="76"/>
      <c r="D752" s="76"/>
    </row>
    <row r="753" spans="1:4" x14ac:dyDescent="0.25">
      <c r="A753" s="75"/>
      <c r="B753" s="76"/>
      <c r="C753" s="76"/>
      <c r="D753" s="76"/>
    </row>
    <row r="754" spans="1:4" x14ac:dyDescent="0.25">
      <c r="A754" s="75"/>
      <c r="B754" s="76"/>
      <c r="C754" s="76"/>
      <c r="D754" s="76"/>
    </row>
    <row r="755" spans="1:4" x14ac:dyDescent="0.25">
      <c r="A755" s="75"/>
      <c r="B755" s="76"/>
      <c r="C755" s="76"/>
      <c r="D755" s="76"/>
    </row>
    <row r="756" spans="1:4" x14ac:dyDescent="0.25">
      <c r="A756" s="75"/>
      <c r="B756" s="76"/>
      <c r="C756" s="76"/>
      <c r="D756" s="76"/>
    </row>
    <row r="757" spans="1:4" x14ac:dyDescent="0.25">
      <c r="A757" s="75"/>
      <c r="B757" s="76"/>
      <c r="C757" s="76"/>
      <c r="D757" s="76"/>
    </row>
    <row r="758" spans="1:4" x14ac:dyDescent="0.25">
      <c r="A758" s="75"/>
      <c r="B758" s="76"/>
      <c r="C758" s="76"/>
      <c r="D758" s="76"/>
    </row>
    <row r="759" spans="1:4" x14ac:dyDescent="0.25">
      <c r="A759" s="75"/>
      <c r="B759" s="76"/>
      <c r="C759" s="76"/>
      <c r="D759" s="76"/>
    </row>
    <row r="760" spans="1:4" x14ac:dyDescent="0.25">
      <c r="A760" s="75"/>
      <c r="B760" s="76"/>
      <c r="C760" s="76"/>
      <c r="D760" s="76"/>
    </row>
    <row r="761" spans="1:4" x14ac:dyDescent="0.25">
      <c r="A761" s="75"/>
      <c r="B761" s="76"/>
      <c r="C761" s="76"/>
      <c r="D761" s="76"/>
    </row>
    <row r="762" spans="1:4" x14ac:dyDescent="0.25">
      <c r="A762" s="75"/>
      <c r="B762" s="76"/>
      <c r="C762" s="76"/>
      <c r="D762" s="76"/>
    </row>
    <row r="763" spans="1:4" x14ac:dyDescent="0.25">
      <c r="A763" s="75"/>
      <c r="B763" s="76"/>
      <c r="C763" s="76"/>
      <c r="D763" s="76"/>
    </row>
    <row r="764" spans="1:4" x14ac:dyDescent="0.25">
      <c r="A764" s="75"/>
      <c r="B764" s="76"/>
      <c r="C764" s="76"/>
      <c r="D764" s="76"/>
    </row>
    <row r="765" spans="1:4" x14ac:dyDescent="0.25">
      <c r="A765" s="75"/>
      <c r="B765" s="76"/>
      <c r="C765" s="76"/>
      <c r="D765" s="76"/>
    </row>
    <row r="766" spans="1:4" x14ac:dyDescent="0.25">
      <c r="A766" s="75"/>
      <c r="B766" s="76"/>
      <c r="C766" s="76"/>
      <c r="D766" s="76"/>
    </row>
    <row r="767" spans="1:4" x14ac:dyDescent="0.25">
      <c r="A767" s="75"/>
      <c r="B767" s="76"/>
      <c r="C767" s="76"/>
      <c r="D767" s="76"/>
    </row>
    <row r="768" spans="1:4" x14ac:dyDescent="0.25">
      <c r="A768" s="75"/>
      <c r="B768" s="76"/>
      <c r="C768" s="76"/>
      <c r="D768" s="76"/>
    </row>
    <row r="769" spans="1:4" x14ac:dyDescent="0.25">
      <c r="A769" s="75"/>
      <c r="B769" s="76"/>
      <c r="C769" s="76"/>
      <c r="D769" s="76"/>
    </row>
    <row r="770" spans="1:4" x14ac:dyDescent="0.25">
      <c r="A770" s="75"/>
      <c r="B770" s="76"/>
      <c r="C770" s="76"/>
      <c r="D770" s="76"/>
    </row>
    <row r="771" spans="1:4" x14ac:dyDescent="0.25">
      <c r="A771" s="75"/>
      <c r="B771" s="76"/>
      <c r="C771" s="76"/>
      <c r="D771" s="76"/>
    </row>
    <row r="772" spans="1:4" x14ac:dyDescent="0.25">
      <c r="A772" s="75"/>
      <c r="B772" s="76"/>
      <c r="C772" s="76"/>
      <c r="D772" s="76"/>
    </row>
    <row r="773" spans="1:4" x14ac:dyDescent="0.25">
      <c r="A773" s="75"/>
      <c r="B773" s="76"/>
      <c r="C773" s="76"/>
      <c r="D773" s="76"/>
    </row>
    <row r="774" spans="1:4" x14ac:dyDescent="0.25">
      <c r="A774" s="75"/>
      <c r="B774" s="76"/>
      <c r="C774" s="76"/>
      <c r="D774" s="76"/>
    </row>
    <row r="775" spans="1:4" x14ac:dyDescent="0.25">
      <c r="A775" s="75"/>
      <c r="B775" s="76"/>
      <c r="C775" s="76"/>
      <c r="D775" s="76"/>
    </row>
    <row r="776" spans="1:4" x14ac:dyDescent="0.25">
      <c r="A776" s="75"/>
      <c r="B776" s="76"/>
      <c r="C776" s="76"/>
      <c r="D776" s="76"/>
    </row>
    <row r="777" spans="1:4" x14ac:dyDescent="0.25">
      <c r="A777" s="75"/>
      <c r="B777" s="76"/>
      <c r="C777" s="76"/>
      <c r="D777" s="76"/>
    </row>
    <row r="778" spans="1:4" x14ac:dyDescent="0.25">
      <c r="A778" s="75"/>
      <c r="B778" s="76"/>
      <c r="C778" s="76"/>
      <c r="D778" s="76"/>
    </row>
    <row r="779" spans="1:4" x14ac:dyDescent="0.25">
      <c r="A779" s="75"/>
      <c r="B779" s="76"/>
      <c r="C779" s="76"/>
      <c r="D779" s="76"/>
    </row>
    <row r="780" spans="1:4" x14ac:dyDescent="0.25">
      <c r="A780" s="75"/>
      <c r="B780" s="76"/>
      <c r="C780" s="76"/>
      <c r="D780" s="76"/>
    </row>
    <row r="781" spans="1:4" x14ac:dyDescent="0.25">
      <c r="A781" s="75"/>
      <c r="B781" s="76"/>
      <c r="C781" s="76"/>
      <c r="D781" s="76"/>
    </row>
    <row r="782" spans="1:4" x14ac:dyDescent="0.25">
      <c r="A782" s="75"/>
      <c r="B782" s="76"/>
      <c r="C782" s="76"/>
      <c r="D782" s="76"/>
    </row>
    <row r="783" spans="1:4" x14ac:dyDescent="0.25">
      <c r="A783" s="75"/>
      <c r="B783" s="76"/>
      <c r="C783" s="76"/>
      <c r="D783" s="76"/>
    </row>
    <row r="784" spans="1:4" x14ac:dyDescent="0.25">
      <c r="A784" s="75"/>
      <c r="B784" s="76"/>
      <c r="C784" s="76"/>
      <c r="D784" s="76"/>
    </row>
    <row r="785" spans="1:4" x14ac:dyDescent="0.25">
      <c r="A785" s="75"/>
      <c r="B785" s="76"/>
      <c r="C785" s="76"/>
      <c r="D785" s="76"/>
    </row>
    <row r="786" spans="1:4" x14ac:dyDescent="0.25">
      <c r="A786" s="75"/>
      <c r="B786" s="76"/>
      <c r="C786" s="76"/>
      <c r="D786" s="76"/>
    </row>
    <row r="787" spans="1:4" x14ac:dyDescent="0.25">
      <c r="A787" s="75"/>
      <c r="B787" s="76"/>
      <c r="C787" s="76"/>
      <c r="D787" s="76"/>
    </row>
    <row r="788" spans="1:4" x14ac:dyDescent="0.25">
      <c r="A788" s="75"/>
      <c r="B788" s="76"/>
      <c r="C788" s="76"/>
      <c r="D788" s="76"/>
    </row>
    <row r="789" spans="1:4" x14ac:dyDescent="0.25">
      <c r="A789" s="75"/>
      <c r="B789" s="76"/>
      <c r="C789" s="76"/>
      <c r="D789" s="76"/>
    </row>
    <row r="790" spans="1:4" x14ac:dyDescent="0.25">
      <c r="A790" s="75"/>
      <c r="B790" s="76"/>
      <c r="C790" s="76"/>
      <c r="D790" s="76"/>
    </row>
    <row r="791" spans="1:4" x14ac:dyDescent="0.25">
      <c r="A791" s="75"/>
      <c r="B791" s="76"/>
      <c r="C791" s="76"/>
      <c r="D791" s="76"/>
    </row>
    <row r="792" spans="1:4" x14ac:dyDescent="0.25">
      <c r="A792" s="75"/>
      <c r="B792" s="76"/>
      <c r="C792" s="76"/>
      <c r="D792" s="76"/>
    </row>
    <row r="793" spans="1:4" x14ac:dyDescent="0.25">
      <c r="A793" s="75"/>
      <c r="B793" s="76"/>
      <c r="C793" s="76"/>
      <c r="D793" s="76"/>
    </row>
    <row r="794" spans="1:4" x14ac:dyDescent="0.25">
      <c r="A794" s="75"/>
      <c r="B794" s="76"/>
      <c r="C794" s="76"/>
      <c r="D794" s="76"/>
    </row>
    <row r="795" spans="1:4" x14ac:dyDescent="0.25">
      <c r="A795" s="75"/>
      <c r="B795" s="76"/>
      <c r="C795" s="76"/>
      <c r="D795" s="76"/>
    </row>
    <row r="796" spans="1:4" x14ac:dyDescent="0.25">
      <c r="A796" s="75"/>
      <c r="B796" s="76"/>
      <c r="C796" s="76"/>
      <c r="D796" s="76"/>
    </row>
    <row r="797" spans="1:4" x14ac:dyDescent="0.25">
      <c r="A797" s="75"/>
      <c r="B797" s="76"/>
      <c r="C797" s="76"/>
      <c r="D797" s="76"/>
    </row>
    <row r="798" spans="1:4" x14ac:dyDescent="0.25">
      <c r="A798" s="75"/>
      <c r="B798" s="76"/>
      <c r="C798" s="76"/>
      <c r="D798" s="76"/>
    </row>
    <row r="799" spans="1:4" x14ac:dyDescent="0.25">
      <c r="A799" s="75"/>
      <c r="B799" s="76"/>
      <c r="C799" s="76"/>
      <c r="D799" s="76"/>
    </row>
    <row r="800" spans="1:4" x14ac:dyDescent="0.25">
      <c r="A800" s="75"/>
      <c r="B800" s="76"/>
      <c r="C800" s="76"/>
      <c r="D800" s="76"/>
    </row>
    <row r="801" spans="1:4" x14ac:dyDescent="0.25">
      <c r="A801" s="75"/>
      <c r="B801" s="76"/>
      <c r="C801" s="76"/>
      <c r="D801" s="76"/>
    </row>
    <row r="802" spans="1:4" x14ac:dyDescent="0.25">
      <c r="A802" s="75"/>
      <c r="B802" s="76"/>
      <c r="C802" s="76"/>
      <c r="D802" s="76"/>
    </row>
    <row r="803" spans="1:4" x14ac:dyDescent="0.25">
      <c r="A803" s="75"/>
      <c r="B803" s="76"/>
      <c r="C803" s="76"/>
      <c r="D803" s="76"/>
    </row>
    <row r="804" spans="1:4" x14ac:dyDescent="0.25">
      <c r="A804" s="75"/>
      <c r="B804" s="76"/>
      <c r="C804" s="76"/>
      <c r="D804" s="76"/>
    </row>
    <row r="805" spans="1:4" x14ac:dyDescent="0.25">
      <c r="A805" s="75"/>
      <c r="B805" s="76"/>
      <c r="C805" s="76"/>
      <c r="D805" s="76"/>
    </row>
    <row r="806" spans="1:4" x14ac:dyDescent="0.25">
      <c r="A806" s="75"/>
      <c r="B806" s="76"/>
      <c r="C806" s="76"/>
      <c r="D806" s="76"/>
    </row>
    <row r="807" spans="1:4" x14ac:dyDescent="0.25">
      <c r="A807" s="75"/>
      <c r="B807" s="76"/>
      <c r="C807" s="76"/>
      <c r="D807" s="76"/>
    </row>
    <row r="808" spans="1:4" x14ac:dyDescent="0.25">
      <c r="A808" s="75"/>
      <c r="B808" s="76"/>
      <c r="C808" s="76"/>
      <c r="D808" s="76"/>
    </row>
    <row r="809" spans="1:4" x14ac:dyDescent="0.25">
      <c r="A809" s="75"/>
      <c r="B809" s="76"/>
      <c r="C809" s="76"/>
      <c r="D809" s="76"/>
    </row>
    <row r="810" spans="1:4" x14ac:dyDescent="0.25">
      <c r="A810" s="75"/>
      <c r="B810" s="76"/>
      <c r="C810" s="76"/>
      <c r="D810" s="76"/>
    </row>
    <row r="811" spans="1:4" x14ac:dyDescent="0.25">
      <c r="A811" s="75"/>
      <c r="B811" s="76"/>
      <c r="C811" s="76"/>
      <c r="D811" s="76"/>
    </row>
    <row r="812" spans="1:4" x14ac:dyDescent="0.25">
      <c r="A812" s="75"/>
      <c r="B812" s="76"/>
      <c r="C812" s="76"/>
      <c r="D812" s="76"/>
    </row>
    <row r="813" spans="1:4" x14ac:dyDescent="0.25">
      <c r="A813" s="75"/>
      <c r="B813" s="76"/>
      <c r="C813" s="76"/>
      <c r="D813" s="76"/>
    </row>
    <row r="814" spans="1:4" x14ac:dyDescent="0.25">
      <c r="A814" s="75"/>
      <c r="B814" s="76"/>
      <c r="C814" s="76"/>
      <c r="D814" s="76"/>
    </row>
    <row r="815" spans="1:4" x14ac:dyDescent="0.25">
      <c r="A815" s="75"/>
      <c r="B815" s="76"/>
      <c r="C815" s="76"/>
      <c r="D815" s="76"/>
    </row>
    <row r="816" spans="1:4" x14ac:dyDescent="0.25">
      <c r="A816" s="75"/>
      <c r="B816" s="76"/>
      <c r="C816" s="76"/>
      <c r="D816" s="76"/>
    </row>
    <row r="817" spans="1:4" x14ac:dyDescent="0.25">
      <c r="A817" s="75"/>
      <c r="B817" s="76"/>
      <c r="C817" s="76"/>
      <c r="D817" s="76"/>
    </row>
    <row r="818" spans="1:4" x14ac:dyDescent="0.25">
      <c r="A818" s="75"/>
      <c r="B818" s="76"/>
      <c r="C818" s="76"/>
      <c r="D818" s="76"/>
    </row>
    <row r="819" spans="1:4" x14ac:dyDescent="0.25">
      <c r="A819" s="75"/>
      <c r="B819" s="76"/>
      <c r="C819" s="76"/>
      <c r="D819" s="76"/>
    </row>
    <row r="820" spans="1:4" x14ac:dyDescent="0.25">
      <c r="A820" s="75"/>
      <c r="B820" s="76"/>
      <c r="C820" s="76"/>
      <c r="D820" s="76"/>
    </row>
    <row r="821" spans="1:4" x14ac:dyDescent="0.25">
      <c r="A821" s="75"/>
      <c r="B821" s="76"/>
      <c r="C821" s="76"/>
      <c r="D821" s="76"/>
    </row>
    <row r="822" spans="1:4" x14ac:dyDescent="0.25">
      <c r="A822" s="75"/>
      <c r="B822" s="76"/>
      <c r="C822" s="76"/>
      <c r="D822" s="76"/>
    </row>
    <row r="823" spans="1:4" x14ac:dyDescent="0.25">
      <c r="A823" s="75"/>
      <c r="B823" s="76"/>
      <c r="C823" s="76"/>
      <c r="D823" s="76"/>
    </row>
    <row r="824" spans="1:4" x14ac:dyDescent="0.25">
      <c r="A824" s="75"/>
      <c r="B824" s="76"/>
      <c r="C824" s="76"/>
      <c r="D824" s="76"/>
    </row>
    <row r="825" spans="1:4" x14ac:dyDescent="0.25">
      <c r="A825" s="75"/>
      <c r="B825" s="76"/>
      <c r="C825" s="76"/>
      <c r="D825" s="76"/>
    </row>
    <row r="826" spans="1:4" x14ac:dyDescent="0.25">
      <c r="A826" s="75"/>
      <c r="B826" s="76"/>
      <c r="C826" s="76"/>
      <c r="D826" s="76"/>
    </row>
    <row r="827" spans="1:4" x14ac:dyDescent="0.25">
      <c r="A827" s="75"/>
      <c r="B827" s="76"/>
      <c r="C827" s="76"/>
      <c r="D827" s="76"/>
    </row>
    <row r="828" spans="1:4" x14ac:dyDescent="0.25">
      <c r="A828" s="75"/>
      <c r="B828" s="76"/>
      <c r="C828" s="76"/>
      <c r="D828" s="76"/>
    </row>
    <row r="829" spans="1:4" x14ac:dyDescent="0.25">
      <c r="A829" s="75"/>
      <c r="B829" s="76"/>
      <c r="C829" s="76"/>
      <c r="D829" s="76"/>
    </row>
    <row r="830" spans="1:4" x14ac:dyDescent="0.25">
      <c r="A830" s="75"/>
      <c r="B830" s="76"/>
      <c r="C830" s="76"/>
      <c r="D830" s="76"/>
    </row>
    <row r="831" spans="1:4" x14ac:dyDescent="0.25">
      <c r="A831" s="75"/>
      <c r="B831" s="76"/>
      <c r="C831" s="76"/>
      <c r="D831" s="76"/>
    </row>
    <row r="832" spans="1:4" x14ac:dyDescent="0.25">
      <c r="A832" s="75"/>
      <c r="B832" s="76"/>
      <c r="C832" s="76"/>
      <c r="D832" s="76"/>
    </row>
    <row r="833" spans="1:4" x14ac:dyDescent="0.25">
      <c r="A833" s="75"/>
      <c r="B833" s="76"/>
      <c r="C833" s="76"/>
      <c r="D833" s="76"/>
    </row>
    <row r="834" spans="1:4" x14ac:dyDescent="0.25">
      <c r="A834" s="75"/>
      <c r="B834" s="76"/>
      <c r="C834" s="76"/>
      <c r="D834" s="76"/>
    </row>
    <row r="835" spans="1:4" x14ac:dyDescent="0.25">
      <c r="A835" s="75"/>
      <c r="B835" s="76"/>
      <c r="C835" s="76"/>
      <c r="D835" s="76"/>
    </row>
    <row r="836" spans="1:4" x14ac:dyDescent="0.25">
      <c r="A836" s="75"/>
      <c r="B836" s="76"/>
      <c r="C836" s="76"/>
      <c r="D836" s="76"/>
    </row>
    <row r="837" spans="1:4" x14ac:dyDescent="0.25">
      <c r="A837" s="75"/>
      <c r="B837" s="76"/>
      <c r="C837" s="76"/>
      <c r="D837" s="76"/>
    </row>
    <row r="838" spans="1:4" x14ac:dyDescent="0.25">
      <c r="A838" s="75"/>
      <c r="B838" s="76"/>
      <c r="C838" s="76"/>
      <c r="D838" s="76"/>
    </row>
    <row r="839" spans="1:4" x14ac:dyDescent="0.25">
      <c r="A839" s="75"/>
      <c r="B839" s="76"/>
      <c r="C839" s="76"/>
      <c r="D839" s="76"/>
    </row>
    <row r="840" spans="1:4" x14ac:dyDescent="0.25">
      <c r="A840" s="75"/>
      <c r="B840" s="76"/>
      <c r="C840" s="76"/>
      <c r="D840" s="76"/>
    </row>
    <row r="841" spans="1:4" x14ac:dyDescent="0.25">
      <c r="A841" s="75"/>
      <c r="B841" s="76"/>
      <c r="C841" s="76"/>
      <c r="D841" s="76"/>
    </row>
    <row r="842" spans="1:4" x14ac:dyDescent="0.25">
      <c r="A842" s="75"/>
      <c r="B842" s="76"/>
      <c r="C842" s="76"/>
      <c r="D842" s="76"/>
    </row>
    <row r="843" spans="1:4" x14ac:dyDescent="0.25">
      <c r="A843" s="75"/>
      <c r="B843" s="76"/>
      <c r="C843" s="76"/>
      <c r="D843" s="76"/>
    </row>
    <row r="844" spans="1:4" x14ac:dyDescent="0.25">
      <c r="A844" s="75"/>
      <c r="B844" s="76"/>
      <c r="C844" s="76"/>
      <c r="D844" s="76"/>
    </row>
    <row r="845" spans="1:4" x14ac:dyDescent="0.25">
      <c r="A845" s="75"/>
      <c r="B845" s="76"/>
      <c r="C845" s="76"/>
      <c r="D845" s="76"/>
    </row>
    <row r="846" spans="1:4" x14ac:dyDescent="0.25">
      <c r="A846" s="75"/>
      <c r="B846" s="76"/>
      <c r="C846" s="76"/>
      <c r="D846" s="76"/>
    </row>
    <row r="847" spans="1:4" x14ac:dyDescent="0.25">
      <c r="A847" s="75"/>
      <c r="B847" s="76"/>
      <c r="C847" s="76"/>
      <c r="D847" s="76"/>
    </row>
    <row r="848" spans="1:4" x14ac:dyDescent="0.25">
      <c r="A848" s="75"/>
      <c r="B848" s="76"/>
      <c r="C848" s="76"/>
      <c r="D848" s="76"/>
    </row>
    <row r="849" spans="1:4" x14ac:dyDescent="0.25">
      <c r="A849" s="75"/>
      <c r="B849" s="76"/>
      <c r="C849" s="76"/>
      <c r="D849" s="76"/>
    </row>
    <row r="850" spans="1:4" x14ac:dyDescent="0.25">
      <c r="A850" s="75"/>
      <c r="B850" s="76"/>
      <c r="C850" s="76"/>
      <c r="D850" s="76"/>
    </row>
    <row r="851" spans="1:4" x14ac:dyDescent="0.25">
      <c r="A851" s="75"/>
      <c r="B851" s="76"/>
      <c r="C851" s="76"/>
      <c r="D851" s="76"/>
    </row>
    <row r="852" spans="1:4" x14ac:dyDescent="0.25">
      <c r="A852" s="75"/>
      <c r="B852" s="76"/>
      <c r="C852" s="76"/>
      <c r="D852" s="76"/>
    </row>
    <row r="853" spans="1:4" x14ac:dyDescent="0.25">
      <c r="A853" s="75"/>
      <c r="B853" s="76"/>
      <c r="C853" s="76"/>
      <c r="D853" s="76"/>
    </row>
    <row r="854" spans="1:4" x14ac:dyDescent="0.25">
      <c r="A854" s="75"/>
      <c r="B854" s="76"/>
      <c r="C854" s="76"/>
      <c r="D854" s="76"/>
    </row>
    <row r="855" spans="1:4" x14ac:dyDescent="0.25">
      <c r="A855" s="75"/>
      <c r="B855" s="76"/>
      <c r="C855" s="76"/>
      <c r="D855" s="76"/>
    </row>
    <row r="856" spans="1:4" x14ac:dyDescent="0.25">
      <c r="A856" s="75"/>
      <c r="B856" s="76"/>
      <c r="C856" s="76"/>
      <c r="D856" s="76"/>
    </row>
    <row r="857" spans="1:4" x14ac:dyDescent="0.25">
      <c r="A857" s="75"/>
      <c r="B857" s="76"/>
      <c r="C857" s="76"/>
      <c r="D857" s="76"/>
    </row>
    <row r="858" spans="1:4" x14ac:dyDescent="0.25">
      <c r="A858" s="75"/>
      <c r="B858" s="76"/>
      <c r="C858" s="76"/>
      <c r="D858" s="76"/>
    </row>
    <row r="859" spans="1:4" x14ac:dyDescent="0.25">
      <c r="A859" s="75"/>
      <c r="B859" s="76"/>
      <c r="C859" s="76"/>
      <c r="D859" s="76"/>
    </row>
    <row r="860" spans="1:4" x14ac:dyDescent="0.25">
      <c r="A860" s="75"/>
      <c r="B860" s="76"/>
      <c r="C860" s="76"/>
      <c r="D860" s="76"/>
    </row>
    <row r="861" spans="1:4" x14ac:dyDescent="0.25">
      <c r="A861" s="75"/>
      <c r="B861" s="76"/>
      <c r="C861" s="76"/>
      <c r="D861" s="76"/>
    </row>
    <row r="862" spans="1:4" x14ac:dyDescent="0.25">
      <c r="A862" s="75"/>
      <c r="B862" s="76"/>
      <c r="C862" s="76"/>
      <c r="D862" s="76"/>
    </row>
    <row r="863" spans="1:4" x14ac:dyDescent="0.25">
      <c r="A863" s="75"/>
      <c r="B863" s="76"/>
      <c r="C863" s="76"/>
      <c r="D863" s="76"/>
    </row>
    <row r="864" spans="1:4" x14ac:dyDescent="0.25">
      <c r="A864" s="75"/>
      <c r="B864" s="76"/>
      <c r="C864" s="76"/>
      <c r="D864" s="76"/>
    </row>
    <row r="865" spans="1:4" x14ac:dyDescent="0.25">
      <c r="A865" s="75"/>
      <c r="B865" s="76"/>
      <c r="C865" s="76"/>
      <c r="D865" s="76"/>
    </row>
    <row r="866" spans="1:4" x14ac:dyDescent="0.25">
      <c r="A866" s="75"/>
      <c r="B866" s="76"/>
      <c r="C866" s="76"/>
      <c r="D866" s="76"/>
    </row>
    <row r="867" spans="1:4" x14ac:dyDescent="0.25">
      <c r="A867" s="75"/>
      <c r="B867" s="76"/>
      <c r="C867" s="76"/>
      <c r="D867" s="76"/>
    </row>
    <row r="868" spans="1:4" x14ac:dyDescent="0.25">
      <c r="A868" s="75"/>
      <c r="B868" s="76"/>
      <c r="C868" s="76"/>
      <c r="D868" s="76"/>
    </row>
    <row r="869" spans="1:4" x14ac:dyDescent="0.25">
      <c r="A869" s="75"/>
      <c r="B869" s="76"/>
      <c r="C869" s="76"/>
      <c r="D869" s="76"/>
    </row>
    <row r="870" spans="1:4" x14ac:dyDescent="0.25">
      <c r="A870" s="75"/>
      <c r="B870" s="76"/>
      <c r="C870" s="76"/>
      <c r="D870" s="76"/>
    </row>
    <row r="871" spans="1:4" x14ac:dyDescent="0.25">
      <c r="A871" s="75"/>
      <c r="B871" s="76"/>
      <c r="C871" s="76"/>
      <c r="D871" s="76"/>
    </row>
    <row r="872" spans="1:4" x14ac:dyDescent="0.25">
      <c r="A872" s="75"/>
      <c r="B872" s="76"/>
      <c r="C872" s="76"/>
      <c r="D872" s="76"/>
    </row>
    <row r="873" spans="1:4" x14ac:dyDescent="0.25">
      <c r="A873" s="75"/>
      <c r="B873" s="76"/>
      <c r="C873" s="76"/>
      <c r="D873" s="76"/>
    </row>
    <row r="874" spans="1:4" x14ac:dyDescent="0.25">
      <c r="A874" s="75"/>
      <c r="B874" s="76"/>
      <c r="C874" s="76"/>
      <c r="D874" s="76"/>
    </row>
    <row r="875" spans="1:4" x14ac:dyDescent="0.25">
      <c r="A875" s="75"/>
      <c r="B875" s="76"/>
      <c r="C875" s="76"/>
      <c r="D875" s="76"/>
    </row>
    <row r="876" spans="1:4" x14ac:dyDescent="0.25">
      <c r="A876" s="75"/>
      <c r="B876" s="76"/>
      <c r="C876" s="76"/>
      <c r="D876" s="76"/>
    </row>
    <row r="877" spans="1:4" x14ac:dyDescent="0.25">
      <c r="A877" s="75"/>
      <c r="B877" s="76"/>
      <c r="C877" s="76"/>
      <c r="D877" s="76"/>
    </row>
    <row r="878" spans="1:4" x14ac:dyDescent="0.25">
      <c r="A878" s="75"/>
      <c r="B878" s="76"/>
      <c r="C878" s="76"/>
      <c r="D878" s="76"/>
    </row>
    <row r="879" spans="1:4" x14ac:dyDescent="0.25">
      <c r="A879" s="75"/>
      <c r="B879" s="76"/>
      <c r="C879" s="76"/>
      <c r="D879" s="76"/>
    </row>
    <row r="880" spans="1:4" x14ac:dyDescent="0.25">
      <c r="A880" s="75"/>
      <c r="B880" s="76"/>
      <c r="C880" s="76"/>
      <c r="D880" s="76"/>
    </row>
    <row r="881" spans="1:4" x14ac:dyDescent="0.25">
      <c r="A881" s="75"/>
      <c r="B881" s="76"/>
      <c r="C881" s="76"/>
      <c r="D881" s="76"/>
    </row>
    <row r="882" spans="1:4" x14ac:dyDescent="0.25">
      <c r="A882" s="75"/>
      <c r="B882" s="76"/>
      <c r="C882" s="76"/>
      <c r="D882" s="76"/>
    </row>
    <row r="883" spans="1:4" x14ac:dyDescent="0.25">
      <c r="A883" s="75"/>
      <c r="B883" s="76"/>
      <c r="C883" s="76"/>
      <c r="D883" s="76"/>
    </row>
    <row r="884" spans="1:4" x14ac:dyDescent="0.25">
      <c r="A884" s="75"/>
      <c r="B884" s="76"/>
      <c r="C884" s="76"/>
      <c r="D884" s="76"/>
    </row>
    <row r="885" spans="1:4" x14ac:dyDescent="0.25">
      <c r="A885" s="75"/>
      <c r="B885" s="76"/>
      <c r="C885" s="76"/>
      <c r="D885" s="76"/>
    </row>
    <row r="886" spans="1:4" x14ac:dyDescent="0.25">
      <c r="A886" s="75"/>
      <c r="B886" s="76"/>
      <c r="C886" s="76"/>
      <c r="D886" s="76"/>
    </row>
    <row r="887" spans="1:4" x14ac:dyDescent="0.25">
      <c r="A887" s="75"/>
      <c r="B887" s="76"/>
      <c r="C887" s="76"/>
      <c r="D887" s="76"/>
    </row>
    <row r="888" spans="1:4" x14ac:dyDescent="0.25">
      <c r="A888" s="75"/>
      <c r="B888" s="76"/>
      <c r="C888" s="76"/>
      <c r="D888" s="76"/>
    </row>
    <row r="889" spans="1:4" x14ac:dyDescent="0.25">
      <c r="A889" s="75"/>
      <c r="B889" s="76"/>
      <c r="C889" s="76"/>
      <c r="D889" s="76"/>
    </row>
    <row r="890" spans="1:4" x14ac:dyDescent="0.25">
      <c r="A890" s="75"/>
      <c r="B890" s="76"/>
      <c r="C890" s="76"/>
      <c r="D890" s="76"/>
    </row>
    <row r="891" spans="1:4" x14ac:dyDescent="0.25">
      <c r="A891" s="75"/>
      <c r="B891" s="76"/>
      <c r="C891" s="76"/>
      <c r="D891" s="76"/>
    </row>
    <row r="892" spans="1:4" x14ac:dyDescent="0.25">
      <c r="A892" s="75"/>
      <c r="B892" s="76"/>
      <c r="C892" s="76"/>
      <c r="D892" s="76"/>
    </row>
    <row r="893" spans="1:4" x14ac:dyDescent="0.25">
      <c r="A893" s="75"/>
      <c r="B893" s="76"/>
      <c r="C893" s="76"/>
      <c r="D893" s="76"/>
    </row>
    <row r="894" spans="1:4" x14ac:dyDescent="0.25">
      <c r="A894" s="75"/>
      <c r="B894" s="76"/>
      <c r="C894" s="76"/>
      <c r="D894" s="76"/>
    </row>
    <row r="895" spans="1:4" x14ac:dyDescent="0.25">
      <c r="A895" s="75"/>
      <c r="B895" s="76"/>
      <c r="C895" s="76"/>
      <c r="D895" s="76"/>
    </row>
    <row r="896" spans="1:4" x14ac:dyDescent="0.25">
      <c r="A896" s="75"/>
      <c r="B896" s="76"/>
      <c r="C896" s="76"/>
      <c r="D896" s="76"/>
    </row>
    <row r="897" spans="1:4" x14ac:dyDescent="0.25">
      <c r="A897" s="75"/>
      <c r="B897" s="76"/>
      <c r="C897" s="76"/>
      <c r="D897" s="76"/>
    </row>
    <row r="898" spans="1:4" x14ac:dyDescent="0.25">
      <c r="A898" s="75"/>
      <c r="B898" s="76"/>
      <c r="C898" s="76"/>
      <c r="D898" s="76"/>
    </row>
    <row r="899" spans="1:4" x14ac:dyDescent="0.25">
      <c r="A899" s="75"/>
      <c r="B899" s="76"/>
      <c r="C899" s="76"/>
      <c r="D899" s="76"/>
    </row>
    <row r="900" spans="1:4" x14ac:dyDescent="0.25">
      <c r="A900" s="75"/>
      <c r="B900" s="76"/>
      <c r="C900" s="76"/>
      <c r="D900" s="76"/>
    </row>
    <row r="901" spans="1:4" x14ac:dyDescent="0.25">
      <c r="A901" s="75"/>
      <c r="B901" s="76"/>
      <c r="C901" s="76"/>
      <c r="D901" s="76"/>
    </row>
    <row r="902" spans="1:4" x14ac:dyDescent="0.25">
      <c r="A902" s="75"/>
      <c r="B902" s="76"/>
      <c r="C902" s="76"/>
      <c r="D902" s="76"/>
    </row>
    <row r="903" spans="1:4" x14ac:dyDescent="0.25">
      <c r="A903" s="75"/>
      <c r="B903" s="76"/>
      <c r="C903" s="76"/>
      <c r="D903" s="76"/>
    </row>
    <row r="904" spans="1:4" x14ac:dyDescent="0.25">
      <c r="A904" s="75"/>
      <c r="B904" s="76"/>
      <c r="C904" s="76"/>
      <c r="D904" s="76"/>
    </row>
    <row r="905" spans="1:4" x14ac:dyDescent="0.25">
      <c r="A905" s="75"/>
      <c r="B905" s="76"/>
      <c r="C905" s="76"/>
      <c r="D905" s="76"/>
    </row>
    <row r="906" spans="1:4" x14ac:dyDescent="0.25">
      <c r="A906" s="75"/>
      <c r="B906" s="76"/>
      <c r="C906" s="76"/>
      <c r="D906" s="76"/>
    </row>
    <row r="907" spans="1:4" x14ac:dyDescent="0.25">
      <c r="A907" s="75"/>
      <c r="B907" s="76"/>
      <c r="C907" s="76"/>
      <c r="D907" s="76"/>
    </row>
    <row r="908" spans="1:4" x14ac:dyDescent="0.25">
      <c r="A908" s="75"/>
      <c r="B908" s="76"/>
      <c r="C908" s="76"/>
      <c r="D908" s="76"/>
    </row>
    <row r="909" spans="1:4" x14ac:dyDescent="0.25">
      <c r="A909" s="75"/>
      <c r="B909" s="76"/>
      <c r="C909" s="76"/>
      <c r="D909" s="76"/>
    </row>
    <row r="910" spans="1:4" x14ac:dyDescent="0.25">
      <c r="A910" s="75"/>
      <c r="B910" s="76"/>
      <c r="C910" s="76"/>
      <c r="D910" s="76"/>
    </row>
    <row r="911" spans="1:4" x14ac:dyDescent="0.25">
      <c r="A911" s="75"/>
      <c r="B911" s="76"/>
      <c r="C911" s="76"/>
      <c r="D911" s="76"/>
    </row>
    <row r="912" spans="1:4" x14ac:dyDescent="0.25">
      <c r="A912" s="75"/>
      <c r="B912" s="76"/>
      <c r="C912" s="76"/>
      <c r="D912" s="76"/>
    </row>
    <row r="913" spans="1:4" x14ac:dyDescent="0.25">
      <c r="A913" s="75"/>
      <c r="B913" s="76"/>
      <c r="C913" s="76"/>
      <c r="D913" s="76"/>
    </row>
    <row r="914" spans="1:4" x14ac:dyDescent="0.25">
      <c r="A914" s="75"/>
      <c r="B914" s="76"/>
      <c r="C914" s="76"/>
      <c r="D914" s="76"/>
    </row>
    <row r="915" spans="1:4" x14ac:dyDescent="0.25">
      <c r="A915" s="75"/>
      <c r="B915" s="76"/>
      <c r="C915" s="76"/>
      <c r="D915" s="76"/>
    </row>
    <row r="916" spans="1:4" x14ac:dyDescent="0.25">
      <c r="A916" s="75"/>
      <c r="B916" s="76"/>
      <c r="C916" s="76"/>
      <c r="D916" s="76"/>
    </row>
    <row r="917" spans="1:4" x14ac:dyDescent="0.25">
      <c r="A917" s="75"/>
      <c r="B917" s="76"/>
      <c r="C917" s="76"/>
      <c r="D917" s="76"/>
    </row>
    <row r="918" spans="1:4" x14ac:dyDescent="0.25">
      <c r="A918" s="75"/>
      <c r="B918" s="76"/>
      <c r="C918" s="76"/>
      <c r="D918" s="76"/>
    </row>
    <row r="919" spans="1:4" x14ac:dyDescent="0.25">
      <c r="A919" s="75"/>
      <c r="B919" s="76"/>
      <c r="C919" s="76"/>
      <c r="D919" s="76"/>
    </row>
    <row r="920" spans="1:4" x14ac:dyDescent="0.25">
      <c r="A920" s="75"/>
      <c r="B920" s="76"/>
      <c r="C920" s="76"/>
      <c r="D920" s="76"/>
    </row>
    <row r="921" spans="1:4" x14ac:dyDescent="0.25">
      <c r="A921" s="75"/>
      <c r="B921" s="76"/>
      <c r="C921" s="76"/>
      <c r="D921" s="76"/>
    </row>
    <row r="922" spans="1:4" x14ac:dyDescent="0.25">
      <c r="A922" s="75"/>
      <c r="B922" s="76"/>
      <c r="C922" s="76"/>
      <c r="D922" s="76"/>
    </row>
    <row r="923" spans="1:4" x14ac:dyDescent="0.25">
      <c r="A923" s="75"/>
      <c r="B923" s="76"/>
      <c r="C923" s="76"/>
      <c r="D923" s="76"/>
    </row>
    <row r="924" spans="1:4" x14ac:dyDescent="0.25">
      <c r="A924" s="75"/>
      <c r="B924" s="76"/>
      <c r="C924" s="76"/>
      <c r="D924" s="76"/>
    </row>
    <row r="925" spans="1:4" x14ac:dyDescent="0.25">
      <c r="A925" s="75"/>
      <c r="B925" s="76"/>
      <c r="C925" s="76"/>
      <c r="D925" s="76"/>
    </row>
    <row r="926" spans="1:4" x14ac:dyDescent="0.25">
      <c r="A926" s="75"/>
      <c r="B926" s="76"/>
      <c r="C926" s="76"/>
      <c r="D926" s="76"/>
    </row>
    <row r="927" spans="1:4" x14ac:dyDescent="0.25">
      <c r="A927" s="75"/>
      <c r="B927" s="76"/>
      <c r="C927" s="76"/>
      <c r="D927" s="76"/>
    </row>
    <row r="928" spans="1:4" x14ac:dyDescent="0.25">
      <c r="A928" s="75"/>
      <c r="B928" s="76"/>
      <c r="C928" s="76"/>
      <c r="D928" s="76"/>
    </row>
    <row r="929" spans="1:4" x14ac:dyDescent="0.25">
      <c r="A929" s="75"/>
      <c r="B929" s="76"/>
      <c r="C929" s="76"/>
      <c r="D929" s="76"/>
    </row>
    <row r="930" spans="1:4" x14ac:dyDescent="0.25">
      <c r="A930" s="75"/>
      <c r="B930" s="76"/>
      <c r="C930" s="76"/>
      <c r="D930" s="76"/>
    </row>
    <row r="931" spans="1:4" x14ac:dyDescent="0.25">
      <c r="A931" s="75"/>
      <c r="B931" s="76"/>
      <c r="C931" s="76"/>
      <c r="D931" s="76"/>
    </row>
    <row r="932" spans="1:4" x14ac:dyDescent="0.25">
      <c r="A932" s="75"/>
      <c r="B932" s="76"/>
      <c r="C932" s="76"/>
      <c r="D932" s="76"/>
    </row>
    <row r="933" spans="1:4" x14ac:dyDescent="0.25">
      <c r="A933" s="75"/>
      <c r="B933" s="76"/>
      <c r="C933" s="76"/>
      <c r="D933" s="76"/>
    </row>
    <row r="934" spans="1:4" x14ac:dyDescent="0.25">
      <c r="A934" s="75"/>
      <c r="B934" s="76"/>
      <c r="C934" s="76"/>
      <c r="D934" s="76"/>
    </row>
    <row r="935" spans="1:4" x14ac:dyDescent="0.25">
      <c r="A935" s="75"/>
      <c r="B935" s="76"/>
      <c r="C935" s="76"/>
      <c r="D935" s="76"/>
    </row>
    <row r="936" spans="1:4" x14ac:dyDescent="0.25">
      <c r="A936" s="75"/>
      <c r="B936" s="76"/>
      <c r="C936" s="76"/>
      <c r="D936" s="76"/>
    </row>
    <row r="937" spans="1:4" x14ac:dyDescent="0.25">
      <c r="A937" s="75"/>
      <c r="B937" s="76"/>
      <c r="C937" s="76"/>
      <c r="D937" s="76"/>
    </row>
    <row r="938" spans="1:4" x14ac:dyDescent="0.25">
      <c r="A938" s="75"/>
      <c r="B938" s="76"/>
      <c r="C938" s="76"/>
      <c r="D938" s="76"/>
    </row>
    <row r="939" spans="1:4" x14ac:dyDescent="0.25">
      <c r="A939" s="75"/>
      <c r="B939" s="76"/>
      <c r="C939" s="76"/>
      <c r="D939" s="76"/>
    </row>
    <row r="940" spans="1:4" x14ac:dyDescent="0.25">
      <c r="A940" s="75"/>
      <c r="B940" s="76"/>
      <c r="C940" s="76"/>
      <c r="D940" s="76"/>
    </row>
    <row r="941" spans="1:4" x14ac:dyDescent="0.25">
      <c r="A941" s="75"/>
      <c r="B941" s="76"/>
      <c r="C941" s="76"/>
      <c r="D941" s="76"/>
    </row>
    <row r="942" spans="1:4" x14ac:dyDescent="0.25">
      <c r="A942" s="75"/>
      <c r="B942" s="76"/>
      <c r="C942" s="76"/>
      <c r="D942" s="76"/>
    </row>
    <row r="943" spans="1:4" x14ac:dyDescent="0.25">
      <c r="A943" s="75"/>
      <c r="B943" s="76"/>
      <c r="C943" s="76"/>
      <c r="D943" s="76"/>
    </row>
    <row r="944" spans="1:4" x14ac:dyDescent="0.25">
      <c r="A944" s="75"/>
      <c r="B944" s="76"/>
      <c r="C944" s="76"/>
      <c r="D944" s="76"/>
    </row>
    <row r="945" spans="1:4" x14ac:dyDescent="0.25">
      <c r="A945" s="75"/>
      <c r="B945" s="76"/>
      <c r="C945" s="76"/>
      <c r="D945" s="76"/>
    </row>
    <row r="946" spans="1:4" x14ac:dyDescent="0.25">
      <c r="A946" s="75"/>
      <c r="B946" s="76"/>
      <c r="C946" s="76"/>
      <c r="D946" s="76"/>
    </row>
    <row r="947" spans="1:4" x14ac:dyDescent="0.25">
      <c r="A947" s="75"/>
      <c r="B947" s="76"/>
      <c r="C947" s="76"/>
      <c r="D947" s="76"/>
    </row>
    <row r="948" spans="1:4" x14ac:dyDescent="0.25">
      <c r="A948" s="75"/>
      <c r="B948" s="76"/>
      <c r="C948" s="76"/>
      <c r="D948" s="76"/>
    </row>
    <row r="949" spans="1:4" x14ac:dyDescent="0.25">
      <c r="A949" s="75"/>
      <c r="B949" s="76"/>
      <c r="C949" s="76"/>
      <c r="D949" s="76"/>
    </row>
    <row r="950" spans="1:4" x14ac:dyDescent="0.25">
      <c r="A950" s="75"/>
      <c r="B950" s="76"/>
      <c r="C950" s="76"/>
      <c r="D950" s="76"/>
    </row>
    <row r="951" spans="1:4" x14ac:dyDescent="0.25">
      <c r="A951" s="75"/>
      <c r="B951" s="76"/>
      <c r="C951" s="76"/>
      <c r="D951" s="76"/>
    </row>
    <row r="952" spans="1:4" x14ac:dyDescent="0.25">
      <c r="A952" s="75"/>
      <c r="B952" s="76"/>
      <c r="C952" s="76"/>
      <c r="D952" s="76"/>
    </row>
    <row r="953" spans="1:4" x14ac:dyDescent="0.25">
      <c r="A953" s="75"/>
      <c r="B953" s="76"/>
      <c r="C953" s="76"/>
      <c r="D953" s="76"/>
    </row>
    <row r="954" spans="1:4" x14ac:dyDescent="0.25">
      <c r="A954" s="75"/>
      <c r="B954" s="76"/>
      <c r="C954" s="76"/>
      <c r="D954" s="76"/>
    </row>
    <row r="955" spans="1:4" x14ac:dyDescent="0.25">
      <c r="A955" s="75"/>
      <c r="B955" s="76"/>
      <c r="C955" s="76"/>
      <c r="D955" s="76"/>
    </row>
    <row r="956" spans="1:4" x14ac:dyDescent="0.25">
      <c r="A956" s="75"/>
      <c r="B956" s="76"/>
      <c r="C956" s="76"/>
      <c r="D956" s="76"/>
    </row>
    <row r="957" spans="1:4" x14ac:dyDescent="0.25">
      <c r="A957" s="75"/>
      <c r="B957" s="76"/>
      <c r="C957" s="76"/>
      <c r="D957" s="76"/>
    </row>
    <row r="958" spans="1:4" x14ac:dyDescent="0.25">
      <c r="A958" s="75"/>
      <c r="B958" s="76"/>
      <c r="C958" s="76"/>
      <c r="D958" s="76"/>
    </row>
    <row r="959" spans="1:4" x14ac:dyDescent="0.25">
      <c r="A959" s="75"/>
      <c r="B959" s="76"/>
      <c r="C959" s="76"/>
      <c r="D959" s="76"/>
    </row>
    <row r="960" spans="1:4" x14ac:dyDescent="0.25">
      <c r="A960" s="75"/>
      <c r="B960" s="76"/>
      <c r="C960" s="76"/>
      <c r="D960" s="76"/>
    </row>
    <row r="961" spans="1:4" x14ac:dyDescent="0.25">
      <c r="A961" s="75"/>
      <c r="B961" s="76"/>
      <c r="C961" s="76"/>
      <c r="D961" s="76"/>
    </row>
    <row r="962" spans="1:4" x14ac:dyDescent="0.25">
      <c r="A962" s="75"/>
      <c r="B962" s="76"/>
      <c r="C962" s="76"/>
      <c r="D962" s="76"/>
    </row>
    <row r="963" spans="1:4" x14ac:dyDescent="0.25">
      <c r="A963" s="75"/>
      <c r="B963" s="76"/>
      <c r="C963" s="76"/>
      <c r="D963" s="76"/>
    </row>
    <row r="964" spans="1:4" x14ac:dyDescent="0.25">
      <c r="A964" s="75"/>
      <c r="B964" s="76"/>
      <c r="C964" s="76"/>
      <c r="D964" s="76"/>
    </row>
    <row r="965" spans="1:4" x14ac:dyDescent="0.25">
      <c r="A965" s="75"/>
      <c r="B965" s="76"/>
      <c r="C965" s="76"/>
      <c r="D965" s="76"/>
    </row>
    <row r="966" spans="1:4" x14ac:dyDescent="0.25">
      <c r="A966" s="75"/>
      <c r="B966" s="76"/>
      <c r="C966" s="76"/>
      <c r="D966" s="76"/>
    </row>
    <row r="967" spans="1:4" x14ac:dyDescent="0.25">
      <c r="A967" s="75"/>
      <c r="B967" s="76"/>
      <c r="C967" s="76"/>
      <c r="D967" s="76"/>
    </row>
    <row r="968" spans="1:4" x14ac:dyDescent="0.25">
      <c r="A968" s="75"/>
      <c r="B968" s="76"/>
      <c r="C968" s="76"/>
      <c r="D968" s="76"/>
    </row>
    <row r="969" spans="1:4" x14ac:dyDescent="0.25">
      <c r="A969" s="75"/>
      <c r="B969" s="76"/>
      <c r="C969" s="76"/>
      <c r="D969" s="76"/>
    </row>
    <row r="970" spans="1:4" x14ac:dyDescent="0.25">
      <c r="A970" s="75"/>
      <c r="B970" s="76"/>
      <c r="C970" s="76"/>
      <c r="D970" s="76"/>
    </row>
    <row r="971" spans="1:4" x14ac:dyDescent="0.25">
      <c r="A971" s="75"/>
      <c r="B971" s="76"/>
      <c r="C971" s="76"/>
      <c r="D971" s="76"/>
    </row>
    <row r="972" spans="1:4" x14ac:dyDescent="0.25">
      <c r="A972" s="75"/>
      <c r="B972" s="76"/>
      <c r="C972" s="76"/>
      <c r="D972" s="76"/>
    </row>
    <row r="973" spans="1:4" x14ac:dyDescent="0.25">
      <c r="A973" s="75"/>
      <c r="B973" s="76"/>
      <c r="C973" s="76"/>
      <c r="D973" s="76"/>
    </row>
    <row r="974" spans="1:4" x14ac:dyDescent="0.25">
      <c r="A974" s="75"/>
      <c r="B974" s="76"/>
      <c r="C974" s="76"/>
      <c r="D974" s="76"/>
    </row>
    <row r="975" spans="1:4" x14ac:dyDescent="0.25">
      <c r="A975" s="75"/>
      <c r="B975" s="76"/>
      <c r="C975" s="76"/>
      <c r="D975" s="76"/>
    </row>
    <row r="976" spans="1:4" x14ac:dyDescent="0.25">
      <c r="A976" s="75"/>
      <c r="B976" s="76"/>
      <c r="C976" s="76"/>
      <c r="D976" s="76"/>
    </row>
    <row r="977" spans="1:4" x14ac:dyDescent="0.25">
      <c r="A977" s="75"/>
      <c r="B977" s="76"/>
      <c r="C977" s="76"/>
      <c r="D977" s="76"/>
    </row>
    <row r="978" spans="1:4" x14ac:dyDescent="0.25">
      <c r="A978" s="75"/>
      <c r="B978" s="76"/>
      <c r="C978" s="76"/>
      <c r="D978" s="76"/>
    </row>
    <row r="979" spans="1:4" x14ac:dyDescent="0.25">
      <c r="A979" s="75"/>
      <c r="B979" s="76"/>
      <c r="C979" s="76"/>
      <c r="D979" s="76"/>
    </row>
    <row r="980" spans="1:4" x14ac:dyDescent="0.25">
      <c r="A980" s="75"/>
      <c r="B980" s="76"/>
      <c r="C980" s="76"/>
      <c r="D980" s="76"/>
    </row>
    <row r="981" spans="1:4" x14ac:dyDescent="0.25">
      <c r="A981" s="75"/>
      <c r="B981" s="76"/>
      <c r="C981" s="76"/>
      <c r="D981" s="76"/>
    </row>
    <row r="982" spans="1:4" x14ac:dyDescent="0.25">
      <c r="A982" s="75"/>
      <c r="B982" s="76"/>
      <c r="C982" s="76"/>
      <c r="D982" s="76"/>
    </row>
    <row r="983" spans="1:4" x14ac:dyDescent="0.25">
      <c r="A983" s="75"/>
      <c r="B983" s="76"/>
      <c r="C983" s="76"/>
      <c r="D983" s="76"/>
    </row>
    <row r="984" spans="1:4" x14ac:dyDescent="0.25">
      <c r="A984" s="75"/>
      <c r="B984" s="76"/>
      <c r="C984" s="76"/>
      <c r="D984" s="76"/>
    </row>
    <row r="985" spans="1:4" x14ac:dyDescent="0.25">
      <c r="A985" s="75"/>
      <c r="B985" s="76"/>
      <c r="C985" s="76"/>
      <c r="D985" s="76"/>
    </row>
    <row r="986" spans="1:4" x14ac:dyDescent="0.25">
      <c r="A986" s="75"/>
      <c r="B986" s="76"/>
      <c r="C986" s="76"/>
      <c r="D986" s="76"/>
    </row>
    <row r="987" spans="1:4" x14ac:dyDescent="0.25">
      <c r="A987" s="75"/>
      <c r="B987" s="76"/>
      <c r="C987" s="76"/>
      <c r="D987" s="76"/>
    </row>
    <row r="988" spans="1:4" x14ac:dyDescent="0.25">
      <c r="A988" s="75"/>
      <c r="B988" s="76"/>
      <c r="C988" s="76"/>
      <c r="D988" s="76"/>
    </row>
    <row r="989" spans="1:4" x14ac:dyDescent="0.25">
      <c r="A989" s="75"/>
      <c r="B989" s="76"/>
      <c r="C989" s="76"/>
      <c r="D989" s="76"/>
    </row>
    <row r="990" spans="1:4" x14ac:dyDescent="0.25">
      <c r="A990" s="75"/>
      <c r="B990" s="76"/>
      <c r="C990" s="76"/>
      <c r="D990" s="76"/>
    </row>
    <row r="991" spans="1:4" x14ac:dyDescent="0.25">
      <c r="A991" s="75"/>
      <c r="B991" s="76"/>
      <c r="C991" s="76"/>
      <c r="D991" s="76"/>
    </row>
    <row r="992" spans="1:4" x14ac:dyDescent="0.25">
      <c r="A992" s="75"/>
      <c r="B992" s="76"/>
      <c r="C992" s="76"/>
      <c r="D992" s="76"/>
    </row>
    <row r="993" spans="1:4" x14ac:dyDescent="0.25">
      <c r="A993" s="75"/>
      <c r="B993" s="76"/>
      <c r="C993" s="76"/>
      <c r="D993" s="76"/>
    </row>
    <row r="994" spans="1:4" x14ac:dyDescent="0.25">
      <c r="A994" s="75"/>
      <c r="B994" s="76"/>
      <c r="C994" s="76"/>
      <c r="D994" s="76"/>
    </row>
    <row r="995" spans="1:4" x14ac:dyDescent="0.25">
      <c r="A995" s="75"/>
      <c r="B995" s="76"/>
      <c r="C995" s="76"/>
      <c r="D995" s="76"/>
    </row>
    <row r="996" spans="1:4" x14ac:dyDescent="0.25">
      <c r="A996" s="75"/>
      <c r="B996" s="76"/>
      <c r="C996" s="76"/>
      <c r="D996" s="76"/>
    </row>
    <row r="997" spans="1:4" x14ac:dyDescent="0.25">
      <c r="A997" s="75"/>
      <c r="B997" s="76"/>
      <c r="C997" s="76"/>
      <c r="D997" s="76"/>
    </row>
    <row r="998" spans="1:4" x14ac:dyDescent="0.25">
      <c r="A998" s="75"/>
      <c r="B998" s="76"/>
      <c r="C998" s="76"/>
      <c r="D998" s="76"/>
    </row>
    <row r="999" spans="1:4" x14ac:dyDescent="0.25">
      <c r="A999" s="75"/>
      <c r="B999" s="76"/>
      <c r="C999" s="76"/>
      <c r="D999" s="76"/>
    </row>
    <row r="1000" spans="1:4" x14ac:dyDescent="0.25">
      <c r="A1000" s="75"/>
      <c r="B1000" s="76"/>
      <c r="C1000" s="76"/>
      <c r="D1000" s="7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995"/>
  <sheetViews>
    <sheetView workbookViewId="0">
      <selection activeCell="G11" sqref="G11"/>
    </sheetView>
  </sheetViews>
  <sheetFormatPr baseColWidth="10" defaultColWidth="14.42578125" defaultRowHeight="15" customHeight="1" x14ac:dyDescent="0.25"/>
  <cols>
    <col min="2" max="2" width="28" customWidth="1"/>
    <col min="3" max="4" width="21.28515625" customWidth="1"/>
  </cols>
  <sheetData>
    <row r="1" spans="1:4" x14ac:dyDescent="0.25">
      <c r="A1" s="62" t="s">
        <v>476</v>
      </c>
      <c r="B1" s="63" t="s">
        <v>459</v>
      </c>
      <c r="C1" s="82" t="s">
        <v>479</v>
      </c>
      <c r="D1" s="82" t="s">
        <v>480</v>
      </c>
    </row>
    <row r="2" spans="1:4" x14ac:dyDescent="0.25">
      <c r="A2" s="66">
        <v>10101</v>
      </c>
      <c r="B2" s="67" t="s">
        <v>32</v>
      </c>
      <c r="C2" s="83">
        <v>19667</v>
      </c>
      <c r="D2" s="83">
        <v>14988</v>
      </c>
    </row>
    <row r="3" spans="1:4" x14ac:dyDescent="0.25">
      <c r="A3" s="66">
        <v>10102</v>
      </c>
      <c r="B3" s="67" t="s">
        <v>33</v>
      </c>
      <c r="C3" s="83">
        <v>2138</v>
      </c>
      <c r="D3" s="83">
        <v>2266</v>
      </c>
    </row>
    <row r="4" spans="1:4" x14ac:dyDescent="0.25">
      <c r="A4" s="66">
        <v>10103</v>
      </c>
      <c r="B4" s="67" t="s">
        <v>34</v>
      </c>
      <c r="C4" s="83">
        <v>4645</v>
      </c>
      <c r="D4" s="83">
        <v>4392</v>
      </c>
    </row>
    <row r="5" spans="1:4" x14ac:dyDescent="0.25">
      <c r="A5" s="66">
        <v>10201</v>
      </c>
      <c r="B5" s="67" t="s">
        <v>35</v>
      </c>
      <c r="C5" s="83">
        <v>2265</v>
      </c>
      <c r="D5" s="83">
        <v>2001</v>
      </c>
    </row>
    <row r="6" spans="1:4" x14ac:dyDescent="0.25">
      <c r="A6" s="66">
        <v>10202</v>
      </c>
      <c r="B6" s="67" t="s">
        <v>36</v>
      </c>
      <c r="C6" s="83">
        <v>3106</v>
      </c>
      <c r="D6" s="83">
        <v>4007</v>
      </c>
    </row>
    <row r="7" spans="1:4" x14ac:dyDescent="0.25">
      <c r="A7" s="66">
        <v>10301</v>
      </c>
      <c r="B7" s="67" t="s">
        <v>37</v>
      </c>
      <c r="C7" s="83">
        <v>1848</v>
      </c>
      <c r="D7" s="83">
        <v>2124</v>
      </c>
    </row>
    <row r="8" spans="1:4" x14ac:dyDescent="0.25">
      <c r="A8" s="66">
        <v>10302</v>
      </c>
      <c r="B8" s="67" t="s">
        <v>38</v>
      </c>
      <c r="C8" s="83">
        <v>2674</v>
      </c>
      <c r="D8" s="83">
        <v>2716</v>
      </c>
    </row>
    <row r="9" spans="1:4" x14ac:dyDescent="0.25">
      <c r="A9" s="66">
        <v>10303</v>
      </c>
      <c r="B9" s="67" t="s">
        <v>39</v>
      </c>
      <c r="C9" s="83">
        <v>1517</v>
      </c>
      <c r="D9" s="83">
        <v>1637</v>
      </c>
    </row>
    <row r="10" spans="1:4" x14ac:dyDescent="0.25">
      <c r="A10" s="66">
        <v>10304</v>
      </c>
      <c r="B10" s="67" t="s">
        <v>40</v>
      </c>
      <c r="C10" s="83">
        <v>1708</v>
      </c>
      <c r="D10" s="83">
        <v>2377</v>
      </c>
    </row>
    <row r="11" spans="1:4" x14ac:dyDescent="0.25">
      <c r="A11" s="66">
        <v>10401</v>
      </c>
      <c r="B11" s="67" t="s">
        <v>42</v>
      </c>
      <c r="C11" s="83">
        <v>1956</v>
      </c>
      <c r="D11" s="83">
        <v>1741</v>
      </c>
    </row>
    <row r="12" spans="1:4" x14ac:dyDescent="0.25">
      <c r="A12" s="66">
        <v>10402</v>
      </c>
      <c r="B12" s="67" t="s">
        <v>41</v>
      </c>
      <c r="C12" s="83">
        <v>1695</v>
      </c>
      <c r="D12" s="83">
        <v>1584</v>
      </c>
    </row>
    <row r="13" spans="1:4" x14ac:dyDescent="0.25">
      <c r="A13" s="66">
        <v>10403</v>
      </c>
      <c r="B13" s="67" t="s">
        <v>43</v>
      </c>
      <c r="C13" s="83">
        <v>1453</v>
      </c>
      <c r="D13" s="83">
        <v>1426</v>
      </c>
    </row>
    <row r="14" spans="1:4" x14ac:dyDescent="0.25">
      <c r="A14" s="66">
        <v>10404</v>
      </c>
      <c r="B14" s="67" t="s">
        <v>44</v>
      </c>
      <c r="C14" s="83">
        <v>849</v>
      </c>
      <c r="D14" s="83">
        <v>656</v>
      </c>
    </row>
    <row r="15" spans="1:4" x14ac:dyDescent="0.25">
      <c r="A15" s="66">
        <v>10405</v>
      </c>
      <c r="B15" s="67" t="s">
        <v>45</v>
      </c>
      <c r="C15" s="83">
        <v>1016</v>
      </c>
      <c r="D15" s="83">
        <v>1157</v>
      </c>
    </row>
    <row r="16" spans="1:4" x14ac:dyDescent="0.25">
      <c r="A16" s="66">
        <v>10501</v>
      </c>
      <c r="B16" s="67" t="s">
        <v>47</v>
      </c>
      <c r="C16" s="83">
        <v>3631</v>
      </c>
      <c r="D16" s="83">
        <v>3729</v>
      </c>
    </row>
    <row r="17" spans="1:4" x14ac:dyDescent="0.25">
      <c r="A17" s="66">
        <v>10502</v>
      </c>
      <c r="B17" s="67" t="s">
        <v>48</v>
      </c>
      <c r="C17" s="83">
        <v>1705</v>
      </c>
      <c r="D17" s="83">
        <v>1593</v>
      </c>
    </row>
    <row r="18" spans="1:4" x14ac:dyDescent="0.25">
      <c r="A18" s="66">
        <v>10601</v>
      </c>
      <c r="B18" s="67" t="s">
        <v>50</v>
      </c>
      <c r="C18" s="83">
        <v>3497</v>
      </c>
      <c r="D18" s="83">
        <v>3207</v>
      </c>
    </row>
    <row r="19" spans="1:4" x14ac:dyDescent="0.25">
      <c r="A19" s="66">
        <v>10602</v>
      </c>
      <c r="B19" s="67" t="s">
        <v>49</v>
      </c>
      <c r="C19" s="83">
        <v>2753</v>
      </c>
      <c r="D19" s="83">
        <v>2541</v>
      </c>
    </row>
    <row r="20" spans="1:4" x14ac:dyDescent="0.25">
      <c r="A20" s="66">
        <v>10701</v>
      </c>
      <c r="B20" s="67" t="s">
        <v>52</v>
      </c>
      <c r="C20" s="83">
        <v>2897</v>
      </c>
      <c r="D20" s="83">
        <v>3128</v>
      </c>
    </row>
    <row r="21" spans="1:4" x14ac:dyDescent="0.25">
      <c r="A21" s="66">
        <v>10702</v>
      </c>
      <c r="B21" s="67" t="s">
        <v>53</v>
      </c>
      <c r="C21" s="83">
        <v>7265</v>
      </c>
      <c r="D21" s="83">
        <v>6601</v>
      </c>
    </row>
    <row r="22" spans="1:4" x14ac:dyDescent="0.25">
      <c r="A22" s="66">
        <v>10703</v>
      </c>
      <c r="B22" s="67" t="s">
        <v>54</v>
      </c>
      <c r="C22" s="83">
        <v>2503</v>
      </c>
      <c r="D22" s="83">
        <v>3324</v>
      </c>
    </row>
    <row r="23" spans="1:4" x14ac:dyDescent="0.25">
      <c r="A23" s="66">
        <v>10704</v>
      </c>
      <c r="B23" s="67" t="s">
        <v>55</v>
      </c>
      <c r="C23" s="83">
        <v>2944</v>
      </c>
      <c r="D23" s="83">
        <v>2818</v>
      </c>
    </row>
    <row r="24" spans="1:4" x14ac:dyDescent="0.25">
      <c r="A24" s="66">
        <v>10801</v>
      </c>
      <c r="B24" s="67" t="s">
        <v>57</v>
      </c>
      <c r="C24" s="83">
        <v>2245</v>
      </c>
      <c r="D24" s="83">
        <v>2071</v>
      </c>
    </row>
    <row r="25" spans="1:4" x14ac:dyDescent="0.25">
      <c r="A25" s="66">
        <v>10901</v>
      </c>
      <c r="B25" s="67" t="s">
        <v>59</v>
      </c>
      <c r="C25" s="83">
        <v>731</v>
      </c>
      <c r="D25" s="83">
        <v>847</v>
      </c>
    </row>
    <row r="26" spans="1:4" x14ac:dyDescent="0.25">
      <c r="A26" s="66">
        <v>10902</v>
      </c>
      <c r="B26" s="67" t="s">
        <v>60</v>
      </c>
      <c r="C26" s="83">
        <v>3637</v>
      </c>
      <c r="D26" s="83">
        <v>3617</v>
      </c>
    </row>
    <row r="27" spans="1:4" x14ac:dyDescent="0.25">
      <c r="A27" s="66">
        <v>10903</v>
      </c>
      <c r="B27" s="67" t="s">
        <v>61</v>
      </c>
      <c r="C27" s="83">
        <v>906</v>
      </c>
      <c r="D27" s="83">
        <v>1072</v>
      </c>
    </row>
    <row r="28" spans="1:4" x14ac:dyDescent="0.25">
      <c r="A28" s="66">
        <v>11001</v>
      </c>
      <c r="B28" s="67" t="s">
        <v>63</v>
      </c>
      <c r="C28" s="83">
        <v>1687</v>
      </c>
      <c r="D28" s="83">
        <v>1978</v>
      </c>
    </row>
    <row r="29" spans="1:4" x14ac:dyDescent="0.25">
      <c r="A29" s="66">
        <v>11002</v>
      </c>
      <c r="B29" s="67" t="s">
        <v>64</v>
      </c>
      <c r="C29" s="83">
        <v>579</v>
      </c>
      <c r="D29" s="83">
        <v>777</v>
      </c>
    </row>
    <row r="30" spans="1:4" x14ac:dyDescent="0.25">
      <c r="A30" s="66">
        <v>11003</v>
      </c>
      <c r="B30" s="67" t="s">
        <v>65</v>
      </c>
      <c r="C30" s="83">
        <v>1448</v>
      </c>
      <c r="D30" s="83">
        <v>1689</v>
      </c>
    </row>
    <row r="31" spans="1:4" x14ac:dyDescent="0.25">
      <c r="A31" s="66">
        <v>20101</v>
      </c>
      <c r="B31" s="67" t="s">
        <v>68</v>
      </c>
      <c r="C31" s="84">
        <v>7818</v>
      </c>
      <c r="D31" s="84">
        <v>4323</v>
      </c>
    </row>
    <row r="32" spans="1:4" x14ac:dyDescent="0.25">
      <c r="A32" s="73">
        <v>20102</v>
      </c>
      <c r="B32" s="74" t="s">
        <v>69</v>
      </c>
      <c r="C32" s="83">
        <v>4825</v>
      </c>
      <c r="D32" s="83">
        <v>6780</v>
      </c>
    </row>
    <row r="33" spans="1:4" x14ac:dyDescent="0.25">
      <c r="A33" s="73">
        <v>20103</v>
      </c>
      <c r="B33" s="74" t="s">
        <v>70</v>
      </c>
      <c r="C33" s="83">
        <v>4236</v>
      </c>
      <c r="D33" s="83">
        <v>3289</v>
      </c>
    </row>
    <row r="34" spans="1:4" x14ac:dyDescent="0.25">
      <c r="A34" s="73">
        <v>20104</v>
      </c>
      <c r="B34" s="74" t="s">
        <v>71</v>
      </c>
      <c r="C34" s="83">
        <v>6313</v>
      </c>
      <c r="D34" s="83">
        <v>3880</v>
      </c>
    </row>
    <row r="35" spans="1:4" x14ac:dyDescent="0.25">
      <c r="A35" s="73">
        <v>20105</v>
      </c>
      <c r="B35" s="74" t="s">
        <v>72</v>
      </c>
      <c r="C35" s="83">
        <v>44271</v>
      </c>
      <c r="D35" s="83">
        <v>18912</v>
      </c>
    </row>
    <row r="36" spans="1:4" x14ac:dyDescent="0.25">
      <c r="A36" s="73">
        <v>20201</v>
      </c>
      <c r="B36" s="74" t="s">
        <v>74</v>
      </c>
      <c r="C36" s="83">
        <v>13441</v>
      </c>
      <c r="D36" s="83">
        <v>14376</v>
      </c>
    </row>
    <row r="37" spans="1:4" x14ac:dyDescent="0.25">
      <c r="A37" s="73">
        <v>20202</v>
      </c>
      <c r="B37" s="74" t="s">
        <v>75</v>
      </c>
      <c r="C37" s="83">
        <v>4962</v>
      </c>
      <c r="D37" s="83">
        <v>6434</v>
      </c>
    </row>
    <row r="38" spans="1:4" x14ac:dyDescent="0.25">
      <c r="A38" s="73">
        <v>20203</v>
      </c>
      <c r="B38" s="74" t="s">
        <v>79</v>
      </c>
      <c r="C38" s="83">
        <v>2014</v>
      </c>
      <c r="D38" s="83">
        <v>2032</v>
      </c>
    </row>
    <row r="39" spans="1:4" x14ac:dyDescent="0.25">
      <c r="A39" s="73">
        <v>20204</v>
      </c>
      <c r="B39" s="74" t="s">
        <v>76</v>
      </c>
      <c r="C39" s="83">
        <v>3262</v>
      </c>
      <c r="D39" s="83">
        <v>3238</v>
      </c>
    </row>
    <row r="40" spans="1:4" x14ac:dyDescent="0.25">
      <c r="A40" s="73">
        <v>20205</v>
      </c>
      <c r="B40" s="74" t="s">
        <v>77</v>
      </c>
      <c r="C40" s="83">
        <v>3586</v>
      </c>
      <c r="D40" s="83">
        <v>3741</v>
      </c>
    </row>
    <row r="41" spans="1:4" x14ac:dyDescent="0.25">
      <c r="A41" s="73">
        <v>20206</v>
      </c>
      <c r="B41" s="74" t="s">
        <v>78</v>
      </c>
      <c r="C41" s="83">
        <v>1658</v>
      </c>
      <c r="D41" s="83">
        <v>922</v>
      </c>
    </row>
    <row r="42" spans="1:4" x14ac:dyDescent="0.25">
      <c r="A42" s="73">
        <v>20301</v>
      </c>
      <c r="B42" s="74" t="s">
        <v>81</v>
      </c>
      <c r="C42" s="83">
        <v>3465</v>
      </c>
      <c r="D42" s="83">
        <v>4492</v>
      </c>
    </row>
    <row r="43" spans="1:4" x14ac:dyDescent="0.25">
      <c r="A43" s="73">
        <v>20302</v>
      </c>
      <c r="B43" s="74" t="s">
        <v>82</v>
      </c>
      <c r="C43" s="83">
        <v>4231</v>
      </c>
      <c r="D43" s="83">
        <v>4917</v>
      </c>
    </row>
    <row r="44" spans="1:4" x14ac:dyDescent="0.25">
      <c r="A44" s="73">
        <v>20303</v>
      </c>
      <c r="B44" s="74" t="s">
        <v>83</v>
      </c>
      <c r="C44" s="83">
        <v>3470</v>
      </c>
      <c r="D44" s="83">
        <v>4989</v>
      </c>
    </row>
    <row r="45" spans="1:4" x14ac:dyDescent="0.25">
      <c r="A45" s="73">
        <v>20304</v>
      </c>
      <c r="B45" s="74" t="s">
        <v>84</v>
      </c>
      <c r="C45" s="83">
        <v>1288</v>
      </c>
      <c r="D45" s="83">
        <v>1879</v>
      </c>
    </row>
    <row r="46" spans="1:4" x14ac:dyDescent="0.25">
      <c r="A46" s="73">
        <v>20305</v>
      </c>
      <c r="B46" s="74" t="s">
        <v>85</v>
      </c>
      <c r="C46" s="83">
        <v>1134</v>
      </c>
      <c r="D46" s="83">
        <v>1638</v>
      </c>
    </row>
    <row r="47" spans="1:4" x14ac:dyDescent="0.25">
      <c r="A47" s="73">
        <v>20306</v>
      </c>
      <c r="B47" s="74" t="s">
        <v>86</v>
      </c>
      <c r="C47" s="83">
        <v>1052</v>
      </c>
      <c r="D47" s="83">
        <v>1306</v>
      </c>
    </row>
    <row r="48" spans="1:4" x14ac:dyDescent="0.25">
      <c r="A48" s="73">
        <v>20307</v>
      </c>
      <c r="B48" s="74" t="s">
        <v>87</v>
      </c>
      <c r="C48" s="83">
        <v>259</v>
      </c>
      <c r="D48" s="83">
        <v>1146</v>
      </c>
    </row>
    <row r="49" spans="1:4" x14ac:dyDescent="0.25">
      <c r="A49" s="73">
        <v>20308</v>
      </c>
      <c r="B49" s="74" t="s">
        <v>88</v>
      </c>
      <c r="C49" s="83">
        <v>2786</v>
      </c>
      <c r="D49" s="83">
        <v>3534</v>
      </c>
    </row>
    <row r="50" spans="1:4" x14ac:dyDescent="0.25">
      <c r="A50" s="73">
        <v>20401</v>
      </c>
      <c r="B50" s="74" t="s">
        <v>90</v>
      </c>
      <c r="C50" s="83">
        <v>4589</v>
      </c>
      <c r="D50" s="83">
        <v>6069</v>
      </c>
    </row>
    <row r="51" spans="1:4" x14ac:dyDescent="0.25">
      <c r="A51" s="73">
        <v>20402</v>
      </c>
      <c r="B51" s="74" t="s">
        <v>91</v>
      </c>
      <c r="C51" s="83">
        <v>6544</v>
      </c>
      <c r="D51" s="83">
        <v>7631</v>
      </c>
    </row>
    <row r="52" spans="1:4" x14ac:dyDescent="0.25">
      <c r="A52" s="73">
        <v>20403</v>
      </c>
      <c r="B52" s="74" t="s">
        <v>92</v>
      </c>
      <c r="C52" s="83">
        <v>5275</v>
      </c>
      <c r="D52" s="83">
        <v>6772</v>
      </c>
    </row>
    <row r="53" spans="1:4" x14ac:dyDescent="0.25">
      <c r="A53" s="73">
        <v>20404</v>
      </c>
      <c r="B53" s="74" t="s">
        <v>93</v>
      </c>
      <c r="C53" s="83">
        <v>2061</v>
      </c>
      <c r="D53" s="83">
        <v>2432</v>
      </c>
    </row>
    <row r="54" spans="1:4" x14ac:dyDescent="0.25">
      <c r="A54" s="73">
        <v>20405</v>
      </c>
      <c r="B54" s="74" t="s">
        <v>94</v>
      </c>
      <c r="C54" s="83">
        <v>2782</v>
      </c>
      <c r="D54" s="83">
        <v>3405</v>
      </c>
    </row>
    <row r="55" spans="1:4" x14ac:dyDescent="0.25">
      <c r="A55" s="73">
        <v>20501</v>
      </c>
      <c r="B55" s="74" t="s">
        <v>96</v>
      </c>
      <c r="C55" s="83">
        <v>3908</v>
      </c>
      <c r="D55" s="83">
        <v>6015</v>
      </c>
    </row>
    <row r="56" spans="1:4" x14ac:dyDescent="0.25">
      <c r="A56" s="73">
        <v>20502</v>
      </c>
      <c r="B56" s="74" t="s">
        <v>97</v>
      </c>
      <c r="C56" s="83">
        <v>2716</v>
      </c>
      <c r="D56" s="83">
        <v>3387</v>
      </c>
    </row>
    <row r="57" spans="1:4" x14ac:dyDescent="0.25">
      <c r="A57" s="73">
        <v>20503</v>
      </c>
      <c r="B57" s="74" t="s">
        <v>98</v>
      </c>
      <c r="C57" s="83">
        <v>1847</v>
      </c>
      <c r="D57" s="83">
        <v>2193</v>
      </c>
    </row>
    <row r="58" spans="1:4" x14ac:dyDescent="0.25">
      <c r="A58" s="73">
        <v>20601</v>
      </c>
      <c r="B58" s="74" t="s">
        <v>100</v>
      </c>
      <c r="C58" s="83">
        <v>7771</v>
      </c>
      <c r="D58" s="83">
        <v>9077</v>
      </c>
    </row>
    <row r="59" spans="1:4" x14ac:dyDescent="0.25">
      <c r="A59" s="73">
        <v>20602</v>
      </c>
      <c r="B59" s="74" t="s">
        <v>101</v>
      </c>
      <c r="C59" s="83">
        <v>3891</v>
      </c>
      <c r="D59" s="83">
        <v>4863</v>
      </c>
    </row>
    <row r="60" spans="1:4" x14ac:dyDescent="0.25">
      <c r="A60" s="73">
        <v>20603</v>
      </c>
      <c r="B60" s="74" t="s">
        <v>102</v>
      </c>
      <c r="C60" s="83">
        <v>2844</v>
      </c>
      <c r="D60" s="83">
        <v>3803</v>
      </c>
    </row>
    <row r="61" spans="1:4" x14ac:dyDescent="0.25">
      <c r="A61" s="73">
        <v>20604</v>
      </c>
      <c r="B61" s="74" t="s">
        <v>103</v>
      </c>
      <c r="C61" s="83">
        <v>1022</v>
      </c>
      <c r="D61" s="83">
        <v>1300</v>
      </c>
    </row>
    <row r="62" spans="1:4" x14ac:dyDescent="0.25">
      <c r="A62" s="73">
        <v>20605</v>
      </c>
      <c r="B62" s="74" t="s">
        <v>104</v>
      </c>
      <c r="C62" s="83">
        <v>991</v>
      </c>
      <c r="D62" s="83">
        <v>1025</v>
      </c>
    </row>
    <row r="63" spans="1:4" x14ac:dyDescent="0.25">
      <c r="A63" s="73">
        <v>20606</v>
      </c>
      <c r="B63" s="74" t="s">
        <v>105</v>
      </c>
      <c r="C63" s="83">
        <v>3379</v>
      </c>
      <c r="D63" s="83">
        <v>2454</v>
      </c>
    </row>
    <row r="64" spans="1:4" x14ac:dyDescent="0.25">
      <c r="A64" s="73">
        <v>20607</v>
      </c>
      <c r="B64" s="74" t="s">
        <v>106</v>
      </c>
      <c r="C64" s="83">
        <v>2549</v>
      </c>
      <c r="D64" s="83">
        <v>3500</v>
      </c>
    </row>
    <row r="65" spans="1:4" x14ac:dyDescent="0.25">
      <c r="A65" s="73">
        <v>20608</v>
      </c>
      <c r="B65" s="74" t="s">
        <v>107</v>
      </c>
      <c r="C65" s="83">
        <v>3132</v>
      </c>
      <c r="D65" s="83">
        <v>4119</v>
      </c>
    </row>
    <row r="66" spans="1:4" x14ac:dyDescent="0.25">
      <c r="A66" s="73">
        <v>20701</v>
      </c>
      <c r="B66" s="74" t="s">
        <v>109</v>
      </c>
      <c r="C66" s="83">
        <v>3405</v>
      </c>
      <c r="D66" s="83">
        <v>4207</v>
      </c>
    </row>
    <row r="67" spans="1:4" x14ac:dyDescent="0.25">
      <c r="A67" s="73">
        <v>20702</v>
      </c>
      <c r="B67" s="74" t="s">
        <v>110</v>
      </c>
      <c r="C67" s="83">
        <v>1852</v>
      </c>
      <c r="D67" s="83">
        <v>2440</v>
      </c>
    </row>
    <row r="68" spans="1:4" x14ac:dyDescent="0.25">
      <c r="A68" s="73">
        <v>20801</v>
      </c>
      <c r="B68" s="74" t="s">
        <v>112</v>
      </c>
      <c r="C68" s="83">
        <v>10043</v>
      </c>
      <c r="D68" s="83">
        <v>11052</v>
      </c>
    </row>
    <row r="69" spans="1:4" x14ac:dyDescent="0.25">
      <c r="A69" s="73">
        <v>20802</v>
      </c>
      <c r="B69" s="74" t="s">
        <v>113</v>
      </c>
      <c r="C69" s="83">
        <v>2645</v>
      </c>
      <c r="D69" s="83">
        <v>2882</v>
      </c>
    </row>
    <row r="70" spans="1:4" x14ac:dyDescent="0.25">
      <c r="A70" s="73">
        <v>20803</v>
      </c>
      <c r="B70" s="74" t="s">
        <v>114</v>
      </c>
      <c r="C70" s="83">
        <v>3486</v>
      </c>
      <c r="D70" s="83">
        <v>3756</v>
      </c>
    </row>
    <row r="71" spans="1:4" x14ac:dyDescent="0.25">
      <c r="A71" s="73">
        <v>20804</v>
      </c>
      <c r="B71" s="74" t="s">
        <v>115</v>
      </c>
      <c r="C71" s="83">
        <v>1559</v>
      </c>
      <c r="D71" s="83">
        <v>1299</v>
      </c>
    </row>
    <row r="72" spans="1:4" x14ac:dyDescent="0.25">
      <c r="A72" s="73">
        <v>20805</v>
      </c>
      <c r="B72" s="74" t="s">
        <v>116</v>
      </c>
      <c r="C72" s="83">
        <v>2342</v>
      </c>
      <c r="D72" s="83">
        <v>2948</v>
      </c>
    </row>
    <row r="73" spans="1:4" x14ac:dyDescent="0.25">
      <c r="A73" s="73">
        <v>20806</v>
      </c>
      <c r="B73" s="74" t="s">
        <v>117</v>
      </c>
      <c r="C73" s="83">
        <v>4781</v>
      </c>
      <c r="D73" s="83">
        <v>5351</v>
      </c>
    </row>
    <row r="74" spans="1:4" x14ac:dyDescent="0.25">
      <c r="A74" s="73">
        <v>20807</v>
      </c>
      <c r="B74" s="74" t="s">
        <v>118</v>
      </c>
      <c r="C74" s="83">
        <v>1814</v>
      </c>
      <c r="D74" s="83">
        <v>2393</v>
      </c>
    </row>
    <row r="75" spans="1:4" x14ac:dyDescent="0.25">
      <c r="A75" s="73">
        <v>20901</v>
      </c>
      <c r="B75" s="74" t="s">
        <v>120</v>
      </c>
      <c r="C75" s="83">
        <v>3875</v>
      </c>
      <c r="D75" s="83">
        <v>4286</v>
      </c>
    </row>
    <row r="76" spans="1:4" x14ac:dyDescent="0.25">
      <c r="A76" s="73">
        <v>20902</v>
      </c>
      <c r="B76" s="74" t="s">
        <v>121</v>
      </c>
      <c r="C76" s="83">
        <v>4616</v>
      </c>
      <c r="D76" s="83">
        <v>6488</v>
      </c>
    </row>
    <row r="77" spans="1:4" x14ac:dyDescent="0.25">
      <c r="A77" s="73">
        <v>20903</v>
      </c>
      <c r="B77" s="74" t="s">
        <v>122</v>
      </c>
      <c r="C77" s="83">
        <v>2279</v>
      </c>
      <c r="D77" s="83">
        <v>3645</v>
      </c>
    </row>
    <row r="78" spans="1:4" x14ac:dyDescent="0.25">
      <c r="A78" s="73">
        <v>20904</v>
      </c>
      <c r="B78" s="74" t="s">
        <v>123</v>
      </c>
      <c r="C78" s="83">
        <v>1211</v>
      </c>
      <c r="D78" s="83">
        <v>1081</v>
      </c>
    </row>
    <row r="79" spans="1:4" x14ac:dyDescent="0.25">
      <c r="A79" s="73">
        <v>20905</v>
      </c>
      <c r="B79" s="74" t="s">
        <v>124</v>
      </c>
      <c r="C79" s="83">
        <v>2489</v>
      </c>
      <c r="D79" s="83">
        <v>3907</v>
      </c>
    </row>
    <row r="80" spans="1:4" x14ac:dyDescent="0.25">
      <c r="A80" s="73">
        <v>21001</v>
      </c>
      <c r="B80" s="74" t="s">
        <v>125</v>
      </c>
      <c r="C80" s="83">
        <v>4714</v>
      </c>
      <c r="D80" s="83">
        <v>6644</v>
      </c>
    </row>
    <row r="81" spans="1:4" x14ac:dyDescent="0.25">
      <c r="A81" s="73">
        <v>21002</v>
      </c>
      <c r="B81" s="74" t="s">
        <v>126</v>
      </c>
      <c r="C81" s="83">
        <v>2194</v>
      </c>
      <c r="D81" s="83">
        <v>1927</v>
      </c>
    </row>
    <row r="82" spans="1:4" x14ac:dyDescent="0.25">
      <c r="A82" s="73">
        <v>21003</v>
      </c>
      <c r="B82" s="74" t="s">
        <v>127</v>
      </c>
      <c r="C82" s="83">
        <v>2631</v>
      </c>
      <c r="D82" s="83">
        <v>3315</v>
      </c>
    </row>
    <row r="83" spans="1:4" x14ac:dyDescent="0.25">
      <c r="A83" s="73">
        <v>21004</v>
      </c>
      <c r="B83" s="74" t="s">
        <v>128</v>
      </c>
      <c r="C83" s="83">
        <v>4164</v>
      </c>
      <c r="D83" s="83">
        <v>5618</v>
      </c>
    </row>
    <row r="84" spans="1:4" x14ac:dyDescent="0.25">
      <c r="A84" s="73">
        <v>21005</v>
      </c>
      <c r="B84" s="74" t="s">
        <v>129</v>
      </c>
      <c r="C84" s="83">
        <v>1685</v>
      </c>
      <c r="D84" s="83">
        <v>3331</v>
      </c>
    </row>
    <row r="85" spans="1:4" x14ac:dyDescent="0.25">
      <c r="A85" s="73">
        <v>21006</v>
      </c>
      <c r="B85" s="74" t="s">
        <v>130</v>
      </c>
      <c r="C85" s="83">
        <v>643</v>
      </c>
      <c r="D85" s="83">
        <v>1114</v>
      </c>
    </row>
    <row r="86" spans="1:4" x14ac:dyDescent="0.25">
      <c r="A86" s="73">
        <v>21101</v>
      </c>
      <c r="B86" s="74" t="s">
        <v>132</v>
      </c>
      <c r="C86" s="83">
        <v>4929</v>
      </c>
      <c r="D86" s="83">
        <v>6090</v>
      </c>
    </row>
    <row r="87" spans="1:4" x14ac:dyDescent="0.25">
      <c r="A87" s="73">
        <v>21102</v>
      </c>
      <c r="B87" s="74" t="s">
        <v>133</v>
      </c>
      <c r="C87" s="83">
        <v>5317</v>
      </c>
      <c r="D87" s="83">
        <v>6795</v>
      </c>
    </row>
    <row r="88" spans="1:4" x14ac:dyDescent="0.25">
      <c r="A88" s="73">
        <v>21103</v>
      </c>
      <c r="B88" s="74" t="s">
        <v>134</v>
      </c>
      <c r="C88" s="83">
        <v>1874</v>
      </c>
      <c r="D88" s="83">
        <v>2489</v>
      </c>
    </row>
    <row r="89" spans="1:4" x14ac:dyDescent="0.25">
      <c r="A89" s="73">
        <v>21104</v>
      </c>
      <c r="B89" s="74" t="s">
        <v>135</v>
      </c>
      <c r="C89" s="83">
        <v>7694</v>
      </c>
      <c r="D89" s="83">
        <v>9743</v>
      </c>
    </row>
    <row r="90" spans="1:4" x14ac:dyDescent="0.25">
      <c r="A90" s="73">
        <v>21105</v>
      </c>
      <c r="B90" s="74" t="s">
        <v>136</v>
      </c>
      <c r="C90" s="83">
        <v>11869</v>
      </c>
      <c r="D90" s="83">
        <v>14295</v>
      </c>
    </row>
    <row r="91" spans="1:4" x14ac:dyDescent="0.25">
      <c r="A91" s="73">
        <v>21201</v>
      </c>
      <c r="B91" s="74" t="s">
        <v>138</v>
      </c>
      <c r="C91" s="83">
        <v>10889</v>
      </c>
      <c r="D91" s="83">
        <v>15875</v>
      </c>
    </row>
    <row r="92" spans="1:4" x14ac:dyDescent="0.25">
      <c r="A92" s="73">
        <v>21202</v>
      </c>
      <c r="B92" s="74" t="s">
        <v>139</v>
      </c>
      <c r="C92" s="83">
        <v>7372</v>
      </c>
      <c r="D92" s="83">
        <v>9148</v>
      </c>
    </row>
    <row r="93" spans="1:4" x14ac:dyDescent="0.25">
      <c r="A93" s="73">
        <v>21203</v>
      </c>
      <c r="B93" s="74" t="s">
        <v>140</v>
      </c>
      <c r="C93" s="83">
        <v>5405</v>
      </c>
      <c r="D93" s="83">
        <v>7020</v>
      </c>
    </row>
    <row r="94" spans="1:4" x14ac:dyDescent="0.25">
      <c r="A94" s="73">
        <v>21204</v>
      </c>
      <c r="B94" s="74" t="s">
        <v>141</v>
      </c>
      <c r="C94" s="83">
        <v>2332</v>
      </c>
      <c r="D94" s="83">
        <v>2986</v>
      </c>
    </row>
    <row r="95" spans="1:4" x14ac:dyDescent="0.25">
      <c r="A95" s="73">
        <v>21301</v>
      </c>
      <c r="B95" s="74" t="s">
        <v>143</v>
      </c>
      <c r="C95" s="83">
        <v>8466</v>
      </c>
      <c r="D95" s="83">
        <v>9760</v>
      </c>
    </row>
    <row r="96" spans="1:4" x14ac:dyDescent="0.25">
      <c r="A96" s="73">
        <v>21302</v>
      </c>
      <c r="B96" s="74" t="s">
        <v>144</v>
      </c>
      <c r="C96" s="83">
        <v>3238</v>
      </c>
      <c r="D96" s="83">
        <v>3779</v>
      </c>
    </row>
    <row r="97" spans="1:4" x14ac:dyDescent="0.25">
      <c r="A97" s="73">
        <v>21303</v>
      </c>
      <c r="B97" s="74" t="s">
        <v>145</v>
      </c>
      <c r="C97" s="83">
        <v>2810</v>
      </c>
      <c r="D97" s="83">
        <v>4533</v>
      </c>
    </row>
    <row r="98" spans="1:4" x14ac:dyDescent="0.25">
      <c r="A98" s="73">
        <v>21304</v>
      </c>
      <c r="B98" s="74" t="s">
        <v>146</v>
      </c>
      <c r="C98" s="83">
        <v>3802</v>
      </c>
      <c r="D98" s="83">
        <v>5083</v>
      </c>
    </row>
    <row r="99" spans="1:4" x14ac:dyDescent="0.25">
      <c r="A99" s="73">
        <v>21305</v>
      </c>
      <c r="B99" s="74" t="s">
        <v>147</v>
      </c>
      <c r="C99" s="83">
        <v>4478</v>
      </c>
      <c r="D99" s="83">
        <v>4643</v>
      </c>
    </row>
    <row r="100" spans="1:4" x14ac:dyDescent="0.25">
      <c r="A100" s="73">
        <v>21306</v>
      </c>
      <c r="B100" s="74" t="s">
        <v>148</v>
      </c>
      <c r="C100" s="83">
        <v>3148</v>
      </c>
      <c r="D100" s="83">
        <v>3938</v>
      </c>
    </row>
    <row r="101" spans="1:4" x14ac:dyDescent="0.25">
      <c r="A101" s="73">
        <v>21307</v>
      </c>
      <c r="B101" s="74" t="s">
        <v>149</v>
      </c>
      <c r="C101" s="83">
        <v>1223</v>
      </c>
      <c r="D101" s="83">
        <v>1535</v>
      </c>
    </row>
    <row r="102" spans="1:4" x14ac:dyDescent="0.25">
      <c r="A102" s="73">
        <v>21401</v>
      </c>
      <c r="B102" s="74" t="s">
        <v>151</v>
      </c>
      <c r="C102" s="83">
        <v>5541</v>
      </c>
      <c r="D102" s="83">
        <v>8704</v>
      </c>
    </row>
    <row r="103" spans="1:4" x14ac:dyDescent="0.25">
      <c r="A103" s="73">
        <v>21402</v>
      </c>
      <c r="B103" s="74" t="s">
        <v>152</v>
      </c>
      <c r="C103" s="83">
        <v>4270</v>
      </c>
      <c r="D103" s="83">
        <v>6827</v>
      </c>
    </row>
    <row r="104" spans="1:4" x14ac:dyDescent="0.25">
      <c r="A104" s="73">
        <v>21501</v>
      </c>
      <c r="B104" s="74" t="s">
        <v>154</v>
      </c>
      <c r="C104" s="83">
        <v>1666</v>
      </c>
      <c r="D104" s="83">
        <v>2562</v>
      </c>
    </row>
    <row r="105" spans="1:4" x14ac:dyDescent="0.25">
      <c r="A105" s="73">
        <v>21502</v>
      </c>
      <c r="B105" s="74" t="s">
        <v>155</v>
      </c>
      <c r="C105" s="83">
        <v>1759</v>
      </c>
      <c r="D105" s="83">
        <v>1333</v>
      </c>
    </row>
    <row r="106" spans="1:4" x14ac:dyDescent="0.25">
      <c r="A106" s="73">
        <v>21601</v>
      </c>
      <c r="B106" s="74" t="s">
        <v>157</v>
      </c>
      <c r="C106" s="83">
        <v>3214</v>
      </c>
      <c r="D106" s="83">
        <v>3866</v>
      </c>
    </row>
    <row r="107" spans="1:4" x14ac:dyDescent="0.25">
      <c r="A107" s="73">
        <v>21602</v>
      </c>
      <c r="B107" s="74" t="s">
        <v>158</v>
      </c>
      <c r="C107" s="83">
        <v>752</v>
      </c>
      <c r="D107" s="83">
        <v>1151</v>
      </c>
    </row>
    <row r="108" spans="1:4" x14ac:dyDescent="0.25">
      <c r="A108" s="73">
        <v>21701</v>
      </c>
      <c r="B108" s="74" t="s">
        <v>160</v>
      </c>
      <c r="C108" s="83">
        <v>3606</v>
      </c>
      <c r="D108" s="83">
        <v>4723</v>
      </c>
    </row>
    <row r="109" spans="1:4" x14ac:dyDescent="0.25">
      <c r="A109" s="73">
        <v>21702</v>
      </c>
      <c r="B109" s="74" t="s">
        <v>161</v>
      </c>
      <c r="C109" s="83">
        <v>2437</v>
      </c>
      <c r="D109" s="83">
        <v>2913</v>
      </c>
    </row>
    <row r="110" spans="1:4" x14ac:dyDescent="0.25">
      <c r="A110" s="73">
        <v>21703</v>
      </c>
      <c r="B110" s="74" t="s">
        <v>162</v>
      </c>
      <c r="C110" s="83">
        <v>1286</v>
      </c>
      <c r="D110" s="83">
        <v>1315</v>
      </c>
    </row>
    <row r="111" spans="1:4" x14ac:dyDescent="0.25">
      <c r="A111" s="73">
        <v>21801</v>
      </c>
      <c r="B111" s="74" t="s">
        <v>164</v>
      </c>
      <c r="C111" s="83">
        <v>2820</v>
      </c>
      <c r="D111" s="83">
        <v>3442</v>
      </c>
    </row>
    <row r="112" spans="1:4" x14ac:dyDescent="0.25">
      <c r="A112" s="73">
        <v>21802</v>
      </c>
      <c r="B112" s="74" t="s">
        <v>165</v>
      </c>
      <c r="C112" s="83">
        <v>2420</v>
      </c>
      <c r="D112" s="83">
        <v>2821</v>
      </c>
    </row>
    <row r="113" spans="1:4" x14ac:dyDescent="0.25">
      <c r="A113" s="73">
        <v>21803</v>
      </c>
      <c r="B113" s="74" t="s">
        <v>166</v>
      </c>
      <c r="C113" s="83">
        <v>767</v>
      </c>
      <c r="D113" s="83">
        <v>859</v>
      </c>
    </row>
    <row r="114" spans="1:4" x14ac:dyDescent="0.25">
      <c r="A114" s="73">
        <v>21901</v>
      </c>
      <c r="B114" s="74" t="s">
        <v>168</v>
      </c>
      <c r="C114" s="83">
        <v>1768</v>
      </c>
      <c r="D114" s="83">
        <v>2615</v>
      </c>
    </row>
    <row r="115" spans="1:4" x14ac:dyDescent="0.25">
      <c r="A115" s="73">
        <v>21902</v>
      </c>
      <c r="B115" s="74" t="s">
        <v>169</v>
      </c>
      <c r="C115" s="83">
        <v>695</v>
      </c>
      <c r="D115" s="83">
        <v>1583</v>
      </c>
    </row>
    <row r="116" spans="1:4" x14ac:dyDescent="0.25">
      <c r="A116" s="73">
        <v>22001</v>
      </c>
      <c r="B116" s="74" t="s">
        <v>170</v>
      </c>
      <c r="C116" s="83">
        <v>12592</v>
      </c>
      <c r="D116" s="83">
        <v>14573</v>
      </c>
    </row>
    <row r="117" spans="1:4" x14ac:dyDescent="0.25">
      <c r="A117" s="73">
        <v>22002</v>
      </c>
      <c r="B117" s="74" t="s">
        <v>171</v>
      </c>
      <c r="C117" s="83">
        <v>4123</v>
      </c>
      <c r="D117" s="83">
        <v>4408</v>
      </c>
    </row>
    <row r="118" spans="1:4" x14ac:dyDescent="0.25">
      <c r="A118" s="73">
        <v>30101</v>
      </c>
      <c r="B118" s="74" t="s">
        <v>172</v>
      </c>
      <c r="C118" s="83">
        <v>17951</v>
      </c>
      <c r="D118" s="83">
        <v>6883</v>
      </c>
    </row>
    <row r="119" spans="1:4" x14ac:dyDescent="0.25">
      <c r="A119" s="73">
        <v>30201</v>
      </c>
      <c r="B119" s="74" t="s">
        <v>175</v>
      </c>
      <c r="C119" s="83">
        <v>4302</v>
      </c>
      <c r="D119" s="83">
        <v>4374</v>
      </c>
    </row>
    <row r="120" spans="1:4" x14ac:dyDescent="0.25">
      <c r="A120" s="73">
        <v>30202</v>
      </c>
      <c r="B120" s="74" t="s">
        <v>176</v>
      </c>
      <c r="C120" s="83">
        <v>1072</v>
      </c>
      <c r="D120" s="83">
        <v>1162</v>
      </c>
    </row>
    <row r="121" spans="1:4" x14ac:dyDescent="0.25">
      <c r="A121" s="73">
        <v>30203</v>
      </c>
      <c r="B121" s="74" t="s">
        <v>177</v>
      </c>
      <c r="C121" s="83">
        <v>992</v>
      </c>
      <c r="D121" s="83">
        <v>1101</v>
      </c>
    </row>
    <row r="122" spans="1:4" x14ac:dyDescent="0.25">
      <c r="A122" s="73">
        <v>30301</v>
      </c>
      <c r="B122" s="74" t="s">
        <v>178</v>
      </c>
      <c r="C122" s="83">
        <v>6630</v>
      </c>
      <c r="D122" s="83">
        <v>7822</v>
      </c>
    </row>
    <row r="123" spans="1:4" x14ac:dyDescent="0.25">
      <c r="A123" s="73">
        <v>30302</v>
      </c>
      <c r="B123" s="74" t="s">
        <v>179</v>
      </c>
      <c r="C123" s="83">
        <v>3734</v>
      </c>
      <c r="D123" s="83">
        <v>4854</v>
      </c>
    </row>
    <row r="124" spans="1:4" x14ac:dyDescent="0.25">
      <c r="A124" s="73">
        <v>30303</v>
      </c>
      <c r="B124" s="74" t="s">
        <v>180</v>
      </c>
      <c r="C124" s="83">
        <v>4886</v>
      </c>
      <c r="D124" s="83">
        <v>7459</v>
      </c>
    </row>
    <row r="125" spans="1:4" x14ac:dyDescent="0.25">
      <c r="A125" s="73">
        <v>30401</v>
      </c>
      <c r="B125" s="74" t="s">
        <v>182</v>
      </c>
      <c r="C125" s="83">
        <v>1897</v>
      </c>
      <c r="D125" s="83">
        <v>2439</v>
      </c>
    </row>
    <row r="126" spans="1:4" x14ac:dyDescent="0.25">
      <c r="A126" s="73">
        <v>30402</v>
      </c>
      <c r="B126" s="74" t="s">
        <v>183</v>
      </c>
      <c r="C126" s="83">
        <v>2257</v>
      </c>
      <c r="D126" s="83">
        <v>2763</v>
      </c>
    </row>
    <row r="127" spans="1:4" x14ac:dyDescent="0.25">
      <c r="A127" s="73">
        <v>30403</v>
      </c>
      <c r="B127" s="74" t="s">
        <v>184</v>
      </c>
      <c r="C127" s="83">
        <v>5268</v>
      </c>
      <c r="D127" s="83">
        <v>6776</v>
      </c>
    </row>
    <row r="128" spans="1:4" x14ac:dyDescent="0.25">
      <c r="A128" s="73">
        <v>30404</v>
      </c>
      <c r="B128" s="74" t="s">
        <v>185</v>
      </c>
      <c r="C128" s="83">
        <v>1366</v>
      </c>
      <c r="D128" s="83">
        <v>1667</v>
      </c>
    </row>
    <row r="129" spans="1:4" x14ac:dyDescent="0.25">
      <c r="A129" s="73">
        <v>30501</v>
      </c>
      <c r="B129" s="74" t="s">
        <v>186</v>
      </c>
      <c r="C129" s="83">
        <v>2332</v>
      </c>
      <c r="D129" s="83">
        <v>1835</v>
      </c>
    </row>
    <row r="130" spans="1:4" x14ac:dyDescent="0.25">
      <c r="A130" s="73">
        <v>30502</v>
      </c>
      <c r="B130" s="74" t="s">
        <v>187</v>
      </c>
      <c r="C130" s="83">
        <v>3196</v>
      </c>
      <c r="D130" s="83">
        <v>3363</v>
      </c>
    </row>
    <row r="131" spans="1:4" x14ac:dyDescent="0.25">
      <c r="A131" s="73">
        <v>30601</v>
      </c>
      <c r="B131" s="74" t="s">
        <v>188</v>
      </c>
      <c r="C131" s="83">
        <v>3284</v>
      </c>
      <c r="D131" s="83">
        <v>3815</v>
      </c>
    </row>
    <row r="132" spans="1:4" x14ac:dyDescent="0.25">
      <c r="A132" s="73">
        <v>30602</v>
      </c>
      <c r="B132" s="74" t="s">
        <v>189</v>
      </c>
      <c r="C132" s="83">
        <v>3321</v>
      </c>
      <c r="D132" s="83">
        <v>4207</v>
      </c>
    </row>
    <row r="133" spans="1:4" x14ac:dyDescent="0.25">
      <c r="A133" s="73">
        <v>30701</v>
      </c>
      <c r="B133" s="74" t="s">
        <v>190</v>
      </c>
      <c r="C133" s="83">
        <v>3713</v>
      </c>
      <c r="D133" s="83">
        <v>3651</v>
      </c>
    </row>
    <row r="134" spans="1:4" x14ac:dyDescent="0.25">
      <c r="A134" s="73">
        <v>30702</v>
      </c>
      <c r="B134" s="74" t="s">
        <v>191</v>
      </c>
      <c r="C134" s="83">
        <v>2066</v>
      </c>
      <c r="D134" s="83">
        <v>2353</v>
      </c>
    </row>
    <row r="135" spans="1:4" x14ac:dyDescent="0.25">
      <c r="A135" s="73">
        <v>30703</v>
      </c>
      <c r="B135" s="74" t="s">
        <v>192</v>
      </c>
      <c r="C135" s="83">
        <v>1078</v>
      </c>
      <c r="D135" s="83">
        <v>1317</v>
      </c>
    </row>
    <row r="136" spans="1:4" x14ac:dyDescent="0.25">
      <c r="A136" s="73">
        <v>30801</v>
      </c>
      <c r="B136" s="74" t="s">
        <v>194</v>
      </c>
      <c r="C136" s="83">
        <v>2880</v>
      </c>
      <c r="D136" s="83">
        <v>1433</v>
      </c>
    </row>
    <row r="137" spans="1:4" x14ac:dyDescent="0.25">
      <c r="A137" s="73">
        <v>30802</v>
      </c>
      <c r="B137" s="74" t="s">
        <v>195</v>
      </c>
      <c r="C137" s="83">
        <v>1896</v>
      </c>
      <c r="D137" s="83">
        <v>1706</v>
      </c>
    </row>
    <row r="138" spans="1:4" x14ac:dyDescent="0.25">
      <c r="A138" s="73">
        <v>30803</v>
      </c>
      <c r="B138" s="74" t="s">
        <v>196</v>
      </c>
      <c r="C138" s="83">
        <v>1045</v>
      </c>
      <c r="D138" s="83">
        <v>1792</v>
      </c>
    </row>
    <row r="139" spans="1:4" x14ac:dyDescent="0.25">
      <c r="A139" s="73">
        <v>30901</v>
      </c>
      <c r="B139" s="74" t="s">
        <v>197</v>
      </c>
      <c r="C139" s="83">
        <v>8545</v>
      </c>
      <c r="D139" s="83">
        <v>5365</v>
      </c>
    </row>
    <row r="140" spans="1:4" x14ac:dyDescent="0.25">
      <c r="A140" s="73">
        <v>30902</v>
      </c>
      <c r="B140" s="74" t="s">
        <v>198</v>
      </c>
      <c r="C140" s="83">
        <v>9299</v>
      </c>
      <c r="D140" s="83">
        <v>5580</v>
      </c>
    </row>
    <row r="141" spans="1:4" x14ac:dyDescent="0.25">
      <c r="A141" s="73">
        <v>30903</v>
      </c>
      <c r="B141" s="74" t="s">
        <v>199</v>
      </c>
      <c r="C141" s="83">
        <v>2826</v>
      </c>
      <c r="D141" s="83">
        <v>1496</v>
      </c>
    </row>
    <row r="142" spans="1:4" x14ac:dyDescent="0.25">
      <c r="A142" s="73">
        <v>30904</v>
      </c>
      <c r="B142" s="74" t="s">
        <v>200</v>
      </c>
      <c r="C142" s="83">
        <v>7241</v>
      </c>
      <c r="D142" s="83">
        <v>4974</v>
      </c>
    </row>
    <row r="143" spans="1:4" x14ac:dyDescent="0.25">
      <c r="A143" s="73">
        <v>30905</v>
      </c>
      <c r="B143" s="74" t="s">
        <v>201</v>
      </c>
      <c r="C143" s="83">
        <v>1714</v>
      </c>
      <c r="D143" s="83">
        <v>395</v>
      </c>
    </row>
    <row r="144" spans="1:4" x14ac:dyDescent="0.25">
      <c r="A144" s="73">
        <v>31001</v>
      </c>
      <c r="B144" s="74" t="s">
        <v>203</v>
      </c>
      <c r="C144" s="83">
        <v>16053</v>
      </c>
      <c r="D144" s="83">
        <v>11207</v>
      </c>
    </row>
    <row r="145" spans="1:4" x14ac:dyDescent="0.25">
      <c r="A145" s="73">
        <v>31002</v>
      </c>
      <c r="B145" s="74" t="s">
        <v>204</v>
      </c>
      <c r="C145" s="83">
        <v>4761</v>
      </c>
      <c r="D145" s="83">
        <v>5992</v>
      </c>
    </row>
    <row r="146" spans="1:4" x14ac:dyDescent="0.25">
      <c r="A146" s="73">
        <v>31003</v>
      </c>
      <c r="B146" s="74" t="s">
        <v>205</v>
      </c>
      <c r="C146" s="83">
        <v>24084</v>
      </c>
      <c r="D146" s="83">
        <v>36316</v>
      </c>
    </row>
    <row r="147" spans="1:4" x14ac:dyDescent="0.25">
      <c r="A147" s="73">
        <v>31101</v>
      </c>
      <c r="B147" s="74" t="s">
        <v>206</v>
      </c>
      <c r="C147" s="83">
        <v>8077</v>
      </c>
      <c r="D147" s="83">
        <v>9432</v>
      </c>
    </row>
    <row r="148" spans="1:4" x14ac:dyDescent="0.25">
      <c r="A148" s="73">
        <v>31201</v>
      </c>
      <c r="B148" s="74" t="s">
        <v>208</v>
      </c>
      <c r="C148" s="83">
        <v>4187</v>
      </c>
      <c r="D148" s="83">
        <v>4511</v>
      </c>
    </row>
    <row r="149" spans="1:4" x14ac:dyDescent="0.25">
      <c r="A149" s="73">
        <v>31202</v>
      </c>
      <c r="B149" s="74" t="s">
        <v>209</v>
      </c>
      <c r="C149" s="83">
        <v>2840</v>
      </c>
      <c r="D149" s="83">
        <v>3100</v>
      </c>
    </row>
    <row r="150" spans="1:4" x14ac:dyDescent="0.25">
      <c r="A150" s="73">
        <v>31203</v>
      </c>
      <c r="B150" s="74" t="s">
        <v>210</v>
      </c>
      <c r="C150" s="83">
        <v>3359</v>
      </c>
      <c r="D150" s="83">
        <v>4802</v>
      </c>
    </row>
    <row r="151" spans="1:4" x14ac:dyDescent="0.25">
      <c r="A151" s="73">
        <v>31204</v>
      </c>
      <c r="B151" s="74" t="s">
        <v>211</v>
      </c>
      <c r="C151" s="83">
        <v>5222</v>
      </c>
      <c r="D151" s="83">
        <v>7322</v>
      </c>
    </row>
    <row r="152" spans="1:4" x14ac:dyDescent="0.25">
      <c r="A152" s="73">
        <v>31205</v>
      </c>
      <c r="B152" s="74" t="s">
        <v>212</v>
      </c>
      <c r="C152" s="83">
        <v>14376</v>
      </c>
      <c r="D152" s="83">
        <v>16405</v>
      </c>
    </row>
    <row r="153" spans="1:4" x14ac:dyDescent="0.25">
      <c r="A153" s="73">
        <v>31206</v>
      </c>
      <c r="B153" s="74" t="s">
        <v>213</v>
      </c>
      <c r="C153" s="83">
        <v>8665</v>
      </c>
      <c r="D153" s="83">
        <v>10563</v>
      </c>
    </row>
    <row r="154" spans="1:4" x14ac:dyDescent="0.25">
      <c r="A154" s="73">
        <v>31301</v>
      </c>
      <c r="B154" s="74" t="s">
        <v>214</v>
      </c>
      <c r="C154" s="83">
        <v>4522</v>
      </c>
      <c r="D154" s="83">
        <v>4467</v>
      </c>
    </row>
    <row r="155" spans="1:4" x14ac:dyDescent="0.25">
      <c r="A155" s="73">
        <v>31302</v>
      </c>
      <c r="B155" s="74" t="s">
        <v>215</v>
      </c>
      <c r="C155" s="83">
        <v>1529</v>
      </c>
      <c r="D155" s="83">
        <v>1842</v>
      </c>
    </row>
    <row r="156" spans="1:4" x14ac:dyDescent="0.25">
      <c r="A156" s="73">
        <v>31303</v>
      </c>
      <c r="B156" s="74" t="s">
        <v>216</v>
      </c>
      <c r="C156" s="83">
        <v>1116</v>
      </c>
      <c r="D156" s="83">
        <v>1270</v>
      </c>
    </row>
    <row r="157" spans="1:4" x14ac:dyDescent="0.25">
      <c r="A157" s="73">
        <v>31304</v>
      </c>
      <c r="B157" s="74" t="s">
        <v>217</v>
      </c>
      <c r="C157" s="83">
        <v>1976</v>
      </c>
      <c r="D157" s="83">
        <v>2620</v>
      </c>
    </row>
    <row r="158" spans="1:4" x14ac:dyDescent="0.25">
      <c r="A158" s="73">
        <v>31401</v>
      </c>
      <c r="B158" s="74" t="s">
        <v>218</v>
      </c>
      <c r="C158" s="83">
        <v>4278</v>
      </c>
      <c r="D158" s="83">
        <v>3768</v>
      </c>
    </row>
    <row r="159" spans="1:4" x14ac:dyDescent="0.25">
      <c r="A159" s="73">
        <v>31402</v>
      </c>
      <c r="B159" s="74" t="s">
        <v>219</v>
      </c>
      <c r="C159" s="83">
        <v>2845</v>
      </c>
      <c r="D159" s="83">
        <v>2880</v>
      </c>
    </row>
    <row r="160" spans="1:4" x14ac:dyDescent="0.25">
      <c r="A160" s="73">
        <v>31403</v>
      </c>
      <c r="B160" s="74" t="s">
        <v>220</v>
      </c>
      <c r="C160" s="83">
        <v>3396</v>
      </c>
      <c r="D160" s="83">
        <v>1071</v>
      </c>
    </row>
    <row r="161" spans="1:4" x14ac:dyDescent="0.25">
      <c r="A161" s="73">
        <v>31404</v>
      </c>
      <c r="B161" s="74" t="s">
        <v>221</v>
      </c>
      <c r="C161" s="83">
        <v>359</v>
      </c>
      <c r="D161" s="83">
        <v>469</v>
      </c>
    </row>
    <row r="162" spans="1:4" x14ac:dyDescent="0.25">
      <c r="A162" s="73">
        <v>31405</v>
      </c>
      <c r="B162" s="74" t="s">
        <v>222</v>
      </c>
      <c r="C162" s="83">
        <v>701</v>
      </c>
      <c r="D162" s="83">
        <v>1047</v>
      </c>
    </row>
    <row r="163" spans="1:4" x14ac:dyDescent="0.25">
      <c r="A163" s="73">
        <v>31501</v>
      </c>
      <c r="B163" s="74" t="s">
        <v>223</v>
      </c>
      <c r="C163" s="83">
        <v>2238</v>
      </c>
      <c r="D163" s="83">
        <v>3025</v>
      </c>
    </row>
    <row r="164" spans="1:4" x14ac:dyDescent="0.25">
      <c r="A164" s="73">
        <v>31601</v>
      </c>
      <c r="B164" s="74" t="s">
        <v>224</v>
      </c>
      <c r="C164" s="83">
        <v>5915</v>
      </c>
      <c r="D164" s="83">
        <v>5669</v>
      </c>
    </row>
    <row r="165" spans="1:4" x14ac:dyDescent="0.25">
      <c r="A165" s="73">
        <v>31602</v>
      </c>
      <c r="B165" s="74" t="s">
        <v>225</v>
      </c>
      <c r="C165" s="83">
        <v>5513</v>
      </c>
      <c r="D165" s="83">
        <v>7017</v>
      </c>
    </row>
    <row r="166" spans="1:4" x14ac:dyDescent="0.25">
      <c r="A166" s="73">
        <v>40101</v>
      </c>
      <c r="B166" s="74" t="s">
        <v>226</v>
      </c>
      <c r="C166" s="83">
        <v>8264</v>
      </c>
      <c r="D166" s="83">
        <v>6606</v>
      </c>
    </row>
    <row r="167" spans="1:4" x14ac:dyDescent="0.25">
      <c r="A167" s="73">
        <v>40102</v>
      </c>
      <c r="B167" s="74" t="s">
        <v>227</v>
      </c>
      <c r="C167" s="83">
        <v>4767</v>
      </c>
      <c r="D167" s="83">
        <v>5358</v>
      </c>
    </row>
    <row r="168" spans="1:4" x14ac:dyDescent="0.25">
      <c r="A168" s="73">
        <v>40103</v>
      </c>
      <c r="B168" s="74" t="s">
        <v>228</v>
      </c>
      <c r="C168" s="83">
        <v>3225</v>
      </c>
      <c r="D168" s="83">
        <v>3793</v>
      </c>
    </row>
    <row r="169" spans="1:4" x14ac:dyDescent="0.25">
      <c r="A169" s="73">
        <v>40104</v>
      </c>
      <c r="B169" s="74" t="s">
        <v>229</v>
      </c>
      <c r="C169" s="83">
        <v>3440</v>
      </c>
      <c r="D169" s="83">
        <v>5097</v>
      </c>
    </row>
    <row r="170" spans="1:4" x14ac:dyDescent="0.25">
      <c r="A170" s="73">
        <v>40201</v>
      </c>
      <c r="B170" s="74" t="s">
        <v>231</v>
      </c>
      <c r="C170" s="83">
        <v>6865</v>
      </c>
      <c r="D170" s="83">
        <v>8939</v>
      </c>
    </row>
    <row r="171" spans="1:4" x14ac:dyDescent="0.25">
      <c r="A171" s="73">
        <v>40202</v>
      </c>
      <c r="B171" s="74" t="s">
        <v>232</v>
      </c>
      <c r="C171" s="83">
        <v>1541</v>
      </c>
      <c r="D171" s="83">
        <v>1888</v>
      </c>
    </row>
    <row r="172" spans="1:4" x14ac:dyDescent="0.25">
      <c r="A172" s="73">
        <v>40301</v>
      </c>
      <c r="B172" s="74" t="s">
        <v>234</v>
      </c>
      <c r="C172" s="83">
        <v>3137</v>
      </c>
      <c r="D172" s="83">
        <v>4354</v>
      </c>
    </row>
    <row r="173" spans="1:4" x14ac:dyDescent="0.25">
      <c r="A173" s="73">
        <v>40302</v>
      </c>
      <c r="B173" s="74" t="s">
        <v>235</v>
      </c>
      <c r="C173" s="83">
        <v>479</v>
      </c>
      <c r="D173" s="83">
        <v>582</v>
      </c>
    </row>
    <row r="174" spans="1:4" x14ac:dyDescent="0.25">
      <c r="A174" s="73">
        <v>40401</v>
      </c>
      <c r="B174" s="74" t="s">
        <v>237</v>
      </c>
      <c r="C174" s="83">
        <v>881</v>
      </c>
      <c r="D174" s="83">
        <v>1373</v>
      </c>
    </row>
    <row r="175" spans="1:4" x14ac:dyDescent="0.25">
      <c r="A175" s="73">
        <v>40402</v>
      </c>
      <c r="B175" s="74" t="s">
        <v>238</v>
      </c>
      <c r="C175" s="83">
        <v>1422</v>
      </c>
      <c r="D175" s="83">
        <v>1459</v>
      </c>
    </row>
    <row r="176" spans="1:4" x14ac:dyDescent="0.25">
      <c r="A176" s="73">
        <v>40501</v>
      </c>
      <c r="B176" s="74" t="s">
        <v>240</v>
      </c>
      <c r="C176" s="83">
        <v>338</v>
      </c>
      <c r="D176" s="83">
        <v>848</v>
      </c>
    </row>
    <row r="177" spans="1:4" x14ac:dyDescent="0.25">
      <c r="A177" s="73">
        <v>40502</v>
      </c>
      <c r="B177" s="74" t="s">
        <v>241</v>
      </c>
      <c r="C177" s="83">
        <v>1076</v>
      </c>
      <c r="D177" s="83">
        <v>798</v>
      </c>
    </row>
    <row r="178" spans="1:4" x14ac:dyDescent="0.25">
      <c r="A178" s="73">
        <v>40503</v>
      </c>
      <c r="B178" s="74" t="s">
        <v>242</v>
      </c>
      <c r="C178" s="83">
        <v>583</v>
      </c>
      <c r="D178" s="83">
        <v>349</v>
      </c>
    </row>
    <row r="179" spans="1:4" x14ac:dyDescent="0.25">
      <c r="A179" s="73">
        <v>40504</v>
      </c>
      <c r="B179" s="74" t="s">
        <v>243</v>
      </c>
      <c r="C179" s="83">
        <v>169</v>
      </c>
      <c r="D179" s="83">
        <v>170</v>
      </c>
    </row>
    <row r="180" spans="1:4" x14ac:dyDescent="0.25">
      <c r="A180" s="73">
        <v>40505</v>
      </c>
      <c r="B180" s="74" t="s">
        <v>244</v>
      </c>
      <c r="C180" s="83">
        <v>712</v>
      </c>
      <c r="D180" s="83">
        <v>862</v>
      </c>
    </row>
    <row r="181" spans="1:4" x14ac:dyDescent="0.25">
      <c r="A181" s="73">
        <v>40601</v>
      </c>
      <c r="B181" s="74" t="s">
        <v>245</v>
      </c>
      <c r="C181" s="83">
        <v>1886</v>
      </c>
      <c r="D181" s="83">
        <v>2161</v>
      </c>
    </row>
    <row r="182" spans="1:4" x14ac:dyDescent="0.25">
      <c r="A182" s="73">
        <v>40602</v>
      </c>
      <c r="B182" s="74" t="s">
        <v>246</v>
      </c>
      <c r="C182" s="83">
        <v>2153</v>
      </c>
      <c r="D182" s="83">
        <v>1267</v>
      </c>
    </row>
    <row r="183" spans="1:4" x14ac:dyDescent="0.25">
      <c r="A183" s="73">
        <v>40603</v>
      </c>
      <c r="B183" s="74" t="s">
        <v>247</v>
      </c>
      <c r="C183" s="83">
        <v>661</v>
      </c>
      <c r="D183" s="83">
        <v>858</v>
      </c>
    </row>
    <row r="184" spans="1:4" x14ac:dyDescent="0.25">
      <c r="A184" s="73">
        <v>40701</v>
      </c>
      <c r="B184" s="74" t="s">
        <v>249</v>
      </c>
      <c r="C184" s="83">
        <v>3881</v>
      </c>
      <c r="D184" s="83">
        <v>1317</v>
      </c>
    </row>
    <row r="185" spans="1:4" x14ac:dyDescent="0.25">
      <c r="A185" s="73">
        <v>40702</v>
      </c>
      <c r="B185" s="74" t="s">
        <v>250</v>
      </c>
      <c r="C185" s="83">
        <v>1473</v>
      </c>
      <c r="D185" s="83">
        <v>1067</v>
      </c>
    </row>
    <row r="186" spans="1:4" x14ac:dyDescent="0.25">
      <c r="A186" s="73">
        <v>40801</v>
      </c>
      <c r="B186" s="74" t="s">
        <v>252</v>
      </c>
      <c r="C186" s="83">
        <v>3644</v>
      </c>
      <c r="D186" s="83">
        <v>4787</v>
      </c>
    </row>
    <row r="187" spans="1:4" x14ac:dyDescent="0.25">
      <c r="A187" s="73">
        <v>40802</v>
      </c>
      <c r="B187" s="74" t="s">
        <v>253</v>
      </c>
      <c r="C187" s="83">
        <v>1031</v>
      </c>
      <c r="D187" s="83">
        <v>1118</v>
      </c>
    </row>
    <row r="188" spans="1:4" x14ac:dyDescent="0.25">
      <c r="A188" s="73">
        <v>40901</v>
      </c>
      <c r="B188" s="74" t="s">
        <v>254</v>
      </c>
      <c r="C188" s="83">
        <v>2077</v>
      </c>
      <c r="D188" s="83">
        <v>3085</v>
      </c>
    </row>
    <row r="189" spans="1:4" x14ac:dyDescent="0.25">
      <c r="A189" s="73">
        <v>40902</v>
      </c>
      <c r="B189" s="74" t="s">
        <v>255</v>
      </c>
      <c r="C189" s="83">
        <v>181</v>
      </c>
      <c r="D189" s="83">
        <v>165</v>
      </c>
    </row>
    <row r="190" spans="1:4" x14ac:dyDescent="0.25">
      <c r="A190" s="73">
        <v>40903</v>
      </c>
      <c r="B190" s="74" t="s">
        <v>256</v>
      </c>
      <c r="C190" s="83">
        <v>561</v>
      </c>
      <c r="D190" s="83">
        <v>972</v>
      </c>
    </row>
    <row r="191" spans="1:4" x14ac:dyDescent="0.25">
      <c r="A191" s="73">
        <v>41001</v>
      </c>
      <c r="B191" s="74" t="s">
        <v>258</v>
      </c>
      <c r="C191" s="83">
        <v>4167</v>
      </c>
      <c r="D191" s="83">
        <v>4163</v>
      </c>
    </row>
    <row r="192" spans="1:4" x14ac:dyDescent="0.25">
      <c r="A192" s="73">
        <v>41101</v>
      </c>
      <c r="B192" s="74" t="s">
        <v>260</v>
      </c>
      <c r="C192" s="83">
        <v>1831</v>
      </c>
      <c r="D192" s="83">
        <v>1535</v>
      </c>
    </row>
    <row r="193" spans="1:4" x14ac:dyDescent="0.25">
      <c r="A193" s="73">
        <v>41201</v>
      </c>
      <c r="B193" s="74" t="s">
        <v>262</v>
      </c>
      <c r="C193" s="83">
        <v>1823</v>
      </c>
      <c r="D193" s="83">
        <v>1793</v>
      </c>
    </row>
    <row r="194" spans="1:4" x14ac:dyDescent="0.25">
      <c r="A194" s="73">
        <v>41202</v>
      </c>
      <c r="B194" s="74" t="s">
        <v>263</v>
      </c>
      <c r="C194" s="83">
        <v>727</v>
      </c>
      <c r="D194" s="83">
        <v>1056</v>
      </c>
    </row>
    <row r="195" spans="1:4" x14ac:dyDescent="0.25">
      <c r="A195" s="73">
        <v>41301</v>
      </c>
      <c r="B195" s="74" t="s">
        <v>208</v>
      </c>
      <c r="C195" s="83">
        <v>1841</v>
      </c>
      <c r="D195" s="83">
        <v>2348</v>
      </c>
    </row>
    <row r="196" spans="1:4" x14ac:dyDescent="0.25">
      <c r="A196" s="73">
        <v>41401</v>
      </c>
      <c r="B196" s="74" t="s">
        <v>266</v>
      </c>
      <c r="C196" s="83">
        <v>3162</v>
      </c>
      <c r="D196" s="83">
        <v>3462</v>
      </c>
    </row>
    <row r="197" spans="1:4" x14ac:dyDescent="0.25">
      <c r="A197" s="73">
        <v>41501</v>
      </c>
      <c r="B197" s="74" t="s">
        <v>268</v>
      </c>
      <c r="C197" s="83">
        <v>181</v>
      </c>
      <c r="D197" s="83">
        <v>281</v>
      </c>
    </row>
    <row r="198" spans="1:4" x14ac:dyDescent="0.25">
      <c r="A198" s="73">
        <v>41502</v>
      </c>
      <c r="B198" s="74" t="s">
        <v>269</v>
      </c>
      <c r="C198" s="83">
        <v>190</v>
      </c>
      <c r="D198" s="83">
        <v>146</v>
      </c>
    </row>
    <row r="199" spans="1:4" x14ac:dyDescent="0.25">
      <c r="A199" s="73">
        <v>41503</v>
      </c>
      <c r="B199" s="74" t="s">
        <v>233</v>
      </c>
      <c r="C199" s="83">
        <v>239</v>
      </c>
      <c r="D199" s="83">
        <v>239</v>
      </c>
    </row>
    <row r="200" spans="1:4" x14ac:dyDescent="0.25">
      <c r="A200" s="73">
        <v>41601</v>
      </c>
      <c r="B200" s="74" t="s">
        <v>271</v>
      </c>
      <c r="C200" s="83">
        <v>2244</v>
      </c>
      <c r="D200" s="83">
        <v>2446</v>
      </c>
    </row>
    <row r="201" spans="1:4" x14ac:dyDescent="0.25">
      <c r="A201" s="73">
        <v>50101</v>
      </c>
      <c r="B201" s="74" t="s">
        <v>272</v>
      </c>
      <c r="C201" s="83">
        <v>9059</v>
      </c>
      <c r="D201" s="83">
        <v>8256</v>
      </c>
    </row>
    <row r="202" spans="1:4" x14ac:dyDescent="0.25">
      <c r="A202" s="73">
        <v>50102</v>
      </c>
      <c r="B202" s="74" t="s">
        <v>274</v>
      </c>
      <c r="C202" s="83">
        <v>7490</v>
      </c>
      <c r="D202" s="83">
        <v>9521</v>
      </c>
    </row>
    <row r="203" spans="1:4" x14ac:dyDescent="0.25">
      <c r="A203" s="73">
        <v>50103</v>
      </c>
      <c r="B203" s="74" t="s">
        <v>275</v>
      </c>
      <c r="C203" s="83">
        <v>2703</v>
      </c>
      <c r="D203" s="83">
        <v>3876</v>
      </c>
    </row>
    <row r="204" spans="1:4" x14ac:dyDescent="0.25">
      <c r="A204" s="73">
        <v>50104</v>
      </c>
      <c r="B204" s="74" t="s">
        <v>276</v>
      </c>
      <c r="C204" s="83">
        <v>1101</v>
      </c>
      <c r="D204" s="83">
        <v>1210</v>
      </c>
    </row>
    <row r="205" spans="1:4" x14ac:dyDescent="0.25">
      <c r="A205" s="73">
        <v>50201</v>
      </c>
      <c r="B205" s="74" t="s">
        <v>278</v>
      </c>
      <c r="C205" s="83">
        <v>5103</v>
      </c>
      <c r="D205" s="83">
        <v>5055</v>
      </c>
    </row>
    <row r="206" spans="1:4" x14ac:dyDescent="0.25">
      <c r="A206" s="73">
        <v>50202</v>
      </c>
      <c r="B206" s="74" t="s">
        <v>279</v>
      </c>
      <c r="C206" s="83">
        <v>3477</v>
      </c>
      <c r="D206" s="83">
        <v>4446</v>
      </c>
    </row>
    <row r="207" spans="1:4" x14ac:dyDescent="0.25">
      <c r="A207" s="73">
        <v>50203</v>
      </c>
      <c r="B207" s="74" t="s">
        <v>280</v>
      </c>
      <c r="C207" s="83">
        <v>4036</v>
      </c>
      <c r="D207" s="83">
        <v>3914</v>
      </c>
    </row>
    <row r="208" spans="1:4" x14ac:dyDescent="0.25">
      <c r="A208" s="73">
        <v>50204</v>
      </c>
      <c r="B208" s="74" t="s">
        <v>281</v>
      </c>
      <c r="C208" s="83">
        <v>1880</v>
      </c>
      <c r="D208" s="83">
        <v>2443</v>
      </c>
    </row>
    <row r="209" spans="1:4" x14ac:dyDescent="0.25">
      <c r="A209" s="73">
        <v>50301</v>
      </c>
      <c r="B209" s="74" t="s">
        <v>283</v>
      </c>
      <c r="C209" s="83">
        <v>8360</v>
      </c>
      <c r="D209" s="83">
        <v>9036</v>
      </c>
    </row>
    <row r="210" spans="1:4" x14ac:dyDescent="0.25">
      <c r="A210" s="73">
        <v>50302</v>
      </c>
      <c r="B210" s="74" t="s">
        <v>284</v>
      </c>
      <c r="C210" s="83">
        <v>3003</v>
      </c>
      <c r="D210" s="83">
        <v>3112</v>
      </c>
    </row>
    <row r="211" spans="1:4" x14ac:dyDescent="0.25">
      <c r="A211" s="73">
        <v>50303</v>
      </c>
      <c r="B211" s="74" t="s">
        <v>285</v>
      </c>
      <c r="C211" s="83">
        <v>3881</v>
      </c>
      <c r="D211" s="83">
        <v>5094</v>
      </c>
    </row>
    <row r="212" spans="1:4" x14ac:dyDescent="0.25">
      <c r="A212" s="73">
        <v>50401</v>
      </c>
      <c r="B212" s="74" t="s">
        <v>286</v>
      </c>
      <c r="C212" s="83">
        <v>3688</v>
      </c>
      <c r="D212" s="83">
        <v>4761</v>
      </c>
    </row>
    <row r="213" spans="1:4" x14ac:dyDescent="0.25">
      <c r="A213" s="73">
        <v>50402</v>
      </c>
      <c r="B213" s="74" t="s">
        <v>287</v>
      </c>
      <c r="C213" s="83">
        <v>6197</v>
      </c>
      <c r="D213" s="83">
        <v>6261</v>
      </c>
    </row>
    <row r="214" spans="1:4" x14ac:dyDescent="0.25">
      <c r="A214" s="73">
        <v>50403</v>
      </c>
      <c r="B214" s="74" t="s">
        <v>288</v>
      </c>
      <c r="C214" s="83">
        <v>8066</v>
      </c>
      <c r="D214" s="83">
        <v>11753</v>
      </c>
    </row>
    <row r="215" spans="1:4" x14ac:dyDescent="0.25">
      <c r="A215" s="73">
        <v>50404</v>
      </c>
      <c r="B215" s="74" t="s">
        <v>289</v>
      </c>
      <c r="C215" s="83">
        <v>5029</v>
      </c>
      <c r="D215" s="83">
        <v>5532</v>
      </c>
    </row>
    <row r="216" spans="1:4" x14ac:dyDescent="0.25">
      <c r="A216" s="73">
        <v>50405</v>
      </c>
      <c r="B216" s="74" t="s">
        <v>290</v>
      </c>
      <c r="C216" s="83">
        <v>6338</v>
      </c>
      <c r="D216" s="83">
        <v>7775</v>
      </c>
    </row>
    <row r="217" spans="1:4" x14ac:dyDescent="0.25">
      <c r="A217" s="73">
        <v>50501</v>
      </c>
      <c r="B217" s="74" t="s">
        <v>292</v>
      </c>
      <c r="C217" s="83">
        <v>7716</v>
      </c>
      <c r="D217" s="83">
        <v>10506</v>
      </c>
    </row>
    <row r="218" spans="1:4" x14ac:dyDescent="0.25">
      <c r="A218" s="73">
        <v>50502</v>
      </c>
      <c r="B218" s="74" t="s">
        <v>293</v>
      </c>
      <c r="C218" s="83">
        <v>3174</v>
      </c>
      <c r="D218" s="83">
        <v>3649</v>
      </c>
    </row>
    <row r="219" spans="1:4" x14ac:dyDescent="0.25">
      <c r="A219" s="73">
        <v>50601</v>
      </c>
      <c r="B219" s="74" t="s">
        <v>295</v>
      </c>
      <c r="C219" s="83">
        <v>7183</v>
      </c>
      <c r="D219" s="83">
        <v>8279</v>
      </c>
    </row>
    <row r="220" spans="1:4" x14ac:dyDescent="0.25">
      <c r="A220" s="73">
        <v>50602</v>
      </c>
      <c r="B220" s="74" t="s">
        <v>296</v>
      </c>
      <c r="C220" s="83">
        <v>2910</v>
      </c>
      <c r="D220" s="83">
        <v>3490</v>
      </c>
    </row>
    <row r="221" spans="1:4" x14ac:dyDescent="0.25">
      <c r="A221" s="73">
        <v>50701</v>
      </c>
      <c r="B221" s="74" t="s">
        <v>298</v>
      </c>
      <c r="C221" s="83">
        <v>4846</v>
      </c>
      <c r="D221" s="83">
        <v>5742</v>
      </c>
    </row>
    <row r="222" spans="1:4" x14ac:dyDescent="0.25">
      <c r="A222" s="73">
        <v>50702</v>
      </c>
      <c r="B222" s="74" t="s">
        <v>299</v>
      </c>
      <c r="C222" s="83">
        <v>2576</v>
      </c>
      <c r="D222" s="83">
        <v>3297</v>
      </c>
    </row>
    <row r="223" spans="1:4" x14ac:dyDescent="0.25">
      <c r="A223" s="73">
        <v>50801</v>
      </c>
      <c r="B223" s="74" t="s">
        <v>301</v>
      </c>
      <c r="C223" s="83">
        <v>5718</v>
      </c>
      <c r="D223" s="83">
        <v>6333</v>
      </c>
    </row>
    <row r="224" spans="1:4" x14ac:dyDescent="0.25">
      <c r="A224" s="73">
        <v>50802</v>
      </c>
      <c r="B224" s="74" t="s">
        <v>302</v>
      </c>
      <c r="C224" s="83">
        <v>1323</v>
      </c>
      <c r="D224" s="83">
        <v>568</v>
      </c>
    </row>
    <row r="225" spans="1:4" x14ac:dyDescent="0.25">
      <c r="A225" s="73">
        <v>50901</v>
      </c>
      <c r="B225" s="74" t="s">
        <v>304</v>
      </c>
      <c r="C225" s="83">
        <v>2153</v>
      </c>
      <c r="D225" s="83">
        <v>1527</v>
      </c>
    </row>
    <row r="226" spans="1:4" x14ac:dyDescent="0.25">
      <c r="A226" s="73">
        <v>50902</v>
      </c>
      <c r="B226" s="74" t="s">
        <v>305</v>
      </c>
      <c r="C226" s="83">
        <v>354</v>
      </c>
      <c r="D226" s="83">
        <v>493</v>
      </c>
    </row>
    <row r="227" spans="1:4" x14ac:dyDescent="0.25">
      <c r="A227" s="73">
        <v>51001</v>
      </c>
      <c r="B227" s="74" t="s">
        <v>307</v>
      </c>
      <c r="C227" s="83">
        <v>784</v>
      </c>
      <c r="D227" s="83">
        <v>885</v>
      </c>
    </row>
    <row r="228" spans="1:4" x14ac:dyDescent="0.25">
      <c r="A228" s="73">
        <v>51002</v>
      </c>
      <c r="B228" s="74" t="s">
        <v>308</v>
      </c>
      <c r="C228" s="83">
        <v>347</v>
      </c>
      <c r="D228" s="83">
        <v>240</v>
      </c>
    </row>
    <row r="229" spans="1:4" x14ac:dyDescent="0.25">
      <c r="A229" s="73">
        <v>51003</v>
      </c>
      <c r="B229" s="74" t="s">
        <v>309</v>
      </c>
      <c r="C229" s="83">
        <v>667</v>
      </c>
      <c r="D229" s="83">
        <v>533</v>
      </c>
    </row>
    <row r="230" spans="1:4" x14ac:dyDescent="0.25">
      <c r="A230" s="73">
        <v>51101</v>
      </c>
      <c r="B230" s="74" t="s">
        <v>311</v>
      </c>
      <c r="C230" s="83">
        <v>6532</v>
      </c>
      <c r="D230" s="83">
        <v>5136</v>
      </c>
    </row>
    <row r="231" spans="1:4" x14ac:dyDescent="0.25">
      <c r="A231" s="73">
        <v>51102</v>
      </c>
      <c r="B231" s="74" t="s">
        <v>312</v>
      </c>
      <c r="C231" s="83">
        <v>2757</v>
      </c>
      <c r="D231" s="83">
        <v>2776</v>
      </c>
    </row>
    <row r="232" spans="1:4" x14ac:dyDescent="0.25">
      <c r="A232" s="73">
        <v>51103</v>
      </c>
      <c r="B232" s="74" t="s">
        <v>313</v>
      </c>
      <c r="C232" s="83">
        <v>3722</v>
      </c>
      <c r="D232" s="83">
        <v>4000</v>
      </c>
    </row>
    <row r="233" spans="1:4" x14ac:dyDescent="0.25">
      <c r="A233" s="73">
        <v>51201</v>
      </c>
      <c r="B233" s="74" t="s">
        <v>315</v>
      </c>
      <c r="C233" s="83">
        <v>4742</v>
      </c>
      <c r="D233" s="83">
        <v>4690</v>
      </c>
    </row>
    <row r="234" spans="1:4" x14ac:dyDescent="0.25">
      <c r="A234" s="73">
        <v>51202</v>
      </c>
      <c r="B234" s="74" t="s">
        <v>316</v>
      </c>
      <c r="C234" s="83">
        <v>2638</v>
      </c>
      <c r="D234" s="83">
        <v>2641</v>
      </c>
    </row>
    <row r="235" spans="1:4" x14ac:dyDescent="0.25">
      <c r="A235" s="73">
        <v>51203</v>
      </c>
      <c r="B235" s="74" t="s">
        <v>317</v>
      </c>
      <c r="C235" s="83">
        <v>949</v>
      </c>
      <c r="D235" s="83">
        <v>1204</v>
      </c>
    </row>
    <row r="236" spans="1:4" x14ac:dyDescent="0.25">
      <c r="A236" s="73">
        <v>51204</v>
      </c>
      <c r="B236" s="74" t="s">
        <v>318</v>
      </c>
      <c r="C236" s="83">
        <v>1810</v>
      </c>
      <c r="D236" s="83">
        <v>2135</v>
      </c>
    </row>
    <row r="237" spans="1:4" x14ac:dyDescent="0.25">
      <c r="A237" s="73">
        <v>51301</v>
      </c>
      <c r="B237" s="74" t="s">
        <v>320</v>
      </c>
      <c r="C237" s="83">
        <v>1293</v>
      </c>
      <c r="D237" s="83">
        <v>1445</v>
      </c>
    </row>
    <row r="238" spans="1:4" x14ac:dyDescent="0.25">
      <c r="A238" s="73">
        <v>51302</v>
      </c>
      <c r="B238" s="74" t="s">
        <v>321</v>
      </c>
      <c r="C238" s="83">
        <v>1501</v>
      </c>
      <c r="D238" s="83">
        <v>1569</v>
      </c>
    </row>
    <row r="239" spans="1:4" x14ac:dyDescent="0.25">
      <c r="A239" s="73">
        <v>51401</v>
      </c>
      <c r="B239" s="74" t="s">
        <v>323</v>
      </c>
      <c r="C239" s="83">
        <v>1137</v>
      </c>
      <c r="D239" s="83">
        <v>1156</v>
      </c>
    </row>
    <row r="240" spans="1:4" x14ac:dyDescent="0.25">
      <c r="A240" s="73">
        <v>51402</v>
      </c>
      <c r="B240" s="74" t="s">
        <v>324</v>
      </c>
      <c r="C240" s="83">
        <v>608</v>
      </c>
      <c r="D240" s="83">
        <v>564</v>
      </c>
    </row>
    <row r="241" spans="1:4" x14ac:dyDescent="0.25">
      <c r="A241" s="73">
        <v>51501</v>
      </c>
      <c r="B241" s="74" t="s">
        <v>326</v>
      </c>
      <c r="C241" s="83">
        <v>2928</v>
      </c>
      <c r="D241" s="83">
        <v>2959</v>
      </c>
    </row>
    <row r="242" spans="1:4" x14ac:dyDescent="0.25">
      <c r="A242" s="73">
        <v>51601</v>
      </c>
      <c r="B242" s="74" t="s">
        <v>328</v>
      </c>
      <c r="C242" s="83">
        <v>457</v>
      </c>
      <c r="D242" s="83">
        <v>317</v>
      </c>
    </row>
    <row r="243" spans="1:4" x14ac:dyDescent="0.25">
      <c r="A243" s="73">
        <v>60101</v>
      </c>
      <c r="B243" s="74" t="s">
        <v>329</v>
      </c>
      <c r="C243" s="83">
        <v>8023</v>
      </c>
      <c r="D243" s="83">
        <v>6929</v>
      </c>
    </row>
    <row r="244" spans="1:4" x14ac:dyDescent="0.25">
      <c r="A244" s="73">
        <v>60201</v>
      </c>
      <c r="B244" s="74" t="s">
        <v>331</v>
      </c>
      <c r="C244" s="83">
        <v>4188</v>
      </c>
      <c r="D244" s="83">
        <v>4003</v>
      </c>
    </row>
    <row r="245" spans="1:4" x14ac:dyDescent="0.25">
      <c r="A245" s="73">
        <v>60202</v>
      </c>
      <c r="B245" s="74" t="s">
        <v>332</v>
      </c>
      <c r="C245" s="83">
        <v>2117</v>
      </c>
      <c r="D245" s="83">
        <v>1504</v>
      </c>
    </row>
    <row r="246" spans="1:4" x14ac:dyDescent="0.25">
      <c r="A246" s="73">
        <v>60301</v>
      </c>
      <c r="B246" s="74" t="s">
        <v>334</v>
      </c>
      <c r="C246" s="83">
        <v>6456</v>
      </c>
      <c r="D246" s="83">
        <v>5937</v>
      </c>
    </row>
    <row r="247" spans="1:4" x14ac:dyDescent="0.25">
      <c r="A247" s="73">
        <v>60302</v>
      </c>
      <c r="B247" s="74" t="s">
        <v>335</v>
      </c>
      <c r="C247" s="83">
        <v>3022</v>
      </c>
      <c r="D247" s="83">
        <v>2928</v>
      </c>
    </row>
    <row r="248" spans="1:4" x14ac:dyDescent="0.25">
      <c r="A248" s="73">
        <v>60303</v>
      </c>
      <c r="B248" s="74" t="s">
        <v>336</v>
      </c>
      <c r="C248" s="83">
        <v>3932</v>
      </c>
      <c r="D248" s="83">
        <v>3967</v>
      </c>
    </row>
    <row r="249" spans="1:4" x14ac:dyDescent="0.25">
      <c r="A249" s="73">
        <v>60401</v>
      </c>
      <c r="B249" s="74" t="s">
        <v>338</v>
      </c>
      <c r="C249" s="83">
        <v>3110</v>
      </c>
      <c r="D249" s="83">
        <v>3288</v>
      </c>
    </row>
    <row r="250" spans="1:4" x14ac:dyDescent="0.25">
      <c r="A250" s="73">
        <v>60402</v>
      </c>
      <c r="B250" s="74" t="s">
        <v>339</v>
      </c>
      <c r="C250" s="83">
        <v>1348</v>
      </c>
      <c r="D250" s="83">
        <v>1367</v>
      </c>
    </row>
    <row r="251" spans="1:4" x14ac:dyDescent="0.25">
      <c r="A251" s="73">
        <v>60501</v>
      </c>
      <c r="B251" s="74" t="s">
        <v>341</v>
      </c>
      <c r="C251" s="83">
        <v>4582</v>
      </c>
      <c r="D251" s="83">
        <v>3536</v>
      </c>
    </row>
    <row r="252" spans="1:4" x14ac:dyDescent="0.25">
      <c r="A252" s="73">
        <v>60502</v>
      </c>
      <c r="B252" s="74" t="s">
        <v>342</v>
      </c>
      <c r="C252" s="83">
        <v>2830</v>
      </c>
      <c r="D252" s="83">
        <v>2667</v>
      </c>
    </row>
    <row r="253" spans="1:4" x14ac:dyDescent="0.25">
      <c r="A253" s="73">
        <v>60601</v>
      </c>
      <c r="B253" s="74" t="s">
        <v>213</v>
      </c>
      <c r="C253" s="83">
        <v>4196</v>
      </c>
      <c r="D253" s="83">
        <v>4708</v>
      </c>
    </row>
    <row r="254" spans="1:4" x14ac:dyDescent="0.25">
      <c r="A254" s="73">
        <v>70101</v>
      </c>
      <c r="B254" s="74" t="s">
        <v>346</v>
      </c>
      <c r="C254" s="83">
        <v>22656</v>
      </c>
      <c r="D254" s="83">
        <v>13709</v>
      </c>
    </row>
    <row r="255" spans="1:4" x14ac:dyDescent="0.25">
      <c r="A255" s="73">
        <v>70102</v>
      </c>
      <c r="B255" s="74" t="s">
        <v>347</v>
      </c>
      <c r="C255" s="83">
        <v>7963</v>
      </c>
      <c r="D255" s="83">
        <v>13863</v>
      </c>
    </row>
    <row r="256" spans="1:4" x14ac:dyDescent="0.25">
      <c r="A256" s="73">
        <v>70103</v>
      </c>
      <c r="B256" s="74" t="s">
        <v>348</v>
      </c>
      <c r="C256" s="83">
        <v>2738</v>
      </c>
      <c r="D256" s="83">
        <v>2791</v>
      </c>
    </row>
    <row r="257" spans="1:4" x14ac:dyDescent="0.25">
      <c r="A257" s="73">
        <v>70104</v>
      </c>
      <c r="B257" s="74" t="s">
        <v>349</v>
      </c>
      <c r="C257" s="83">
        <v>6343</v>
      </c>
      <c r="D257" s="83">
        <v>6536</v>
      </c>
    </row>
    <row r="258" spans="1:4" x14ac:dyDescent="0.25">
      <c r="A258" s="73">
        <v>70105</v>
      </c>
      <c r="B258" s="74" t="s">
        <v>350</v>
      </c>
      <c r="C258" s="83">
        <v>5721</v>
      </c>
      <c r="D258" s="83">
        <v>5996</v>
      </c>
    </row>
    <row r="259" spans="1:4" x14ac:dyDescent="0.25">
      <c r="A259" s="73">
        <v>70201</v>
      </c>
      <c r="B259" s="74" t="s">
        <v>351</v>
      </c>
      <c r="C259" s="83">
        <v>10524</v>
      </c>
      <c r="D259" s="83">
        <v>15942</v>
      </c>
    </row>
    <row r="260" spans="1:4" x14ac:dyDescent="0.25">
      <c r="A260" s="73">
        <v>70202</v>
      </c>
      <c r="B260" s="74" t="s">
        <v>352</v>
      </c>
      <c r="C260" s="83">
        <v>1684</v>
      </c>
      <c r="D260" s="83">
        <v>1570</v>
      </c>
    </row>
    <row r="261" spans="1:4" x14ac:dyDescent="0.25">
      <c r="A261" s="73">
        <v>70301</v>
      </c>
      <c r="B261" s="74" t="s">
        <v>354</v>
      </c>
      <c r="C261" s="83">
        <v>6878</v>
      </c>
      <c r="D261" s="83">
        <v>11470</v>
      </c>
    </row>
    <row r="262" spans="1:4" x14ac:dyDescent="0.25">
      <c r="A262" s="73">
        <v>70302</v>
      </c>
      <c r="B262" s="74" t="s">
        <v>355</v>
      </c>
      <c r="C262" s="83">
        <v>1930</v>
      </c>
      <c r="D262" s="83">
        <v>3649</v>
      </c>
    </row>
    <row r="263" spans="1:4" x14ac:dyDescent="0.25">
      <c r="A263" s="73">
        <v>70303</v>
      </c>
      <c r="B263" s="74" t="s">
        <v>356</v>
      </c>
      <c r="C263" s="83">
        <v>1062</v>
      </c>
      <c r="D263" s="83">
        <v>2346</v>
      </c>
    </row>
    <row r="264" spans="1:4" x14ac:dyDescent="0.25">
      <c r="A264" s="73">
        <v>70401</v>
      </c>
      <c r="B264" s="74" t="s">
        <v>358</v>
      </c>
      <c r="C264" s="83">
        <v>2569</v>
      </c>
      <c r="D264" s="83">
        <v>2633</v>
      </c>
    </row>
    <row r="265" spans="1:4" x14ac:dyDescent="0.25">
      <c r="A265" s="73">
        <v>70402</v>
      </c>
      <c r="B265" s="74" t="s">
        <v>359</v>
      </c>
      <c r="C265" s="83">
        <v>2904</v>
      </c>
      <c r="D265" s="83">
        <v>2637</v>
      </c>
    </row>
    <row r="266" spans="1:4" x14ac:dyDescent="0.25">
      <c r="A266" s="73">
        <v>70403</v>
      </c>
      <c r="B266" s="74" t="s">
        <v>360</v>
      </c>
      <c r="C266" s="83">
        <v>12005</v>
      </c>
      <c r="D266" s="83">
        <v>12325</v>
      </c>
    </row>
    <row r="267" spans="1:4" x14ac:dyDescent="0.25">
      <c r="A267" s="73">
        <v>70404</v>
      </c>
      <c r="B267" s="74" t="s">
        <v>361</v>
      </c>
      <c r="C267" s="83">
        <v>1167</v>
      </c>
      <c r="D267" s="83">
        <v>1560</v>
      </c>
    </row>
    <row r="268" spans="1:4" x14ac:dyDescent="0.25">
      <c r="A268" s="73">
        <v>70501</v>
      </c>
      <c r="B268" s="74" t="s">
        <v>363</v>
      </c>
      <c r="C268" s="83">
        <v>2327</v>
      </c>
      <c r="D268" s="83">
        <v>8567</v>
      </c>
    </row>
    <row r="269" spans="1:4" x14ac:dyDescent="0.25">
      <c r="A269" s="73">
        <v>70502</v>
      </c>
      <c r="B269" s="74" t="s">
        <v>364</v>
      </c>
      <c r="C269" s="83">
        <v>5260</v>
      </c>
      <c r="D269" s="83">
        <v>9001</v>
      </c>
    </row>
    <row r="270" spans="1:4" x14ac:dyDescent="0.25">
      <c r="A270" s="73">
        <v>70503</v>
      </c>
      <c r="B270" s="74" t="s">
        <v>365</v>
      </c>
      <c r="C270" s="83">
        <v>2371</v>
      </c>
      <c r="D270" s="83">
        <v>2268</v>
      </c>
    </row>
    <row r="271" spans="1:4" x14ac:dyDescent="0.25">
      <c r="A271" s="73">
        <v>70601</v>
      </c>
      <c r="B271" s="74" t="s">
        <v>367</v>
      </c>
      <c r="C271" s="83">
        <v>1274</v>
      </c>
      <c r="D271" s="83">
        <v>1576</v>
      </c>
    </row>
    <row r="272" spans="1:4" x14ac:dyDescent="0.25">
      <c r="A272" s="73">
        <v>70602</v>
      </c>
      <c r="B272" s="74" t="s">
        <v>368</v>
      </c>
      <c r="C272" s="83">
        <v>4317</v>
      </c>
      <c r="D272" s="83">
        <v>5078</v>
      </c>
    </row>
    <row r="273" spans="1:4" x14ac:dyDescent="0.25">
      <c r="A273" s="73">
        <v>70603</v>
      </c>
      <c r="B273" s="74" t="s">
        <v>369</v>
      </c>
      <c r="C273" s="83">
        <v>896</v>
      </c>
      <c r="D273" s="83">
        <v>589</v>
      </c>
    </row>
    <row r="274" spans="1:4" x14ac:dyDescent="0.25">
      <c r="A274" s="73">
        <v>70701</v>
      </c>
      <c r="B274" s="74" t="s">
        <v>371</v>
      </c>
      <c r="C274" s="83">
        <v>1067</v>
      </c>
      <c r="D274" s="83">
        <v>1349</v>
      </c>
    </row>
    <row r="275" spans="1:4" x14ac:dyDescent="0.25">
      <c r="A275" s="73">
        <v>70702</v>
      </c>
      <c r="B275" s="74" t="s">
        <v>372</v>
      </c>
      <c r="C275" s="83">
        <v>5505</v>
      </c>
      <c r="D275" s="83">
        <v>8210</v>
      </c>
    </row>
    <row r="276" spans="1:4" x14ac:dyDescent="0.25">
      <c r="A276" s="73">
        <v>70703</v>
      </c>
      <c r="B276" s="74" t="s">
        <v>373</v>
      </c>
      <c r="C276" s="83">
        <v>4933</v>
      </c>
      <c r="D276" s="83">
        <v>5934</v>
      </c>
    </row>
    <row r="277" spans="1:4" x14ac:dyDescent="0.25">
      <c r="A277" s="73">
        <v>70704</v>
      </c>
      <c r="B277" s="74" t="s">
        <v>374</v>
      </c>
      <c r="C277" s="83">
        <v>855</v>
      </c>
      <c r="D277" s="83">
        <v>754</v>
      </c>
    </row>
    <row r="278" spans="1:4" x14ac:dyDescent="0.25">
      <c r="A278" s="73">
        <v>70705</v>
      </c>
      <c r="B278" s="74" t="s">
        <v>375</v>
      </c>
      <c r="C278" s="83">
        <v>2375</v>
      </c>
      <c r="D278" s="83">
        <v>3449</v>
      </c>
    </row>
    <row r="279" spans="1:4" x14ac:dyDescent="0.25">
      <c r="A279" s="73">
        <v>70706</v>
      </c>
      <c r="B279" s="74" t="s">
        <v>376</v>
      </c>
      <c r="C279" s="83">
        <v>1209</v>
      </c>
      <c r="D279" s="83">
        <v>1606</v>
      </c>
    </row>
    <row r="280" spans="1:4" x14ac:dyDescent="0.25">
      <c r="A280" s="73">
        <v>70707</v>
      </c>
      <c r="B280" s="74" t="s">
        <v>377</v>
      </c>
      <c r="C280" s="83">
        <v>580</v>
      </c>
      <c r="D280" s="83">
        <v>658</v>
      </c>
    </row>
    <row r="281" spans="1:4" x14ac:dyDescent="0.25">
      <c r="A281" s="73">
        <v>70801</v>
      </c>
      <c r="B281" s="74" t="s">
        <v>379</v>
      </c>
      <c r="C281" s="83">
        <v>2355</v>
      </c>
      <c r="D281" s="83">
        <v>2204</v>
      </c>
    </row>
    <row r="282" spans="1:4" x14ac:dyDescent="0.25">
      <c r="A282" s="73">
        <v>70802</v>
      </c>
      <c r="B282" s="74" t="s">
        <v>380</v>
      </c>
      <c r="C282" s="83">
        <v>565</v>
      </c>
      <c r="D282" s="83">
        <v>731</v>
      </c>
    </row>
    <row r="283" spans="1:4" x14ac:dyDescent="0.25">
      <c r="A283" s="73">
        <v>70803</v>
      </c>
      <c r="B283" s="74" t="s">
        <v>381</v>
      </c>
      <c r="C283" s="83">
        <v>681</v>
      </c>
      <c r="D283" s="83">
        <v>750</v>
      </c>
    </row>
    <row r="284" spans="1:4" x14ac:dyDescent="0.25">
      <c r="A284" s="73">
        <v>70804</v>
      </c>
      <c r="B284" s="74" t="s">
        <v>382</v>
      </c>
      <c r="C284" s="83">
        <v>385</v>
      </c>
      <c r="D284" s="83">
        <v>332</v>
      </c>
    </row>
    <row r="285" spans="1:4" x14ac:dyDescent="0.25">
      <c r="A285" s="73">
        <v>70805</v>
      </c>
      <c r="B285" s="74" t="s">
        <v>383</v>
      </c>
      <c r="C285" s="83">
        <v>444</v>
      </c>
      <c r="D285" s="83">
        <v>470</v>
      </c>
    </row>
    <row r="286" spans="1:4" x14ac:dyDescent="0.25">
      <c r="A286" s="73">
        <v>70901</v>
      </c>
      <c r="B286" s="74" t="s">
        <v>385</v>
      </c>
      <c r="C286" s="83">
        <v>1974</v>
      </c>
      <c r="D286" s="83">
        <v>1928</v>
      </c>
    </row>
    <row r="287" spans="1:4" x14ac:dyDescent="0.25">
      <c r="A287" s="73">
        <v>70902</v>
      </c>
      <c r="B287" s="74" t="s">
        <v>386</v>
      </c>
      <c r="C287" s="83">
        <v>1403</v>
      </c>
      <c r="D287" s="83">
        <v>983</v>
      </c>
    </row>
    <row r="288" spans="1:4" x14ac:dyDescent="0.25">
      <c r="A288" s="73">
        <v>70903</v>
      </c>
      <c r="B288" s="74" t="s">
        <v>387</v>
      </c>
      <c r="C288" s="83">
        <v>952</v>
      </c>
      <c r="D288" s="83">
        <v>1390</v>
      </c>
    </row>
    <row r="289" spans="1:4" x14ac:dyDescent="0.25">
      <c r="A289" s="73">
        <v>70904</v>
      </c>
      <c r="B289" s="74" t="s">
        <v>388</v>
      </c>
      <c r="C289" s="83">
        <v>451</v>
      </c>
      <c r="D289" s="83">
        <v>332</v>
      </c>
    </row>
    <row r="290" spans="1:4" x14ac:dyDescent="0.25">
      <c r="A290" s="73">
        <v>71001</v>
      </c>
      <c r="B290" s="74" t="s">
        <v>390</v>
      </c>
      <c r="C290" s="83">
        <v>5879</v>
      </c>
      <c r="D290" s="83">
        <v>3150</v>
      </c>
    </row>
    <row r="291" spans="1:4" x14ac:dyDescent="0.25">
      <c r="A291" s="73">
        <v>71002</v>
      </c>
      <c r="B291" s="74" t="s">
        <v>391</v>
      </c>
      <c r="C291" s="83">
        <v>2613</v>
      </c>
      <c r="D291" s="83">
        <v>2773</v>
      </c>
    </row>
    <row r="292" spans="1:4" x14ac:dyDescent="0.25">
      <c r="A292" s="73">
        <v>71003</v>
      </c>
      <c r="B292" s="74" t="s">
        <v>392</v>
      </c>
      <c r="C292" s="83">
        <v>3552</v>
      </c>
      <c r="D292" s="83">
        <v>2085</v>
      </c>
    </row>
    <row r="293" spans="1:4" x14ac:dyDescent="0.25">
      <c r="A293" s="73">
        <v>71004</v>
      </c>
      <c r="B293" s="74" t="s">
        <v>393</v>
      </c>
      <c r="C293" s="83">
        <v>3088</v>
      </c>
      <c r="D293" s="83">
        <v>1958</v>
      </c>
    </row>
    <row r="294" spans="1:4" x14ac:dyDescent="0.25">
      <c r="A294" s="73">
        <v>71005</v>
      </c>
      <c r="B294" s="74" t="s">
        <v>292</v>
      </c>
      <c r="C294" s="83">
        <v>3392</v>
      </c>
      <c r="D294" s="83">
        <v>3535</v>
      </c>
    </row>
    <row r="295" spans="1:4" x14ac:dyDescent="0.25">
      <c r="A295" s="73">
        <v>71101</v>
      </c>
      <c r="B295" s="74" t="s">
        <v>395</v>
      </c>
      <c r="C295" s="83">
        <v>2707</v>
      </c>
      <c r="D295" s="83">
        <v>6080</v>
      </c>
    </row>
    <row r="296" spans="1:4" x14ac:dyDescent="0.25">
      <c r="A296" s="73">
        <v>71102</v>
      </c>
      <c r="B296" s="74" t="s">
        <v>396</v>
      </c>
      <c r="C296" s="83">
        <v>1736</v>
      </c>
      <c r="D296" s="83">
        <v>1717</v>
      </c>
    </row>
    <row r="297" spans="1:4" x14ac:dyDescent="0.25">
      <c r="A297" s="73">
        <v>71103</v>
      </c>
      <c r="B297" s="74" t="s">
        <v>399</v>
      </c>
      <c r="C297" s="83">
        <v>1361</v>
      </c>
      <c r="D297" s="83">
        <v>1379</v>
      </c>
    </row>
    <row r="298" spans="1:4" x14ac:dyDescent="0.25">
      <c r="A298" s="73">
        <v>71104</v>
      </c>
      <c r="B298" s="74" t="s">
        <v>397</v>
      </c>
      <c r="C298" s="83">
        <v>10978</v>
      </c>
      <c r="D298" s="83">
        <v>9593</v>
      </c>
    </row>
    <row r="299" spans="1:4" x14ac:dyDescent="0.25">
      <c r="A299" s="73">
        <v>71105</v>
      </c>
      <c r="B299" s="74" t="s">
        <v>398</v>
      </c>
      <c r="C299" s="83">
        <v>1125</v>
      </c>
      <c r="D299" s="83">
        <v>1465</v>
      </c>
    </row>
    <row r="300" spans="1:4" x14ac:dyDescent="0.25">
      <c r="A300" s="73">
        <v>71106</v>
      </c>
      <c r="B300" s="74" t="s">
        <v>400</v>
      </c>
      <c r="C300" s="83">
        <v>3458</v>
      </c>
      <c r="D300" s="83">
        <v>3388</v>
      </c>
    </row>
    <row r="301" spans="1:4" x14ac:dyDescent="0.25">
      <c r="A301" s="73">
        <v>71201</v>
      </c>
      <c r="B301" s="74" t="s">
        <v>402</v>
      </c>
      <c r="C301" s="83">
        <v>2455</v>
      </c>
      <c r="D301" s="83">
        <v>3226</v>
      </c>
    </row>
    <row r="302" spans="1:4" x14ac:dyDescent="0.25">
      <c r="A302" s="73">
        <v>71301</v>
      </c>
      <c r="B302" s="74" t="s">
        <v>404</v>
      </c>
      <c r="C302" s="83">
        <v>1983</v>
      </c>
      <c r="D302" s="83">
        <v>2046</v>
      </c>
    </row>
    <row r="303" spans="1:4" x14ac:dyDescent="0.25">
      <c r="A303" s="73">
        <v>71302</v>
      </c>
      <c r="B303" s="74" t="s">
        <v>405</v>
      </c>
      <c r="C303" s="83">
        <v>621</v>
      </c>
      <c r="D303" s="83">
        <v>463</v>
      </c>
    </row>
    <row r="304" spans="1:4" x14ac:dyDescent="0.25">
      <c r="A304" s="73">
        <v>71401</v>
      </c>
      <c r="B304" s="74" t="s">
        <v>407</v>
      </c>
      <c r="C304" s="83">
        <v>2717</v>
      </c>
      <c r="D304" s="83">
        <v>2195</v>
      </c>
    </row>
    <row r="305" spans="1:4" x14ac:dyDescent="0.25">
      <c r="A305" s="73">
        <v>71402</v>
      </c>
      <c r="B305" s="74" t="s">
        <v>408</v>
      </c>
      <c r="C305" s="83">
        <v>662</v>
      </c>
      <c r="D305" s="83">
        <v>575</v>
      </c>
    </row>
    <row r="306" spans="1:4" x14ac:dyDescent="0.25">
      <c r="A306" s="73">
        <v>71403</v>
      </c>
      <c r="B306" s="74" t="s">
        <v>409</v>
      </c>
      <c r="C306" s="83">
        <v>1473</v>
      </c>
      <c r="D306" s="83">
        <v>2149</v>
      </c>
    </row>
    <row r="307" spans="1:4" x14ac:dyDescent="0.25">
      <c r="A307" s="73">
        <v>71501</v>
      </c>
      <c r="B307" s="74" t="s">
        <v>411</v>
      </c>
      <c r="C307" s="83">
        <v>4296</v>
      </c>
      <c r="D307" s="83">
        <v>8771</v>
      </c>
    </row>
    <row r="308" spans="1:4" x14ac:dyDescent="0.25">
      <c r="A308" s="73">
        <v>71502</v>
      </c>
      <c r="B308" s="74" t="s">
        <v>412</v>
      </c>
      <c r="C308" s="83">
        <v>866</v>
      </c>
      <c r="D308" s="83">
        <v>1535</v>
      </c>
    </row>
    <row r="309" spans="1:4" x14ac:dyDescent="0.25">
      <c r="A309" s="73">
        <v>71503</v>
      </c>
      <c r="B309" s="74" t="s">
        <v>342</v>
      </c>
      <c r="C309" s="83">
        <v>4382</v>
      </c>
      <c r="D309" s="83">
        <v>6256</v>
      </c>
    </row>
    <row r="310" spans="1:4" x14ac:dyDescent="0.25">
      <c r="A310" s="73">
        <v>80101</v>
      </c>
      <c r="B310" s="74" t="s">
        <v>414</v>
      </c>
      <c r="C310" s="83">
        <v>3378</v>
      </c>
      <c r="D310" s="83">
        <v>2969</v>
      </c>
    </row>
    <row r="311" spans="1:4" x14ac:dyDescent="0.25">
      <c r="A311" s="73">
        <v>80102</v>
      </c>
      <c r="B311" s="74" t="s">
        <v>396</v>
      </c>
      <c r="C311" s="83">
        <v>1221</v>
      </c>
      <c r="D311" s="83">
        <v>2017</v>
      </c>
    </row>
    <row r="312" spans="1:4" x14ac:dyDescent="0.25">
      <c r="A312" s="73">
        <v>80201</v>
      </c>
      <c r="B312" s="74" t="s">
        <v>416</v>
      </c>
      <c r="C312" s="83">
        <v>4470</v>
      </c>
      <c r="D312" s="83">
        <v>7901</v>
      </c>
    </row>
    <row r="313" spans="1:4" x14ac:dyDescent="0.25">
      <c r="A313" s="73">
        <v>80202</v>
      </c>
      <c r="B313" s="74" t="s">
        <v>417</v>
      </c>
      <c r="C313" s="83">
        <v>1707</v>
      </c>
      <c r="D313" s="83">
        <v>2548</v>
      </c>
    </row>
    <row r="314" spans="1:4" x14ac:dyDescent="0.25">
      <c r="A314" s="73">
        <v>80301</v>
      </c>
      <c r="B314" s="74" t="s">
        <v>419</v>
      </c>
      <c r="C314" s="83">
        <v>2001</v>
      </c>
      <c r="D314" s="83">
        <v>1758</v>
      </c>
    </row>
    <row r="315" spans="1:4" x14ac:dyDescent="0.25">
      <c r="A315" s="73">
        <v>80302</v>
      </c>
      <c r="B315" s="74" t="s">
        <v>420</v>
      </c>
      <c r="C315" s="83">
        <v>7323</v>
      </c>
      <c r="D315" s="83">
        <v>9169</v>
      </c>
    </row>
    <row r="316" spans="1:4" x14ac:dyDescent="0.25">
      <c r="A316" s="73">
        <v>80303</v>
      </c>
      <c r="B316" s="74" t="s">
        <v>368</v>
      </c>
      <c r="C316" s="83">
        <v>1145</v>
      </c>
      <c r="D316" s="83">
        <v>1909</v>
      </c>
    </row>
    <row r="317" spans="1:4" x14ac:dyDescent="0.25">
      <c r="A317" s="73">
        <v>80304</v>
      </c>
      <c r="B317" s="74" t="s">
        <v>421</v>
      </c>
      <c r="C317" s="83">
        <v>1910</v>
      </c>
      <c r="D317" s="83">
        <v>3192</v>
      </c>
    </row>
    <row r="318" spans="1:4" x14ac:dyDescent="0.25">
      <c r="A318" s="73">
        <v>80401</v>
      </c>
      <c r="B318" s="74" t="s">
        <v>423</v>
      </c>
      <c r="C318" s="83">
        <v>1957</v>
      </c>
      <c r="D318" s="83">
        <v>1471</v>
      </c>
    </row>
    <row r="319" spans="1:4" x14ac:dyDescent="0.25">
      <c r="A319" s="73">
        <v>80402</v>
      </c>
      <c r="B319" s="74" t="s">
        <v>424</v>
      </c>
      <c r="C319" s="83">
        <v>931</v>
      </c>
      <c r="D319" s="83">
        <v>1445</v>
      </c>
    </row>
    <row r="320" spans="1:4" x14ac:dyDescent="0.25">
      <c r="A320" s="73">
        <v>80501</v>
      </c>
      <c r="B320" s="74" t="s">
        <v>354</v>
      </c>
      <c r="C320" s="83">
        <v>3151</v>
      </c>
      <c r="D320" s="83">
        <v>4004</v>
      </c>
    </row>
    <row r="321" spans="1:4" x14ac:dyDescent="0.25">
      <c r="A321" s="73">
        <v>80601</v>
      </c>
      <c r="B321" s="74" t="s">
        <v>427</v>
      </c>
      <c r="C321" s="83">
        <v>837</v>
      </c>
      <c r="D321" s="83">
        <v>987</v>
      </c>
    </row>
    <row r="322" spans="1:4" x14ac:dyDescent="0.25">
      <c r="A322" s="73">
        <v>80602</v>
      </c>
      <c r="B322" s="74" t="s">
        <v>428</v>
      </c>
      <c r="C322" s="83">
        <v>2931</v>
      </c>
      <c r="D322" s="83">
        <v>5125</v>
      </c>
    </row>
    <row r="323" spans="1:4" x14ac:dyDescent="0.25">
      <c r="A323" s="73">
        <v>80701</v>
      </c>
      <c r="B323" s="74" t="s">
        <v>430</v>
      </c>
      <c r="C323" s="83">
        <v>965</v>
      </c>
      <c r="D323" s="83">
        <v>516</v>
      </c>
    </row>
    <row r="324" spans="1:4" x14ac:dyDescent="0.25">
      <c r="A324" s="73">
        <v>80702</v>
      </c>
      <c r="B324" s="74" t="s">
        <v>399</v>
      </c>
      <c r="C324" s="83">
        <v>824</v>
      </c>
      <c r="D324" s="83">
        <v>1076</v>
      </c>
    </row>
    <row r="325" spans="1:4" x14ac:dyDescent="0.25">
      <c r="A325" s="73">
        <v>80703</v>
      </c>
      <c r="B325" s="74" t="s">
        <v>431</v>
      </c>
      <c r="C325" s="83">
        <v>195</v>
      </c>
      <c r="D325" s="83">
        <v>302</v>
      </c>
    </row>
    <row r="326" spans="1:4" x14ac:dyDescent="0.25">
      <c r="A326" s="73">
        <v>80801</v>
      </c>
      <c r="B326" s="74" t="s">
        <v>433</v>
      </c>
      <c r="C326" s="83">
        <v>1542</v>
      </c>
      <c r="D326" s="83">
        <v>1775</v>
      </c>
    </row>
    <row r="327" spans="1:4" x14ac:dyDescent="0.25">
      <c r="A327" s="73">
        <v>80802</v>
      </c>
      <c r="B327" s="74" t="s">
        <v>434</v>
      </c>
      <c r="C327" s="83">
        <v>1335</v>
      </c>
      <c r="D327" s="83">
        <v>1487</v>
      </c>
    </row>
    <row r="328" spans="1:4" x14ac:dyDescent="0.25">
      <c r="A328" s="73">
        <v>80803</v>
      </c>
      <c r="B328" s="74" t="s">
        <v>435</v>
      </c>
      <c r="C328" s="83">
        <v>663</v>
      </c>
      <c r="D328" s="83">
        <v>696</v>
      </c>
    </row>
    <row r="329" spans="1:4" x14ac:dyDescent="0.25">
      <c r="A329" s="73">
        <v>80901</v>
      </c>
      <c r="B329" s="74" t="s">
        <v>437</v>
      </c>
      <c r="C329" s="83">
        <v>630</v>
      </c>
      <c r="D329" s="83">
        <v>920</v>
      </c>
    </row>
    <row r="330" spans="1:4" x14ac:dyDescent="0.25">
      <c r="A330" s="73">
        <v>90101</v>
      </c>
      <c r="B330" s="74" t="s">
        <v>440</v>
      </c>
      <c r="C330" s="83">
        <v>1787</v>
      </c>
      <c r="D330" s="83">
        <v>1894</v>
      </c>
    </row>
    <row r="331" spans="1:4" x14ac:dyDescent="0.25">
      <c r="A331" s="73">
        <v>90102</v>
      </c>
      <c r="B331" s="74" t="s">
        <v>441</v>
      </c>
      <c r="C331" s="83">
        <v>1275</v>
      </c>
      <c r="D331" s="83">
        <v>1543</v>
      </c>
    </row>
    <row r="332" spans="1:4" x14ac:dyDescent="0.25">
      <c r="A332" s="73">
        <v>90103</v>
      </c>
      <c r="B332" s="74" t="s">
        <v>442</v>
      </c>
      <c r="C332" s="83">
        <v>545</v>
      </c>
      <c r="D332" s="83">
        <v>790</v>
      </c>
    </row>
    <row r="333" spans="1:4" x14ac:dyDescent="0.25">
      <c r="A333" s="73">
        <v>90104</v>
      </c>
      <c r="B333" s="74" t="s">
        <v>443</v>
      </c>
      <c r="C333" s="83">
        <v>934</v>
      </c>
      <c r="D333" s="83">
        <v>1013</v>
      </c>
    </row>
    <row r="334" spans="1:4" x14ac:dyDescent="0.25">
      <c r="A334" s="73">
        <v>90201</v>
      </c>
      <c r="B334" s="74" t="s">
        <v>445</v>
      </c>
      <c r="C334" s="83">
        <v>867</v>
      </c>
      <c r="D334" s="83">
        <v>1178</v>
      </c>
    </row>
    <row r="335" spans="1:4" x14ac:dyDescent="0.25">
      <c r="A335" s="73">
        <v>90202</v>
      </c>
      <c r="B335" s="74" t="s">
        <v>292</v>
      </c>
      <c r="C335" s="83">
        <v>590</v>
      </c>
      <c r="D335" s="83">
        <v>608</v>
      </c>
    </row>
    <row r="336" spans="1:4" x14ac:dyDescent="0.25">
      <c r="A336" s="73">
        <v>90203</v>
      </c>
      <c r="B336" s="74" t="s">
        <v>446</v>
      </c>
      <c r="C336" s="83">
        <v>1406</v>
      </c>
      <c r="D336" s="83">
        <v>2424</v>
      </c>
    </row>
    <row r="337" spans="1:4" x14ac:dyDescent="0.25">
      <c r="A337" s="73">
        <v>90301</v>
      </c>
      <c r="B337" s="74" t="s">
        <v>448</v>
      </c>
      <c r="C337" s="83">
        <v>1023</v>
      </c>
      <c r="D337" s="83">
        <v>1932</v>
      </c>
    </row>
    <row r="338" spans="1:4" x14ac:dyDescent="0.25">
      <c r="A338" s="73">
        <v>90302</v>
      </c>
      <c r="B338" s="74" t="s">
        <v>341</v>
      </c>
      <c r="C338" s="83">
        <v>1324</v>
      </c>
      <c r="D338" s="83">
        <v>1740</v>
      </c>
    </row>
    <row r="339" spans="1:4" x14ac:dyDescent="0.25">
      <c r="A339" s="73">
        <v>90303</v>
      </c>
      <c r="B339" s="74" t="s">
        <v>449</v>
      </c>
      <c r="C339" s="83">
        <v>1607</v>
      </c>
      <c r="D339" s="83">
        <v>2534</v>
      </c>
    </row>
    <row r="340" spans="1:4" x14ac:dyDescent="0.25">
      <c r="A340" s="73">
        <v>90401</v>
      </c>
      <c r="B340" s="74" t="s">
        <v>368</v>
      </c>
      <c r="C340" s="83">
        <v>609</v>
      </c>
      <c r="D340" s="83">
        <v>852</v>
      </c>
    </row>
    <row r="341" spans="1:4" x14ac:dyDescent="0.25">
      <c r="A341" s="73">
        <v>90402</v>
      </c>
      <c r="B341" s="74" t="s">
        <v>111</v>
      </c>
      <c r="C341" s="83">
        <v>337</v>
      </c>
      <c r="D341" s="83">
        <v>611</v>
      </c>
    </row>
    <row r="342" spans="1:4" x14ac:dyDescent="0.25">
      <c r="A342" s="73">
        <v>90501</v>
      </c>
      <c r="B342" s="74" t="s">
        <v>452</v>
      </c>
      <c r="C342" s="83">
        <v>460</v>
      </c>
      <c r="D342" s="83">
        <v>486</v>
      </c>
    </row>
    <row r="343" spans="1:4" x14ac:dyDescent="0.25">
      <c r="A343" s="73">
        <v>90502</v>
      </c>
      <c r="B343" s="74" t="s">
        <v>453</v>
      </c>
      <c r="C343" s="83">
        <v>583</v>
      </c>
      <c r="D343" s="83">
        <v>698</v>
      </c>
    </row>
    <row r="344" spans="1:4" x14ac:dyDescent="0.25">
      <c r="A344" s="73">
        <v>90503</v>
      </c>
      <c r="B344" s="74" t="s">
        <v>454</v>
      </c>
      <c r="C344" s="83">
        <v>429</v>
      </c>
      <c r="D344" s="83">
        <v>589</v>
      </c>
    </row>
    <row r="345" spans="1:4" x14ac:dyDescent="0.25">
      <c r="A345" s="75"/>
      <c r="B345" s="76"/>
    </row>
    <row r="347" spans="1:4" x14ac:dyDescent="0.25">
      <c r="A347" s="75"/>
      <c r="B347" s="76"/>
    </row>
    <row r="348" spans="1:4" x14ac:dyDescent="0.25">
      <c r="A348" s="75"/>
      <c r="B348" s="76"/>
    </row>
    <row r="349" spans="1:4" x14ac:dyDescent="0.25">
      <c r="A349" s="75"/>
      <c r="B349" s="76"/>
    </row>
    <row r="350" spans="1:4" x14ac:dyDescent="0.25">
      <c r="A350" s="75"/>
      <c r="B350" s="76"/>
    </row>
    <row r="351" spans="1:4" x14ac:dyDescent="0.25">
      <c r="A351" s="75"/>
      <c r="B351" s="76"/>
    </row>
    <row r="352" spans="1:4" x14ac:dyDescent="0.25">
      <c r="A352" s="75"/>
      <c r="B352" s="76"/>
    </row>
    <row r="353" spans="1:2" x14ac:dyDescent="0.25">
      <c r="A353" s="75"/>
      <c r="B353" s="76"/>
    </row>
    <row r="354" spans="1:2" x14ac:dyDescent="0.25">
      <c r="A354" s="75"/>
      <c r="B354" s="76"/>
    </row>
    <row r="355" spans="1:2" x14ac:dyDescent="0.25">
      <c r="A355" s="75"/>
      <c r="B355" s="76"/>
    </row>
    <row r="356" spans="1:2" x14ac:dyDescent="0.25">
      <c r="A356" s="75"/>
      <c r="B356" s="76"/>
    </row>
    <row r="357" spans="1:2" x14ac:dyDescent="0.25">
      <c r="A357" s="75"/>
      <c r="B357" s="76"/>
    </row>
    <row r="358" spans="1:2" x14ac:dyDescent="0.25">
      <c r="A358" s="75"/>
      <c r="B358" s="76"/>
    </row>
    <row r="359" spans="1:2" x14ac:dyDescent="0.25">
      <c r="A359" s="75"/>
      <c r="B359" s="76"/>
    </row>
    <row r="360" spans="1:2" x14ac:dyDescent="0.25">
      <c r="A360" s="75"/>
      <c r="B360" s="76"/>
    </row>
    <row r="361" spans="1:2" x14ac:dyDescent="0.25">
      <c r="A361" s="75"/>
      <c r="B361" s="76"/>
    </row>
    <row r="362" spans="1:2" x14ac:dyDescent="0.25">
      <c r="A362" s="75"/>
      <c r="B362" s="76"/>
    </row>
    <row r="363" spans="1:2" x14ac:dyDescent="0.25">
      <c r="A363" s="75"/>
      <c r="B363" s="76"/>
    </row>
    <row r="364" spans="1:2" x14ac:dyDescent="0.25">
      <c r="A364" s="75"/>
      <c r="B364" s="76"/>
    </row>
    <row r="365" spans="1:2" x14ac:dyDescent="0.25">
      <c r="A365" s="75"/>
      <c r="B365" s="76"/>
    </row>
    <row r="366" spans="1:2" x14ac:dyDescent="0.25">
      <c r="A366" s="75"/>
      <c r="B366" s="76"/>
    </row>
    <row r="367" spans="1:2" x14ac:dyDescent="0.25">
      <c r="A367" s="75"/>
      <c r="B367" s="76"/>
    </row>
    <row r="368" spans="1:2" x14ac:dyDescent="0.25">
      <c r="A368" s="75"/>
      <c r="B368" s="76"/>
    </row>
    <row r="369" spans="1:2" x14ac:dyDescent="0.25">
      <c r="A369" s="75"/>
      <c r="B369" s="76"/>
    </row>
    <row r="370" spans="1:2" x14ac:dyDescent="0.25">
      <c r="A370" s="75"/>
      <c r="B370" s="76"/>
    </row>
    <row r="371" spans="1:2" x14ac:dyDescent="0.25">
      <c r="A371" s="75"/>
      <c r="B371" s="76"/>
    </row>
    <row r="372" spans="1:2" x14ac:dyDescent="0.25">
      <c r="A372" s="75"/>
      <c r="B372" s="76"/>
    </row>
    <row r="373" spans="1:2" x14ac:dyDescent="0.25">
      <c r="A373" s="75"/>
      <c r="B373" s="76"/>
    </row>
    <row r="374" spans="1:2" x14ac:dyDescent="0.25">
      <c r="A374" s="75"/>
      <c r="B374" s="76"/>
    </row>
    <row r="375" spans="1:2" x14ac:dyDescent="0.25">
      <c r="A375" s="75"/>
      <c r="B375" s="76"/>
    </row>
    <row r="376" spans="1:2" x14ac:dyDescent="0.25">
      <c r="A376" s="75"/>
      <c r="B376" s="76"/>
    </row>
    <row r="377" spans="1:2" x14ac:dyDescent="0.25">
      <c r="A377" s="75"/>
      <c r="B377" s="76"/>
    </row>
    <row r="378" spans="1:2" x14ac:dyDescent="0.25">
      <c r="A378" s="75"/>
      <c r="B378" s="76"/>
    </row>
    <row r="379" spans="1:2" x14ac:dyDescent="0.25">
      <c r="A379" s="75"/>
      <c r="B379" s="76"/>
    </row>
    <row r="380" spans="1:2" x14ac:dyDescent="0.25">
      <c r="A380" s="75"/>
      <c r="B380" s="76"/>
    </row>
    <row r="381" spans="1:2" x14ac:dyDescent="0.25">
      <c r="A381" s="75"/>
      <c r="B381" s="76"/>
    </row>
    <row r="382" spans="1:2" x14ac:dyDescent="0.25">
      <c r="A382" s="75"/>
      <c r="B382" s="76"/>
    </row>
    <row r="383" spans="1:2" x14ac:dyDescent="0.25">
      <c r="A383" s="75"/>
      <c r="B383" s="76"/>
    </row>
    <row r="384" spans="1:2" x14ac:dyDescent="0.25">
      <c r="A384" s="75"/>
      <c r="B384" s="76"/>
    </row>
    <row r="385" spans="1:2" x14ac:dyDescent="0.25">
      <c r="A385" s="75"/>
      <c r="B385" s="76"/>
    </row>
    <row r="386" spans="1:2" x14ac:dyDescent="0.25">
      <c r="A386" s="75"/>
      <c r="B386" s="76"/>
    </row>
    <row r="387" spans="1:2" x14ac:dyDescent="0.25">
      <c r="A387" s="75"/>
      <c r="B387" s="76"/>
    </row>
    <row r="388" spans="1:2" x14ac:dyDescent="0.25">
      <c r="A388" s="75"/>
      <c r="B388" s="76"/>
    </row>
    <row r="389" spans="1:2" x14ac:dyDescent="0.25">
      <c r="A389" s="75"/>
      <c r="B389" s="76"/>
    </row>
    <row r="390" spans="1:2" x14ac:dyDescent="0.25">
      <c r="A390" s="75"/>
      <c r="B390" s="76"/>
    </row>
    <row r="391" spans="1:2" x14ac:dyDescent="0.25">
      <c r="A391" s="75"/>
      <c r="B391" s="76"/>
    </row>
    <row r="392" spans="1:2" x14ac:dyDescent="0.25">
      <c r="A392" s="75"/>
      <c r="B392" s="76"/>
    </row>
    <row r="393" spans="1:2" x14ac:dyDescent="0.25">
      <c r="A393" s="75"/>
      <c r="B393" s="76"/>
    </row>
    <row r="394" spans="1:2" x14ac:dyDescent="0.25">
      <c r="A394" s="75"/>
      <c r="B394" s="76"/>
    </row>
    <row r="395" spans="1:2" x14ac:dyDescent="0.25">
      <c r="A395" s="75"/>
      <c r="B395" s="76"/>
    </row>
    <row r="396" spans="1:2" x14ac:dyDescent="0.25">
      <c r="A396" s="75"/>
      <c r="B396" s="76"/>
    </row>
    <row r="397" spans="1:2" x14ac:dyDescent="0.25">
      <c r="A397" s="75"/>
      <c r="B397" s="76"/>
    </row>
    <row r="398" spans="1:2" x14ac:dyDescent="0.25">
      <c r="A398" s="75"/>
      <c r="B398" s="76"/>
    </row>
    <row r="399" spans="1:2" x14ac:dyDescent="0.25">
      <c r="A399" s="75"/>
      <c r="B399" s="76"/>
    </row>
    <row r="400" spans="1:2" x14ac:dyDescent="0.25">
      <c r="A400" s="75"/>
      <c r="B400" s="76"/>
    </row>
    <row r="401" spans="1:2" x14ac:dyDescent="0.25">
      <c r="A401" s="75"/>
      <c r="B401" s="76"/>
    </row>
    <row r="402" spans="1:2" x14ac:dyDescent="0.25">
      <c r="A402" s="75"/>
      <c r="B402" s="76"/>
    </row>
    <row r="403" spans="1:2" x14ac:dyDescent="0.25">
      <c r="A403" s="75"/>
      <c r="B403" s="76"/>
    </row>
    <row r="404" spans="1:2" x14ac:dyDescent="0.25">
      <c r="A404" s="75"/>
      <c r="B404" s="76"/>
    </row>
    <row r="405" spans="1:2" x14ac:dyDescent="0.25">
      <c r="A405" s="75"/>
      <c r="B405" s="76"/>
    </row>
    <row r="406" spans="1:2" x14ac:dyDescent="0.25">
      <c r="A406" s="75"/>
      <c r="B406" s="76"/>
    </row>
    <row r="407" spans="1:2" x14ac:dyDescent="0.25">
      <c r="A407" s="75"/>
      <c r="B407" s="76"/>
    </row>
    <row r="408" spans="1:2" x14ac:dyDescent="0.25">
      <c r="A408" s="75"/>
      <c r="B408" s="76"/>
    </row>
    <row r="409" spans="1:2" x14ac:dyDescent="0.25">
      <c r="A409" s="75"/>
      <c r="B409" s="76"/>
    </row>
    <row r="410" spans="1:2" x14ac:dyDescent="0.25">
      <c r="A410" s="75"/>
      <c r="B410" s="76"/>
    </row>
    <row r="411" spans="1:2" x14ac:dyDescent="0.25">
      <c r="A411" s="75"/>
      <c r="B411" s="76"/>
    </row>
    <row r="412" spans="1:2" x14ac:dyDescent="0.25">
      <c r="A412" s="75"/>
      <c r="B412" s="76"/>
    </row>
    <row r="413" spans="1:2" x14ac:dyDescent="0.25">
      <c r="A413" s="75"/>
      <c r="B413" s="76"/>
    </row>
    <row r="414" spans="1:2" x14ac:dyDescent="0.25">
      <c r="A414" s="75"/>
      <c r="B414" s="76"/>
    </row>
    <row r="415" spans="1:2" x14ac:dyDescent="0.25">
      <c r="A415" s="75"/>
      <c r="B415" s="76"/>
    </row>
    <row r="416" spans="1:2" x14ac:dyDescent="0.25">
      <c r="A416" s="75"/>
      <c r="B416" s="76"/>
    </row>
    <row r="417" spans="1:2" x14ac:dyDescent="0.25">
      <c r="A417" s="75"/>
      <c r="B417" s="76"/>
    </row>
    <row r="418" spans="1:2" x14ac:dyDescent="0.25">
      <c r="A418" s="75"/>
      <c r="B418" s="76"/>
    </row>
    <row r="419" spans="1:2" x14ac:dyDescent="0.25">
      <c r="A419" s="75"/>
      <c r="B419" s="76"/>
    </row>
    <row r="420" spans="1:2" x14ac:dyDescent="0.25">
      <c r="A420" s="75"/>
      <c r="B420" s="76"/>
    </row>
    <row r="421" spans="1:2" x14ac:dyDescent="0.25">
      <c r="A421" s="75"/>
      <c r="B421" s="76"/>
    </row>
    <row r="422" spans="1:2" x14ac:dyDescent="0.25">
      <c r="A422" s="75"/>
      <c r="B422" s="76"/>
    </row>
    <row r="423" spans="1:2" x14ac:dyDescent="0.25">
      <c r="A423" s="75"/>
      <c r="B423" s="76"/>
    </row>
    <row r="424" spans="1:2" x14ac:dyDescent="0.25">
      <c r="A424" s="75"/>
      <c r="B424" s="76"/>
    </row>
    <row r="425" spans="1:2" x14ac:dyDescent="0.25">
      <c r="A425" s="75"/>
      <c r="B425" s="76"/>
    </row>
    <row r="426" spans="1:2" x14ac:dyDescent="0.25">
      <c r="A426" s="75"/>
      <c r="B426" s="76"/>
    </row>
    <row r="427" spans="1:2" x14ac:dyDescent="0.25">
      <c r="A427" s="75"/>
      <c r="B427" s="76"/>
    </row>
    <row r="428" spans="1:2" x14ac:dyDescent="0.25">
      <c r="A428" s="75"/>
      <c r="B428" s="76"/>
    </row>
    <row r="429" spans="1:2" x14ac:dyDescent="0.25">
      <c r="A429" s="75"/>
      <c r="B429" s="76"/>
    </row>
    <row r="430" spans="1:2" x14ac:dyDescent="0.25">
      <c r="A430" s="75"/>
      <c r="B430" s="76"/>
    </row>
    <row r="431" spans="1:2" x14ac:dyDescent="0.25">
      <c r="A431" s="75"/>
      <c r="B431" s="76"/>
    </row>
    <row r="432" spans="1:2" x14ac:dyDescent="0.25">
      <c r="A432" s="75"/>
      <c r="B432" s="76"/>
    </row>
    <row r="433" spans="1:2" x14ac:dyDescent="0.25">
      <c r="A433" s="75"/>
      <c r="B433" s="76"/>
    </row>
    <row r="434" spans="1:2" x14ac:dyDescent="0.25">
      <c r="A434" s="75"/>
      <c r="B434" s="76"/>
    </row>
    <row r="435" spans="1:2" x14ac:dyDescent="0.25">
      <c r="A435" s="75"/>
      <c r="B435" s="76"/>
    </row>
    <row r="436" spans="1:2" x14ac:dyDescent="0.25">
      <c r="A436" s="75"/>
      <c r="B436" s="76"/>
    </row>
    <row r="437" spans="1:2" x14ac:dyDescent="0.25">
      <c r="A437" s="75"/>
      <c r="B437" s="76"/>
    </row>
    <row r="438" spans="1:2" x14ac:dyDescent="0.25">
      <c r="A438" s="75"/>
      <c r="B438" s="76"/>
    </row>
    <row r="439" spans="1:2" x14ac:dyDescent="0.25">
      <c r="A439" s="75"/>
      <c r="B439" s="76"/>
    </row>
    <row r="440" spans="1:2" x14ac:dyDescent="0.25">
      <c r="A440" s="75"/>
      <c r="B440" s="76"/>
    </row>
    <row r="441" spans="1:2" x14ac:dyDescent="0.25">
      <c r="A441" s="75"/>
      <c r="B441" s="76"/>
    </row>
    <row r="442" spans="1:2" x14ac:dyDescent="0.25">
      <c r="A442" s="75"/>
      <c r="B442" s="76"/>
    </row>
    <row r="443" spans="1:2" x14ac:dyDescent="0.25">
      <c r="A443" s="75"/>
      <c r="B443" s="76"/>
    </row>
    <row r="444" spans="1:2" x14ac:dyDescent="0.25">
      <c r="A444" s="75"/>
      <c r="B444" s="76"/>
    </row>
    <row r="445" spans="1:2" x14ac:dyDescent="0.25">
      <c r="A445" s="75"/>
      <c r="B445" s="76"/>
    </row>
    <row r="446" spans="1:2" x14ac:dyDescent="0.25">
      <c r="A446" s="75"/>
      <c r="B446" s="76"/>
    </row>
    <row r="447" spans="1:2" x14ac:dyDescent="0.25">
      <c r="A447" s="75"/>
      <c r="B447" s="76"/>
    </row>
    <row r="448" spans="1:2" x14ac:dyDescent="0.25">
      <c r="A448" s="75"/>
      <c r="B448" s="76"/>
    </row>
    <row r="449" spans="1:2" x14ac:dyDescent="0.25">
      <c r="A449" s="75"/>
      <c r="B449" s="76"/>
    </row>
    <row r="450" spans="1:2" x14ac:dyDescent="0.25">
      <c r="A450" s="75"/>
      <c r="B450" s="76"/>
    </row>
    <row r="451" spans="1:2" x14ac:dyDescent="0.25">
      <c r="A451" s="75"/>
      <c r="B451" s="76"/>
    </row>
    <row r="452" spans="1:2" x14ac:dyDescent="0.25">
      <c r="A452" s="75"/>
      <c r="B452" s="76"/>
    </row>
    <row r="453" spans="1:2" x14ac:dyDescent="0.25">
      <c r="A453" s="75"/>
      <c r="B453" s="76"/>
    </row>
    <row r="454" spans="1:2" x14ac:dyDescent="0.25">
      <c r="A454" s="75"/>
      <c r="B454" s="76"/>
    </row>
    <row r="455" spans="1:2" x14ac:dyDescent="0.25">
      <c r="A455" s="75"/>
      <c r="B455" s="76"/>
    </row>
    <row r="456" spans="1:2" x14ac:dyDescent="0.25">
      <c r="A456" s="75"/>
      <c r="B456" s="76"/>
    </row>
    <row r="457" spans="1:2" x14ac:dyDescent="0.25">
      <c r="A457" s="75"/>
      <c r="B457" s="76"/>
    </row>
    <row r="458" spans="1:2" x14ac:dyDescent="0.25">
      <c r="A458" s="75"/>
      <c r="B458" s="76"/>
    </row>
    <row r="459" spans="1:2" x14ac:dyDescent="0.25">
      <c r="A459" s="75"/>
      <c r="B459" s="76"/>
    </row>
    <row r="460" spans="1:2" x14ac:dyDescent="0.25">
      <c r="A460" s="75"/>
      <c r="B460" s="76"/>
    </row>
    <row r="461" spans="1:2" x14ac:dyDescent="0.25">
      <c r="A461" s="75"/>
      <c r="B461" s="76"/>
    </row>
    <row r="462" spans="1:2" x14ac:dyDescent="0.25">
      <c r="A462" s="75"/>
      <c r="B462" s="76"/>
    </row>
    <row r="463" spans="1:2" x14ac:dyDescent="0.25">
      <c r="A463" s="75"/>
      <c r="B463" s="76"/>
    </row>
    <row r="464" spans="1:2" x14ac:dyDescent="0.25">
      <c r="A464" s="75"/>
      <c r="B464" s="76"/>
    </row>
    <row r="465" spans="1:2" x14ac:dyDescent="0.25">
      <c r="A465" s="75"/>
      <c r="B465" s="76"/>
    </row>
    <row r="466" spans="1:2" x14ac:dyDescent="0.25">
      <c r="A466" s="75"/>
      <c r="B466" s="76"/>
    </row>
    <row r="467" spans="1:2" x14ac:dyDescent="0.25">
      <c r="A467" s="75"/>
      <c r="B467" s="76"/>
    </row>
    <row r="468" spans="1:2" x14ac:dyDescent="0.25">
      <c r="A468" s="75"/>
      <c r="B468" s="76"/>
    </row>
    <row r="469" spans="1:2" x14ac:dyDescent="0.25">
      <c r="A469" s="75"/>
      <c r="B469" s="76"/>
    </row>
    <row r="470" spans="1:2" x14ac:dyDescent="0.25">
      <c r="A470" s="75"/>
      <c r="B470" s="76"/>
    </row>
    <row r="471" spans="1:2" x14ac:dyDescent="0.25">
      <c r="A471" s="75"/>
      <c r="B471" s="76"/>
    </row>
    <row r="472" spans="1:2" x14ac:dyDescent="0.25">
      <c r="A472" s="75"/>
      <c r="B472" s="76"/>
    </row>
    <row r="473" spans="1:2" x14ac:dyDescent="0.25">
      <c r="A473" s="75"/>
      <c r="B473" s="76"/>
    </row>
    <row r="474" spans="1:2" x14ac:dyDescent="0.25">
      <c r="A474" s="75"/>
      <c r="B474" s="76"/>
    </row>
    <row r="475" spans="1:2" x14ac:dyDescent="0.25">
      <c r="A475" s="75"/>
      <c r="B475" s="76"/>
    </row>
    <row r="476" spans="1:2" x14ac:dyDescent="0.25">
      <c r="A476" s="75"/>
      <c r="B476" s="76"/>
    </row>
    <row r="477" spans="1:2" x14ac:dyDescent="0.25">
      <c r="A477" s="75"/>
      <c r="B477" s="76"/>
    </row>
    <row r="478" spans="1:2" x14ac:dyDescent="0.25">
      <c r="A478" s="75"/>
      <c r="B478" s="76"/>
    </row>
    <row r="479" spans="1:2" x14ac:dyDescent="0.25">
      <c r="A479" s="75"/>
      <c r="B479" s="76"/>
    </row>
    <row r="480" spans="1:2" x14ac:dyDescent="0.25">
      <c r="A480" s="75"/>
      <c r="B480" s="76"/>
    </row>
    <row r="481" spans="1:2" x14ac:dyDescent="0.25">
      <c r="A481" s="75"/>
      <c r="B481" s="76"/>
    </row>
    <row r="482" spans="1:2" x14ac:dyDescent="0.25">
      <c r="A482" s="75"/>
      <c r="B482" s="76"/>
    </row>
    <row r="483" spans="1:2" x14ac:dyDescent="0.25">
      <c r="A483" s="75"/>
      <c r="B483" s="76"/>
    </row>
    <row r="484" spans="1:2" x14ac:dyDescent="0.25">
      <c r="A484" s="75"/>
      <c r="B484" s="76"/>
    </row>
    <row r="485" spans="1:2" x14ac:dyDescent="0.25">
      <c r="A485" s="75"/>
      <c r="B485" s="76"/>
    </row>
    <row r="486" spans="1:2" x14ac:dyDescent="0.25">
      <c r="A486" s="75"/>
      <c r="B486" s="76"/>
    </row>
    <row r="487" spans="1:2" x14ac:dyDescent="0.25">
      <c r="A487" s="75"/>
      <c r="B487" s="76"/>
    </row>
    <row r="488" spans="1:2" x14ac:dyDescent="0.25">
      <c r="A488" s="75"/>
      <c r="B488" s="76"/>
    </row>
    <row r="489" spans="1:2" x14ac:dyDescent="0.25">
      <c r="A489" s="75"/>
      <c r="B489" s="76"/>
    </row>
    <row r="490" spans="1:2" x14ac:dyDescent="0.25">
      <c r="A490" s="75"/>
      <c r="B490" s="76"/>
    </row>
    <row r="491" spans="1:2" x14ac:dyDescent="0.25">
      <c r="A491" s="75"/>
      <c r="B491" s="76"/>
    </row>
    <row r="492" spans="1:2" x14ac:dyDescent="0.25">
      <c r="A492" s="75"/>
      <c r="B492" s="76"/>
    </row>
    <row r="493" spans="1:2" x14ac:dyDescent="0.25">
      <c r="A493" s="75"/>
      <c r="B493" s="76"/>
    </row>
    <row r="494" spans="1:2" x14ac:dyDescent="0.25">
      <c r="A494" s="75"/>
      <c r="B494" s="76"/>
    </row>
    <row r="495" spans="1:2" x14ac:dyDescent="0.25">
      <c r="A495" s="75"/>
      <c r="B495" s="76"/>
    </row>
    <row r="496" spans="1:2" x14ac:dyDescent="0.25">
      <c r="A496" s="75"/>
      <c r="B496" s="76"/>
    </row>
    <row r="497" spans="1:2" x14ac:dyDescent="0.25">
      <c r="A497" s="75"/>
      <c r="B497" s="76"/>
    </row>
    <row r="498" spans="1:2" x14ac:dyDescent="0.25">
      <c r="A498" s="75"/>
      <c r="B498" s="76"/>
    </row>
    <row r="499" spans="1:2" x14ac:dyDescent="0.25">
      <c r="A499" s="75"/>
      <c r="B499" s="76"/>
    </row>
    <row r="500" spans="1:2" x14ac:dyDescent="0.25">
      <c r="A500" s="75"/>
      <c r="B500" s="76"/>
    </row>
    <row r="501" spans="1:2" x14ac:dyDescent="0.25">
      <c r="A501" s="75"/>
      <c r="B501" s="76"/>
    </row>
    <row r="502" spans="1:2" x14ac:dyDescent="0.25">
      <c r="A502" s="75"/>
      <c r="B502" s="76"/>
    </row>
    <row r="503" spans="1:2" x14ac:dyDescent="0.25">
      <c r="A503" s="75"/>
      <c r="B503" s="76"/>
    </row>
    <row r="504" spans="1:2" x14ac:dyDescent="0.25">
      <c r="A504" s="75"/>
      <c r="B504" s="76"/>
    </row>
    <row r="505" spans="1:2" x14ac:dyDescent="0.25">
      <c r="A505" s="75"/>
      <c r="B505" s="76"/>
    </row>
    <row r="506" spans="1:2" x14ac:dyDescent="0.25">
      <c r="A506" s="75"/>
      <c r="B506" s="76"/>
    </row>
    <row r="507" spans="1:2" x14ac:dyDescent="0.25">
      <c r="A507" s="75"/>
      <c r="B507" s="76"/>
    </row>
    <row r="508" spans="1:2" x14ac:dyDescent="0.25">
      <c r="A508" s="75"/>
      <c r="B508" s="76"/>
    </row>
    <row r="509" spans="1:2" x14ac:dyDescent="0.25">
      <c r="A509" s="75"/>
      <c r="B509" s="76"/>
    </row>
    <row r="510" spans="1:2" x14ac:dyDescent="0.25">
      <c r="A510" s="75"/>
      <c r="B510" s="76"/>
    </row>
    <row r="511" spans="1:2" x14ac:dyDescent="0.25">
      <c r="A511" s="75"/>
      <c r="B511" s="76"/>
    </row>
    <row r="512" spans="1:2" x14ac:dyDescent="0.25">
      <c r="A512" s="75"/>
      <c r="B512" s="76"/>
    </row>
    <row r="513" spans="1:2" x14ac:dyDescent="0.25">
      <c r="A513" s="75"/>
      <c r="B513" s="76"/>
    </row>
    <row r="514" spans="1:2" x14ac:dyDescent="0.25">
      <c r="A514" s="75"/>
      <c r="B514" s="76"/>
    </row>
    <row r="515" spans="1:2" x14ac:dyDescent="0.25">
      <c r="A515" s="75"/>
      <c r="B515" s="76"/>
    </row>
    <row r="516" spans="1:2" x14ac:dyDescent="0.25">
      <c r="A516" s="75"/>
      <c r="B516" s="76"/>
    </row>
    <row r="517" spans="1:2" x14ac:dyDescent="0.25">
      <c r="A517" s="75"/>
      <c r="B517" s="76"/>
    </row>
    <row r="518" spans="1:2" x14ac:dyDescent="0.25">
      <c r="A518" s="75"/>
      <c r="B518" s="76"/>
    </row>
    <row r="519" spans="1:2" x14ac:dyDescent="0.25">
      <c r="A519" s="75"/>
      <c r="B519" s="76"/>
    </row>
    <row r="520" spans="1:2" x14ac:dyDescent="0.25">
      <c r="A520" s="75"/>
      <c r="B520" s="76"/>
    </row>
    <row r="521" spans="1:2" x14ac:dyDescent="0.25">
      <c r="A521" s="75"/>
      <c r="B521" s="76"/>
    </row>
    <row r="522" spans="1:2" x14ac:dyDescent="0.25">
      <c r="A522" s="75"/>
      <c r="B522" s="76"/>
    </row>
    <row r="523" spans="1:2" x14ac:dyDescent="0.25">
      <c r="A523" s="75"/>
      <c r="B523" s="76"/>
    </row>
    <row r="524" spans="1:2" x14ac:dyDescent="0.25">
      <c r="A524" s="75"/>
      <c r="B524" s="76"/>
    </row>
    <row r="525" spans="1:2" x14ac:dyDescent="0.25">
      <c r="A525" s="75"/>
      <c r="B525" s="76"/>
    </row>
    <row r="526" spans="1:2" x14ac:dyDescent="0.25">
      <c r="A526" s="75"/>
      <c r="B526" s="76"/>
    </row>
    <row r="527" spans="1:2" x14ac:dyDescent="0.25">
      <c r="A527" s="75"/>
      <c r="B527" s="76"/>
    </row>
    <row r="528" spans="1:2" x14ac:dyDescent="0.25">
      <c r="A528" s="75"/>
      <c r="B528" s="76"/>
    </row>
    <row r="529" spans="1:2" x14ac:dyDescent="0.25">
      <c r="A529" s="75"/>
      <c r="B529" s="76"/>
    </row>
    <row r="530" spans="1:2" x14ac:dyDescent="0.25">
      <c r="A530" s="75"/>
      <c r="B530" s="76"/>
    </row>
    <row r="531" spans="1:2" x14ac:dyDescent="0.25">
      <c r="A531" s="75"/>
      <c r="B531" s="76"/>
    </row>
    <row r="532" spans="1:2" x14ac:dyDescent="0.25">
      <c r="A532" s="75"/>
      <c r="B532" s="76"/>
    </row>
    <row r="533" spans="1:2" x14ac:dyDescent="0.25">
      <c r="A533" s="75"/>
      <c r="B533" s="76"/>
    </row>
    <row r="534" spans="1:2" x14ac:dyDescent="0.25">
      <c r="A534" s="75"/>
      <c r="B534" s="76"/>
    </row>
    <row r="535" spans="1:2" x14ac:dyDescent="0.25">
      <c r="A535" s="75"/>
      <c r="B535" s="76"/>
    </row>
    <row r="536" spans="1:2" x14ac:dyDescent="0.25">
      <c r="A536" s="75"/>
      <c r="B536" s="76"/>
    </row>
    <row r="537" spans="1:2" x14ac:dyDescent="0.25">
      <c r="A537" s="75"/>
      <c r="B537" s="76"/>
    </row>
    <row r="538" spans="1:2" x14ac:dyDescent="0.25">
      <c r="A538" s="75"/>
      <c r="B538" s="76"/>
    </row>
    <row r="539" spans="1:2" x14ac:dyDescent="0.25">
      <c r="A539" s="75"/>
      <c r="B539" s="76"/>
    </row>
    <row r="540" spans="1:2" x14ac:dyDescent="0.25">
      <c r="A540" s="75"/>
      <c r="B540" s="76"/>
    </row>
    <row r="541" spans="1:2" x14ac:dyDescent="0.25">
      <c r="A541" s="75"/>
      <c r="B541" s="76"/>
    </row>
    <row r="542" spans="1:2" x14ac:dyDescent="0.25">
      <c r="A542" s="75"/>
      <c r="B542" s="76"/>
    </row>
    <row r="543" spans="1:2" x14ac:dyDescent="0.25">
      <c r="A543" s="75"/>
      <c r="B543" s="76"/>
    </row>
    <row r="544" spans="1:2" x14ac:dyDescent="0.25">
      <c r="A544" s="75"/>
      <c r="B544" s="76"/>
    </row>
    <row r="545" spans="1:2" x14ac:dyDescent="0.25">
      <c r="A545" s="75"/>
      <c r="B545" s="76"/>
    </row>
    <row r="546" spans="1:2" x14ac:dyDescent="0.25">
      <c r="A546" s="75"/>
      <c r="B546" s="76"/>
    </row>
    <row r="547" spans="1:2" x14ac:dyDescent="0.25">
      <c r="A547" s="75"/>
      <c r="B547" s="76"/>
    </row>
    <row r="548" spans="1:2" x14ac:dyDescent="0.25">
      <c r="A548" s="75"/>
      <c r="B548" s="76"/>
    </row>
    <row r="549" spans="1:2" x14ac:dyDescent="0.25">
      <c r="A549" s="75"/>
      <c r="B549" s="76"/>
    </row>
    <row r="550" spans="1:2" x14ac:dyDescent="0.25">
      <c r="A550" s="75"/>
      <c r="B550" s="76"/>
    </row>
    <row r="551" spans="1:2" x14ac:dyDescent="0.25">
      <c r="A551" s="75"/>
      <c r="B551" s="76"/>
    </row>
    <row r="552" spans="1:2" x14ac:dyDescent="0.25">
      <c r="A552" s="75"/>
      <c r="B552" s="76"/>
    </row>
    <row r="553" spans="1:2" x14ac:dyDescent="0.25">
      <c r="A553" s="75"/>
      <c r="B553" s="76"/>
    </row>
    <row r="554" spans="1:2" x14ac:dyDescent="0.25">
      <c r="A554" s="75"/>
      <c r="B554" s="76"/>
    </row>
    <row r="555" spans="1:2" x14ac:dyDescent="0.25">
      <c r="A555" s="75"/>
      <c r="B555" s="76"/>
    </row>
    <row r="556" spans="1:2" x14ac:dyDescent="0.25">
      <c r="A556" s="75"/>
      <c r="B556" s="76"/>
    </row>
    <row r="557" spans="1:2" x14ac:dyDescent="0.25">
      <c r="A557" s="75"/>
      <c r="B557" s="76"/>
    </row>
    <row r="558" spans="1:2" x14ac:dyDescent="0.25">
      <c r="A558" s="75"/>
      <c r="B558" s="76"/>
    </row>
    <row r="559" spans="1:2" x14ac:dyDescent="0.25">
      <c r="A559" s="75"/>
      <c r="B559" s="76"/>
    </row>
    <row r="560" spans="1:2" x14ac:dyDescent="0.25">
      <c r="A560" s="75"/>
      <c r="B560" s="76"/>
    </row>
    <row r="561" spans="1:2" x14ac:dyDescent="0.25">
      <c r="A561" s="75"/>
      <c r="B561" s="76"/>
    </row>
    <row r="562" spans="1:2" x14ac:dyDescent="0.25">
      <c r="A562" s="75"/>
      <c r="B562" s="76"/>
    </row>
    <row r="563" spans="1:2" x14ac:dyDescent="0.25">
      <c r="A563" s="75"/>
      <c r="B563" s="76"/>
    </row>
    <row r="564" spans="1:2" x14ac:dyDescent="0.25">
      <c r="A564" s="75"/>
      <c r="B564" s="76"/>
    </row>
    <row r="565" spans="1:2" x14ac:dyDescent="0.25">
      <c r="A565" s="75"/>
      <c r="B565" s="76"/>
    </row>
    <row r="566" spans="1:2" x14ac:dyDescent="0.25">
      <c r="A566" s="75"/>
      <c r="B566" s="76"/>
    </row>
    <row r="567" spans="1:2" x14ac:dyDescent="0.25">
      <c r="A567" s="75"/>
      <c r="B567" s="76"/>
    </row>
    <row r="568" spans="1:2" x14ac:dyDescent="0.25">
      <c r="A568" s="75"/>
      <c r="B568" s="76"/>
    </row>
    <row r="569" spans="1:2" x14ac:dyDescent="0.25">
      <c r="A569" s="75"/>
      <c r="B569" s="76"/>
    </row>
    <row r="570" spans="1:2" x14ac:dyDescent="0.25">
      <c r="A570" s="75"/>
      <c r="B570" s="76"/>
    </row>
    <row r="571" spans="1:2" x14ac:dyDescent="0.25">
      <c r="A571" s="75"/>
      <c r="B571" s="76"/>
    </row>
    <row r="572" spans="1:2" x14ac:dyDescent="0.25">
      <c r="A572" s="75"/>
      <c r="B572" s="76"/>
    </row>
    <row r="573" spans="1:2" x14ac:dyDescent="0.25">
      <c r="A573" s="75"/>
      <c r="B573" s="76"/>
    </row>
    <row r="574" spans="1:2" x14ac:dyDescent="0.25">
      <c r="A574" s="75"/>
      <c r="B574" s="76"/>
    </row>
    <row r="575" spans="1:2" x14ac:dyDescent="0.25">
      <c r="A575" s="75"/>
      <c r="B575" s="76"/>
    </row>
    <row r="576" spans="1:2" x14ac:dyDescent="0.25">
      <c r="A576" s="75"/>
      <c r="B576" s="76"/>
    </row>
    <row r="577" spans="1:2" x14ac:dyDescent="0.25">
      <c r="A577" s="75"/>
      <c r="B577" s="76"/>
    </row>
    <row r="578" spans="1:2" x14ac:dyDescent="0.25">
      <c r="A578" s="75"/>
      <c r="B578" s="76"/>
    </row>
    <row r="579" spans="1:2" x14ac:dyDescent="0.25">
      <c r="A579" s="75"/>
      <c r="B579" s="76"/>
    </row>
    <row r="580" spans="1:2" x14ac:dyDescent="0.25">
      <c r="A580" s="75"/>
      <c r="B580" s="76"/>
    </row>
    <row r="581" spans="1:2" x14ac:dyDescent="0.25">
      <c r="A581" s="75"/>
      <c r="B581" s="76"/>
    </row>
    <row r="582" spans="1:2" x14ac:dyDescent="0.25">
      <c r="A582" s="75"/>
      <c r="B582" s="76"/>
    </row>
    <row r="583" spans="1:2" x14ac:dyDescent="0.25">
      <c r="A583" s="75"/>
      <c r="B583" s="76"/>
    </row>
    <row r="584" spans="1:2" x14ac:dyDescent="0.25">
      <c r="A584" s="75"/>
      <c r="B584" s="76"/>
    </row>
    <row r="585" spans="1:2" x14ac:dyDescent="0.25">
      <c r="A585" s="75"/>
      <c r="B585" s="76"/>
    </row>
    <row r="586" spans="1:2" x14ac:dyDescent="0.25">
      <c r="A586" s="75"/>
      <c r="B586" s="76"/>
    </row>
    <row r="587" spans="1:2" x14ac:dyDescent="0.25">
      <c r="A587" s="75"/>
      <c r="B587" s="76"/>
    </row>
    <row r="588" spans="1:2" x14ac:dyDescent="0.25">
      <c r="A588" s="75"/>
      <c r="B588" s="76"/>
    </row>
    <row r="589" spans="1:2" x14ac:dyDescent="0.25">
      <c r="A589" s="75"/>
      <c r="B589" s="76"/>
    </row>
    <row r="590" spans="1:2" x14ac:dyDescent="0.25">
      <c r="A590" s="75"/>
      <c r="B590" s="76"/>
    </row>
    <row r="591" spans="1:2" x14ac:dyDescent="0.25">
      <c r="A591" s="75"/>
      <c r="B591" s="76"/>
    </row>
    <row r="592" spans="1:2" x14ac:dyDescent="0.25">
      <c r="A592" s="75"/>
      <c r="B592" s="76"/>
    </row>
    <row r="593" spans="1:2" x14ac:dyDescent="0.25">
      <c r="A593" s="75"/>
      <c r="B593" s="76"/>
    </row>
    <row r="594" spans="1:2" x14ac:dyDescent="0.25">
      <c r="A594" s="75"/>
      <c r="B594" s="76"/>
    </row>
    <row r="595" spans="1:2" x14ac:dyDescent="0.25">
      <c r="A595" s="75"/>
      <c r="B595" s="76"/>
    </row>
    <row r="596" spans="1:2" x14ac:dyDescent="0.25">
      <c r="A596" s="75"/>
      <c r="B596" s="76"/>
    </row>
    <row r="597" spans="1:2" x14ac:dyDescent="0.25">
      <c r="A597" s="75"/>
      <c r="B597" s="76"/>
    </row>
    <row r="598" spans="1:2" x14ac:dyDescent="0.25">
      <c r="A598" s="75"/>
      <c r="B598" s="76"/>
    </row>
    <row r="599" spans="1:2" x14ac:dyDescent="0.25">
      <c r="A599" s="75"/>
      <c r="B599" s="76"/>
    </row>
    <row r="600" spans="1:2" x14ac:dyDescent="0.25">
      <c r="A600" s="75"/>
      <c r="B600" s="76"/>
    </row>
    <row r="601" spans="1:2" x14ac:dyDescent="0.25">
      <c r="A601" s="75"/>
      <c r="B601" s="76"/>
    </row>
    <row r="602" spans="1:2" x14ac:dyDescent="0.25">
      <c r="A602" s="75"/>
      <c r="B602" s="76"/>
    </row>
    <row r="603" spans="1:2" x14ac:dyDescent="0.25">
      <c r="A603" s="75"/>
      <c r="B603" s="76"/>
    </row>
    <row r="604" spans="1:2" x14ac:dyDescent="0.25">
      <c r="A604" s="75"/>
      <c r="B604" s="76"/>
    </row>
    <row r="605" spans="1:2" x14ac:dyDescent="0.25">
      <c r="A605" s="75"/>
      <c r="B605" s="76"/>
    </row>
    <row r="606" spans="1:2" x14ac:dyDescent="0.25">
      <c r="A606" s="75"/>
      <c r="B606" s="76"/>
    </row>
    <row r="607" spans="1:2" x14ac:dyDescent="0.25">
      <c r="A607" s="75"/>
      <c r="B607" s="76"/>
    </row>
    <row r="608" spans="1:2" x14ac:dyDescent="0.25">
      <c r="A608" s="75"/>
      <c r="B608" s="76"/>
    </row>
    <row r="609" spans="1:2" x14ac:dyDescent="0.25">
      <c r="A609" s="75"/>
      <c r="B609" s="76"/>
    </row>
    <row r="610" spans="1:2" x14ac:dyDescent="0.25">
      <c r="A610" s="75"/>
      <c r="B610" s="76"/>
    </row>
    <row r="611" spans="1:2" x14ac:dyDescent="0.25">
      <c r="A611" s="75"/>
      <c r="B611" s="76"/>
    </row>
    <row r="612" spans="1:2" x14ac:dyDescent="0.25">
      <c r="A612" s="75"/>
      <c r="B612" s="76"/>
    </row>
    <row r="613" spans="1:2" x14ac:dyDescent="0.25">
      <c r="A613" s="75"/>
      <c r="B613" s="76"/>
    </row>
    <row r="614" spans="1:2" x14ac:dyDescent="0.25">
      <c r="A614" s="75"/>
      <c r="B614" s="76"/>
    </row>
    <row r="615" spans="1:2" x14ac:dyDescent="0.25">
      <c r="A615" s="75"/>
      <c r="B615" s="76"/>
    </row>
    <row r="616" spans="1:2" x14ac:dyDescent="0.25">
      <c r="A616" s="75"/>
      <c r="B616" s="76"/>
    </row>
    <row r="617" spans="1:2" x14ac:dyDescent="0.25">
      <c r="A617" s="75"/>
      <c r="B617" s="76"/>
    </row>
    <row r="618" spans="1:2" x14ac:dyDescent="0.25">
      <c r="A618" s="75"/>
      <c r="B618" s="76"/>
    </row>
    <row r="619" spans="1:2" x14ac:dyDescent="0.25">
      <c r="A619" s="75"/>
      <c r="B619" s="76"/>
    </row>
    <row r="620" spans="1:2" x14ac:dyDescent="0.25">
      <c r="A620" s="75"/>
      <c r="B620" s="76"/>
    </row>
    <row r="621" spans="1:2" x14ac:dyDescent="0.25">
      <c r="A621" s="75"/>
      <c r="B621" s="76"/>
    </row>
    <row r="622" spans="1:2" x14ac:dyDescent="0.25">
      <c r="A622" s="75"/>
      <c r="B622" s="76"/>
    </row>
    <row r="623" spans="1:2" x14ac:dyDescent="0.25">
      <c r="A623" s="75"/>
      <c r="B623" s="76"/>
    </row>
    <row r="624" spans="1:2" x14ac:dyDescent="0.25">
      <c r="A624" s="75"/>
      <c r="B624" s="76"/>
    </row>
    <row r="625" spans="1:2" x14ac:dyDescent="0.25">
      <c r="A625" s="75"/>
      <c r="B625" s="76"/>
    </row>
    <row r="626" spans="1:2" x14ac:dyDescent="0.25">
      <c r="A626" s="75"/>
      <c r="B626" s="76"/>
    </row>
    <row r="627" spans="1:2" x14ac:dyDescent="0.25">
      <c r="A627" s="75"/>
      <c r="B627" s="76"/>
    </row>
    <row r="628" spans="1:2" x14ac:dyDescent="0.25">
      <c r="A628" s="75"/>
      <c r="B628" s="76"/>
    </row>
    <row r="629" spans="1:2" x14ac:dyDescent="0.25">
      <c r="A629" s="75"/>
      <c r="B629" s="76"/>
    </row>
    <row r="630" spans="1:2" x14ac:dyDescent="0.25">
      <c r="A630" s="75"/>
      <c r="B630" s="76"/>
    </row>
    <row r="631" spans="1:2" x14ac:dyDescent="0.25">
      <c r="A631" s="75"/>
      <c r="B631" s="76"/>
    </row>
    <row r="632" spans="1:2" x14ac:dyDescent="0.25">
      <c r="A632" s="75"/>
      <c r="B632" s="76"/>
    </row>
    <row r="633" spans="1:2" x14ac:dyDescent="0.25">
      <c r="A633" s="75"/>
      <c r="B633" s="76"/>
    </row>
    <row r="634" spans="1:2" x14ac:dyDescent="0.25">
      <c r="A634" s="75"/>
      <c r="B634" s="76"/>
    </row>
    <row r="635" spans="1:2" x14ac:dyDescent="0.25">
      <c r="A635" s="75"/>
      <c r="B635" s="76"/>
    </row>
    <row r="636" spans="1:2" x14ac:dyDescent="0.25">
      <c r="A636" s="75"/>
      <c r="B636" s="76"/>
    </row>
    <row r="637" spans="1:2" x14ac:dyDescent="0.25">
      <c r="A637" s="75"/>
      <c r="B637" s="76"/>
    </row>
    <row r="638" spans="1:2" x14ac:dyDescent="0.25">
      <c r="A638" s="75"/>
      <c r="B638" s="76"/>
    </row>
    <row r="639" spans="1:2" x14ac:dyDescent="0.25">
      <c r="A639" s="75"/>
      <c r="B639" s="76"/>
    </row>
    <row r="640" spans="1:2" x14ac:dyDescent="0.25">
      <c r="A640" s="75"/>
      <c r="B640" s="76"/>
    </row>
    <row r="641" spans="1:2" x14ac:dyDescent="0.25">
      <c r="A641" s="75"/>
      <c r="B641" s="76"/>
    </row>
    <row r="642" spans="1:2" x14ac:dyDescent="0.25">
      <c r="A642" s="75"/>
      <c r="B642" s="76"/>
    </row>
    <row r="643" spans="1:2" x14ac:dyDescent="0.25">
      <c r="A643" s="75"/>
      <c r="B643" s="76"/>
    </row>
    <row r="644" spans="1:2" x14ac:dyDescent="0.25">
      <c r="A644" s="75"/>
      <c r="B644" s="76"/>
    </row>
    <row r="645" spans="1:2" x14ac:dyDescent="0.25">
      <c r="A645" s="75"/>
      <c r="B645" s="76"/>
    </row>
    <row r="646" spans="1:2" x14ac:dyDescent="0.25">
      <c r="A646" s="75"/>
      <c r="B646" s="76"/>
    </row>
    <row r="647" spans="1:2" x14ac:dyDescent="0.25">
      <c r="A647" s="75"/>
      <c r="B647" s="76"/>
    </row>
    <row r="648" spans="1:2" x14ac:dyDescent="0.25">
      <c r="A648" s="75"/>
      <c r="B648" s="76"/>
    </row>
    <row r="649" spans="1:2" x14ac:dyDescent="0.25">
      <c r="A649" s="75"/>
      <c r="B649" s="76"/>
    </row>
    <row r="650" spans="1:2" x14ac:dyDescent="0.25">
      <c r="A650" s="75"/>
      <c r="B650" s="76"/>
    </row>
    <row r="651" spans="1:2" x14ac:dyDescent="0.25">
      <c r="A651" s="75"/>
      <c r="B651" s="76"/>
    </row>
    <row r="652" spans="1:2" x14ac:dyDescent="0.25">
      <c r="A652" s="75"/>
      <c r="B652" s="76"/>
    </row>
    <row r="653" spans="1:2" x14ac:dyDescent="0.25">
      <c r="A653" s="75"/>
      <c r="B653" s="76"/>
    </row>
    <row r="654" spans="1:2" x14ac:dyDescent="0.25">
      <c r="A654" s="75"/>
      <c r="B654" s="76"/>
    </row>
    <row r="655" spans="1:2" x14ac:dyDescent="0.25">
      <c r="A655" s="75"/>
      <c r="B655" s="76"/>
    </row>
    <row r="656" spans="1:2" x14ac:dyDescent="0.25">
      <c r="A656" s="75"/>
      <c r="B656" s="76"/>
    </row>
    <row r="657" spans="1:2" x14ac:dyDescent="0.25">
      <c r="A657" s="75"/>
      <c r="B657" s="76"/>
    </row>
    <row r="658" spans="1:2" x14ac:dyDescent="0.25">
      <c r="A658" s="75"/>
      <c r="B658" s="76"/>
    </row>
    <row r="659" spans="1:2" x14ac:dyDescent="0.25">
      <c r="A659" s="75"/>
      <c r="B659" s="76"/>
    </row>
    <row r="660" spans="1:2" x14ac:dyDescent="0.25">
      <c r="A660" s="75"/>
      <c r="B660" s="76"/>
    </row>
    <row r="661" spans="1:2" x14ac:dyDescent="0.25">
      <c r="A661" s="75"/>
      <c r="B661" s="76"/>
    </row>
    <row r="662" spans="1:2" x14ac:dyDescent="0.25">
      <c r="A662" s="75"/>
      <c r="B662" s="76"/>
    </row>
    <row r="663" spans="1:2" x14ac:dyDescent="0.25">
      <c r="A663" s="75"/>
      <c r="B663" s="76"/>
    </row>
    <row r="664" spans="1:2" x14ac:dyDescent="0.25">
      <c r="A664" s="75"/>
      <c r="B664" s="76"/>
    </row>
    <row r="665" spans="1:2" x14ac:dyDescent="0.25">
      <c r="A665" s="75"/>
      <c r="B665" s="76"/>
    </row>
    <row r="666" spans="1:2" x14ac:dyDescent="0.25">
      <c r="A666" s="75"/>
      <c r="B666" s="76"/>
    </row>
    <row r="667" spans="1:2" x14ac:dyDescent="0.25">
      <c r="A667" s="75"/>
      <c r="B667" s="76"/>
    </row>
    <row r="668" spans="1:2" x14ac:dyDescent="0.25">
      <c r="A668" s="75"/>
      <c r="B668" s="76"/>
    </row>
    <row r="669" spans="1:2" x14ac:dyDescent="0.25">
      <c r="A669" s="75"/>
      <c r="B669" s="76"/>
    </row>
    <row r="670" spans="1:2" x14ac:dyDescent="0.25">
      <c r="A670" s="75"/>
      <c r="B670" s="76"/>
    </row>
    <row r="671" spans="1:2" x14ac:dyDescent="0.25">
      <c r="A671" s="75"/>
      <c r="B671" s="76"/>
    </row>
    <row r="672" spans="1:2" x14ac:dyDescent="0.25">
      <c r="A672" s="75"/>
      <c r="B672" s="76"/>
    </row>
    <row r="673" spans="1:2" x14ac:dyDescent="0.25">
      <c r="A673" s="75"/>
      <c r="B673" s="76"/>
    </row>
    <row r="674" spans="1:2" x14ac:dyDescent="0.25">
      <c r="A674" s="75"/>
      <c r="B674" s="76"/>
    </row>
    <row r="675" spans="1:2" x14ac:dyDescent="0.25">
      <c r="A675" s="75"/>
      <c r="B675" s="76"/>
    </row>
    <row r="676" spans="1:2" x14ac:dyDescent="0.25">
      <c r="A676" s="75"/>
      <c r="B676" s="76"/>
    </row>
    <row r="677" spans="1:2" x14ac:dyDescent="0.25">
      <c r="A677" s="75"/>
      <c r="B677" s="76"/>
    </row>
    <row r="678" spans="1:2" x14ac:dyDescent="0.25">
      <c r="A678" s="75"/>
      <c r="B678" s="76"/>
    </row>
    <row r="679" spans="1:2" x14ac:dyDescent="0.25">
      <c r="A679" s="75"/>
      <c r="B679" s="76"/>
    </row>
    <row r="680" spans="1:2" x14ac:dyDescent="0.25">
      <c r="A680" s="75"/>
      <c r="B680" s="76"/>
    </row>
    <row r="681" spans="1:2" x14ac:dyDescent="0.25">
      <c r="A681" s="75"/>
      <c r="B681" s="76"/>
    </row>
    <row r="682" spans="1:2" x14ac:dyDescent="0.25">
      <c r="A682" s="75"/>
      <c r="B682" s="76"/>
    </row>
    <row r="683" spans="1:2" x14ac:dyDescent="0.25">
      <c r="A683" s="75"/>
      <c r="B683" s="76"/>
    </row>
    <row r="684" spans="1:2" x14ac:dyDescent="0.25">
      <c r="A684" s="75"/>
      <c r="B684" s="76"/>
    </row>
    <row r="685" spans="1:2" x14ac:dyDescent="0.25">
      <c r="A685" s="75"/>
      <c r="B685" s="76"/>
    </row>
    <row r="686" spans="1:2" x14ac:dyDescent="0.25">
      <c r="A686" s="75"/>
      <c r="B686" s="76"/>
    </row>
    <row r="687" spans="1:2" x14ac:dyDescent="0.25">
      <c r="A687" s="75"/>
      <c r="B687" s="76"/>
    </row>
    <row r="688" spans="1:2" x14ac:dyDescent="0.25">
      <c r="A688" s="75"/>
      <c r="B688" s="76"/>
    </row>
    <row r="689" spans="1:2" x14ac:dyDescent="0.25">
      <c r="A689" s="75"/>
      <c r="B689" s="76"/>
    </row>
    <row r="690" spans="1:2" x14ac:dyDescent="0.25">
      <c r="A690" s="75"/>
      <c r="B690" s="76"/>
    </row>
    <row r="691" spans="1:2" x14ac:dyDescent="0.25">
      <c r="A691" s="75"/>
      <c r="B691" s="76"/>
    </row>
    <row r="692" spans="1:2" x14ac:dyDescent="0.25">
      <c r="A692" s="75"/>
      <c r="B692" s="76"/>
    </row>
    <row r="693" spans="1:2" x14ac:dyDescent="0.25">
      <c r="A693" s="75"/>
      <c r="B693" s="76"/>
    </row>
    <row r="694" spans="1:2" x14ac:dyDescent="0.25">
      <c r="A694" s="75"/>
      <c r="B694" s="76"/>
    </row>
    <row r="695" spans="1:2" x14ac:dyDescent="0.25">
      <c r="A695" s="75"/>
      <c r="B695" s="76"/>
    </row>
    <row r="696" spans="1:2" x14ac:dyDescent="0.25">
      <c r="A696" s="75"/>
      <c r="B696" s="76"/>
    </row>
    <row r="697" spans="1:2" x14ac:dyDescent="0.25">
      <c r="A697" s="75"/>
      <c r="B697" s="76"/>
    </row>
    <row r="698" spans="1:2" x14ac:dyDescent="0.25">
      <c r="A698" s="75"/>
      <c r="B698" s="76"/>
    </row>
    <row r="699" spans="1:2" x14ac:dyDescent="0.25">
      <c r="A699" s="75"/>
      <c r="B699" s="76"/>
    </row>
    <row r="700" spans="1:2" x14ac:dyDescent="0.25">
      <c r="A700" s="75"/>
      <c r="B700" s="76"/>
    </row>
    <row r="701" spans="1:2" x14ac:dyDescent="0.25">
      <c r="A701" s="75"/>
      <c r="B701" s="76"/>
    </row>
    <row r="702" spans="1:2" x14ac:dyDescent="0.25">
      <c r="A702" s="75"/>
      <c r="B702" s="76"/>
    </row>
    <row r="703" spans="1:2" x14ac:dyDescent="0.25">
      <c r="A703" s="75"/>
      <c r="B703" s="76"/>
    </row>
    <row r="704" spans="1:2" x14ac:dyDescent="0.25">
      <c r="A704" s="75"/>
      <c r="B704" s="76"/>
    </row>
    <row r="705" spans="1:2" x14ac:dyDescent="0.25">
      <c r="A705" s="75"/>
      <c r="B705" s="76"/>
    </row>
    <row r="706" spans="1:2" x14ac:dyDescent="0.25">
      <c r="A706" s="75"/>
      <c r="B706" s="76"/>
    </row>
    <row r="707" spans="1:2" x14ac:dyDescent="0.25">
      <c r="A707" s="75"/>
      <c r="B707" s="76"/>
    </row>
    <row r="708" spans="1:2" x14ac:dyDescent="0.25">
      <c r="A708" s="75"/>
      <c r="B708" s="76"/>
    </row>
    <row r="709" spans="1:2" x14ac:dyDescent="0.25">
      <c r="A709" s="75"/>
      <c r="B709" s="76"/>
    </row>
    <row r="710" spans="1:2" x14ac:dyDescent="0.25">
      <c r="A710" s="75"/>
      <c r="B710" s="76"/>
    </row>
    <row r="711" spans="1:2" x14ac:dyDescent="0.25">
      <c r="A711" s="75"/>
      <c r="B711" s="76"/>
    </row>
    <row r="712" spans="1:2" x14ac:dyDescent="0.25">
      <c r="A712" s="75"/>
      <c r="B712" s="76"/>
    </row>
    <row r="713" spans="1:2" x14ac:dyDescent="0.25">
      <c r="A713" s="75"/>
      <c r="B713" s="76"/>
    </row>
    <row r="714" spans="1:2" x14ac:dyDescent="0.25">
      <c r="A714" s="75"/>
      <c r="B714" s="76"/>
    </row>
    <row r="715" spans="1:2" x14ac:dyDescent="0.25">
      <c r="A715" s="75"/>
      <c r="B715" s="76"/>
    </row>
    <row r="716" spans="1:2" x14ac:dyDescent="0.25">
      <c r="A716" s="75"/>
      <c r="B716" s="76"/>
    </row>
    <row r="717" spans="1:2" x14ac:dyDescent="0.25">
      <c r="A717" s="75"/>
      <c r="B717" s="76"/>
    </row>
    <row r="718" spans="1:2" x14ac:dyDescent="0.25">
      <c r="A718" s="75"/>
      <c r="B718" s="76"/>
    </row>
    <row r="719" spans="1:2" x14ac:dyDescent="0.25">
      <c r="A719" s="75"/>
      <c r="B719" s="76"/>
    </row>
    <row r="720" spans="1:2" x14ac:dyDescent="0.25">
      <c r="A720" s="75"/>
      <c r="B720" s="76"/>
    </row>
    <row r="721" spans="1:2" x14ac:dyDescent="0.25">
      <c r="A721" s="75"/>
      <c r="B721" s="76"/>
    </row>
    <row r="722" spans="1:2" x14ac:dyDescent="0.25">
      <c r="A722" s="75"/>
      <c r="B722" s="76"/>
    </row>
    <row r="723" spans="1:2" x14ac:dyDescent="0.25">
      <c r="A723" s="75"/>
      <c r="B723" s="76"/>
    </row>
    <row r="724" spans="1:2" x14ac:dyDescent="0.25">
      <c r="A724" s="75"/>
      <c r="B724" s="76"/>
    </row>
    <row r="725" spans="1:2" x14ac:dyDescent="0.25">
      <c r="A725" s="75"/>
      <c r="B725" s="76"/>
    </row>
    <row r="726" spans="1:2" x14ac:dyDescent="0.25">
      <c r="A726" s="75"/>
      <c r="B726" s="76"/>
    </row>
    <row r="727" spans="1:2" x14ac:dyDescent="0.25">
      <c r="A727" s="75"/>
      <c r="B727" s="76"/>
    </row>
    <row r="728" spans="1:2" x14ac:dyDescent="0.25">
      <c r="A728" s="75"/>
      <c r="B728" s="76"/>
    </row>
    <row r="729" spans="1:2" x14ac:dyDescent="0.25">
      <c r="A729" s="75"/>
      <c r="B729" s="76"/>
    </row>
    <row r="730" spans="1:2" x14ac:dyDescent="0.25">
      <c r="A730" s="75"/>
      <c r="B730" s="76"/>
    </row>
    <row r="731" spans="1:2" x14ac:dyDescent="0.25">
      <c r="A731" s="75"/>
      <c r="B731" s="76"/>
    </row>
    <row r="732" spans="1:2" x14ac:dyDescent="0.25">
      <c r="A732" s="75"/>
      <c r="B732" s="76"/>
    </row>
    <row r="733" spans="1:2" x14ac:dyDescent="0.25">
      <c r="A733" s="75"/>
      <c r="B733" s="76"/>
    </row>
    <row r="734" spans="1:2" x14ac:dyDescent="0.25">
      <c r="A734" s="75"/>
      <c r="B734" s="76"/>
    </row>
    <row r="735" spans="1:2" x14ac:dyDescent="0.25">
      <c r="A735" s="75"/>
      <c r="B735" s="76"/>
    </row>
    <row r="736" spans="1:2" x14ac:dyDescent="0.25">
      <c r="A736" s="75"/>
      <c r="B736" s="76"/>
    </row>
    <row r="737" spans="1:2" x14ac:dyDescent="0.25">
      <c r="A737" s="75"/>
      <c r="B737" s="76"/>
    </row>
    <row r="738" spans="1:2" x14ac:dyDescent="0.25">
      <c r="A738" s="75"/>
      <c r="B738" s="76"/>
    </row>
    <row r="739" spans="1:2" x14ac:dyDescent="0.25">
      <c r="A739" s="75"/>
      <c r="B739" s="76"/>
    </row>
    <row r="740" spans="1:2" x14ac:dyDescent="0.25">
      <c r="A740" s="75"/>
      <c r="B740" s="76"/>
    </row>
    <row r="741" spans="1:2" x14ac:dyDescent="0.25">
      <c r="A741" s="75"/>
      <c r="B741" s="76"/>
    </row>
    <row r="742" spans="1:2" x14ac:dyDescent="0.25">
      <c r="A742" s="75"/>
      <c r="B742" s="76"/>
    </row>
    <row r="743" spans="1:2" x14ac:dyDescent="0.25">
      <c r="A743" s="75"/>
      <c r="B743" s="76"/>
    </row>
    <row r="744" spans="1:2" x14ac:dyDescent="0.25">
      <c r="A744" s="75"/>
      <c r="B744" s="76"/>
    </row>
    <row r="745" spans="1:2" x14ac:dyDescent="0.25">
      <c r="A745" s="75"/>
      <c r="B745" s="76"/>
    </row>
    <row r="746" spans="1:2" x14ac:dyDescent="0.25">
      <c r="A746" s="75"/>
      <c r="B746" s="76"/>
    </row>
    <row r="747" spans="1:2" x14ac:dyDescent="0.25">
      <c r="A747" s="75"/>
      <c r="B747" s="76"/>
    </row>
    <row r="748" spans="1:2" x14ac:dyDescent="0.25">
      <c r="A748" s="75"/>
      <c r="B748" s="76"/>
    </row>
    <row r="749" spans="1:2" x14ac:dyDescent="0.25">
      <c r="A749" s="75"/>
      <c r="B749" s="76"/>
    </row>
    <row r="750" spans="1:2" x14ac:dyDescent="0.25">
      <c r="A750" s="75"/>
      <c r="B750" s="76"/>
    </row>
    <row r="751" spans="1:2" x14ac:dyDescent="0.25">
      <c r="A751" s="75"/>
      <c r="B751" s="76"/>
    </row>
    <row r="752" spans="1:2" x14ac:dyDescent="0.25">
      <c r="A752" s="75"/>
      <c r="B752" s="76"/>
    </row>
    <row r="753" spans="1:2" x14ac:dyDescent="0.25">
      <c r="A753" s="75"/>
      <c r="B753" s="76"/>
    </row>
    <row r="754" spans="1:2" x14ac:dyDescent="0.25">
      <c r="A754" s="75"/>
      <c r="B754" s="76"/>
    </row>
    <row r="755" spans="1:2" x14ac:dyDescent="0.25">
      <c r="A755" s="75"/>
      <c r="B755" s="76"/>
    </row>
    <row r="756" spans="1:2" x14ac:dyDescent="0.25">
      <c r="A756" s="75"/>
      <c r="B756" s="76"/>
    </row>
    <row r="757" spans="1:2" x14ac:dyDescent="0.25">
      <c r="A757" s="75"/>
      <c r="B757" s="76"/>
    </row>
    <row r="758" spans="1:2" x14ac:dyDescent="0.25">
      <c r="A758" s="75"/>
      <c r="B758" s="76"/>
    </row>
    <row r="759" spans="1:2" x14ac:dyDescent="0.25">
      <c r="A759" s="75"/>
      <c r="B759" s="76"/>
    </row>
    <row r="760" spans="1:2" x14ac:dyDescent="0.25">
      <c r="A760" s="75"/>
      <c r="B760" s="76"/>
    </row>
    <row r="761" spans="1:2" x14ac:dyDescent="0.25">
      <c r="A761" s="75"/>
      <c r="B761" s="76"/>
    </row>
    <row r="762" spans="1:2" x14ac:dyDescent="0.25">
      <c r="A762" s="75"/>
      <c r="B762" s="76"/>
    </row>
    <row r="763" spans="1:2" x14ac:dyDescent="0.25">
      <c r="A763" s="75"/>
      <c r="B763" s="76"/>
    </row>
    <row r="764" spans="1:2" x14ac:dyDescent="0.25">
      <c r="A764" s="75"/>
      <c r="B764" s="76"/>
    </row>
    <row r="765" spans="1:2" x14ac:dyDescent="0.25">
      <c r="A765" s="75"/>
      <c r="B765" s="76"/>
    </row>
    <row r="766" spans="1:2" x14ac:dyDescent="0.25">
      <c r="A766" s="75"/>
      <c r="B766" s="76"/>
    </row>
    <row r="767" spans="1:2" x14ac:dyDescent="0.25">
      <c r="A767" s="75"/>
      <c r="B767" s="76"/>
    </row>
    <row r="768" spans="1:2" x14ac:dyDescent="0.25">
      <c r="A768" s="75"/>
      <c r="B768" s="76"/>
    </row>
    <row r="769" spans="1:2" x14ac:dyDescent="0.25">
      <c r="A769" s="75"/>
      <c r="B769" s="76"/>
    </row>
    <row r="770" spans="1:2" x14ac:dyDescent="0.25">
      <c r="A770" s="75"/>
      <c r="B770" s="76"/>
    </row>
    <row r="771" spans="1:2" x14ac:dyDescent="0.25">
      <c r="A771" s="75"/>
      <c r="B771" s="76"/>
    </row>
    <row r="772" spans="1:2" x14ac:dyDescent="0.25">
      <c r="A772" s="75"/>
      <c r="B772" s="76"/>
    </row>
    <row r="773" spans="1:2" x14ac:dyDescent="0.25">
      <c r="A773" s="75"/>
      <c r="B773" s="76"/>
    </row>
    <row r="774" spans="1:2" x14ac:dyDescent="0.25">
      <c r="A774" s="75"/>
      <c r="B774" s="76"/>
    </row>
    <row r="775" spans="1:2" x14ac:dyDescent="0.25">
      <c r="A775" s="75"/>
      <c r="B775" s="76"/>
    </row>
    <row r="776" spans="1:2" x14ac:dyDescent="0.25">
      <c r="A776" s="75"/>
      <c r="B776" s="76"/>
    </row>
    <row r="777" spans="1:2" x14ac:dyDescent="0.25">
      <c r="A777" s="75"/>
      <c r="B777" s="76"/>
    </row>
    <row r="778" spans="1:2" x14ac:dyDescent="0.25">
      <c r="A778" s="75"/>
      <c r="B778" s="76"/>
    </row>
    <row r="779" spans="1:2" x14ac:dyDescent="0.25">
      <c r="A779" s="75"/>
      <c r="B779" s="76"/>
    </row>
    <row r="780" spans="1:2" x14ac:dyDescent="0.25">
      <c r="A780" s="75"/>
      <c r="B780" s="76"/>
    </row>
    <row r="781" spans="1:2" x14ac:dyDescent="0.25">
      <c r="A781" s="75"/>
      <c r="B781" s="76"/>
    </row>
    <row r="782" spans="1:2" x14ac:dyDescent="0.25">
      <c r="A782" s="75"/>
      <c r="B782" s="76"/>
    </row>
    <row r="783" spans="1:2" x14ac:dyDescent="0.25">
      <c r="A783" s="75"/>
      <c r="B783" s="76"/>
    </row>
    <row r="784" spans="1:2" x14ac:dyDescent="0.25">
      <c r="A784" s="75"/>
      <c r="B784" s="76"/>
    </row>
    <row r="785" spans="1:2" x14ac:dyDescent="0.25">
      <c r="A785" s="75"/>
      <c r="B785" s="76"/>
    </row>
    <row r="786" spans="1:2" x14ac:dyDescent="0.25">
      <c r="A786" s="75"/>
      <c r="B786" s="76"/>
    </row>
    <row r="787" spans="1:2" x14ac:dyDescent="0.25">
      <c r="A787" s="75"/>
      <c r="B787" s="76"/>
    </row>
    <row r="788" spans="1:2" x14ac:dyDescent="0.25">
      <c r="A788" s="75"/>
      <c r="B788" s="76"/>
    </row>
    <row r="789" spans="1:2" x14ac:dyDescent="0.25">
      <c r="A789" s="75"/>
      <c r="B789" s="76"/>
    </row>
    <row r="790" spans="1:2" x14ac:dyDescent="0.25">
      <c r="A790" s="75"/>
      <c r="B790" s="76"/>
    </row>
    <row r="791" spans="1:2" x14ac:dyDescent="0.25">
      <c r="A791" s="75"/>
      <c r="B791" s="76"/>
    </row>
    <row r="792" spans="1:2" x14ac:dyDescent="0.25">
      <c r="A792" s="75"/>
      <c r="B792" s="76"/>
    </row>
    <row r="793" spans="1:2" x14ac:dyDescent="0.25">
      <c r="A793" s="75"/>
      <c r="B793" s="76"/>
    </row>
    <row r="794" spans="1:2" x14ac:dyDescent="0.25">
      <c r="A794" s="75"/>
      <c r="B794" s="76"/>
    </row>
    <row r="795" spans="1:2" x14ac:dyDescent="0.25">
      <c r="A795" s="75"/>
      <c r="B795" s="76"/>
    </row>
    <row r="796" spans="1:2" x14ac:dyDescent="0.25">
      <c r="A796" s="75"/>
      <c r="B796" s="76"/>
    </row>
    <row r="797" spans="1:2" x14ac:dyDescent="0.25">
      <c r="A797" s="75"/>
      <c r="B797" s="76"/>
    </row>
    <row r="798" spans="1:2" x14ac:dyDescent="0.25">
      <c r="A798" s="75"/>
      <c r="B798" s="76"/>
    </row>
    <row r="799" spans="1:2" x14ac:dyDescent="0.25">
      <c r="A799" s="75"/>
      <c r="B799" s="76"/>
    </row>
    <row r="800" spans="1:2" x14ac:dyDescent="0.25">
      <c r="A800" s="75"/>
      <c r="B800" s="76"/>
    </row>
    <row r="801" spans="1:2" x14ac:dyDescent="0.25">
      <c r="A801" s="75"/>
      <c r="B801" s="76"/>
    </row>
    <row r="802" spans="1:2" x14ac:dyDescent="0.25">
      <c r="A802" s="75"/>
      <c r="B802" s="76"/>
    </row>
    <row r="803" spans="1:2" x14ac:dyDescent="0.25">
      <c r="A803" s="75"/>
      <c r="B803" s="76"/>
    </row>
    <row r="804" spans="1:2" x14ac:dyDescent="0.25">
      <c r="A804" s="75"/>
      <c r="B804" s="76"/>
    </row>
    <row r="805" spans="1:2" x14ac:dyDescent="0.25">
      <c r="A805" s="75"/>
      <c r="B805" s="76"/>
    </row>
    <row r="806" spans="1:2" x14ac:dyDescent="0.25">
      <c r="A806" s="75"/>
      <c r="B806" s="76"/>
    </row>
    <row r="807" spans="1:2" x14ac:dyDescent="0.25">
      <c r="A807" s="75"/>
      <c r="B807" s="76"/>
    </row>
    <row r="808" spans="1:2" x14ac:dyDescent="0.25">
      <c r="A808" s="75"/>
      <c r="B808" s="76"/>
    </row>
    <row r="809" spans="1:2" x14ac:dyDescent="0.25">
      <c r="A809" s="75"/>
      <c r="B809" s="76"/>
    </row>
    <row r="810" spans="1:2" x14ac:dyDescent="0.25">
      <c r="A810" s="75"/>
      <c r="B810" s="76"/>
    </row>
    <row r="811" spans="1:2" x14ac:dyDescent="0.25">
      <c r="A811" s="75"/>
      <c r="B811" s="76"/>
    </row>
    <row r="812" spans="1:2" x14ac:dyDescent="0.25">
      <c r="A812" s="75"/>
      <c r="B812" s="76"/>
    </row>
    <row r="813" spans="1:2" x14ac:dyDescent="0.25">
      <c r="A813" s="75"/>
      <c r="B813" s="76"/>
    </row>
    <row r="814" spans="1:2" x14ac:dyDescent="0.25">
      <c r="A814" s="75"/>
      <c r="B814" s="76"/>
    </row>
    <row r="815" spans="1:2" x14ac:dyDescent="0.25">
      <c r="A815" s="75"/>
      <c r="B815" s="76"/>
    </row>
    <row r="816" spans="1:2" x14ac:dyDescent="0.25">
      <c r="A816" s="75"/>
      <c r="B816" s="76"/>
    </row>
    <row r="817" spans="1:2" x14ac:dyDescent="0.25">
      <c r="A817" s="75"/>
      <c r="B817" s="76"/>
    </row>
    <row r="818" spans="1:2" x14ac:dyDescent="0.25">
      <c r="A818" s="75"/>
      <c r="B818" s="76"/>
    </row>
    <row r="819" spans="1:2" x14ac:dyDescent="0.25">
      <c r="A819" s="75"/>
      <c r="B819" s="76"/>
    </row>
    <row r="820" spans="1:2" x14ac:dyDescent="0.25">
      <c r="A820" s="75"/>
      <c r="B820" s="76"/>
    </row>
    <row r="821" spans="1:2" x14ac:dyDescent="0.25">
      <c r="A821" s="75"/>
      <c r="B821" s="76"/>
    </row>
    <row r="822" spans="1:2" x14ac:dyDescent="0.25">
      <c r="A822" s="75"/>
      <c r="B822" s="76"/>
    </row>
    <row r="823" spans="1:2" x14ac:dyDescent="0.25">
      <c r="A823" s="75"/>
      <c r="B823" s="76"/>
    </row>
    <row r="824" spans="1:2" x14ac:dyDescent="0.25">
      <c r="A824" s="75"/>
      <c r="B824" s="76"/>
    </row>
    <row r="825" spans="1:2" x14ac:dyDescent="0.25">
      <c r="A825" s="75"/>
      <c r="B825" s="76"/>
    </row>
    <row r="826" spans="1:2" x14ac:dyDescent="0.25">
      <c r="A826" s="75"/>
      <c r="B826" s="76"/>
    </row>
    <row r="827" spans="1:2" x14ac:dyDescent="0.25">
      <c r="A827" s="75"/>
      <c r="B827" s="76"/>
    </row>
    <row r="828" spans="1:2" x14ac:dyDescent="0.25">
      <c r="A828" s="75"/>
      <c r="B828" s="76"/>
    </row>
    <row r="829" spans="1:2" x14ac:dyDescent="0.25">
      <c r="A829" s="75"/>
      <c r="B829" s="76"/>
    </row>
    <row r="830" spans="1:2" x14ac:dyDescent="0.25">
      <c r="A830" s="75"/>
      <c r="B830" s="76"/>
    </row>
    <row r="831" spans="1:2" x14ac:dyDescent="0.25">
      <c r="A831" s="75"/>
      <c r="B831" s="76"/>
    </row>
    <row r="832" spans="1:2" x14ac:dyDescent="0.25">
      <c r="A832" s="75"/>
      <c r="B832" s="76"/>
    </row>
    <row r="833" spans="1:2" x14ac:dyDescent="0.25">
      <c r="A833" s="75"/>
      <c r="B833" s="76"/>
    </row>
    <row r="834" spans="1:2" x14ac:dyDescent="0.25">
      <c r="A834" s="75"/>
      <c r="B834" s="76"/>
    </row>
    <row r="835" spans="1:2" x14ac:dyDescent="0.25">
      <c r="A835" s="75"/>
      <c r="B835" s="76"/>
    </row>
    <row r="836" spans="1:2" x14ac:dyDescent="0.25">
      <c r="A836" s="75"/>
      <c r="B836" s="76"/>
    </row>
    <row r="837" spans="1:2" x14ac:dyDescent="0.25">
      <c r="A837" s="75"/>
      <c r="B837" s="76"/>
    </row>
    <row r="838" spans="1:2" x14ac:dyDescent="0.25">
      <c r="A838" s="75"/>
      <c r="B838" s="76"/>
    </row>
    <row r="839" spans="1:2" x14ac:dyDescent="0.25">
      <c r="A839" s="75"/>
      <c r="B839" s="76"/>
    </row>
    <row r="840" spans="1:2" x14ac:dyDescent="0.25">
      <c r="A840" s="75"/>
      <c r="B840" s="76"/>
    </row>
    <row r="841" spans="1:2" x14ac:dyDescent="0.25">
      <c r="A841" s="75"/>
      <c r="B841" s="76"/>
    </row>
    <row r="842" spans="1:2" x14ac:dyDescent="0.25">
      <c r="A842" s="75"/>
      <c r="B842" s="76"/>
    </row>
    <row r="843" spans="1:2" x14ac:dyDescent="0.25">
      <c r="A843" s="75"/>
      <c r="B843" s="76"/>
    </row>
    <row r="844" spans="1:2" x14ac:dyDescent="0.25">
      <c r="A844" s="75"/>
      <c r="B844" s="76"/>
    </row>
    <row r="845" spans="1:2" x14ac:dyDescent="0.25">
      <c r="A845" s="75"/>
      <c r="B845" s="76"/>
    </row>
    <row r="846" spans="1:2" x14ac:dyDescent="0.25">
      <c r="A846" s="75"/>
      <c r="B846" s="76"/>
    </row>
    <row r="847" spans="1:2" x14ac:dyDescent="0.25">
      <c r="A847" s="75"/>
      <c r="B847" s="76"/>
    </row>
    <row r="848" spans="1:2" x14ac:dyDescent="0.25">
      <c r="A848" s="75"/>
      <c r="B848" s="76"/>
    </row>
    <row r="849" spans="1:2" x14ac:dyDescent="0.25">
      <c r="A849" s="75"/>
      <c r="B849" s="76"/>
    </row>
    <row r="850" spans="1:2" x14ac:dyDescent="0.25">
      <c r="A850" s="75"/>
      <c r="B850" s="76"/>
    </row>
    <row r="851" spans="1:2" x14ac:dyDescent="0.25">
      <c r="A851" s="75"/>
      <c r="B851" s="76"/>
    </row>
    <row r="852" spans="1:2" x14ac:dyDescent="0.25">
      <c r="A852" s="75"/>
      <c r="B852" s="76"/>
    </row>
    <row r="853" spans="1:2" x14ac:dyDescent="0.25">
      <c r="A853" s="75"/>
      <c r="B853" s="76"/>
    </row>
    <row r="854" spans="1:2" x14ac:dyDescent="0.25">
      <c r="A854" s="75"/>
      <c r="B854" s="76"/>
    </row>
    <row r="855" spans="1:2" x14ac:dyDescent="0.25">
      <c r="A855" s="75"/>
      <c r="B855" s="76"/>
    </row>
    <row r="856" spans="1:2" x14ac:dyDescent="0.25">
      <c r="A856" s="75"/>
      <c r="B856" s="76"/>
    </row>
    <row r="857" spans="1:2" x14ac:dyDescent="0.25">
      <c r="A857" s="75"/>
      <c r="B857" s="76"/>
    </row>
    <row r="858" spans="1:2" x14ac:dyDescent="0.25">
      <c r="A858" s="75"/>
      <c r="B858" s="76"/>
    </row>
    <row r="859" spans="1:2" x14ac:dyDescent="0.25">
      <c r="A859" s="75"/>
      <c r="B859" s="76"/>
    </row>
    <row r="860" spans="1:2" x14ac:dyDescent="0.25">
      <c r="A860" s="75"/>
      <c r="B860" s="76"/>
    </row>
    <row r="861" spans="1:2" x14ac:dyDescent="0.25">
      <c r="A861" s="75"/>
      <c r="B861" s="76"/>
    </row>
    <row r="862" spans="1:2" x14ac:dyDescent="0.25">
      <c r="A862" s="75"/>
      <c r="B862" s="76"/>
    </row>
    <row r="863" spans="1:2" x14ac:dyDescent="0.25">
      <c r="A863" s="75"/>
      <c r="B863" s="76"/>
    </row>
    <row r="864" spans="1:2" x14ac:dyDescent="0.25">
      <c r="A864" s="75"/>
      <c r="B864" s="76"/>
    </row>
    <row r="865" spans="1:2" x14ac:dyDescent="0.25">
      <c r="A865" s="75"/>
      <c r="B865" s="76"/>
    </row>
    <row r="866" spans="1:2" x14ac:dyDescent="0.25">
      <c r="A866" s="75"/>
      <c r="B866" s="76"/>
    </row>
    <row r="867" spans="1:2" x14ac:dyDescent="0.25">
      <c r="A867" s="75"/>
      <c r="B867" s="76"/>
    </row>
    <row r="868" spans="1:2" x14ac:dyDescent="0.25">
      <c r="A868" s="75"/>
      <c r="B868" s="76"/>
    </row>
    <row r="869" spans="1:2" x14ac:dyDescent="0.25">
      <c r="A869" s="75"/>
      <c r="B869" s="76"/>
    </row>
    <row r="870" spans="1:2" x14ac:dyDescent="0.25">
      <c r="A870" s="75"/>
      <c r="B870" s="76"/>
    </row>
    <row r="871" spans="1:2" x14ac:dyDescent="0.25">
      <c r="A871" s="75"/>
      <c r="B871" s="76"/>
    </row>
    <row r="872" spans="1:2" x14ac:dyDescent="0.25">
      <c r="A872" s="75"/>
      <c r="B872" s="76"/>
    </row>
    <row r="873" spans="1:2" x14ac:dyDescent="0.25">
      <c r="A873" s="75"/>
      <c r="B873" s="76"/>
    </row>
    <row r="874" spans="1:2" x14ac:dyDescent="0.25">
      <c r="A874" s="75"/>
      <c r="B874" s="76"/>
    </row>
    <row r="875" spans="1:2" x14ac:dyDescent="0.25">
      <c r="A875" s="75"/>
      <c r="B875" s="76"/>
    </row>
    <row r="876" spans="1:2" x14ac:dyDescent="0.25">
      <c r="A876" s="75"/>
      <c r="B876" s="76"/>
    </row>
    <row r="877" spans="1:2" x14ac:dyDescent="0.25">
      <c r="A877" s="75"/>
      <c r="B877" s="76"/>
    </row>
    <row r="878" spans="1:2" x14ac:dyDescent="0.25">
      <c r="A878" s="75"/>
      <c r="B878" s="76"/>
    </row>
    <row r="879" spans="1:2" x14ac:dyDescent="0.25">
      <c r="A879" s="75"/>
      <c r="B879" s="76"/>
    </row>
    <row r="880" spans="1:2" x14ac:dyDescent="0.25">
      <c r="A880" s="75"/>
      <c r="B880" s="76"/>
    </row>
    <row r="881" spans="1:2" x14ac:dyDescent="0.25">
      <c r="A881" s="75"/>
      <c r="B881" s="76"/>
    </row>
    <row r="882" spans="1:2" x14ac:dyDescent="0.25">
      <c r="A882" s="75"/>
      <c r="B882" s="76"/>
    </row>
    <row r="883" spans="1:2" x14ac:dyDescent="0.25">
      <c r="A883" s="75"/>
      <c r="B883" s="76"/>
    </row>
    <row r="884" spans="1:2" x14ac:dyDescent="0.25">
      <c r="A884" s="75"/>
      <c r="B884" s="76"/>
    </row>
    <row r="885" spans="1:2" x14ac:dyDescent="0.25">
      <c r="A885" s="75"/>
      <c r="B885" s="76"/>
    </row>
    <row r="886" spans="1:2" x14ac:dyDescent="0.25">
      <c r="A886" s="75"/>
      <c r="B886" s="76"/>
    </row>
    <row r="887" spans="1:2" x14ac:dyDescent="0.25">
      <c r="A887" s="75"/>
      <c r="B887" s="76"/>
    </row>
    <row r="888" spans="1:2" x14ac:dyDescent="0.25">
      <c r="A888" s="75"/>
      <c r="B888" s="76"/>
    </row>
    <row r="889" spans="1:2" x14ac:dyDescent="0.25">
      <c r="A889" s="75"/>
      <c r="B889" s="76"/>
    </row>
    <row r="890" spans="1:2" x14ac:dyDescent="0.25">
      <c r="A890" s="75"/>
      <c r="B890" s="76"/>
    </row>
    <row r="891" spans="1:2" x14ac:dyDescent="0.25">
      <c r="A891" s="75"/>
      <c r="B891" s="76"/>
    </row>
    <row r="892" spans="1:2" x14ac:dyDescent="0.25">
      <c r="A892" s="75"/>
      <c r="B892" s="76"/>
    </row>
    <row r="893" spans="1:2" x14ac:dyDescent="0.25">
      <c r="A893" s="75"/>
      <c r="B893" s="76"/>
    </row>
    <row r="894" spans="1:2" x14ac:dyDescent="0.25">
      <c r="A894" s="75"/>
      <c r="B894" s="76"/>
    </row>
    <row r="895" spans="1:2" x14ac:dyDescent="0.25">
      <c r="A895" s="75"/>
      <c r="B895" s="76"/>
    </row>
    <row r="896" spans="1:2" x14ac:dyDescent="0.25">
      <c r="A896" s="75"/>
      <c r="B896" s="76"/>
    </row>
    <row r="897" spans="1:2" x14ac:dyDescent="0.25">
      <c r="A897" s="75"/>
      <c r="B897" s="76"/>
    </row>
    <row r="898" spans="1:2" x14ac:dyDescent="0.25">
      <c r="A898" s="75"/>
      <c r="B898" s="76"/>
    </row>
    <row r="899" spans="1:2" x14ac:dyDescent="0.25">
      <c r="A899" s="75"/>
      <c r="B899" s="76"/>
    </row>
    <row r="900" spans="1:2" x14ac:dyDescent="0.25">
      <c r="A900" s="75"/>
      <c r="B900" s="76"/>
    </row>
    <row r="901" spans="1:2" x14ac:dyDescent="0.25">
      <c r="A901" s="75"/>
      <c r="B901" s="76"/>
    </row>
    <row r="902" spans="1:2" x14ac:dyDescent="0.25">
      <c r="A902" s="75"/>
      <c r="B902" s="76"/>
    </row>
    <row r="903" spans="1:2" x14ac:dyDescent="0.25">
      <c r="A903" s="75"/>
      <c r="B903" s="76"/>
    </row>
    <row r="904" spans="1:2" x14ac:dyDescent="0.25">
      <c r="A904" s="75"/>
      <c r="B904" s="76"/>
    </row>
    <row r="905" spans="1:2" x14ac:dyDescent="0.25">
      <c r="A905" s="75"/>
      <c r="B905" s="76"/>
    </row>
    <row r="906" spans="1:2" x14ac:dyDescent="0.25">
      <c r="A906" s="75"/>
      <c r="B906" s="76"/>
    </row>
    <row r="907" spans="1:2" x14ac:dyDescent="0.25">
      <c r="A907" s="75"/>
      <c r="B907" s="76"/>
    </row>
    <row r="908" spans="1:2" x14ac:dyDescent="0.25">
      <c r="A908" s="75"/>
      <c r="B908" s="76"/>
    </row>
    <row r="909" spans="1:2" x14ac:dyDescent="0.25">
      <c r="A909" s="75"/>
      <c r="B909" s="76"/>
    </row>
    <row r="910" spans="1:2" x14ac:dyDescent="0.25">
      <c r="A910" s="75"/>
      <c r="B910" s="76"/>
    </row>
    <row r="911" spans="1:2" x14ac:dyDescent="0.25">
      <c r="A911" s="75"/>
      <c r="B911" s="76"/>
    </row>
    <row r="912" spans="1:2" x14ac:dyDescent="0.25">
      <c r="A912" s="75"/>
      <c r="B912" s="76"/>
    </row>
    <row r="913" spans="1:2" x14ac:dyDescent="0.25">
      <c r="A913" s="75"/>
      <c r="B913" s="76"/>
    </row>
    <row r="914" spans="1:2" x14ac:dyDescent="0.25">
      <c r="A914" s="75"/>
      <c r="B914" s="76"/>
    </row>
    <row r="915" spans="1:2" x14ac:dyDescent="0.25">
      <c r="A915" s="75"/>
      <c r="B915" s="76"/>
    </row>
    <row r="916" spans="1:2" x14ac:dyDescent="0.25">
      <c r="A916" s="75"/>
      <c r="B916" s="76"/>
    </row>
    <row r="917" spans="1:2" x14ac:dyDescent="0.25">
      <c r="A917" s="75"/>
      <c r="B917" s="76"/>
    </row>
    <row r="918" spans="1:2" x14ac:dyDescent="0.25">
      <c r="A918" s="75"/>
      <c r="B918" s="76"/>
    </row>
    <row r="919" spans="1:2" x14ac:dyDescent="0.25">
      <c r="A919" s="75"/>
      <c r="B919" s="76"/>
    </row>
    <row r="920" spans="1:2" x14ac:dyDescent="0.25">
      <c r="A920" s="75"/>
      <c r="B920" s="76"/>
    </row>
    <row r="921" spans="1:2" x14ac:dyDescent="0.25">
      <c r="A921" s="75"/>
      <c r="B921" s="76"/>
    </row>
    <row r="922" spans="1:2" x14ac:dyDescent="0.25">
      <c r="A922" s="75"/>
      <c r="B922" s="76"/>
    </row>
    <row r="923" spans="1:2" x14ac:dyDescent="0.25">
      <c r="A923" s="75"/>
      <c r="B923" s="76"/>
    </row>
    <row r="924" spans="1:2" x14ac:dyDescent="0.25">
      <c r="A924" s="75"/>
      <c r="B924" s="76"/>
    </row>
    <row r="925" spans="1:2" x14ac:dyDescent="0.25">
      <c r="A925" s="75"/>
      <c r="B925" s="76"/>
    </row>
    <row r="926" spans="1:2" x14ac:dyDescent="0.25">
      <c r="A926" s="75"/>
      <c r="B926" s="76"/>
    </row>
    <row r="927" spans="1:2" x14ac:dyDescent="0.25">
      <c r="A927" s="75"/>
      <c r="B927" s="76"/>
    </row>
    <row r="928" spans="1:2" x14ac:dyDescent="0.25">
      <c r="A928" s="75"/>
      <c r="B928" s="76"/>
    </row>
    <row r="929" spans="1:2" x14ac:dyDescent="0.25">
      <c r="A929" s="75"/>
      <c r="B929" s="76"/>
    </row>
    <row r="930" spans="1:2" x14ac:dyDescent="0.25">
      <c r="A930" s="75"/>
      <c r="B930" s="76"/>
    </row>
    <row r="931" spans="1:2" x14ac:dyDescent="0.25">
      <c r="A931" s="75"/>
      <c r="B931" s="76"/>
    </row>
    <row r="932" spans="1:2" x14ac:dyDescent="0.25">
      <c r="A932" s="75"/>
      <c r="B932" s="76"/>
    </row>
    <row r="933" spans="1:2" x14ac:dyDescent="0.25">
      <c r="A933" s="75"/>
      <c r="B933" s="76"/>
    </row>
    <row r="934" spans="1:2" x14ac:dyDescent="0.25">
      <c r="A934" s="75"/>
      <c r="B934" s="76"/>
    </row>
    <row r="935" spans="1:2" x14ac:dyDescent="0.25">
      <c r="A935" s="75"/>
      <c r="B935" s="76"/>
    </row>
    <row r="936" spans="1:2" x14ac:dyDescent="0.25">
      <c r="A936" s="75"/>
      <c r="B936" s="76"/>
    </row>
    <row r="937" spans="1:2" x14ac:dyDescent="0.25">
      <c r="A937" s="75"/>
      <c r="B937" s="76"/>
    </row>
    <row r="938" spans="1:2" x14ac:dyDescent="0.25">
      <c r="A938" s="75"/>
      <c r="B938" s="76"/>
    </row>
    <row r="939" spans="1:2" x14ac:dyDescent="0.25">
      <c r="A939" s="75"/>
      <c r="B939" s="76"/>
    </row>
    <row r="940" spans="1:2" x14ac:dyDescent="0.25">
      <c r="A940" s="75"/>
      <c r="B940" s="76"/>
    </row>
    <row r="941" spans="1:2" x14ac:dyDescent="0.25">
      <c r="A941" s="75"/>
      <c r="B941" s="76"/>
    </row>
    <row r="942" spans="1:2" x14ac:dyDescent="0.25">
      <c r="A942" s="75"/>
      <c r="B942" s="76"/>
    </row>
    <row r="943" spans="1:2" x14ac:dyDescent="0.25">
      <c r="A943" s="75"/>
      <c r="B943" s="76"/>
    </row>
    <row r="944" spans="1:2" x14ac:dyDescent="0.25">
      <c r="A944" s="75"/>
      <c r="B944" s="76"/>
    </row>
    <row r="945" spans="1:2" x14ac:dyDescent="0.25">
      <c r="A945" s="75"/>
      <c r="B945" s="76"/>
    </row>
    <row r="946" spans="1:2" x14ac:dyDescent="0.25">
      <c r="A946" s="75"/>
      <c r="B946" s="76"/>
    </row>
    <row r="947" spans="1:2" x14ac:dyDescent="0.25">
      <c r="A947" s="75"/>
      <c r="B947" s="76"/>
    </row>
    <row r="948" spans="1:2" x14ac:dyDescent="0.25">
      <c r="A948" s="75"/>
      <c r="B948" s="76"/>
    </row>
    <row r="949" spans="1:2" x14ac:dyDescent="0.25">
      <c r="A949" s="75"/>
      <c r="B949" s="76"/>
    </row>
    <row r="950" spans="1:2" x14ac:dyDescent="0.25">
      <c r="A950" s="75"/>
      <c r="B950" s="76"/>
    </row>
    <row r="951" spans="1:2" x14ac:dyDescent="0.25">
      <c r="A951" s="75"/>
      <c r="B951" s="76"/>
    </row>
    <row r="952" spans="1:2" x14ac:dyDescent="0.25">
      <c r="A952" s="75"/>
      <c r="B952" s="76"/>
    </row>
    <row r="953" spans="1:2" x14ac:dyDescent="0.25">
      <c r="A953" s="75"/>
      <c r="B953" s="76"/>
    </row>
    <row r="954" spans="1:2" x14ac:dyDescent="0.25">
      <c r="A954" s="75"/>
      <c r="B954" s="76"/>
    </row>
    <row r="955" spans="1:2" x14ac:dyDescent="0.25">
      <c r="A955" s="75"/>
      <c r="B955" s="76"/>
    </row>
    <row r="956" spans="1:2" x14ac:dyDescent="0.25">
      <c r="A956" s="75"/>
      <c r="B956" s="76"/>
    </row>
    <row r="957" spans="1:2" x14ac:dyDescent="0.25">
      <c r="A957" s="75"/>
      <c r="B957" s="76"/>
    </row>
    <row r="958" spans="1:2" x14ac:dyDescent="0.25">
      <c r="A958" s="75"/>
      <c r="B958" s="76"/>
    </row>
    <row r="959" spans="1:2" x14ac:dyDescent="0.25">
      <c r="A959" s="75"/>
      <c r="B959" s="76"/>
    </row>
    <row r="960" spans="1:2" x14ac:dyDescent="0.25">
      <c r="A960" s="75"/>
      <c r="B960" s="76"/>
    </row>
    <row r="961" spans="1:2" x14ac:dyDescent="0.25">
      <c r="A961" s="75"/>
      <c r="B961" s="76"/>
    </row>
    <row r="962" spans="1:2" x14ac:dyDescent="0.25">
      <c r="A962" s="75"/>
      <c r="B962" s="76"/>
    </row>
    <row r="963" spans="1:2" x14ac:dyDescent="0.25">
      <c r="A963" s="75"/>
      <c r="B963" s="76"/>
    </row>
    <row r="964" spans="1:2" x14ac:dyDescent="0.25">
      <c r="A964" s="75"/>
      <c r="B964" s="76"/>
    </row>
    <row r="965" spans="1:2" x14ac:dyDescent="0.25">
      <c r="A965" s="75"/>
      <c r="B965" s="76"/>
    </row>
    <row r="966" spans="1:2" x14ac:dyDescent="0.25">
      <c r="A966" s="75"/>
      <c r="B966" s="76"/>
    </row>
    <row r="967" spans="1:2" x14ac:dyDescent="0.25">
      <c r="A967" s="75"/>
      <c r="B967" s="76"/>
    </row>
    <row r="968" spans="1:2" x14ac:dyDescent="0.25">
      <c r="A968" s="75"/>
      <c r="B968" s="76"/>
    </row>
    <row r="969" spans="1:2" x14ac:dyDescent="0.25">
      <c r="A969" s="75"/>
      <c r="B969" s="76"/>
    </row>
    <row r="970" spans="1:2" x14ac:dyDescent="0.25">
      <c r="A970" s="75"/>
      <c r="B970" s="76"/>
    </row>
    <row r="971" spans="1:2" x14ac:dyDescent="0.25">
      <c r="A971" s="75"/>
      <c r="B971" s="76"/>
    </row>
    <row r="972" spans="1:2" x14ac:dyDescent="0.25">
      <c r="A972" s="75"/>
      <c r="B972" s="76"/>
    </row>
    <row r="973" spans="1:2" x14ac:dyDescent="0.25">
      <c r="A973" s="75"/>
      <c r="B973" s="76"/>
    </row>
    <row r="974" spans="1:2" x14ac:dyDescent="0.25">
      <c r="A974" s="75"/>
      <c r="B974" s="76"/>
    </row>
    <row r="975" spans="1:2" x14ac:dyDescent="0.25">
      <c r="A975" s="75"/>
      <c r="B975" s="76"/>
    </row>
    <row r="976" spans="1:2" x14ac:dyDescent="0.25">
      <c r="A976" s="75"/>
      <c r="B976" s="76"/>
    </row>
    <row r="977" spans="1:2" x14ac:dyDescent="0.25">
      <c r="A977" s="75"/>
      <c r="B977" s="76"/>
    </row>
    <row r="978" spans="1:2" x14ac:dyDescent="0.25">
      <c r="A978" s="75"/>
      <c r="B978" s="76"/>
    </row>
    <row r="979" spans="1:2" x14ac:dyDescent="0.25">
      <c r="A979" s="75"/>
      <c r="B979" s="76"/>
    </row>
    <row r="980" spans="1:2" x14ac:dyDescent="0.25">
      <c r="A980" s="75"/>
      <c r="B980" s="76"/>
    </row>
    <row r="981" spans="1:2" x14ac:dyDescent="0.25">
      <c r="A981" s="75"/>
      <c r="B981" s="76"/>
    </row>
    <row r="982" spans="1:2" x14ac:dyDescent="0.25">
      <c r="A982" s="75"/>
      <c r="B982" s="76"/>
    </row>
    <row r="983" spans="1:2" x14ac:dyDescent="0.25">
      <c r="A983" s="75"/>
      <c r="B983" s="76"/>
    </row>
    <row r="984" spans="1:2" x14ac:dyDescent="0.25">
      <c r="A984" s="75"/>
      <c r="B984" s="76"/>
    </row>
    <row r="985" spans="1:2" x14ac:dyDescent="0.25">
      <c r="A985" s="75"/>
      <c r="B985" s="76"/>
    </row>
    <row r="986" spans="1:2" x14ac:dyDescent="0.25">
      <c r="A986" s="75"/>
      <c r="B986" s="76"/>
    </row>
    <row r="987" spans="1:2" x14ac:dyDescent="0.25">
      <c r="A987" s="75"/>
      <c r="B987" s="76"/>
    </row>
    <row r="988" spans="1:2" x14ac:dyDescent="0.25">
      <c r="A988" s="75"/>
      <c r="B988" s="76"/>
    </row>
    <row r="989" spans="1:2" x14ac:dyDescent="0.25">
      <c r="A989" s="75"/>
      <c r="B989" s="76"/>
    </row>
    <row r="990" spans="1:2" x14ac:dyDescent="0.25">
      <c r="A990" s="75"/>
      <c r="B990" s="76"/>
    </row>
    <row r="991" spans="1:2" x14ac:dyDescent="0.25">
      <c r="A991" s="75"/>
      <c r="B991" s="76"/>
    </row>
    <row r="992" spans="1:2" x14ac:dyDescent="0.25">
      <c r="A992" s="75"/>
      <c r="B992" s="76"/>
    </row>
    <row r="993" spans="1:2" x14ac:dyDescent="0.25">
      <c r="A993" s="75"/>
      <c r="B993" s="76"/>
    </row>
    <row r="994" spans="1:2" x14ac:dyDescent="0.25">
      <c r="A994" s="75"/>
      <c r="B994" s="76"/>
    </row>
    <row r="995" spans="1:2" x14ac:dyDescent="0.25">
      <c r="A995" s="75"/>
      <c r="B995" s="7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Q12"/>
  <sheetViews>
    <sheetView tabSelected="1" workbookViewId="0">
      <selection activeCell="E7" sqref="E7"/>
    </sheetView>
  </sheetViews>
  <sheetFormatPr baseColWidth="10" defaultColWidth="14.42578125" defaultRowHeight="15" customHeight="1" x14ac:dyDescent="0.25"/>
  <sheetData>
    <row r="1" spans="1:17" ht="45" x14ac:dyDescent="0.25">
      <c r="A1" s="85" t="s">
        <v>481</v>
      </c>
      <c r="B1" s="85" t="s">
        <v>27</v>
      </c>
      <c r="C1" s="80" t="s">
        <v>477</v>
      </c>
      <c r="D1" s="80" t="s">
        <v>478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spans="1:17" x14ac:dyDescent="0.25">
      <c r="A2" s="86">
        <v>1</v>
      </c>
      <c r="B2" s="86" t="s">
        <v>28</v>
      </c>
      <c r="C2" s="87">
        <v>43.387237499999998</v>
      </c>
      <c r="D2" s="87">
        <v>55.633646799999994</v>
      </c>
    </row>
    <row r="3" spans="1:17" x14ac:dyDescent="0.25">
      <c r="A3" s="86">
        <v>2</v>
      </c>
      <c r="B3" s="86" t="s">
        <v>66</v>
      </c>
      <c r="C3" s="87">
        <v>57.028664999999997</v>
      </c>
      <c r="D3" s="87">
        <v>61.773277800000002</v>
      </c>
    </row>
    <row r="4" spans="1:17" x14ac:dyDescent="0.25">
      <c r="A4" s="86">
        <v>3</v>
      </c>
      <c r="B4" s="86" t="s">
        <v>172</v>
      </c>
      <c r="C4" s="87">
        <v>55.323378699999999</v>
      </c>
      <c r="D4" s="87">
        <v>65.132639299999994</v>
      </c>
    </row>
    <row r="5" spans="1:17" x14ac:dyDescent="0.25">
      <c r="A5" s="86">
        <v>4</v>
      </c>
      <c r="B5" s="86" t="s">
        <v>226</v>
      </c>
      <c r="C5" s="87">
        <v>53.405541200000002</v>
      </c>
      <c r="D5" s="87">
        <v>59.815261800000002</v>
      </c>
    </row>
    <row r="6" spans="1:17" x14ac:dyDescent="0.25">
      <c r="A6" s="86">
        <v>5</v>
      </c>
      <c r="B6" s="86" t="s">
        <v>272</v>
      </c>
      <c r="C6" s="87">
        <v>37.9963847</v>
      </c>
      <c r="D6" s="87">
        <v>44.631516499999996</v>
      </c>
    </row>
    <row r="7" spans="1:17" x14ac:dyDescent="0.25">
      <c r="A7" s="86">
        <v>6</v>
      </c>
      <c r="B7" s="86" t="s">
        <v>329</v>
      </c>
      <c r="C7" s="87">
        <v>65.303212700000003</v>
      </c>
      <c r="D7" s="87">
        <v>74.519200799999993</v>
      </c>
    </row>
    <row r="8" spans="1:17" x14ac:dyDescent="0.25">
      <c r="A8" s="86">
        <v>7</v>
      </c>
      <c r="B8" s="86" t="s">
        <v>344</v>
      </c>
      <c r="C8" s="87">
        <v>70.897753600000001</v>
      </c>
      <c r="D8" s="87">
        <v>74.975976299999999</v>
      </c>
    </row>
    <row r="9" spans="1:17" x14ac:dyDescent="0.25">
      <c r="A9" s="86">
        <v>8</v>
      </c>
      <c r="B9" s="86" t="s">
        <v>413</v>
      </c>
      <c r="C9" s="87">
        <v>58.338481200000004</v>
      </c>
      <c r="D9" s="87">
        <v>59.526478699999998</v>
      </c>
    </row>
    <row r="10" spans="1:17" x14ac:dyDescent="0.25">
      <c r="A10" s="103">
        <v>9</v>
      </c>
      <c r="B10" s="103" t="s">
        <v>438</v>
      </c>
      <c r="C10" s="104">
        <v>45.688941400000004</v>
      </c>
      <c r="D10" s="104">
        <v>45.934808099999998</v>
      </c>
    </row>
    <row r="11" spans="1:17" ht="15" customHeight="1" x14ac:dyDescent="0.25">
      <c r="A11" s="105">
        <v>10</v>
      </c>
      <c r="B11" s="105" t="s">
        <v>333</v>
      </c>
      <c r="C11" s="108">
        <v>63.181593542364503</v>
      </c>
      <c r="D11" s="108">
        <v>72.123740006951692</v>
      </c>
    </row>
    <row r="12" spans="1:17" ht="15" customHeight="1" x14ac:dyDescent="0.25">
      <c r="A12" s="105">
        <v>11</v>
      </c>
      <c r="B12" s="105" t="s">
        <v>24</v>
      </c>
      <c r="C12" s="109">
        <v>57.646625399999998</v>
      </c>
      <c r="D12" s="109">
        <v>64.074287400000003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P12"/>
  <sheetViews>
    <sheetView workbookViewId="0">
      <selection activeCell="F9" sqref="F9"/>
    </sheetView>
  </sheetViews>
  <sheetFormatPr baseColWidth="10" defaultColWidth="14.42578125" defaultRowHeight="15" customHeight="1" x14ac:dyDescent="0.25"/>
  <cols>
    <col min="3" max="4" width="24" customWidth="1"/>
  </cols>
  <sheetData>
    <row r="1" spans="1:16" ht="30" x14ac:dyDescent="0.25">
      <c r="A1" s="88" t="s">
        <v>481</v>
      </c>
      <c r="B1" s="88" t="s">
        <v>27</v>
      </c>
      <c r="C1" s="89" t="s">
        <v>479</v>
      </c>
      <c r="D1" s="89" t="s">
        <v>480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x14ac:dyDescent="0.25">
      <c r="A2" s="86">
        <v>1</v>
      </c>
      <c r="B2" s="86" t="s">
        <v>28</v>
      </c>
      <c r="C2" s="83">
        <v>84965</v>
      </c>
      <c r="D2" s="83">
        <v>82064</v>
      </c>
    </row>
    <row r="3" spans="1:16" x14ac:dyDescent="0.25">
      <c r="A3" s="86">
        <v>2</v>
      </c>
      <c r="B3" s="86" t="s">
        <v>66</v>
      </c>
      <c r="C3" s="83">
        <v>366362</v>
      </c>
      <c r="D3" s="83">
        <v>408964</v>
      </c>
    </row>
    <row r="4" spans="1:16" x14ac:dyDescent="0.25">
      <c r="A4" s="86">
        <v>3</v>
      </c>
      <c r="B4" s="86" t="s">
        <v>172</v>
      </c>
      <c r="C4" s="83">
        <v>230803</v>
      </c>
      <c r="D4" s="83">
        <v>235377</v>
      </c>
    </row>
    <row r="5" spans="1:16" x14ac:dyDescent="0.25">
      <c r="A5" s="86">
        <v>4</v>
      </c>
      <c r="B5" s="86" t="s">
        <v>226</v>
      </c>
      <c r="C5" s="83">
        <v>70852</v>
      </c>
      <c r="D5" s="83">
        <v>76742</v>
      </c>
    </row>
    <row r="6" spans="1:16" x14ac:dyDescent="0.25">
      <c r="A6" s="86">
        <v>5</v>
      </c>
      <c r="B6" s="86" t="s">
        <v>272</v>
      </c>
      <c r="C6" s="83">
        <v>150236</v>
      </c>
      <c r="D6" s="83">
        <v>168179</v>
      </c>
    </row>
    <row r="7" spans="1:16" x14ac:dyDescent="0.25">
      <c r="A7" s="86">
        <v>6</v>
      </c>
      <c r="B7" s="86" t="s">
        <v>329</v>
      </c>
      <c r="C7" s="83">
        <v>43804</v>
      </c>
      <c r="D7" s="83">
        <v>40834</v>
      </c>
    </row>
    <row r="8" spans="1:16" x14ac:dyDescent="0.25">
      <c r="A8" s="86">
        <v>7</v>
      </c>
      <c r="B8" s="86" t="s">
        <v>344</v>
      </c>
      <c r="C8" s="83">
        <v>187667</v>
      </c>
      <c r="D8" s="83">
        <v>219525</v>
      </c>
    </row>
    <row r="9" spans="1:16" x14ac:dyDescent="0.25">
      <c r="A9" s="86">
        <v>8</v>
      </c>
      <c r="B9" s="86" t="s">
        <v>413</v>
      </c>
      <c r="C9" s="83">
        <v>39116</v>
      </c>
      <c r="D9" s="83">
        <v>51267</v>
      </c>
      <c r="E9" s="110"/>
      <c r="F9" s="110"/>
    </row>
    <row r="10" spans="1:16" x14ac:dyDescent="0.25">
      <c r="A10" s="86">
        <v>9</v>
      </c>
      <c r="B10" s="86" t="s">
        <v>438</v>
      </c>
      <c r="C10" s="83">
        <v>13776</v>
      </c>
      <c r="D10" s="83">
        <v>18892</v>
      </c>
    </row>
    <row r="11" spans="1:16" ht="15" customHeight="1" x14ac:dyDescent="0.25">
      <c r="A11" s="105">
        <v>10</v>
      </c>
      <c r="B11" s="105" t="s">
        <v>333</v>
      </c>
      <c r="C11" s="107">
        <v>13410</v>
      </c>
      <c r="D11" s="107">
        <v>12832</v>
      </c>
    </row>
    <row r="12" spans="1:16" ht="15" customHeight="1" x14ac:dyDescent="0.25">
      <c r="A12" s="105">
        <v>11</v>
      </c>
      <c r="B12" s="105" t="s">
        <v>24</v>
      </c>
      <c r="C12" s="107">
        <v>1187581</v>
      </c>
      <c r="D12" s="107">
        <v>1301844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J2"/>
  <sheetViews>
    <sheetView workbookViewId="0">
      <selection activeCell="F8" sqref="F8"/>
    </sheetView>
  </sheetViews>
  <sheetFormatPr baseColWidth="10" defaultColWidth="14.42578125" defaultRowHeight="15" customHeight="1" x14ac:dyDescent="0.25"/>
  <sheetData>
    <row r="1" spans="1:10" x14ac:dyDescent="0.25">
      <c r="A1" s="91" t="s">
        <v>482</v>
      </c>
      <c r="B1" s="91" t="s">
        <v>483</v>
      </c>
      <c r="C1" s="92" t="s">
        <v>484</v>
      </c>
      <c r="D1" s="92" t="s">
        <v>485</v>
      </c>
      <c r="E1" s="93" t="s">
        <v>486</v>
      </c>
      <c r="F1" s="93" t="s">
        <v>487</v>
      </c>
      <c r="G1" s="94" t="s">
        <v>488</v>
      </c>
      <c r="H1" s="94" t="s">
        <v>489</v>
      </c>
      <c r="I1" s="95" t="s">
        <v>490</v>
      </c>
      <c r="J1" s="95" t="s">
        <v>491</v>
      </c>
    </row>
    <row r="2" spans="1:10" x14ac:dyDescent="0.25">
      <c r="A2" s="96">
        <v>12</v>
      </c>
      <c r="B2" s="97" t="s">
        <v>492</v>
      </c>
      <c r="C2" s="98">
        <v>100</v>
      </c>
      <c r="D2" s="98">
        <v>43.3</v>
      </c>
      <c r="E2" s="98">
        <v>43.3</v>
      </c>
      <c r="F2" s="98">
        <v>20.399999999999999</v>
      </c>
      <c r="G2" s="98">
        <v>20.399999999999999</v>
      </c>
      <c r="H2" s="98">
        <v>0</v>
      </c>
      <c r="I2" s="98">
        <v>0</v>
      </c>
      <c r="J2" s="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</dc:creator>
  <cp:lastModifiedBy>Valeria Aramayo</cp:lastModifiedBy>
  <dcterms:created xsi:type="dcterms:W3CDTF">2025-08-05T20:26:57Z</dcterms:created>
  <dcterms:modified xsi:type="dcterms:W3CDTF">2026-05-06T19:13:37Z</dcterms:modified>
</cp:coreProperties>
</file>