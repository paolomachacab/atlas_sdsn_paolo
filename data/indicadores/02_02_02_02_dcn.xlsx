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d695693464b2fe4e/Desktop/9no semestre/Prácticas/SDSN/Pasantia septiembre 2024/Atlas/Bases_datos_completadas/"/>
    </mc:Choice>
  </mc:AlternateContent>
  <xr:revisionPtr revIDLastSave="0" documentId="14_{75048AC7-D539-4A23-9907-BC123DE270C6}" xr6:coauthVersionLast="47" xr6:coauthVersionMax="47" xr10:uidLastSave="{00000000-0000-0000-0000-000000000000}"/>
  <bookViews>
    <workbookView xWindow="-120" yWindow="-120" windowWidth="20730" windowHeight="10545" xr2:uid="{00000000-000D-0000-FFFF-FFFF00000000}"/>
  </bookViews>
  <sheets>
    <sheet name="Datos originales" sheetId="1" r:id="rId1"/>
    <sheet name="Datos procesados 2008" sheetId="2" r:id="rId2"/>
    <sheet name="Datos procesados 2023" sheetId="3" r:id="rId3"/>
    <sheet name="Indicador_MUN" sheetId="4" r:id="rId4"/>
    <sheet name="Absoluto_MUN" sheetId="5" r:id="rId5"/>
    <sheet name="Indicador_DEP" sheetId="6" r:id="rId6"/>
    <sheet name="Absoluto_DEP" sheetId="7" r:id="rId7"/>
    <sheet name="Umbral" sheetId="8" r:id="rId8"/>
  </sheets>
  <externalReferences>
    <externalReference r:id="rId9"/>
  </externalReferences>
  <definedNames>
    <definedName name="OLE_LINK1" localSheetId="0">'[1]3.01.03'!#REF!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alXAcq+yvml8kn5Sd9YVY3sLIpoE/RqS5r/0iu/RXM="/>
    </ext>
  </extLst>
</workbook>
</file>

<file path=xl/calcChain.xml><?xml version="1.0" encoding="utf-8"?>
<calcChain xmlns="http://schemas.openxmlformats.org/spreadsheetml/2006/main">
  <c r="R12" i="3" l="1"/>
  <c r="T12" i="3" s="1"/>
  <c r="S12" i="3"/>
  <c r="R12" i="2"/>
  <c r="T12" i="2" s="1"/>
  <c r="G12" i="3"/>
  <c r="H12" i="3" s="1"/>
  <c r="I12" i="3" s="1"/>
  <c r="S12" i="2"/>
  <c r="M345" i="3"/>
  <c r="C345" i="3"/>
  <c r="J330" i="3"/>
  <c r="F326" i="3"/>
  <c r="J310" i="3"/>
  <c r="F277" i="3"/>
  <c r="F272" i="3"/>
  <c r="J254" i="3"/>
  <c r="J243" i="3"/>
  <c r="F229" i="3"/>
  <c r="F228" i="3"/>
  <c r="F213" i="3"/>
  <c r="F212" i="3"/>
  <c r="J201" i="3"/>
  <c r="F195" i="3"/>
  <c r="F192" i="3"/>
  <c r="F179" i="3"/>
  <c r="F176" i="3"/>
  <c r="J166" i="3"/>
  <c r="F159" i="3"/>
  <c r="F148" i="3"/>
  <c r="F146" i="3"/>
  <c r="F144" i="3"/>
  <c r="F142" i="3"/>
  <c r="F137" i="3"/>
  <c r="F134" i="3"/>
  <c r="F129" i="3"/>
  <c r="F126" i="3"/>
  <c r="F121" i="3"/>
  <c r="J118" i="3"/>
  <c r="F117" i="3"/>
  <c r="F116" i="3"/>
  <c r="F109" i="3"/>
  <c r="F108" i="3"/>
  <c r="F101" i="3"/>
  <c r="F100" i="3"/>
  <c r="F93" i="3"/>
  <c r="F92" i="3"/>
  <c r="F85" i="3"/>
  <c r="F84" i="3"/>
  <c r="F76" i="3"/>
  <c r="F75" i="3"/>
  <c r="F72" i="3"/>
  <c r="F71" i="3"/>
  <c r="F68" i="3"/>
  <c r="F67" i="3"/>
  <c r="F64" i="3"/>
  <c r="F63" i="3"/>
  <c r="F60" i="3"/>
  <c r="F59" i="3"/>
  <c r="F56" i="3"/>
  <c r="F55" i="3"/>
  <c r="F52" i="3"/>
  <c r="F51" i="3"/>
  <c r="F48" i="3"/>
  <c r="F47" i="3"/>
  <c r="F44" i="3"/>
  <c r="F43" i="3"/>
  <c r="F40" i="3"/>
  <c r="F39" i="3"/>
  <c r="F36" i="3"/>
  <c r="F35" i="3"/>
  <c r="F32" i="3"/>
  <c r="J31" i="3"/>
  <c r="F31" i="3"/>
  <c r="F30" i="3"/>
  <c r="F27" i="3"/>
  <c r="F26" i="3"/>
  <c r="F23" i="3"/>
  <c r="F22" i="3"/>
  <c r="F19" i="3"/>
  <c r="F18" i="3"/>
  <c r="F15" i="3"/>
  <c r="F14" i="3"/>
  <c r="R10" i="3"/>
  <c r="R9" i="3"/>
  <c r="R8" i="3"/>
  <c r="R7" i="3"/>
  <c r="R6" i="3"/>
  <c r="R5" i="3"/>
  <c r="R4" i="3"/>
  <c r="P4" i="3"/>
  <c r="F4" i="3"/>
  <c r="R3" i="3"/>
  <c r="F3" i="3"/>
  <c r="R2" i="3"/>
  <c r="R11" i="3" s="1"/>
  <c r="J2" i="3"/>
  <c r="F2" i="3"/>
  <c r="M345" i="2"/>
  <c r="C345" i="2"/>
  <c r="J330" i="2"/>
  <c r="J310" i="2"/>
  <c r="J254" i="2"/>
  <c r="J243" i="2"/>
  <c r="J201" i="2"/>
  <c r="J166" i="2"/>
  <c r="J118" i="2"/>
  <c r="J31" i="2"/>
  <c r="F16" i="2"/>
  <c r="R10" i="2"/>
  <c r="R9" i="2"/>
  <c r="R8" i="2"/>
  <c r="F8" i="2"/>
  <c r="R7" i="2"/>
  <c r="R6" i="2"/>
  <c r="R5" i="2"/>
  <c r="R4" i="2"/>
  <c r="P4" i="2"/>
  <c r="R3" i="2"/>
  <c r="R2" i="2"/>
  <c r="R11" i="2" s="1"/>
  <c r="J2" i="2"/>
  <c r="F344" i="2" l="1"/>
  <c r="F340" i="2"/>
  <c r="F336" i="2"/>
  <c r="F332" i="2"/>
  <c r="F327" i="2"/>
  <c r="F323" i="2"/>
  <c r="F319" i="2"/>
  <c r="F315" i="2"/>
  <c r="F311" i="2"/>
  <c r="F310" i="2"/>
  <c r="F306" i="2"/>
  <c r="F302" i="2"/>
  <c r="F298" i="2"/>
  <c r="F294" i="2"/>
  <c r="F290" i="2"/>
  <c r="F286" i="2"/>
  <c r="F282" i="2"/>
  <c r="F278" i="2"/>
  <c r="F274" i="2"/>
  <c r="F270" i="2"/>
  <c r="F266" i="2"/>
  <c r="F262" i="2"/>
  <c r="F258" i="2"/>
  <c r="F253" i="2"/>
  <c r="F249" i="2"/>
  <c r="F245" i="2"/>
  <c r="F240" i="2"/>
  <c r="F236" i="2"/>
  <c r="F232" i="2"/>
  <c r="F343" i="2"/>
  <c r="F339" i="2"/>
  <c r="F335" i="2"/>
  <c r="F331" i="2"/>
  <c r="F330" i="2"/>
  <c r="F326" i="2"/>
  <c r="F322" i="2"/>
  <c r="F318" i="2"/>
  <c r="F314" i="2"/>
  <c r="F309" i="2"/>
  <c r="F305" i="2"/>
  <c r="F301" i="2"/>
  <c r="F297" i="2"/>
  <c r="F293" i="2"/>
  <c r="F289" i="2"/>
  <c r="F285" i="2"/>
  <c r="F281" i="2"/>
  <c r="F277" i="2"/>
  <c r="F273" i="2"/>
  <c r="F269" i="2"/>
  <c r="F265" i="2"/>
  <c r="F261" i="2"/>
  <c r="F257" i="2"/>
  <c r="F252" i="2"/>
  <c r="F248" i="2"/>
  <c r="F244" i="2"/>
  <c r="F243" i="2"/>
  <c r="F239" i="2"/>
  <c r="F235" i="2"/>
  <c r="F231" i="2"/>
  <c r="F227" i="2"/>
  <c r="F338" i="2"/>
  <c r="F328" i="2"/>
  <c r="F320" i="2"/>
  <c r="F312" i="2"/>
  <c r="F308" i="2"/>
  <c r="F300" i="2"/>
  <c r="F292" i="2"/>
  <c r="F284" i="2"/>
  <c r="F276" i="2"/>
  <c r="F268" i="2"/>
  <c r="F260" i="2"/>
  <c r="F251" i="2"/>
  <c r="F241" i="2"/>
  <c r="F233" i="2"/>
  <c r="F226" i="2"/>
  <c r="F225" i="2"/>
  <c r="F221" i="2"/>
  <c r="F217" i="2"/>
  <c r="F213" i="2"/>
  <c r="F209" i="2"/>
  <c r="F205" i="2"/>
  <c r="F200" i="2"/>
  <c r="F196" i="2"/>
  <c r="F192" i="2"/>
  <c r="F188" i="2"/>
  <c r="F184" i="2"/>
  <c r="F180" i="2"/>
  <c r="F176" i="2"/>
  <c r="F172" i="2"/>
  <c r="F168" i="2"/>
  <c r="F163" i="2"/>
  <c r="F159" i="2"/>
  <c r="F155" i="2"/>
  <c r="F151" i="2"/>
  <c r="F147" i="2"/>
  <c r="F143" i="2"/>
  <c r="F139" i="2"/>
  <c r="F135" i="2"/>
  <c r="F131" i="2"/>
  <c r="F127" i="2"/>
  <c r="F123" i="2"/>
  <c r="F119" i="2"/>
  <c r="F118" i="2"/>
  <c r="F114" i="2"/>
  <c r="F110" i="2"/>
  <c r="F106" i="2"/>
  <c r="F102" i="2"/>
  <c r="F98" i="2"/>
  <c r="F94" i="2"/>
  <c r="F341" i="2"/>
  <c r="F337" i="2"/>
  <c r="F321" i="2"/>
  <c r="F317" i="2"/>
  <c r="F303" i="2"/>
  <c r="F299" i="2"/>
  <c r="F288" i="2"/>
  <c r="F271" i="2"/>
  <c r="F267" i="2"/>
  <c r="F256" i="2"/>
  <c r="F246" i="2"/>
  <c r="F237" i="2"/>
  <c r="F220" i="2"/>
  <c r="F219" i="2"/>
  <c r="F218" i="2"/>
  <c r="F204" i="2"/>
  <c r="F203" i="2"/>
  <c r="F202" i="2"/>
  <c r="F195" i="2"/>
  <c r="F194" i="2"/>
  <c r="F193" i="2"/>
  <c r="F179" i="2"/>
  <c r="F178" i="2"/>
  <c r="F177" i="2"/>
  <c r="F154" i="2"/>
  <c r="F153" i="2"/>
  <c r="F152" i="2"/>
  <c r="F138" i="2"/>
  <c r="F137" i="2"/>
  <c r="F136" i="2"/>
  <c r="F334" i="2"/>
  <c r="F329" i="2"/>
  <c r="F325" i="2"/>
  <c r="F307" i="2"/>
  <c r="F296" i="2"/>
  <c r="F279" i="2"/>
  <c r="F275" i="2"/>
  <c r="F264" i="2"/>
  <c r="F254" i="2"/>
  <c r="F250" i="2"/>
  <c r="F234" i="2"/>
  <c r="F230" i="2"/>
  <c r="F228" i="2"/>
  <c r="F224" i="2"/>
  <c r="F223" i="2"/>
  <c r="F222" i="2"/>
  <c r="F208" i="2"/>
  <c r="F207" i="2"/>
  <c r="F206" i="2"/>
  <c r="F199" i="2"/>
  <c r="F198" i="2"/>
  <c r="F197" i="2"/>
  <c r="F183" i="2"/>
  <c r="F182" i="2"/>
  <c r="F181" i="2"/>
  <c r="F313" i="2"/>
  <c r="F272" i="2"/>
  <c r="F255" i="2"/>
  <c r="F229" i="2"/>
  <c r="F215" i="2"/>
  <c r="F190" i="2"/>
  <c r="F169" i="2"/>
  <c r="F160" i="2"/>
  <c r="F157" i="2"/>
  <c r="F150" i="2"/>
  <c r="F140" i="2"/>
  <c r="F133" i="2"/>
  <c r="F130" i="2"/>
  <c r="F117" i="2"/>
  <c r="F116" i="2"/>
  <c r="F115" i="2"/>
  <c r="F101" i="2"/>
  <c r="F100" i="2"/>
  <c r="F99" i="2"/>
  <c r="F88" i="2"/>
  <c r="F84" i="2"/>
  <c r="F80" i="2"/>
  <c r="F76" i="2"/>
  <c r="F72" i="2"/>
  <c r="F68" i="2"/>
  <c r="F64" i="2"/>
  <c r="F60" i="2"/>
  <c r="F56" i="2"/>
  <c r="F52" i="2"/>
  <c r="F48" i="2"/>
  <c r="F44" i="2"/>
  <c r="F40" i="2"/>
  <c r="F36" i="2"/>
  <c r="F32" i="2"/>
  <c r="F31" i="2"/>
  <c r="F27" i="2"/>
  <c r="F23" i="2"/>
  <c r="F19" i="2"/>
  <c r="F15" i="2"/>
  <c r="F4" i="2"/>
  <c r="F3" i="2"/>
  <c r="F291" i="2"/>
  <c r="F238" i="2"/>
  <c r="F201" i="2"/>
  <c r="F175" i="2"/>
  <c r="F156" i="2"/>
  <c r="F149" i="2"/>
  <c r="F132" i="2"/>
  <c r="F113" i="2"/>
  <c r="F97" i="2"/>
  <c r="F89" i="2"/>
  <c r="F85" i="2"/>
  <c r="F81" i="2"/>
  <c r="F73" i="2"/>
  <c r="F69" i="2"/>
  <c r="F53" i="2"/>
  <c r="F49" i="2"/>
  <c r="F45" i="2"/>
  <c r="F41" i="2"/>
  <c r="F37" i="2"/>
  <c r="F33" i="2"/>
  <c r="F28" i="2"/>
  <c r="F24" i="2"/>
  <c r="F20" i="2"/>
  <c r="F316" i="2"/>
  <c r="F280" i="2"/>
  <c r="F263" i="2"/>
  <c r="F259" i="2"/>
  <c r="F247" i="2"/>
  <c r="F212" i="2"/>
  <c r="F210" i="2"/>
  <c r="F187" i="2"/>
  <c r="F185" i="2"/>
  <c r="F173" i="2"/>
  <c r="F170" i="2"/>
  <c r="F167" i="2"/>
  <c r="F164" i="2"/>
  <c r="F161" i="2"/>
  <c r="F158" i="2"/>
  <c r="F144" i="2"/>
  <c r="F141" i="2"/>
  <c r="F134" i="2"/>
  <c r="F105" i="2"/>
  <c r="F104" i="2"/>
  <c r="F103" i="2"/>
  <c r="F87" i="2"/>
  <c r="F83" i="2"/>
  <c r="F79" i="2"/>
  <c r="F75" i="2"/>
  <c r="F71" i="2"/>
  <c r="F67" i="2"/>
  <c r="F63" i="2"/>
  <c r="F59" i="2"/>
  <c r="F55" i="2"/>
  <c r="F51" i="2"/>
  <c r="F47" i="2"/>
  <c r="F43" i="2"/>
  <c r="F39" i="2"/>
  <c r="F35" i="2"/>
  <c r="F30" i="2"/>
  <c r="F26" i="2"/>
  <c r="F22" i="2"/>
  <c r="F18" i="2"/>
  <c r="F14" i="2"/>
  <c r="F211" i="2"/>
  <c r="F186" i="2"/>
  <c r="F146" i="2"/>
  <c r="F129" i="2"/>
  <c r="F125" i="2"/>
  <c r="F112" i="2"/>
  <c r="F95" i="2"/>
  <c r="F57" i="2"/>
  <c r="F324" i="2"/>
  <c r="F304" i="2"/>
  <c r="F287" i="2"/>
  <c r="F283" i="2"/>
  <c r="F216" i="2"/>
  <c r="F214" i="2"/>
  <c r="F191" i="2"/>
  <c r="F189" i="2"/>
  <c r="F174" i="2"/>
  <c r="F171" i="2"/>
  <c r="F165" i="2"/>
  <c r="F162" i="2"/>
  <c r="F148" i="2"/>
  <c r="F145" i="2"/>
  <c r="F142" i="2"/>
  <c r="F128" i="2"/>
  <c r="F122" i="2"/>
  <c r="F121" i="2"/>
  <c r="F120" i="2"/>
  <c r="F109" i="2"/>
  <c r="F108" i="2"/>
  <c r="F107" i="2"/>
  <c r="F93" i="2"/>
  <c r="F92" i="2"/>
  <c r="F91" i="2"/>
  <c r="F90" i="2"/>
  <c r="F86" i="2"/>
  <c r="F82" i="2"/>
  <c r="F78" i="2"/>
  <c r="F74" i="2"/>
  <c r="F70" i="2"/>
  <c r="F66" i="2"/>
  <c r="F62" i="2"/>
  <c r="F58" i="2"/>
  <c r="F54" i="2"/>
  <c r="F50" i="2"/>
  <c r="F46" i="2"/>
  <c r="F42" i="2"/>
  <c r="F38" i="2"/>
  <c r="F34" i="2"/>
  <c r="F29" i="2"/>
  <c r="F25" i="2"/>
  <c r="F21" i="2"/>
  <c r="F17" i="2"/>
  <c r="F13" i="2"/>
  <c r="F342" i="2"/>
  <c r="F333" i="2"/>
  <c r="F295" i="2"/>
  <c r="F242" i="2"/>
  <c r="F166" i="2"/>
  <c r="F126" i="2"/>
  <c r="F124" i="2"/>
  <c r="F111" i="2"/>
  <c r="F96" i="2"/>
  <c r="F77" i="2"/>
  <c r="F65" i="2"/>
  <c r="F61" i="2"/>
  <c r="F7" i="2"/>
  <c r="F11" i="2"/>
  <c r="F6" i="2"/>
  <c r="F10" i="2"/>
  <c r="F2" i="2"/>
  <c r="F5" i="2"/>
  <c r="F9" i="2"/>
  <c r="F12" i="2"/>
  <c r="F341" i="3"/>
  <c r="F337" i="3"/>
  <c r="F333" i="3"/>
  <c r="F328" i="3"/>
  <c r="F324" i="3"/>
  <c r="F320" i="3"/>
  <c r="F316" i="3"/>
  <c r="F312" i="3"/>
  <c r="F307" i="3"/>
  <c r="F303" i="3"/>
  <c r="F299" i="3"/>
  <c r="F295" i="3"/>
  <c r="F291" i="3"/>
  <c r="F287" i="3"/>
  <c r="F283" i="3"/>
  <c r="F279" i="3"/>
  <c r="F344" i="3"/>
  <c r="F340" i="3"/>
  <c r="F336" i="3"/>
  <c r="F332" i="3"/>
  <c r="F327" i="3"/>
  <c r="F323" i="3"/>
  <c r="F319" i="3"/>
  <c r="F315" i="3"/>
  <c r="F311" i="3"/>
  <c r="F310" i="3"/>
  <c r="F306" i="3"/>
  <c r="F302" i="3"/>
  <c r="F298" i="3"/>
  <c r="F294" i="3"/>
  <c r="F290" i="3"/>
  <c r="F286" i="3"/>
  <c r="F282" i="3"/>
  <c r="F339" i="3"/>
  <c r="F331" i="3"/>
  <c r="F330" i="3"/>
  <c r="F322" i="3"/>
  <c r="F314" i="3"/>
  <c r="F304" i="3"/>
  <c r="F296" i="3"/>
  <c r="F288" i="3"/>
  <c r="F280" i="3"/>
  <c r="F275" i="3"/>
  <c r="F271" i="3"/>
  <c r="F267" i="3"/>
  <c r="F263" i="3"/>
  <c r="F259" i="3"/>
  <c r="F255" i="3"/>
  <c r="F254" i="3"/>
  <c r="F250" i="3"/>
  <c r="F246" i="3"/>
  <c r="F342" i="3"/>
  <c r="F334" i="3"/>
  <c r="F325" i="3"/>
  <c r="F317" i="3"/>
  <c r="F305" i="3"/>
  <c r="F297" i="3"/>
  <c r="F289" i="3"/>
  <c r="F281" i="3"/>
  <c r="F278" i="3"/>
  <c r="F274" i="3"/>
  <c r="F270" i="3"/>
  <c r="F266" i="3"/>
  <c r="F262" i="3"/>
  <c r="F258" i="3"/>
  <c r="F253" i="3"/>
  <c r="F249" i="3"/>
  <c r="F245" i="3"/>
  <c r="F343" i="3"/>
  <c r="F318" i="3"/>
  <c r="F300" i="3"/>
  <c r="F284" i="3"/>
  <c r="F273" i="3"/>
  <c r="F265" i="3"/>
  <c r="F257" i="3"/>
  <c r="F247" i="3"/>
  <c r="F244" i="3"/>
  <c r="F243" i="3"/>
  <c r="F239" i="3"/>
  <c r="F235" i="3"/>
  <c r="F231" i="3"/>
  <c r="F227" i="3"/>
  <c r="F223" i="3"/>
  <c r="F219" i="3"/>
  <c r="F215" i="3"/>
  <c r="F211" i="3"/>
  <c r="F207" i="3"/>
  <c r="F203" i="3"/>
  <c r="F198" i="3"/>
  <c r="F194" i="3"/>
  <c r="F190" i="3"/>
  <c r="F186" i="3"/>
  <c r="F182" i="3"/>
  <c r="F178" i="3"/>
  <c r="F174" i="3"/>
  <c r="F170" i="3"/>
  <c r="F165" i="3"/>
  <c r="F161" i="3"/>
  <c r="F157" i="3"/>
  <c r="F153" i="3"/>
  <c r="F149" i="3"/>
  <c r="F145" i="3"/>
  <c r="F321" i="3"/>
  <c r="F309" i="3"/>
  <c r="F293" i="3"/>
  <c r="F276" i="3"/>
  <c r="F268" i="3"/>
  <c r="F260" i="3"/>
  <c r="F248" i="3"/>
  <c r="F242" i="3"/>
  <c r="F238" i="3"/>
  <c r="F234" i="3"/>
  <c r="F230" i="3"/>
  <c r="F226" i="3"/>
  <c r="F222" i="3"/>
  <c r="F218" i="3"/>
  <c r="F214" i="3"/>
  <c r="F210" i="3"/>
  <c r="F206" i="3"/>
  <c r="F202" i="3"/>
  <c r="F201" i="3"/>
  <c r="F197" i="3"/>
  <c r="F193" i="3"/>
  <c r="F189" i="3"/>
  <c r="F185" i="3"/>
  <c r="F181" i="3"/>
  <c r="F177" i="3"/>
  <c r="F173" i="3"/>
  <c r="F169" i="3"/>
  <c r="F164" i="3"/>
  <c r="F335" i="3"/>
  <c r="F313" i="3"/>
  <c r="F301" i="3"/>
  <c r="F264" i="3"/>
  <c r="F240" i="3"/>
  <c r="F232" i="3"/>
  <c r="F224" i="3"/>
  <c r="F216" i="3"/>
  <c r="F208" i="3"/>
  <c r="F196" i="3"/>
  <c r="F188" i="3"/>
  <c r="F180" i="3"/>
  <c r="F172" i="3"/>
  <c r="F163" i="3"/>
  <c r="F152" i="3"/>
  <c r="F151" i="3"/>
  <c r="F150" i="3"/>
  <c r="F140" i="3"/>
  <c r="F136" i="3"/>
  <c r="F132" i="3"/>
  <c r="F128" i="3"/>
  <c r="F124" i="3"/>
  <c r="F120" i="3"/>
  <c r="F115" i="3"/>
  <c r="F111" i="3"/>
  <c r="F107" i="3"/>
  <c r="F103" i="3"/>
  <c r="F99" i="3"/>
  <c r="F95" i="3"/>
  <c r="F91" i="3"/>
  <c r="F87" i="3"/>
  <c r="F83" i="3"/>
  <c r="F292" i="3"/>
  <c r="F269" i="3"/>
  <c r="F252" i="3"/>
  <c r="F241" i="3"/>
  <c r="F233" i="3"/>
  <c r="F225" i="3"/>
  <c r="F217" i="3"/>
  <c r="F209" i="3"/>
  <c r="F199" i="3"/>
  <c r="F191" i="3"/>
  <c r="F183" i="3"/>
  <c r="F175" i="3"/>
  <c r="F167" i="3"/>
  <c r="F166" i="3"/>
  <c r="F156" i="3"/>
  <c r="F155" i="3"/>
  <c r="F154" i="3"/>
  <c r="F139" i="3"/>
  <c r="F135" i="3"/>
  <c r="F131" i="3"/>
  <c r="F127" i="3"/>
  <c r="F123" i="3"/>
  <c r="F119" i="3"/>
  <c r="F118" i="3"/>
  <c r="F114" i="3"/>
  <c r="F110" i="3"/>
  <c r="F106" i="3"/>
  <c r="F102" i="3"/>
  <c r="F98" i="3"/>
  <c r="F94" i="3"/>
  <c r="F90" i="3"/>
  <c r="F86" i="3"/>
  <c r="F82" i="3"/>
  <c r="F5" i="3"/>
  <c r="F6" i="3"/>
  <c r="F7" i="3"/>
  <c r="F8" i="3"/>
  <c r="F9" i="3"/>
  <c r="F10" i="3"/>
  <c r="F11" i="3"/>
  <c r="F12" i="3"/>
  <c r="F16" i="3"/>
  <c r="F20" i="3"/>
  <c r="F24" i="3"/>
  <c r="F28" i="3"/>
  <c r="F33" i="3"/>
  <c r="F37" i="3"/>
  <c r="F41" i="3"/>
  <c r="F45" i="3"/>
  <c r="F49" i="3"/>
  <c r="F53" i="3"/>
  <c r="F57" i="3"/>
  <c r="F61" i="3"/>
  <c r="F65" i="3"/>
  <c r="F69" i="3"/>
  <c r="F73" i="3"/>
  <c r="F77" i="3"/>
  <c r="F81" i="3"/>
  <c r="F89" i="3"/>
  <c r="F97" i="3"/>
  <c r="F105" i="3"/>
  <c r="F113" i="3"/>
  <c r="F125" i="3"/>
  <c r="F133" i="3"/>
  <c r="F141" i="3"/>
  <c r="F147" i="3"/>
  <c r="F162" i="3"/>
  <c r="F171" i="3"/>
  <c r="F187" i="3"/>
  <c r="F204" i="3"/>
  <c r="F220" i="3"/>
  <c r="F236" i="3"/>
  <c r="F251" i="3"/>
  <c r="F261" i="3"/>
  <c r="F308" i="3"/>
  <c r="F329" i="3"/>
  <c r="F338" i="3"/>
  <c r="F13" i="3"/>
  <c r="F17" i="3"/>
  <c r="F21" i="3"/>
  <c r="F25" i="3"/>
  <c r="F29" i="3"/>
  <c r="F34" i="3"/>
  <c r="F38" i="3"/>
  <c r="F42" i="3"/>
  <c r="F46" i="3"/>
  <c r="F50" i="3"/>
  <c r="F54" i="3"/>
  <c r="F58" i="3"/>
  <c r="F62" i="3"/>
  <c r="F66" i="3"/>
  <c r="F70" i="3"/>
  <c r="F74" i="3"/>
  <c r="F78" i="3"/>
  <c r="F79" i="3"/>
  <c r="F80" i="3"/>
  <c r="F88" i="3"/>
  <c r="F96" i="3"/>
  <c r="F104" i="3"/>
  <c r="F112" i="3"/>
  <c r="F122" i="3"/>
  <c r="F130" i="3"/>
  <c r="F138" i="3"/>
  <c r="F143" i="3"/>
  <c r="F158" i="3"/>
  <c r="F160" i="3"/>
  <c r="F168" i="3"/>
  <c r="F184" i="3"/>
  <c r="F200" i="3"/>
  <c r="F205" i="3"/>
  <c r="F221" i="3"/>
  <c r="F237" i="3"/>
  <c r="F256" i="3"/>
  <c r="F285" i="3"/>
  <c r="F345" i="3" l="1"/>
  <c r="G80" i="3" s="1"/>
  <c r="H80" i="3" s="1"/>
  <c r="G143" i="3"/>
  <c r="H143" i="3" s="1"/>
  <c r="G54" i="3"/>
  <c r="H54" i="3" s="1"/>
  <c r="G97" i="3"/>
  <c r="H97" i="3" s="1"/>
  <c r="G41" i="3"/>
  <c r="H41" i="3" s="1"/>
  <c r="G131" i="3"/>
  <c r="H131" i="3" s="1"/>
  <c r="G209" i="3"/>
  <c r="H209" i="3" s="1"/>
  <c r="G216" i="3"/>
  <c r="H216" i="3" s="1"/>
  <c r="G264" i="3"/>
  <c r="H264" i="3" s="1"/>
  <c r="G242" i="3"/>
  <c r="H242" i="3" s="1"/>
  <c r="G145" i="3"/>
  <c r="H145" i="3" s="1"/>
  <c r="G178" i="3"/>
  <c r="H178" i="3" s="1"/>
  <c r="G227" i="3"/>
  <c r="H227" i="3" s="1"/>
  <c r="G318" i="3"/>
  <c r="H318" i="3" s="1"/>
  <c r="G289" i="3"/>
  <c r="H289" i="3" s="1"/>
  <c r="G263" i="3"/>
  <c r="H263" i="3" s="1"/>
  <c r="G314" i="3"/>
  <c r="H314" i="3" s="1"/>
  <c r="G310" i="3"/>
  <c r="H310" i="3" s="1"/>
  <c r="G340" i="3"/>
  <c r="H340" i="3" s="1"/>
  <c r="G337" i="3"/>
  <c r="H337" i="3" s="1"/>
  <c r="F345" i="2"/>
  <c r="G111" i="2" s="1"/>
  <c r="H111" i="2" s="1"/>
  <c r="G70" i="2"/>
  <c r="H70" i="2" s="1"/>
  <c r="G18" i="2"/>
  <c r="H18" i="2" s="1"/>
  <c r="G24" i="2"/>
  <c r="H24" i="2" s="1"/>
  <c r="G99" i="2"/>
  <c r="H99" i="2" s="1"/>
  <c r="G307" i="2"/>
  <c r="H307" i="2" s="1"/>
  <c r="G118" i="2"/>
  <c r="H118" i="2" s="1"/>
  <c r="G231" i="2"/>
  <c r="H231" i="2" s="1"/>
  <c r="G258" i="2"/>
  <c r="H258" i="2" s="1"/>
  <c r="G221" i="3"/>
  <c r="H221" i="3" s="1"/>
  <c r="G104" i="3"/>
  <c r="H104" i="3" s="1"/>
  <c r="G79" i="3"/>
  <c r="H79" i="3" s="1"/>
  <c r="G50" i="3"/>
  <c r="H50" i="3" s="1"/>
  <c r="G308" i="3"/>
  <c r="H308" i="3" s="1"/>
  <c r="G125" i="3"/>
  <c r="H125" i="3" s="1"/>
  <c r="G69" i="3"/>
  <c r="H69" i="3" s="1"/>
  <c r="G20" i="3"/>
  <c r="H20" i="3" s="1"/>
  <c r="G6" i="3"/>
  <c r="H6" i="3" s="1"/>
  <c r="G119" i="3"/>
  <c r="H119" i="3" s="1"/>
  <c r="G135" i="3"/>
  <c r="H135" i="3" s="1"/>
  <c r="G217" i="3"/>
  <c r="H217" i="3" s="1"/>
  <c r="G87" i="3"/>
  <c r="H87" i="3" s="1"/>
  <c r="G136" i="3"/>
  <c r="H136" i="3" s="1"/>
  <c r="G224" i="3"/>
  <c r="H224" i="3" s="1"/>
  <c r="G185" i="3"/>
  <c r="H185" i="3" s="1"/>
  <c r="G214" i="3"/>
  <c r="H214" i="3" s="1"/>
  <c r="G256" i="3"/>
  <c r="H256" i="3" s="1"/>
  <c r="G200" i="3"/>
  <c r="H200" i="3" s="1"/>
  <c r="G158" i="3"/>
  <c r="H158" i="3" s="1"/>
  <c r="G122" i="3"/>
  <c r="H122" i="3" s="1"/>
  <c r="G88" i="3"/>
  <c r="H88" i="3" s="1"/>
  <c r="G74" i="3"/>
  <c r="H74" i="3" s="1"/>
  <c r="G58" i="3"/>
  <c r="H58" i="3" s="1"/>
  <c r="G42" i="3"/>
  <c r="H42" i="3" s="1"/>
  <c r="G25" i="3"/>
  <c r="H25" i="3" s="1"/>
  <c r="G338" i="3"/>
  <c r="H338" i="3" s="1"/>
  <c r="G251" i="3"/>
  <c r="H251" i="3" s="1"/>
  <c r="G187" i="3"/>
  <c r="H187" i="3" s="1"/>
  <c r="G141" i="3"/>
  <c r="H141" i="3" s="1"/>
  <c r="G105" i="3"/>
  <c r="H105" i="3" s="1"/>
  <c r="G77" i="3"/>
  <c r="H77" i="3" s="1"/>
  <c r="G61" i="3"/>
  <c r="H61" i="3" s="1"/>
  <c r="G45" i="3"/>
  <c r="H45" i="3" s="1"/>
  <c r="G28" i="3"/>
  <c r="H28" i="3" s="1"/>
  <c r="G8" i="3"/>
  <c r="H8" i="3" s="1"/>
  <c r="G82" i="3"/>
  <c r="H82" i="3" s="1"/>
  <c r="G98" i="3"/>
  <c r="H98" i="3" s="1"/>
  <c r="G114" i="3"/>
  <c r="H114" i="3" s="1"/>
  <c r="G127" i="3"/>
  <c r="H127" i="3" s="1"/>
  <c r="G154" i="3"/>
  <c r="H154" i="3" s="1"/>
  <c r="G167" i="3"/>
  <c r="H167" i="3" s="1"/>
  <c r="G199" i="3"/>
  <c r="H199" i="3" s="1"/>
  <c r="G233" i="3"/>
  <c r="H233" i="3" s="1"/>
  <c r="G292" i="3"/>
  <c r="H292" i="3" s="1"/>
  <c r="G95" i="3"/>
  <c r="H95" i="3" s="1"/>
  <c r="G111" i="3"/>
  <c r="H111" i="3" s="1"/>
  <c r="G128" i="3"/>
  <c r="H128" i="3" s="1"/>
  <c r="G150" i="3"/>
  <c r="H150" i="3" s="1"/>
  <c r="G172" i="3"/>
  <c r="H172" i="3" s="1"/>
  <c r="G208" i="3"/>
  <c r="H208" i="3" s="1"/>
  <c r="G240" i="3"/>
  <c r="H240" i="3" s="1"/>
  <c r="G335" i="3"/>
  <c r="H335" i="3" s="1"/>
  <c r="G177" i="3"/>
  <c r="H177" i="3" s="1"/>
  <c r="G193" i="3"/>
  <c r="H193" i="3" s="1"/>
  <c r="G206" i="3"/>
  <c r="H206" i="3" s="1"/>
  <c r="G222" i="3"/>
  <c r="H222" i="3" s="1"/>
  <c r="G238" i="3"/>
  <c r="H238" i="3" s="1"/>
  <c r="G268" i="3"/>
  <c r="H268" i="3" s="1"/>
  <c r="G321" i="3"/>
  <c r="H321" i="3" s="1"/>
  <c r="G157" i="3"/>
  <c r="H157" i="3" s="1"/>
  <c r="G174" i="3"/>
  <c r="H174" i="3" s="1"/>
  <c r="G190" i="3"/>
  <c r="H190" i="3" s="1"/>
  <c r="G207" i="3"/>
  <c r="H207" i="3" s="1"/>
  <c r="G223" i="3"/>
  <c r="H223" i="3" s="1"/>
  <c r="G239" i="3"/>
  <c r="H239" i="3" s="1"/>
  <c r="G257" i="3"/>
  <c r="H257" i="3" s="1"/>
  <c r="G300" i="3"/>
  <c r="H300" i="3" s="1"/>
  <c r="G249" i="3"/>
  <c r="H249" i="3" s="1"/>
  <c r="G266" i="3"/>
  <c r="H266" i="3" s="1"/>
  <c r="G281" i="3"/>
  <c r="H281" i="3" s="1"/>
  <c r="G317" i="3"/>
  <c r="H317" i="3" s="1"/>
  <c r="G246" i="3"/>
  <c r="H246" i="3" s="1"/>
  <c r="G259" i="3"/>
  <c r="H259" i="3" s="1"/>
  <c r="G275" i="3"/>
  <c r="H275" i="3" s="1"/>
  <c r="G304" i="3"/>
  <c r="H304" i="3" s="1"/>
  <c r="G331" i="3"/>
  <c r="H331" i="3" s="1"/>
  <c r="G290" i="3"/>
  <c r="H290" i="3" s="1"/>
  <c r="G306" i="3"/>
  <c r="H306" i="3" s="1"/>
  <c r="G319" i="3"/>
  <c r="H319" i="3" s="1"/>
  <c r="G336" i="3"/>
  <c r="H336" i="3" s="1"/>
  <c r="G283" i="3"/>
  <c r="H283" i="3" s="1"/>
  <c r="G299" i="3"/>
  <c r="H299" i="3" s="1"/>
  <c r="G316" i="3"/>
  <c r="H316" i="3" s="1"/>
  <c r="G333" i="3"/>
  <c r="H333" i="3" s="1"/>
  <c r="G5" i="2"/>
  <c r="H5" i="2" s="1"/>
  <c r="G6" i="2"/>
  <c r="H6" i="2" s="1"/>
  <c r="G65" i="2"/>
  <c r="H65" i="2" s="1"/>
  <c r="G124" i="2"/>
  <c r="H124" i="2" s="1"/>
  <c r="G295" i="2"/>
  <c r="H295" i="2" s="1"/>
  <c r="G17" i="2"/>
  <c r="H17" i="2" s="1"/>
  <c r="G34" i="2"/>
  <c r="H34" i="2" s="1"/>
  <c r="G50" i="2"/>
  <c r="H50" i="2" s="1"/>
  <c r="G66" i="2"/>
  <c r="H66" i="2" s="1"/>
  <c r="G82" i="2"/>
  <c r="H82" i="2" s="1"/>
  <c r="G92" i="2"/>
  <c r="H92" i="2" s="1"/>
  <c r="G109" i="2"/>
  <c r="H109" i="2" s="1"/>
  <c r="G128" i="2"/>
  <c r="H128" i="2" s="1"/>
  <c r="G162" i="2"/>
  <c r="H162" i="2" s="1"/>
  <c r="G189" i="2"/>
  <c r="H189" i="2" s="1"/>
  <c r="G283" i="2"/>
  <c r="H283" i="2" s="1"/>
  <c r="G57" i="2"/>
  <c r="H57" i="2" s="1"/>
  <c r="G129" i="2"/>
  <c r="H129" i="2" s="1"/>
  <c r="G14" i="2"/>
  <c r="H14" i="2" s="1"/>
  <c r="G30" i="2"/>
  <c r="H30" i="2" s="1"/>
  <c r="G47" i="2"/>
  <c r="H47" i="2" s="1"/>
  <c r="G63" i="2"/>
  <c r="H63" i="2" s="1"/>
  <c r="G79" i="2"/>
  <c r="H79" i="2" s="1"/>
  <c r="G104" i="2"/>
  <c r="H104" i="2" s="1"/>
  <c r="G144" i="2"/>
  <c r="H144" i="2" s="1"/>
  <c r="G167" i="2"/>
  <c r="H167" i="2" s="1"/>
  <c r="G187" i="2"/>
  <c r="H187" i="2" s="1"/>
  <c r="G259" i="2"/>
  <c r="H259" i="2" s="1"/>
  <c r="G20" i="2"/>
  <c r="H20" i="2" s="1"/>
  <c r="G37" i="2"/>
  <c r="H37" i="2" s="1"/>
  <c r="G53" i="2"/>
  <c r="H53" i="2" s="1"/>
  <c r="G85" i="2"/>
  <c r="H85" i="2" s="1"/>
  <c r="G132" i="2"/>
  <c r="H132" i="2" s="1"/>
  <c r="G201" i="2"/>
  <c r="H201" i="2" s="1"/>
  <c r="G4" i="2"/>
  <c r="H4" i="2" s="1"/>
  <c r="G27" i="2"/>
  <c r="H27" i="2" s="1"/>
  <c r="G40" i="2"/>
  <c r="H40" i="2" s="1"/>
  <c r="G56" i="2"/>
  <c r="H56" i="2" s="1"/>
  <c r="G72" i="2"/>
  <c r="H72" i="2" s="1"/>
  <c r="G88" i="2"/>
  <c r="H88" i="2" s="1"/>
  <c r="G115" i="2"/>
  <c r="H115" i="2" s="1"/>
  <c r="G133" i="2"/>
  <c r="H133" i="2" s="1"/>
  <c r="G160" i="2"/>
  <c r="H160" i="2" s="1"/>
  <c r="G229" i="2"/>
  <c r="H229" i="2" s="1"/>
  <c r="G181" i="2"/>
  <c r="H181" i="2" s="1"/>
  <c r="G198" i="2"/>
  <c r="H198" i="2" s="1"/>
  <c r="G208" i="2"/>
  <c r="H208" i="2" s="1"/>
  <c r="G228" i="2"/>
  <c r="H228" i="2" s="1"/>
  <c r="G254" i="2"/>
  <c r="H254" i="2" s="1"/>
  <c r="G296" i="2"/>
  <c r="H296" i="2" s="1"/>
  <c r="G334" i="2"/>
  <c r="H334" i="2" s="1"/>
  <c r="G152" i="2"/>
  <c r="H152" i="2" s="1"/>
  <c r="G178" i="2"/>
  <c r="H178" i="2" s="1"/>
  <c r="G195" i="2"/>
  <c r="H195" i="2" s="1"/>
  <c r="G218" i="2"/>
  <c r="H218" i="2" s="1"/>
  <c r="G246" i="2"/>
  <c r="H246" i="2" s="1"/>
  <c r="G288" i="2"/>
  <c r="H288" i="2" s="1"/>
  <c r="G321" i="2"/>
  <c r="H321" i="2" s="1"/>
  <c r="G98" i="2"/>
  <c r="H98" i="2" s="1"/>
  <c r="G114" i="2"/>
  <c r="H114" i="2" s="1"/>
  <c r="G127" i="2"/>
  <c r="H127" i="2" s="1"/>
  <c r="G143" i="2"/>
  <c r="H143" i="2" s="1"/>
  <c r="G159" i="2"/>
  <c r="H159" i="2" s="1"/>
  <c r="G176" i="2"/>
  <c r="H176" i="2" s="1"/>
  <c r="G192" i="2"/>
  <c r="H192" i="2" s="1"/>
  <c r="G209" i="2"/>
  <c r="H209" i="2" s="1"/>
  <c r="G225" i="2"/>
  <c r="H225" i="2" s="1"/>
  <c r="G251" i="2"/>
  <c r="H251" i="2" s="1"/>
  <c r="G284" i="2"/>
  <c r="H284" i="2" s="1"/>
  <c r="G312" i="2"/>
  <c r="H312" i="2" s="1"/>
  <c r="G227" i="2"/>
  <c r="H227" i="2" s="1"/>
  <c r="G243" i="2"/>
  <c r="H243" i="2" s="1"/>
  <c r="G257" i="2"/>
  <c r="H257" i="2" s="1"/>
  <c r="G273" i="2"/>
  <c r="H273" i="2" s="1"/>
  <c r="G289" i="2"/>
  <c r="H289" i="2" s="1"/>
  <c r="G305" i="2"/>
  <c r="H305" i="2" s="1"/>
  <c r="G322" i="2"/>
  <c r="H322" i="2" s="1"/>
  <c r="G335" i="2"/>
  <c r="H335" i="2" s="1"/>
  <c r="G236" i="2"/>
  <c r="H236" i="2" s="1"/>
  <c r="G253" i="2"/>
  <c r="H253" i="2" s="1"/>
  <c r="G270" i="2"/>
  <c r="H270" i="2" s="1"/>
  <c r="G286" i="2"/>
  <c r="H286" i="2" s="1"/>
  <c r="G302" i="2"/>
  <c r="H302" i="2" s="1"/>
  <c r="G315" i="2"/>
  <c r="H315" i="2" s="1"/>
  <c r="G332" i="2"/>
  <c r="H332" i="2" s="1"/>
  <c r="I111" i="2" l="1"/>
  <c r="N111" i="2"/>
  <c r="N251" i="2"/>
  <c r="I251" i="2"/>
  <c r="I152" i="2"/>
  <c r="N152" i="2"/>
  <c r="N27" i="2"/>
  <c r="I27" i="2"/>
  <c r="N302" i="2"/>
  <c r="I302" i="2"/>
  <c r="N236" i="2"/>
  <c r="I236" i="2"/>
  <c r="N289" i="2"/>
  <c r="I289" i="2"/>
  <c r="N227" i="2"/>
  <c r="I227" i="2"/>
  <c r="I225" i="2"/>
  <c r="N225" i="2"/>
  <c r="N159" i="2"/>
  <c r="I159" i="2"/>
  <c r="N98" i="2"/>
  <c r="I98" i="2"/>
  <c r="I218" i="2"/>
  <c r="N218" i="2"/>
  <c r="N334" i="2"/>
  <c r="I334" i="2"/>
  <c r="I208" i="2"/>
  <c r="N208" i="2"/>
  <c r="I160" i="2"/>
  <c r="N160" i="2"/>
  <c r="N72" i="2"/>
  <c r="I72" i="2"/>
  <c r="N4" i="2"/>
  <c r="I4" i="2"/>
  <c r="I53" i="2"/>
  <c r="N53" i="2"/>
  <c r="I187" i="2"/>
  <c r="N187" i="2"/>
  <c r="N79" i="2"/>
  <c r="I79" i="2"/>
  <c r="N14" i="2"/>
  <c r="I14" i="2"/>
  <c r="I189" i="2"/>
  <c r="N189" i="2"/>
  <c r="I92" i="2"/>
  <c r="N92" i="2"/>
  <c r="N34" i="2"/>
  <c r="I34" i="2"/>
  <c r="I65" i="2"/>
  <c r="N65" i="2"/>
  <c r="N316" i="3"/>
  <c r="I316" i="3"/>
  <c r="N319" i="3"/>
  <c r="I319" i="3"/>
  <c r="I304" i="3"/>
  <c r="N304" i="3"/>
  <c r="I317" i="3"/>
  <c r="N317" i="3"/>
  <c r="I300" i="3"/>
  <c r="N300" i="3"/>
  <c r="N207" i="3"/>
  <c r="I207" i="3"/>
  <c r="I321" i="3"/>
  <c r="N321" i="3"/>
  <c r="N206" i="3"/>
  <c r="I206" i="3"/>
  <c r="I240" i="3"/>
  <c r="N240" i="3"/>
  <c r="N128" i="3"/>
  <c r="I128" i="3"/>
  <c r="I233" i="3"/>
  <c r="N233" i="3"/>
  <c r="N127" i="3"/>
  <c r="I127" i="3"/>
  <c r="N8" i="3"/>
  <c r="I8" i="3"/>
  <c r="N61" i="3"/>
  <c r="I61" i="3"/>
  <c r="I187" i="3"/>
  <c r="N187" i="3"/>
  <c r="N42" i="3"/>
  <c r="I42" i="3"/>
  <c r="N122" i="3"/>
  <c r="I122" i="3"/>
  <c r="N214" i="3"/>
  <c r="I214" i="3"/>
  <c r="N87" i="3"/>
  <c r="I87" i="3"/>
  <c r="N6" i="3"/>
  <c r="I6" i="3"/>
  <c r="I308" i="3"/>
  <c r="N308" i="3"/>
  <c r="N221" i="3"/>
  <c r="I221" i="3"/>
  <c r="G339" i="2"/>
  <c r="H339" i="2" s="1"/>
  <c r="G260" i="2"/>
  <c r="H260" i="2" s="1"/>
  <c r="G337" i="2"/>
  <c r="H337" i="2" s="1"/>
  <c r="G222" i="2"/>
  <c r="H222" i="2" s="1"/>
  <c r="G44" i="2"/>
  <c r="H44" i="2" s="1"/>
  <c r="G210" i="2"/>
  <c r="H210" i="2" s="1"/>
  <c r="G287" i="2"/>
  <c r="H287" i="2" s="1"/>
  <c r="G21" i="2"/>
  <c r="H21" i="2" s="1"/>
  <c r="N337" i="3"/>
  <c r="I337" i="3"/>
  <c r="N263" i="3"/>
  <c r="I263" i="3"/>
  <c r="N178" i="3"/>
  <c r="I178" i="3"/>
  <c r="I216" i="3"/>
  <c r="N216" i="3"/>
  <c r="I97" i="3"/>
  <c r="N97" i="3"/>
  <c r="G298" i="2"/>
  <c r="H298" i="2" s="1"/>
  <c r="G285" i="2"/>
  <c r="H285" i="2" s="1"/>
  <c r="G221" i="2"/>
  <c r="H221" i="2" s="1"/>
  <c r="G94" i="2"/>
  <c r="H94" i="2" s="1"/>
  <c r="G329" i="2"/>
  <c r="H329" i="2" s="1"/>
  <c r="G157" i="2"/>
  <c r="H157" i="2" s="1"/>
  <c r="G247" i="2"/>
  <c r="H247" i="2" s="1"/>
  <c r="G108" i="2"/>
  <c r="H108" i="2" s="1"/>
  <c r="N315" i="2"/>
  <c r="I315" i="2"/>
  <c r="N243" i="2"/>
  <c r="I243" i="2"/>
  <c r="N114" i="2"/>
  <c r="I114" i="2"/>
  <c r="N273" i="2"/>
  <c r="I273" i="2"/>
  <c r="N209" i="2"/>
  <c r="I209" i="2"/>
  <c r="N143" i="2"/>
  <c r="I143" i="2"/>
  <c r="I321" i="2"/>
  <c r="N321" i="2"/>
  <c r="N195" i="2"/>
  <c r="I195" i="2"/>
  <c r="N296" i="2"/>
  <c r="I296" i="2"/>
  <c r="I198" i="2"/>
  <c r="N198" i="2"/>
  <c r="N133" i="2"/>
  <c r="I133" i="2"/>
  <c r="N56" i="2"/>
  <c r="I56" i="2"/>
  <c r="N201" i="2"/>
  <c r="I201" i="2"/>
  <c r="I37" i="2"/>
  <c r="N37" i="2"/>
  <c r="I167" i="2"/>
  <c r="N167" i="2"/>
  <c r="N63" i="2"/>
  <c r="I63" i="2"/>
  <c r="I129" i="2"/>
  <c r="N129" i="2"/>
  <c r="I162" i="2"/>
  <c r="N162" i="2"/>
  <c r="I82" i="2"/>
  <c r="N82" i="2"/>
  <c r="I17" i="2"/>
  <c r="N17" i="2"/>
  <c r="I6" i="2"/>
  <c r="N6" i="2"/>
  <c r="N299" i="3"/>
  <c r="I299" i="3"/>
  <c r="N306" i="3"/>
  <c r="I306" i="3"/>
  <c r="N275" i="3"/>
  <c r="I275" i="3"/>
  <c r="I281" i="3"/>
  <c r="N281" i="3"/>
  <c r="I257" i="3"/>
  <c r="N257" i="3"/>
  <c r="N190" i="3"/>
  <c r="I190" i="3"/>
  <c r="I268" i="3"/>
  <c r="N268" i="3"/>
  <c r="N193" i="3"/>
  <c r="I193" i="3"/>
  <c r="I208" i="3"/>
  <c r="N208" i="3"/>
  <c r="N111" i="3"/>
  <c r="I111" i="3"/>
  <c r="I199" i="3"/>
  <c r="N199" i="3"/>
  <c r="N114" i="3"/>
  <c r="I114" i="3"/>
  <c r="N12" i="3"/>
  <c r="N77" i="3"/>
  <c r="I77" i="3"/>
  <c r="I251" i="3"/>
  <c r="N251" i="3"/>
  <c r="N58" i="3"/>
  <c r="I58" i="3"/>
  <c r="I158" i="3"/>
  <c r="N158" i="3"/>
  <c r="N185" i="3"/>
  <c r="I185" i="3"/>
  <c r="I217" i="3"/>
  <c r="N217" i="3"/>
  <c r="N20" i="3"/>
  <c r="I20" i="3"/>
  <c r="N50" i="3"/>
  <c r="I50" i="3"/>
  <c r="G319" i="2"/>
  <c r="H319" i="2" s="1"/>
  <c r="G309" i="2"/>
  <c r="H309" i="2" s="1"/>
  <c r="G213" i="2"/>
  <c r="H213" i="2" s="1"/>
  <c r="G219" i="2"/>
  <c r="H219" i="2" s="1"/>
  <c r="G182" i="2"/>
  <c r="H182" i="2" s="1"/>
  <c r="G15" i="2"/>
  <c r="H15" i="2" s="1"/>
  <c r="G105" i="2"/>
  <c r="H105" i="2" s="1"/>
  <c r="G165" i="2"/>
  <c r="H165" i="2" s="1"/>
  <c r="G126" i="2"/>
  <c r="H126" i="2" s="1"/>
  <c r="N340" i="3"/>
  <c r="I340" i="3"/>
  <c r="I289" i="3"/>
  <c r="N289" i="3"/>
  <c r="N145" i="3"/>
  <c r="I145" i="3"/>
  <c r="I209" i="3"/>
  <c r="N209" i="3"/>
  <c r="N54" i="3"/>
  <c r="I54" i="3"/>
  <c r="G249" i="2"/>
  <c r="H249" i="2" s="1"/>
  <c r="G239" i="2"/>
  <c r="H239" i="2" s="1"/>
  <c r="G172" i="2"/>
  <c r="H172" i="2" s="1"/>
  <c r="G237" i="2"/>
  <c r="H237" i="2" s="1"/>
  <c r="G224" i="2"/>
  <c r="H224" i="2" s="1"/>
  <c r="G84" i="2"/>
  <c r="H84" i="2" s="1"/>
  <c r="G103" i="2"/>
  <c r="H103" i="2" s="1"/>
  <c r="G46" i="2"/>
  <c r="H46" i="2" s="1"/>
  <c r="N305" i="2"/>
  <c r="I305" i="2"/>
  <c r="I246" i="2"/>
  <c r="N246" i="2"/>
  <c r="N286" i="2"/>
  <c r="I286" i="2"/>
  <c r="N335" i="2"/>
  <c r="I335" i="2"/>
  <c r="I312" i="2"/>
  <c r="N312" i="2"/>
  <c r="N332" i="2"/>
  <c r="I332" i="2"/>
  <c r="N270" i="2"/>
  <c r="I270" i="2"/>
  <c r="N322" i="2"/>
  <c r="I322" i="2"/>
  <c r="N257" i="2"/>
  <c r="I257" i="2"/>
  <c r="N284" i="2"/>
  <c r="I284" i="2"/>
  <c r="N192" i="2"/>
  <c r="I192" i="2"/>
  <c r="N127" i="2"/>
  <c r="I127" i="2"/>
  <c r="N288" i="2"/>
  <c r="I288" i="2"/>
  <c r="N178" i="2"/>
  <c r="I178" i="2"/>
  <c r="N254" i="2"/>
  <c r="I254" i="2"/>
  <c r="I181" i="2"/>
  <c r="N181" i="2"/>
  <c r="I115" i="2"/>
  <c r="N115" i="2"/>
  <c r="N40" i="2"/>
  <c r="I40" i="2"/>
  <c r="I132" i="2"/>
  <c r="N132" i="2"/>
  <c r="I20" i="2"/>
  <c r="N20" i="2"/>
  <c r="I144" i="2"/>
  <c r="N144" i="2"/>
  <c r="N47" i="2"/>
  <c r="I47" i="2"/>
  <c r="I57" i="2"/>
  <c r="N57" i="2"/>
  <c r="I128" i="2"/>
  <c r="N128" i="2"/>
  <c r="I66" i="2"/>
  <c r="N66" i="2"/>
  <c r="I295" i="2"/>
  <c r="N295" i="2"/>
  <c r="I5" i="2"/>
  <c r="N5" i="2"/>
  <c r="N283" i="3"/>
  <c r="I283" i="3"/>
  <c r="N290" i="3"/>
  <c r="I290" i="3"/>
  <c r="N259" i="3"/>
  <c r="I259" i="3"/>
  <c r="N266" i="3"/>
  <c r="I266" i="3"/>
  <c r="N239" i="3"/>
  <c r="I239" i="3"/>
  <c r="N174" i="3"/>
  <c r="I174" i="3"/>
  <c r="N238" i="3"/>
  <c r="I238" i="3"/>
  <c r="N177" i="3"/>
  <c r="I177" i="3"/>
  <c r="N172" i="3"/>
  <c r="I172" i="3"/>
  <c r="N95" i="3"/>
  <c r="I95" i="3"/>
  <c r="I167" i="3"/>
  <c r="N167" i="3"/>
  <c r="N98" i="3"/>
  <c r="I98" i="3"/>
  <c r="N28" i="3"/>
  <c r="I28" i="3"/>
  <c r="I105" i="3"/>
  <c r="N105" i="3"/>
  <c r="I338" i="3"/>
  <c r="N338" i="3"/>
  <c r="N74" i="3"/>
  <c r="I74" i="3"/>
  <c r="N200" i="3"/>
  <c r="I200" i="3"/>
  <c r="I224" i="3"/>
  <c r="N224" i="3"/>
  <c r="N135" i="3"/>
  <c r="I135" i="3"/>
  <c r="N69" i="3"/>
  <c r="I69" i="3"/>
  <c r="I79" i="3"/>
  <c r="N79" i="3"/>
  <c r="G290" i="2"/>
  <c r="H290" i="2" s="1"/>
  <c r="G261" i="2"/>
  <c r="H261" i="2" s="1"/>
  <c r="G163" i="2"/>
  <c r="H163" i="2" s="1"/>
  <c r="G153" i="2"/>
  <c r="H153" i="2" s="1"/>
  <c r="G140" i="2"/>
  <c r="H140" i="2" s="1"/>
  <c r="G89" i="2"/>
  <c r="H89" i="2" s="1"/>
  <c r="G67" i="2"/>
  <c r="H67" i="2" s="1"/>
  <c r="G93" i="2"/>
  <c r="H93" i="2" s="1"/>
  <c r="G2" i="2"/>
  <c r="H2" i="2" s="1"/>
  <c r="N310" i="3"/>
  <c r="I310" i="3"/>
  <c r="N318" i="3"/>
  <c r="I318" i="3"/>
  <c r="N242" i="3"/>
  <c r="I242" i="3"/>
  <c r="N131" i="3"/>
  <c r="I131" i="3"/>
  <c r="I143" i="3"/>
  <c r="N143" i="3"/>
  <c r="G232" i="2"/>
  <c r="H232" i="2" s="1"/>
  <c r="G338" i="2"/>
  <c r="H338" i="2" s="1"/>
  <c r="G155" i="2"/>
  <c r="H155" i="2" s="1"/>
  <c r="G204" i="2"/>
  <c r="H204" i="2" s="1"/>
  <c r="G207" i="2"/>
  <c r="H207" i="2" s="1"/>
  <c r="G23" i="2"/>
  <c r="H23" i="2" s="1"/>
  <c r="G26" i="2"/>
  <c r="H26" i="2" s="1"/>
  <c r="N253" i="2"/>
  <c r="I253" i="2"/>
  <c r="N176" i="2"/>
  <c r="I176" i="2"/>
  <c r="N228" i="2"/>
  <c r="I228" i="2"/>
  <c r="I229" i="2"/>
  <c r="N229" i="2"/>
  <c r="N88" i="2"/>
  <c r="I88" i="2"/>
  <c r="I85" i="2"/>
  <c r="N85" i="2"/>
  <c r="I259" i="2"/>
  <c r="N259" i="2"/>
  <c r="I104" i="2"/>
  <c r="N104" i="2"/>
  <c r="N30" i="2"/>
  <c r="I30" i="2"/>
  <c r="I283" i="2"/>
  <c r="N283" i="2"/>
  <c r="I109" i="2"/>
  <c r="N109" i="2"/>
  <c r="I50" i="2"/>
  <c r="N50" i="2"/>
  <c r="I124" i="2"/>
  <c r="N124" i="2"/>
  <c r="N333" i="3"/>
  <c r="I333" i="3"/>
  <c r="N336" i="3"/>
  <c r="I336" i="3"/>
  <c r="N331" i="3"/>
  <c r="I331" i="3"/>
  <c r="N246" i="3"/>
  <c r="I246" i="3"/>
  <c r="N249" i="3"/>
  <c r="I249" i="3"/>
  <c r="N223" i="3"/>
  <c r="I223" i="3"/>
  <c r="N157" i="3"/>
  <c r="I157" i="3"/>
  <c r="N222" i="3"/>
  <c r="I222" i="3"/>
  <c r="N335" i="3"/>
  <c r="I335" i="3"/>
  <c r="I150" i="3"/>
  <c r="N150" i="3"/>
  <c r="I292" i="3"/>
  <c r="N292" i="3"/>
  <c r="I154" i="3"/>
  <c r="N154" i="3"/>
  <c r="N82" i="3"/>
  <c r="I82" i="3"/>
  <c r="N45" i="3"/>
  <c r="I45" i="3"/>
  <c r="I141" i="3"/>
  <c r="N141" i="3"/>
  <c r="N25" i="3"/>
  <c r="I25" i="3"/>
  <c r="I88" i="3"/>
  <c r="N88" i="3"/>
  <c r="I256" i="3"/>
  <c r="N256" i="3"/>
  <c r="N136" i="3"/>
  <c r="I136" i="3"/>
  <c r="N119" i="3"/>
  <c r="I119" i="3"/>
  <c r="I125" i="3"/>
  <c r="N125" i="3"/>
  <c r="I104" i="3"/>
  <c r="N104" i="3"/>
  <c r="N258" i="2"/>
  <c r="I258" i="2"/>
  <c r="N231" i="2"/>
  <c r="I231" i="2"/>
  <c r="N118" i="2"/>
  <c r="I118" i="2"/>
  <c r="I307" i="2"/>
  <c r="N307" i="2"/>
  <c r="I99" i="2"/>
  <c r="N99" i="2"/>
  <c r="I24" i="2"/>
  <c r="N24" i="2"/>
  <c r="N18" i="2"/>
  <c r="I18" i="2"/>
  <c r="I70" i="2"/>
  <c r="N70" i="2"/>
  <c r="G8" i="2"/>
  <c r="H8" i="2" s="1"/>
  <c r="G16" i="2"/>
  <c r="H16" i="2" s="1"/>
  <c r="G77" i="2"/>
  <c r="H77" i="2" s="1"/>
  <c r="G51" i="2"/>
  <c r="H51" i="2" s="1"/>
  <c r="G76" i="2"/>
  <c r="H76" i="2" s="1"/>
  <c r="G299" i="2"/>
  <c r="H299" i="2" s="1"/>
  <c r="G293" i="2"/>
  <c r="H293" i="2" s="1"/>
  <c r="G96" i="2"/>
  <c r="H96" i="2" s="1"/>
  <c r="G42" i="2"/>
  <c r="H42" i="2" s="1"/>
  <c r="G107" i="2"/>
  <c r="H107" i="2" s="1"/>
  <c r="G214" i="2"/>
  <c r="H214" i="2" s="1"/>
  <c r="G22" i="2"/>
  <c r="H22" i="2" s="1"/>
  <c r="G87" i="2"/>
  <c r="H87" i="2" s="1"/>
  <c r="G212" i="2"/>
  <c r="H212" i="2" s="1"/>
  <c r="G73" i="2"/>
  <c r="H73" i="2" s="1"/>
  <c r="G19" i="2"/>
  <c r="H19" i="2" s="1"/>
  <c r="G80" i="2"/>
  <c r="H80" i="2" s="1"/>
  <c r="G190" i="2"/>
  <c r="H190" i="2" s="1"/>
  <c r="G223" i="2"/>
  <c r="H223" i="2" s="1"/>
  <c r="G137" i="2"/>
  <c r="H137" i="2" s="1"/>
  <c r="G220" i="2"/>
  <c r="H220" i="2" s="1"/>
  <c r="G106" i="2"/>
  <c r="H106" i="2" s="1"/>
  <c r="G168" i="2"/>
  <c r="H168" i="2" s="1"/>
  <c r="G233" i="2"/>
  <c r="H233" i="2" s="1"/>
  <c r="G235" i="2"/>
  <c r="H235" i="2" s="1"/>
  <c r="G297" i="2"/>
  <c r="H297" i="2" s="1"/>
  <c r="G245" i="2"/>
  <c r="H245" i="2" s="1"/>
  <c r="G310" i="2"/>
  <c r="H310" i="2" s="1"/>
  <c r="G38" i="2"/>
  <c r="H38" i="2" s="1"/>
  <c r="G146" i="2"/>
  <c r="H146" i="2" s="1"/>
  <c r="G263" i="2"/>
  <c r="H263" i="2" s="1"/>
  <c r="G60" i="2"/>
  <c r="H60" i="2" s="1"/>
  <c r="G264" i="2"/>
  <c r="H264" i="2" s="1"/>
  <c r="G102" i="2"/>
  <c r="H102" i="2" s="1"/>
  <c r="G292" i="2"/>
  <c r="H292" i="2" s="1"/>
  <c r="G240" i="2"/>
  <c r="H240" i="2" s="1"/>
  <c r="G54" i="2"/>
  <c r="H54" i="2" s="1"/>
  <c r="G170" i="2"/>
  <c r="H170" i="2" s="1"/>
  <c r="G255" i="2"/>
  <c r="H255" i="2" s="1"/>
  <c r="G131" i="2"/>
  <c r="H131" i="2" s="1"/>
  <c r="G306" i="2"/>
  <c r="H306" i="2" s="1"/>
  <c r="G166" i="2"/>
  <c r="H166" i="2" s="1"/>
  <c r="G58" i="2"/>
  <c r="H58" i="2" s="1"/>
  <c r="G121" i="2"/>
  <c r="H121" i="2" s="1"/>
  <c r="G304" i="2"/>
  <c r="H304" i="2" s="1"/>
  <c r="G39" i="2"/>
  <c r="H39" i="2" s="1"/>
  <c r="G134" i="2"/>
  <c r="H134" i="2" s="1"/>
  <c r="G280" i="2"/>
  <c r="H280" i="2" s="1"/>
  <c r="G97" i="2"/>
  <c r="H97" i="2" s="1"/>
  <c r="G32" i="2"/>
  <c r="H32" i="2" s="1"/>
  <c r="G100" i="2"/>
  <c r="H100" i="2" s="1"/>
  <c r="G272" i="2"/>
  <c r="H272" i="2" s="1"/>
  <c r="G234" i="2"/>
  <c r="H234" i="2" s="1"/>
  <c r="G154" i="2"/>
  <c r="H154" i="2" s="1"/>
  <c r="G267" i="2"/>
  <c r="H267" i="2" s="1"/>
  <c r="G119" i="2"/>
  <c r="H119" i="2" s="1"/>
  <c r="G184" i="2"/>
  <c r="H184" i="2" s="1"/>
  <c r="G268" i="2"/>
  <c r="H268" i="2" s="1"/>
  <c r="G248" i="2"/>
  <c r="H248" i="2" s="1"/>
  <c r="G314" i="2"/>
  <c r="H314" i="2" s="1"/>
  <c r="G262" i="2"/>
  <c r="H262" i="2" s="1"/>
  <c r="G323" i="2"/>
  <c r="H323" i="2" s="1"/>
  <c r="G86" i="2"/>
  <c r="H86" i="2" s="1"/>
  <c r="G35" i="2"/>
  <c r="H35" i="2" s="1"/>
  <c r="G41" i="2"/>
  <c r="H41" i="2" s="1"/>
  <c r="G116" i="2"/>
  <c r="H116" i="2" s="1"/>
  <c r="G136" i="2"/>
  <c r="H136" i="2" s="1"/>
  <c r="G147" i="2"/>
  <c r="H147" i="2" s="1"/>
  <c r="G244" i="2"/>
  <c r="H244" i="2" s="1"/>
  <c r="G274" i="2"/>
  <c r="H274" i="2" s="1"/>
  <c r="G9" i="2"/>
  <c r="H9" i="2" s="1"/>
  <c r="G242" i="2"/>
  <c r="H242" i="2" s="1"/>
  <c r="G62" i="2"/>
  <c r="H62" i="2" s="1"/>
  <c r="G122" i="2"/>
  <c r="H122" i="2" s="1"/>
  <c r="G324" i="2"/>
  <c r="H324" i="2" s="1"/>
  <c r="G43" i="2"/>
  <c r="H43" i="2" s="1"/>
  <c r="G141" i="2"/>
  <c r="H141" i="2" s="1"/>
  <c r="G316" i="2"/>
  <c r="H316" i="2" s="1"/>
  <c r="G113" i="2"/>
  <c r="H113" i="2" s="1"/>
  <c r="G36" i="2"/>
  <c r="H36" i="2" s="1"/>
  <c r="G101" i="2"/>
  <c r="H101" i="2" s="1"/>
  <c r="G313" i="2"/>
  <c r="H313" i="2" s="1"/>
  <c r="G250" i="2"/>
  <c r="H250" i="2" s="1"/>
  <c r="G177" i="2"/>
  <c r="H177" i="2" s="1"/>
  <c r="G271" i="2"/>
  <c r="H271" i="2" s="1"/>
  <c r="G123" i="2"/>
  <c r="H123" i="2" s="1"/>
  <c r="G188" i="2"/>
  <c r="H188" i="2" s="1"/>
  <c r="G276" i="2"/>
  <c r="H276" i="2" s="1"/>
  <c r="G252" i="2"/>
  <c r="H252" i="2" s="1"/>
  <c r="G318" i="2"/>
  <c r="H318" i="2" s="1"/>
  <c r="G266" i="2"/>
  <c r="H266" i="2" s="1"/>
  <c r="G327" i="2"/>
  <c r="H327" i="2" s="1"/>
  <c r="G142" i="2"/>
  <c r="H142" i="2" s="1"/>
  <c r="G69" i="2"/>
  <c r="H69" i="2" s="1"/>
  <c r="G230" i="2"/>
  <c r="H230" i="2" s="1"/>
  <c r="G196" i="2"/>
  <c r="H196" i="2" s="1"/>
  <c r="G12" i="2"/>
  <c r="H12" i="2" s="1"/>
  <c r="G342" i="2"/>
  <c r="H342" i="2" s="1"/>
  <c r="G74" i="2"/>
  <c r="H74" i="2" s="1"/>
  <c r="G145" i="2"/>
  <c r="H145" i="2" s="1"/>
  <c r="G112" i="2"/>
  <c r="H112" i="2" s="1"/>
  <c r="G55" i="2"/>
  <c r="H55" i="2" s="1"/>
  <c r="G161" i="2"/>
  <c r="H161" i="2" s="1"/>
  <c r="G28" i="2"/>
  <c r="H28" i="2" s="1"/>
  <c r="G156" i="2"/>
  <c r="H156" i="2" s="1"/>
  <c r="G48" i="2"/>
  <c r="H48" i="2" s="1"/>
  <c r="G117" i="2"/>
  <c r="H117" i="2" s="1"/>
  <c r="G183" i="2"/>
  <c r="H183" i="2" s="1"/>
  <c r="G275" i="2"/>
  <c r="H275" i="2" s="1"/>
  <c r="G193" i="2"/>
  <c r="H193" i="2" s="1"/>
  <c r="G303" i="2"/>
  <c r="H303" i="2" s="1"/>
  <c r="G135" i="2"/>
  <c r="H135" i="2" s="1"/>
  <c r="G200" i="2"/>
  <c r="H200" i="2" s="1"/>
  <c r="G300" i="2"/>
  <c r="H300" i="2" s="1"/>
  <c r="G265" i="2"/>
  <c r="H265" i="2" s="1"/>
  <c r="G330" i="2"/>
  <c r="H330" i="2" s="1"/>
  <c r="G278" i="2"/>
  <c r="H278" i="2" s="1"/>
  <c r="G340" i="2"/>
  <c r="H340" i="2" s="1"/>
  <c r="G11" i="2"/>
  <c r="H11" i="2" s="1"/>
  <c r="G120" i="2"/>
  <c r="H120" i="2" s="1"/>
  <c r="G83" i="2"/>
  <c r="H83" i="2" s="1"/>
  <c r="G149" i="2"/>
  <c r="H149" i="2" s="1"/>
  <c r="G169" i="2"/>
  <c r="H169" i="2" s="1"/>
  <c r="G202" i="2"/>
  <c r="H202" i="2" s="1"/>
  <c r="G180" i="2"/>
  <c r="H180" i="2" s="1"/>
  <c r="G277" i="2"/>
  <c r="H277" i="2" s="1"/>
  <c r="G336" i="2"/>
  <c r="H336" i="2" s="1"/>
  <c r="G10" i="2"/>
  <c r="H10" i="2" s="1"/>
  <c r="G13" i="2"/>
  <c r="H13" i="2" s="1"/>
  <c r="G78" i="2"/>
  <c r="H78" i="2" s="1"/>
  <c r="G148" i="2"/>
  <c r="H148" i="2" s="1"/>
  <c r="G125" i="2"/>
  <c r="H125" i="2" s="1"/>
  <c r="G59" i="2"/>
  <c r="H59" i="2" s="1"/>
  <c r="G164" i="2"/>
  <c r="H164" i="2" s="1"/>
  <c r="G33" i="2"/>
  <c r="H33" i="2" s="1"/>
  <c r="G175" i="2"/>
  <c r="H175" i="2" s="1"/>
  <c r="G52" i="2"/>
  <c r="H52" i="2" s="1"/>
  <c r="G130" i="2"/>
  <c r="H130" i="2" s="1"/>
  <c r="G197" i="2"/>
  <c r="H197" i="2" s="1"/>
  <c r="G279" i="2"/>
  <c r="H279" i="2" s="1"/>
  <c r="G194" i="2"/>
  <c r="H194" i="2" s="1"/>
  <c r="G317" i="2"/>
  <c r="H317" i="2" s="1"/>
  <c r="G139" i="2"/>
  <c r="H139" i="2" s="1"/>
  <c r="G205" i="2"/>
  <c r="H205" i="2" s="1"/>
  <c r="G308" i="2"/>
  <c r="H308" i="2" s="1"/>
  <c r="G269" i="2"/>
  <c r="H269" i="2" s="1"/>
  <c r="G331" i="2"/>
  <c r="H331" i="2" s="1"/>
  <c r="G282" i="2"/>
  <c r="H282" i="2" s="1"/>
  <c r="G344" i="2"/>
  <c r="H344" i="2" s="1"/>
  <c r="G95" i="2"/>
  <c r="H95" i="2" s="1"/>
  <c r="G238" i="2"/>
  <c r="H238" i="2" s="1"/>
  <c r="G179" i="2"/>
  <c r="H179" i="2" s="1"/>
  <c r="G320" i="2"/>
  <c r="H320" i="2" s="1"/>
  <c r="G7" i="2"/>
  <c r="H7" i="2" s="1"/>
  <c r="G25" i="2"/>
  <c r="H25" i="2" s="1"/>
  <c r="G90" i="2"/>
  <c r="H90" i="2" s="1"/>
  <c r="G171" i="2"/>
  <c r="H171" i="2" s="1"/>
  <c r="G186" i="2"/>
  <c r="H186" i="2" s="1"/>
  <c r="G71" i="2"/>
  <c r="H71" i="2" s="1"/>
  <c r="G173" i="2"/>
  <c r="H173" i="2" s="1"/>
  <c r="G45" i="2"/>
  <c r="H45" i="2" s="1"/>
  <c r="G291" i="2"/>
  <c r="H291" i="2" s="1"/>
  <c r="G64" i="2"/>
  <c r="H64" i="2" s="1"/>
  <c r="G150" i="2"/>
  <c r="H150" i="2" s="1"/>
  <c r="G206" i="2"/>
  <c r="H206" i="2" s="1"/>
  <c r="G325" i="2"/>
  <c r="H325" i="2" s="1"/>
  <c r="G203" i="2"/>
  <c r="H203" i="2" s="1"/>
  <c r="G341" i="2"/>
  <c r="H341" i="2" s="1"/>
  <c r="G151" i="2"/>
  <c r="H151" i="2" s="1"/>
  <c r="G217" i="2"/>
  <c r="H217" i="2" s="1"/>
  <c r="G328" i="2"/>
  <c r="H328" i="2" s="1"/>
  <c r="G281" i="2"/>
  <c r="H281" i="2" s="1"/>
  <c r="G343" i="2"/>
  <c r="H343" i="2" s="1"/>
  <c r="G294" i="2"/>
  <c r="H294" i="2" s="1"/>
  <c r="G333" i="2"/>
  <c r="H333" i="2" s="1"/>
  <c r="G191" i="2"/>
  <c r="H191" i="2" s="1"/>
  <c r="G158" i="2"/>
  <c r="H158" i="2" s="1"/>
  <c r="G31" i="2"/>
  <c r="H31" i="2" s="1"/>
  <c r="G199" i="2"/>
  <c r="H199" i="2" s="1"/>
  <c r="G256" i="2"/>
  <c r="H256" i="2" s="1"/>
  <c r="G226" i="2"/>
  <c r="H226" i="2" s="1"/>
  <c r="G326" i="2"/>
  <c r="H326" i="2" s="1"/>
  <c r="G61" i="2"/>
  <c r="H61" i="2" s="1"/>
  <c r="G29" i="2"/>
  <c r="H29" i="2" s="1"/>
  <c r="G91" i="2"/>
  <c r="H91" i="2" s="1"/>
  <c r="G174" i="2"/>
  <c r="H174" i="2" s="1"/>
  <c r="G211" i="2"/>
  <c r="H211" i="2" s="1"/>
  <c r="G75" i="2"/>
  <c r="H75" i="2" s="1"/>
  <c r="G185" i="2"/>
  <c r="H185" i="2" s="1"/>
  <c r="G49" i="2"/>
  <c r="H49" i="2" s="1"/>
  <c r="G3" i="2"/>
  <c r="H3" i="2" s="1"/>
  <c r="G68" i="2"/>
  <c r="H68" i="2" s="1"/>
  <c r="N314" i="3"/>
  <c r="I314" i="3"/>
  <c r="N227" i="3"/>
  <c r="I227" i="3"/>
  <c r="I264" i="3"/>
  <c r="N264" i="3"/>
  <c r="N41" i="3"/>
  <c r="I41" i="3"/>
  <c r="G311" i="2"/>
  <c r="H311" i="2" s="1"/>
  <c r="G301" i="2"/>
  <c r="H301" i="2" s="1"/>
  <c r="G241" i="2"/>
  <c r="H241" i="2" s="1"/>
  <c r="G110" i="2"/>
  <c r="H110" i="2" s="1"/>
  <c r="G138" i="2"/>
  <c r="H138" i="2" s="1"/>
  <c r="G215" i="2"/>
  <c r="H215" i="2" s="1"/>
  <c r="G81" i="2"/>
  <c r="H81" i="2" s="1"/>
  <c r="G216" i="2"/>
  <c r="H216" i="2" s="1"/>
  <c r="I80" i="3"/>
  <c r="N80" i="3"/>
  <c r="G328" i="3"/>
  <c r="H328" i="3" s="1"/>
  <c r="G332" i="3"/>
  <c r="H332" i="3" s="1"/>
  <c r="G330" i="3"/>
  <c r="H330" i="3" s="1"/>
  <c r="G342" i="3"/>
  <c r="H342" i="3" s="1"/>
  <c r="G245" i="3"/>
  <c r="H245" i="3" s="1"/>
  <c r="G219" i="3"/>
  <c r="H219" i="3" s="1"/>
  <c r="G153" i="3"/>
  <c r="H153" i="3" s="1"/>
  <c r="G218" i="3"/>
  <c r="H218" i="3" s="1"/>
  <c r="G313" i="3"/>
  <c r="H313" i="3" s="1"/>
  <c r="G140" i="3"/>
  <c r="H140" i="3" s="1"/>
  <c r="G269" i="3"/>
  <c r="H269" i="3" s="1"/>
  <c r="G139" i="3"/>
  <c r="H139" i="3" s="1"/>
  <c r="G5" i="3"/>
  <c r="H5" i="3" s="1"/>
  <c r="G49" i="3"/>
  <c r="H49" i="3" s="1"/>
  <c r="G147" i="3"/>
  <c r="H147" i="3" s="1"/>
  <c r="G29" i="3"/>
  <c r="H29" i="3" s="1"/>
  <c r="G96" i="3"/>
  <c r="H96" i="3" s="1"/>
  <c r="G285" i="3"/>
  <c r="H285" i="3" s="1"/>
  <c r="G152" i="3"/>
  <c r="H152" i="3" s="1"/>
  <c r="G106" i="3"/>
  <c r="H106" i="3" s="1"/>
  <c r="G162" i="3"/>
  <c r="H162" i="3" s="1"/>
  <c r="G138" i="3"/>
  <c r="H138" i="3" s="1"/>
  <c r="G323" i="3"/>
  <c r="H323" i="3" s="1"/>
  <c r="G253" i="3"/>
  <c r="H253" i="3" s="1"/>
  <c r="G226" i="3"/>
  <c r="H226" i="3" s="1"/>
  <c r="G115" i="3"/>
  <c r="H115" i="3" s="1"/>
  <c r="G86" i="3"/>
  <c r="H86" i="3" s="1"/>
  <c r="G236" i="3"/>
  <c r="H236" i="3" s="1"/>
  <c r="G184" i="3"/>
  <c r="H184" i="3" s="1"/>
  <c r="G307" i="3"/>
  <c r="H307" i="3" s="1"/>
  <c r="G311" i="3"/>
  <c r="H311" i="3" s="1"/>
  <c r="G288" i="3"/>
  <c r="H288" i="3" s="1"/>
  <c r="G297" i="3"/>
  <c r="H297" i="3" s="1"/>
  <c r="G273" i="3"/>
  <c r="H273" i="3" s="1"/>
  <c r="G198" i="3"/>
  <c r="H198" i="3" s="1"/>
  <c r="G293" i="3"/>
  <c r="H293" i="3" s="1"/>
  <c r="G120" i="3"/>
  <c r="H120" i="3" s="1"/>
  <c r="G17" i="3"/>
  <c r="H17" i="3" s="1"/>
  <c r="G303" i="3"/>
  <c r="H303" i="3" s="1"/>
  <c r="G265" i="3"/>
  <c r="H265" i="3" s="1"/>
  <c r="G151" i="3"/>
  <c r="H151" i="3" s="1"/>
  <c r="G73" i="3"/>
  <c r="H73" i="3" s="1"/>
  <c r="G132" i="3"/>
  <c r="H132" i="3" s="1"/>
  <c r="G102" i="3"/>
  <c r="H102" i="3" s="1"/>
  <c r="G171" i="3"/>
  <c r="H171" i="3" s="1"/>
  <c r="G312" i="3"/>
  <c r="H312" i="3" s="1"/>
  <c r="G315" i="3"/>
  <c r="H315" i="3" s="1"/>
  <c r="G296" i="3"/>
  <c r="H296" i="3" s="1"/>
  <c r="G305" i="3"/>
  <c r="H305" i="3" s="1"/>
  <c r="G284" i="3"/>
  <c r="H284" i="3" s="1"/>
  <c r="G203" i="3"/>
  <c r="H203" i="3" s="1"/>
  <c r="G309" i="3"/>
  <c r="H309" i="3" s="1"/>
  <c r="G202" i="3"/>
  <c r="H202" i="3" s="1"/>
  <c r="G232" i="3"/>
  <c r="H232" i="3" s="1"/>
  <c r="G124" i="3"/>
  <c r="H124" i="3" s="1"/>
  <c r="G225" i="3"/>
  <c r="H225" i="3" s="1"/>
  <c r="G123" i="3"/>
  <c r="H123" i="3" s="1"/>
  <c r="G9" i="3"/>
  <c r="H9" i="3" s="1"/>
  <c r="G65" i="3"/>
  <c r="H65" i="3" s="1"/>
  <c r="G204" i="3"/>
  <c r="H204" i="3" s="1"/>
  <c r="G46" i="3"/>
  <c r="H46" i="3" s="1"/>
  <c r="G130" i="3"/>
  <c r="H130" i="3" s="1"/>
  <c r="G230" i="3"/>
  <c r="H230" i="3" s="1"/>
  <c r="G103" i="3"/>
  <c r="H103" i="3" s="1"/>
  <c r="G10" i="3"/>
  <c r="H10" i="3" s="1"/>
  <c r="G220" i="3"/>
  <c r="H220" i="3" s="1"/>
  <c r="G339" i="3"/>
  <c r="H339" i="3" s="1"/>
  <c r="G243" i="3"/>
  <c r="H243" i="3" s="1"/>
  <c r="G197" i="3"/>
  <c r="H197" i="3" s="1"/>
  <c r="G83" i="3"/>
  <c r="H83" i="3" s="1"/>
  <c r="G24" i="3"/>
  <c r="H24" i="3" s="1"/>
  <c r="G38" i="3"/>
  <c r="H38" i="3" s="1"/>
  <c r="G291" i="3"/>
  <c r="H291" i="3" s="1"/>
  <c r="G298" i="3"/>
  <c r="H298" i="3" s="1"/>
  <c r="G267" i="3"/>
  <c r="H267" i="3" s="1"/>
  <c r="G274" i="3"/>
  <c r="H274" i="3" s="1"/>
  <c r="G244" i="3"/>
  <c r="H244" i="3" s="1"/>
  <c r="G182" i="3"/>
  <c r="H182" i="3" s="1"/>
  <c r="G248" i="3"/>
  <c r="H248" i="3" s="1"/>
  <c r="G183" i="3"/>
  <c r="H183" i="3" s="1"/>
  <c r="G168" i="3"/>
  <c r="H168" i="3" s="1"/>
  <c r="G294" i="3"/>
  <c r="H294" i="3" s="1"/>
  <c r="G211" i="3"/>
  <c r="H211" i="3" s="1"/>
  <c r="G241" i="3"/>
  <c r="H241" i="3" s="1"/>
  <c r="G329" i="3"/>
  <c r="H329" i="3" s="1"/>
  <c r="G210" i="3"/>
  <c r="H210" i="3" s="1"/>
  <c r="G99" i="3"/>
  <c r="H99" i="3" s="1"/>
  <c r="G11" i="3"/>
  <c r="H11" i="3" s="1"/>
  <c r="G21" i="3"/>
  <c r="H21" i="3" s="1"/>
  <c r="G295" i="3"/>
  <c r="H295" i="3" s="1"/>
  <c r="G302" i="3"/>
  <c r="H302" i="3" s="1"/>
  <c r="G271" i="3"/>
  <c r="H271" i="3" s="1"/>
  <c r="G278" i="3"/>
  <c r="H278" i="3" s="1"/>
  <c r="G247" i="3"/>
  <c r="H247" i="3" s="1"/>
  <c r="G186" i="3"/>
  <c r="H186" i="3" s="1"/>
  <c r="G260" i="3"/>
  <c r="H260" i="3" s="1"/>
  <c r="G189" i="3"/>
  <c r="H189" i="3" s="1"/>
  <c r="G196" i="3"/>
  <c r="H196" i="3" s="1"/>
  <c r="G107" i="3"/>
  <c r="H107" i="3" s="1"/>
  <c r="G191" i="3"/>
  <c r="H191" i="3" s="1"/>
  <c r="G110" i="3"/>
  <c r="H110" i="3" s="1"/>
  <c r="G16" i="3"/>
  <c r="H16" i="3" s="1"/>
  <c r="G81" i="3"/>
  <c r="H81" i="3" s="1"/>
  <c r="G261" i="3"/>
  <c r="H261" i="3" s="1"/>
  <c r="G62" i="3"/>
  <c r="H62" i="3" s="1"/>
  <c r="G160" i="3"/>
  <c r="H160" i="3" s="1"/>
  <c r="G169" i="3"/>
  <c r="H169" i="3" s="1"/>
  <c r="G252" i="3"/>
  <c r="H252" i="3" s="1"/>
  <c r="G37" i="3"/>
  <c r="H37" i="3" s="1"/>
  <c r="G34" i="3"/>
  <c r="H34" i="3" s="1"/>
  <c r="G320" i="3"/>
  <c r="H320" i="3" s="1"/>
  <c r="G280" i="3"/>
  <c r="H280" i="3" s="1"/>
  <c r="G194" i="3"/>
  <c r="H194" i="3" s="1"/>
  <c r="G164" i="3"/>
  <c r="H164" i="3" s="1"/>
  <c r="G175" i="3"/>
  <c r="H175" i="3" s="1"/>
  <c r="G57" i="3"/>
  <c r="H57" i="3" s="1"/>
  <c r="G70" i="3"/>
  <c r="H70" i="3" s="1"/>
  <c r="G341" i="3"/>
  <c r="H341" i="3" s="1"/>
  <c r="G344" i="3"/>
  <c r="H344" i="3" s="1"/>
  <c r="G282" i="3"/>
  <c r="H282" i="3" s="1"/>
  <c r="G254" i="3"/>
  <c r="H254" i="3" s="1"/>
  <c r="G258" i="3"/>
  <c r="H258" i="3" s="1"/>
  <c r="G231" i="3"/>
  <c r="H231" i="3" s="1"/>
  <c r="G165" i="3"/>
  <c r="H165" i="3" s="1"/>
  <c r="G201" i="3"/>
  <c r="H201" i="3" s="1"/>
  <c r="G90" i="3"/>
  <c r="H90" i="3" s="1"/>
  <c r="G250" i="3"/>
  <c r="H250" i="3" s="1"/>
  <c r="G276" i="3"/>
  <c r="H276" i="3" s="1"/>
  <c r="G155" i="3"/>
  <c r="H155" i="3" s="1"/>
  <c r="G2" i="3"/>
  <c r="H2" i="3" s="1"/>
  <c r="G75" i="3"/>
  <c r="H75" i="3" s="1"/>
  <c r="G43" i="3"/>
  <c r="H43" i="3" s="1"/>
  <c r="G26" i="3"/>
  <c r="H26" i="3" s="1"/>
  <c r="G18" i="3"/>
  <c r="H18" i="3" s="1"/>
  <c r="G51" i="3"/>
  <c r="H51" i="3" s="1"/>
  <c r="G59" i="3"/>
  <c r="H59" i="3" s="1"/>
  <c r="G67" i="3"/>
  <c r="H67" i="3" s="1"/>
  <c r="G35" i="3"/>
  <c r="H35" i="3" s="1"/>
  <c r="G134" i="3"/>
  <c r="H134" i="3" s="1"/>
  <c r="G30" i="3"/>
  <c r="H30" i="3" s="1"/>
  <c r="G4" i="3"/>
  <c r="H4" i="3" s="1"/>
  <c r="G121" i="3"/>
  <c r="H121" i="3" s="1"/>
  <c r="G146" i="3"/>
  <c r="H146" i="3" s="1"/>
  <c r="G31" i="3"/>
  <c r="H31" i="3" s="1"/>
  <c r="G56" i="3"/>
  <c r="H56" i="3" s="1"/>
  <c r="G93" i="3"/>
  <c r="H93" i="3" s="1"/>
  <c r="G148" i="3"/>
  <c r="H148" i="3" s="1"/>
  <c r="G3" i="3"/>
  <c r="H3" i="3" s="1"/>
  <c r="G272" i="3"/>
  <c r="H272" i="3" s="1"/>
  <c r="G44" i="3"/>
  <c r="H44" i="3" s="1"/>
  <c r="G76" i="3"/>
  <c r="H76" i="3" s="1"/>
  <c r="G142" i="3"/>
  <c r="H142" i="3" s="1"/>
  <c r="G277" i="3"/>
  <c r="H277" i="3" s="1"/>
  <c r="G137" i="3"/>
  <c r="H137" i="3" s="1"/>
  <c r="G116" i="3"/>
  <c r="H116" i="3" s="1"/>
  <c r="G48" i="3"/>
  <c r="H48" i="3" s="1"/>
  <c r="G117" i="3"/>
  <c r="H117" i="3" s="1"/>
  <c r="G36" i="3"/>
  <c r="H36" i="3" s="1"/>
  <c r="G126" i="3"/>
  <c r="H126" i="3" s="1"/>
  <c r="G179" i="3"/>
  <c r="H179" i="3" s="1"/>
  <c r="G47" i="3"/>
  <c r="H47" i="3" s="1"/>
  <c r="G22" i="3"/>
  <c r="H22" i="3" s="1"/>
  <c r="G84" i="3"/>
  <c r="H84" i="3" s="1"/>
  <c r="G192" i="3"/>
  <c r="H192" i="3" s="1"/>
  <c r="G32" i="3"/>
  <c r="H32" i="3" s="1"/>
  <c r="G64" i="3"/>
  <c r="H64" i="3" s="1"/>
  <c r="G101" i="3"/>
  <c r="H101" i="3" s="1"/>
  <c r="G195" i="3"/>
  <c r="H195" i="3" s="1"/>
  <c r="G129" i="3"/>
  <c r="H129" i="3" s="1"/>
  <c r="G19" i="3"/>
  <c r="H19" i="3" s="1"/>
  <c r="G52" i="3"/>
  <c r="H52" i="3" s="1"/>
  <c r="G92" i="3"/>
  <c r="H92" i="3" s="1"/>
  <c r="G159" i="3"/>
  <c r="H159" i="3" s="1"/>
  <c r="G14" i="3"/>
  <c r="H14" i="3" s="1"/>
  <c r="G71" i="3"/>
  <c r="H71" i="3" s="1"/>
  <c r="G23" i="3"/>
  <c r="H23" i="3" s="1"/>
  <c r="G85" i="3"/>
  <c r="H85" i="3" s="1"/>
  <c r="G326" i="3"/>
  <c r="H326" i="3" s="1"/>
  <c r="G68" i="3"/>
  <c r="H68" i="3" s="1"/>
  <c r="G212" i="3"/>
  <c r="H212" i="3" s="1"/>
  <c r="G55" i="3"/>
  <c r="H55" i="3" s="1"/>
  <c r="G63" i="3"/>
  <c r="H63" i="3" s="1"/>
  <c r="G39" i="3"/>
  <c r="H39" i="3" s="1"/>
  <c r="G100" i="3"/>
  <c r="H100" i="3" s="1"/>
  <c r="G15" i="3"/>
  <c r="H15" i="3" s="1"/>
  <c r="G40" i="3"/>
  <c r="H40" i="3" s="1"/>
  <c r="G72" i="3"/>
  <c r="H72" i="3" s="1"/>
  <c r="G109" i="3"/>
  <c r="H109" i="3" s="1"/>
  <c r="G213" i="3"/>
  <c r="H213" i="3" s="1"/>
  <c r="G228" i="3"/>
  <c r="H228" i="3" s="1"/>
  <c r="G27" i="3"/>
  <c r="H27" i="3" s="1"/>
  <c r="G60" i="3"/>
  <c r="H60" i="3" s="1"/>
  <c r="G108" i="3"/>
  <c r="H108" i="3" s="1"/>
  <c r="G176" i="3"/>
  <c r="H176" i="3" s="1"/>
  <c r="G144" i="3"/>
  <c r="H144" i="3" s="1"/>
  <c r="G229" i="3"/>
  <c r="H229" i="3" s="1"/>
  <c r="G279" i="3"/>
  <c r="H279" i="3" s="1"/>
  <c r="G286" i="3"/>
  <c r="H286" i="3" s="1"/>
  <c r="G255" i="3"/>
  <c r="H255" i="3" s="1"/>
  <c r="G262" i="3"/>
  <c r="H262" i="3" s="1"/>
  <c r="G235" i="3"/>
  <c r="H235" i="3" s="1"/>
  <c r="G170" i="3"/>
  <c r="H170" i="3" s="1"/>
  <c r="G234" i="3"/>
  <c r="H234" i="3" s="1"/>
  <c r="G173" i="3"/>
  <c r="H173" i="3" s="1"/>
  <c r="G163" i="3"/>
  <c r="H163" i="3" s="1"/>
  <c r="G91" i="3"/>
  <c r="H91" i="3" s="1"/>
  <c r="G166" i="3"/>
  <c r="H166" i="3" s="1"/>
  <c r="G94" i="3"/>
  <c r="H94" i="3" s="1"/>
  <c r="G33" i="3"/>
  <c r="H33" i="3" s="1"/>
  <c r="G113" i="3"/>
  <c r="H113" i="3" s="1"/>
  <c r="G13" i="3"/>
  <c r="H13" i="3" s="1"/>
  <c r="G78" i="3"/>
  <c r="H78" i="3" s="1"/>
  <c r="G205" i="3"/>
  <c r="H205" i="3" s="1"/>
  <c r="G188" i="3"/>
  <c r="H188" i="3" s="1"/>
  <c r="G156" i="3"/>
  <c r="H156" i="3" s="1"/>
  <c r="G89" i="3"/>
  <c r="H89" i="3" s="1"/>
  <c r="G66" i="3"/>
  <c r="H66" i="3" s="1"/>
  <c r="G287" i="3"/>
  <c r="H287" i="3" s="1"/>
  <c r="G325" i="3"/>
  <c r="H325" i="3" s="1"/>
  <c r="G161" i="3"/>
  <c r="H161" i="3" s="1"/>
  <c r="G180" i="3"/>
  <c r="H180" i="3" s="1"/>
  <c r="G118" i="3"/>
  <c r="H118" i="3" s="1"/>
  <c r="G133" i="3"/>
  <c r="H133" i="3" s="1"/>
  <c r="G112" i="3"/>
  <c r="H112" i="3" s="1"/>
  <c r="G324" i="3"/>
  <c r="H324" i="3" s="1"/>
  <c r="G327" i="3"/>
  <c r="H327" i="3" s="1"/>
  <c r="G322" i="3"/>
  <c r="H322" i="3" s="1"/>
  <c r="G334" i="3"/>
  <c r="H334" i="3" s="1"/>
  <c r="G343" i="3"/>
  <c r="H343" i="3" s="1"/>
  <c r="G215" i="3"/>
  <c r="H215" i="3" s="1"/>
  <c r="G149" i="3"/>
  <c r="H149" i="3" s="1"/>
  <c r="G301" i="3"/>
  <c r="H301" i="3" s="1"/>
  <c r="G53" i="3"/>
  <c r="H53" i="3" s="1"/>
  <c r="G270" i="3"/>
  <c r="H270" i="3" s="1"/>
  <c r="G181" i="3"/>
  <c r="H181" i="3" s="1"/>
  <c r="G7" i="3"/>
  <c r="H7" i="3" s="1"/>
  <c r="G237" i="3"/>
  <c r="H237" i="3" s="1"/>
  <c r="N343" i="3" l="1"/>
  <c r="I343" i="3"/>
  <c r="N180" i="3"/>
  <c r="I180" i="3"/>
  <c r="N33" i="3"/>
  <c r="I33" i="3"/>
  <c r="N279" i="3"/>
  <c r="I279" i="3"/>
  <c r="N15" i="3"/>
  <c r="I15" i="3"/>
  <c r="I159" i="3"/>
  <c r="N159" i="3"/>
  <c r="N32" i="3"/>
  <c r="I32" i="3"/>
  <c r="N7" i="3"/>
  <c r="I7" i="3"/>
  <c r="I334" i="3"/>
  <c r="N334" i="3"/>
  <c r="I89" i="3"/>
  <c r="N89" i="3"/>
  <c r="N94" i="3"/>
  <c r="I94" i="3"/>
  <c r="I60" i="3"/>
  <c r="N60" i="3"/>
  <c r="N181" i="3"/>
  <c r="I181" i="3"/>
  <c r="N322" i="3"/>
  <c r="I322" i="3"/>
  <c r="K310" i="3" s="1"/>
  <c r="L310" i="3" s="1"/>
  <c r="I325" i="3"/>
  <c r="N325" i="3"/>
  <c r="N13" i="3"/>
  <c r="I13" i="3"/>
  <c r="N234" i="3"/>
  <c r="I234" i="3"/>
  <c r="I27" i="3"/>
  <c r="N27" i="3"/>
  <c r="I39" i="3"/>
  <c r="N39" i="3"/>
  <c r="I71" i="3"/>
  <c r="N71" i="3"/>
  <c r="N101" i="3"/>
  <c r="I101" i="3"/>
  <c r="I116" i="3"/>
  <c r="N116" i="3"/>
  <c r="N148" i="3"/>
  <c r="I148" i="3"/>
  <c r="I146" i="3"/>
  <c r="N146" i="3"/>
  <c r="I51" i="3"/>
  <c r="N51" i="3"/>
  <c r="I75" i="3"/>
  <c r="N75" i="3"/>
  <c r="N250" i="3"/>
  <c r="I250" i="3"/>
  <c r="N231" i="3"/>
  <c r="I231" i="3"/>
  <c r="N344" i="3"/>
  <c r="I344" i="3"/>
  <c r="I175" i="3"/>
  <c r="N175" i="3"/>
  <c r="N320" i="3"/>
  <c r="I320" i="3"/>
  <c r="N169" i="3"/>
  <c r="I169" i="3"/>
  <c r="I81" i="3"/>
  <c r="N81" i="3"/>
  <c r="N107" i="3"/>
  <c r="I107" i="3"/>
  <c r="N186" i="3"/>
  <c r="I186" i="3"/>
  <c r="N302" i="3"/>
  <c r="I302" i="3"/>
  <c r="N99" i="3"/>
  <c r="I99" i="3"/>
  <c r="N211" i="3"/>
  <c r="I211" i="3"/>
  <c r="I248" i="3"/>
  <c r="N248" i="3"/>
  <c r="N267" i="3"/>
  <c r="I267" i="3"/>
  <c r="N24" i="3"/>
  <c r="I24" i="3"/>
  <c r="N339" i="3"/>
  <c r="I339" i="3"/>
  <c r="N230" i="3"/>
  <c r="I230" i="3"/>
  <c r="N65" i="3"/>
  <c r="I65" i="3"/>
  <c r="N124" i="3"/>
  <c r="I124" i="3"/>
  <c r="N203" i="3"/>
  <c r="I203" i="3"/>
  <c r="N315" i="3"/>
  <c r="I315" i="3"/>
  <c r="N132" i="3"/>
  <c r="I132" i="3"/>
  <c r="N303" i="3"/>
  <c r="I303" i="3"/>
  <c r="N198" i="3"/>
  <c r="I198" i="3"/>
  <c r="N311" i="3"/>
  <c r="I311" i="3"/>
  <c r="N86" i="3"/>
  <c r="I86" i="3"/>
  <c r="N323" i="3"/>
  <c r="I323" i="3"/>
  <c r="N152" i="3"/>
  <c r="I152" i="3"/>
  <c r="N147" i="3"/>
  <c r="I147" i="3"/>
  <c r="N269" i="3"/>
  <c r="I269" i="3"/>
  <c r="N153" i="3"/>
  <c r="I153" i="3"/>
  <c r="N330" i="3"/>
  <c r="I330" i="3"/>
  <c r="K330" i="3" s="1"/>
  <c r="L330" i="3" s="1"/>
  <c r="I138" i="2"/>
  <c r="N138" i="2"/>
  <c r="N311" i="2"/>
  <c r="I311" i="2"/>
  <c r="I185" i="2"/>
  <c r="N185" i="2"/>
  <c r="I91" i="2"/>
  <c r="N91" i="2"/>
  <c r="N226" i="2"/>
  <c r="I226" i="2"/>
  <c r="I158" i="2"/>
  <c r="N158" i="2"/>
  <c r="N343" i="2"/>
  <c r="I343" i="2"/>
  <c r="N151" i="2"/>
  <c r="I151" i="2"/>
  <c r="I206" i="2"/>
  <c r="N206" i="2"/>
  <c r="I45" i="2"/>
  <c r="N45" i="2"/>
  <c r="I171" i="2"/>
  <c r="N171" i="2"/>
  <c r="I320" i="2"/>
  <c r="N320" i="2"/>
  <c r="N344" i="2"/>
  <c r="I344" i="2"/>
  <c r="N308" i="2"/>
  <c r="I308" i="2"/>
  <c r="N194" i="2"/>
  <c r="I194" i="2"/>
  <c r="N52" i="2"/>
  <c r="I52" i="2"/>
  <c r="N59" i="2"/>
  <c r="I59" i="2"/>
  <c r="N13" i="2"/>
  <c r="I13" i="2"/>
  <c r="N180" i="2"/>
  <c r="I180" i="2"/>
  <c r="N83" i="2"/>
  <c r="I83" i="2"/>
  <c r="N278" i="2"/>
  <c r="I278" i="2"/>
  <c r="N200" i="2"/>
  <c r="I200" i="2"/>
  <c r="I275" i="2"/>
  <c r="N275" i="2"/>
  <c r="I156" i="2"/>
  <c r="N156" i="2"/>
  <c r="N112" i="2"/>
  <c r="I112" i="2"/>
  <c r="I12" i="2"/>
  <c r="N12" i="2"/>
  <c r="N142" i="2"/>
  <c r="I142" i="2"/>
  <c r="N252" i="2"/>
  <c r="I252" i="2"/>
  <c r="I271" i="2"/>
  <c r="N271" i="2"/>
  <c r="N101" i="2"/>
  <c r="I101" i="2"/>
  <c r="I141" i="2"/>
  <c r="N141" i="2"/>
  <c r="N62" i="2"/>
  <c r="I62" i="2"/>
  <c r="N244" i="2"/>
  <c r="I244" i="2"/>
  <c r="I41" i="2"/>
  <c r="N41" i="2"/>
  <c r="N262" i="2"/>
  <c r="I262" i="2"/>
  <c r="N184" i="2"/>
  <c r="I184" i="2"/>
  <c r="I234" i="2"/>
  <c r="N234" i="2"/>
  <c r="N97" i="2"/>
  <c r="I97" i="2"/>
  <c r="N304" i="2"/>
  <c r="I304" i="2"/>
  <c r="N306" i="2"/>
  <c r="I306" i="2"/>
  <c r="I54" i="2"/>
  <c r="N54" i="2"/>
  <c r="N264" i="2"/>
  <c r="I264" i="2"/>
  <c r="N38" i="2"/>
  <c r="I38" i="2"/>
  <c r="N235" i="2"/>
  <c r="I235" i="2"/>
  <c r="N220" i="2"/>
  <c r="I220" i="2"/>
  <c r="N80" i="2"/>
  <c r="I80" i="2"/>
  <c r="N87" i="2"/>
  <c r="I87" i="2"/>
  <c r="N42" i="2"/>
  <c r="I42" i="2"/>
  <c r="N76" i="2"/>
  <c r="I76" i="2"/>
  <c r="I8" i="2"/>
  <c r="N8" i="2"/>
  <c r="N23" i="2"/>
  <c r="I23" i="2"/>
  <c r="N338" i="2"/>
  <c r="I338" i="2"/>
  <c r="H345" i="2"/>
  <c r="N2" i="2"/>
  <c r="I2" i="2"/>
  <c r="I140" i="2"/>
  <c r="N140" i="2"/>
  <c r="N290" i="2"/>
  <c r="I290" i="2"/>
  <c r="N224" i="2"/>
  <c r="I224" i="2"/>
  <c r="N249" i="2"/>
  <c r="I249" i="2"/>
  <c r="N165" i="2"/>
  <c r="I165" i="2"/>
  <c r="N219" i="2"/>
  <c r="I219" i="2"/>
  <c r="I108" i="2"/>
  <c r="N108" i="2"/>
  <c r="N94" i="2"/>
  <c r="I94" i="2"/>
  <c r="I210" i="2"/>
  <c r="N210" i="2"/>
  <c r="I260" i="2"/>
  <c r="N260" i="2"/>
  <c r="N53" i="3"/>
  <c r="I53" i="3"/>
  <c r="N66" i="3"/>
  <c r="I66" i="3"/>
  <c r="N163" i="3"/>
  <c r="I163" i="3"/>
  <c r="I108" i="3"/>
  <c r="N108" i="3"/>
  <c r="I55" i="3"/>
  <c r="N55" i="3"/>
  <c r="I47" i="3"/>
  <c r="N47" i="3"/>
  <c r="N301" i="3"/>
  <c r="I301" i="3"/>
  <c r="N161" i="3"/>
  <c r="I161" i="3"/>
  <c r="N262" i="3"/>
  <c r="I262" i="3"/>
  <c r="N109" i="3"/>
  <c r="I109" i="3"/>
  <c r="N149" i="3"/>
  <c r="I149" i="3"/>
  <c r="I133" i="3"/>
  <c r="N133" i="3"/>
  <c r="N156" i="3"/>
  <c r="I156" i="3"/>
  <c r="N166" i="3"/>
  <c r="I166" i="3"/>
  <c r="N255" i="3"/>
  <c r="I255" i="3"/>
  <c r="I144" i="3"/>
  <c r="N144" i="3"/>
  <c r="N72" i="3"/>
  <c r="I72" i="3"/>
  <c r="I68" i="3"/>
  <c r="N68" i="3"/>
  <c r="I52" i="3"/>
  <c r="N52" i="3"/>
  <c r="I84" i="3"/>
  <c r="N84" i="3"/>
  <c r="N126" i="3"/>
  <c r="I126" i="3"/>
  <c r="I76" i="3"/>
  <c r="N76" i="3"/>
  <c r="N134" i="3"/>
  <c r="I134" i="3"/>
  <c r="N270" i="3"/>
  <c r="I270" i="3"/>
  <c r="N215" i="3"/>
  <c r="I215" i="3"/>
  <c r="N327" i="3"/>
  <c r="I327" i="3"/>
  <c r="N118" i="3"/>
  <c r="I118" i="3"/>
  <c r="N287" i="3"/>
  <c r="I287" i="3"/>
  <c r="N188" i="3"/>
  <c r="I188" i="3"/>
  <c r="I113" i="3"/>
  <c r="N113" i="3"/>
  <c r="N91" i="3"/>
  <c r="I91" i="3"/>
  <c r="N170" i="3"/>
  <c r="I170" i="3"/>
  <c r="N286" i="3"/>
  <c r="I286" i="3"/>
  <c r="N176" i="3"/>
  <c r="I176" i="3"/>
  <c r="I228" i="3"/>
  <c r="N228" i="3"/>
  <c r="N40" i="3"/>
  <c r="I40" i="3"/>
  <c r="I63" i="3"/>
  <c r="N63" i="3"/>
  <c r="N326" i="3"/>
  <c r="I326" i="3"/>
  <c r="I14" i="3"/>
  <c r="N14" i="3"/>
  <c r="I19" i="3"/>
  <c r="N19" i="3"/>
  <c r="N64" i="3"/>
  <c r="I64" i="3"/>
  <c r="I22" i="3"/>
  <c r="N22" i="3"/>
  <c r="I36" i="3"/>
  <c r="N36" i="3"/>
  <c r="I137" i="3"/>
  <c r="N137" i="3"/>
  <c r="I44" i="3"/>
  <c r="N44" i="3"/>
  <c r="N93" i="3"/>
  <c r="I93" i="3"/>
  <c r="I121" i="3"/>
  <c r="N121" i="3"/>
  <c r="I35" i="3"/>
  <c r="N35" i="3"/>
  <c r="I18" i="3"/>
  <c r="N18" i="3"/>
  <c r="H345" i="3"/>
  <c r="I2" i="3"/>
  <c r="N2" i="3"/>
  <c r="N90" i="3"/>
  <c r="I90" i="3"/>
  <c r="N258" i="3"/>
  <c r="I258" i="3"/>
  <c r="N341" i="3"/>
  <c r="I341" i="3"/>
  <c r="N164" i="3"/>
  <c r="I164" i="3"/>
  <c r="N34" i="3"/>
  <c r="I34" i="3"/>
  <c r="I160" i="3"/>
  <c r="N160" i="3"/>
  <c r="N16" i="3"/>
  <c r="I16" i="3"/>
  <c r="N196" i="3"/>
  <c r="I196" i="3"/>
  <c r="I247" i="3"/>
  <c r="N247" i="3"/>
  <c r="N295" i="3"/>
  <c r="I295" i="3"/>
  <c r="N210" i="3"/>
  <c r="I210" i="3"/>
  <c r="N294" i="3"/>
  <c r="I294" i="3"/>
  <c r="N182" i="3"/>
  <c r="I182" i="3"/>
  <c r="N298" i="3"/>
  <c r="I298" i="3"/>
  <c r="N83" i="3"/>
  <c r="I83" i="3"/>
  <c r="I220" i="3"/>
  <c r="N220" i="3"/>
  <c r="N130" i="3"/>
  <c r="I130" i="3"/>
  <c r="N9" i="3"/>
  <c r="I9" i="3"/>
  <c r="I232" i="3"/>
  <c r="N232" i="3"/>
  <c r="I284" i="3"/>
  <c r="N284" i="3"/>
  <c r="N312" i="3"/>
  <c r="I312" i="3"/>
  <c r="N73" i="3"/>
  <c r="I73" i="3"/>
  <c r="N17" i="3"/>
  <c r="I17" i="3"/>
  <c r="I273" i="3"/>
  <c r="N273" i="3"/>
  <c r="N307" i="3"/>
  <c r="I307" i="3"/>
  <c r="N115" i="3"/>
  <c r="I115" i="3"/>
  <c r="N138" i="3"/>
  <c r="I138" i="3"/>
  <c r="N285" i="3"/>
  <c r="I285" i="3"/>
  <c r="N49" i="3"/>
  <c r="I49" i="3"/>
  <c r="N140" i="3"/>
  <c r="I140" i="3"/>
  <c r="N219" i="3"/>
  <c r="I219" i="3"/>
  <c r="N332" i="3"/>
  <c r="I332" i="3"/>
  <c r="N216" i="2"/>
  <c r="I216" i="2"/>
  <c r="N110" i="2"/>
  <c r="I110" i="2"/>
  <c r="N68" i="2"/>
  <c r="I68" i="2"/>
  <c r="N75" i="2"/>
  <c r="I75" i="2"/>
  <c r="I29" i="2"/>
  <c r="N29" i="2"/>
  <c r="N256" i="2"/>
  <c r="I256" i="2"/>
  <c r="N191" i="2"/>
  <c r="I191" i="2"/>
  <c r="N281" i="2"/>
  <c r="I281" i="2"/>
  <c r="I341" i="2"/>
  <c r="N341" i="2"/>
  <c r="N150" i="2"/>
  <c r="I150" i="2"/>
  <c r="I173" i="2"/>
  <c r="N173" i="2"/>
  <c r="N90" i="2"/>
  <c r="I90" i="2"/>
  <c r="N179" i="2"/>
  <c r="I179" i="2"/>
  <c r="N282" i="2"/>
  <c r="I282" i="2"/>
  <c r="N205" i="2"/>
  <c r="I205" i="2"/>
  <c r="I279" i="2"/>
  <c r="N279" i="2"/>
  <c r="N175" i="2"/>
  <c r="I175" i="2"/>
  <c r="N125" i="2"/>
  <c r="I125" i="2"/>
  <c r="I10" i="2"/>
  <c r="N10" i="2"/>
  <c r="I202" i="2"/>
  <c r="N202" i="2"/>
  <c r="I120" i="2"/>
  <c r="K118" i="2" s="1"/>
  <c r="L118" i="2" s="1"/>
  <c r="N120" i="2"/>
  <c r="I330" i="2"/>
  <c r="N330" i="2"/>
  <c r="N135" i="2"/>
  <c r="I135" i="2"/>
  <c r="I183" i="2"/>
  <c r="N183" i="2"/>
  <c r="I28" i="2"/>
  <c r="N28" i="2"/>
  <c r="I145" i="2"/>
  <c r="N145" i="2"/>
  <c r="N196" i="2"/>
  <c r="I196" i="2"/>
  <c r="N327" i="2"/>
  <c r="I327" i="2"/>
  <c r="N276" i="2"/>
  <c r="I276" i="2"/>
  <c r="I177" i="2"/>
  <c r="N177" i="2"/>
  <c r="N36" i="2"/>
  <c r="I36" i="2"/>
  <c r="N43" i="2"/>
  <c r="I43" i="2"/>
  <c r="I242" i="2"/>
  <c r="N242" i="2"/>
  <c r="N147" i="2"/>
  <c r="I147" i="2"/>
  <c r="N35" i="2"/>
  <c r="I35" i="2"/>
  <c r="N314" i="2"/>
  <c r="I314" i="2"/>
  <c r="N119" i="2"/>
  <c r="S4" i="2" s="1"/>
  <c r="T4" i="2" s="1"/>
  <c r="I119" i="2"/>
  <c r="N272" i="2"/>
  <c r="I272" i="2"/>
  <c r="N280" i="2"/>
  <c r="I280" i="2"/>
  <c r="I121" i="2"/>
  <c r="N121" i="2"/>
  <c r="N131" i="2"/>
  <c r="I131" i="2"/>
  <c r="N240" i="2"/>
  <c r="I240" i="2"/>
  <c r="N60" i="2"/>
  <c r="I60" i="2"/>
  <c r="N310" i="2"/>
  <c r="I310" i="2"/>
  <c r="I233" i="2"/>
  <c r="N233" i="2"/>
  <c r="I137" i="2"/>
  <c r="N137" i="2"/>
  <c r="N19" i="2"/>
  <c r="I19" i="2"/>
  <c r="N22" i="2"/>
  <c r="I22" i="2"/>
  <c r="N96" i="2"/>
  <c r="I96" i="2"/>
  <c r="N51" i="2"/>
  <c r="I51" i="2"/>
  <c r="N207" i="2"/>
  <c r="I207" i="2"/>
  <c r="N232" i="2"/>
  <c r="I232" i="2"/>
  <c r="I93" i="2"/>
  <c r="N93" i="2"/>
  <c r="N153" i="2"/>
  <c r="I153" i="2"/>
  <c r="N46" i="2"/>
  <c r="I46" i="2"/>
  <c r="I237" i="2"/>
  <c r="N237" i="2"/>
  <c r="N105" i="2"/>
  <c r="I105" i="2"/>
  <c r="N213" i="2"/>
  <c r="I213" i="2"/>
  <c r="S7" i="2"/>
  <c r="T7" i="2" s="1"/>
  <c r="N247" i="2"/>
  <c r="I247" i="2"/>
  <c r="N221" i="2"/>
  <c r="I221" i="2"/>
  <c r="N44" i="2"/>
  <c r="I44" i="2"/>
  <c r="N339" i="2"/>
  <c r="I339" i="2"/>
  <c r="N277" i="3"/>
  <c r="I277" i="3"/>
  <c r="I272" i="3"/>
  <c r="N272" i="3"/>
  <c r="N56" i="3"/>
  <c r="I56" i="3"/>
  <c r="N4" i="3"/>
  <c r="I4" i="3"/>
  <c r="I67" i="3"/>
  <c r="N67" i="3"/>
  <c r="I26" i="3"/>
  <c r="N26" i="3"/>
  <c r="N155" i="3"/>
  <c r="I155" i="3"/>
  <c r="N201" i="3"/>
  <c r="I201" i="3"/>
  <c r="N254" i="3"/>
  <c r="I254" i="3"/>
  <c r="N70" i="3"/>
  <c r="I70" i="3"/>
  <c r="N194" i="3"/>
  <c r="I194" i="3"/>
  <c r="N37" i="3"/>
  <c r="I37" i="3"/>
  <c r="N62" i="3"/>
  <c r="I62" i="3"/>
  <c r="N110" i="3"/>
  <c r="I110" i="3"/>
  <c r="N189" i="3"/>
  <c r="I189" i="3"/>
  <c r="N278" i="3"/>
  <c r="I278" i="3"/>
  <c r="N21" i="3"/>
  <c r="I21" i="3"/>
  <c r="I329" i="3"/>
  <c r="N329" i="3"/>
  <c r="N168" i="3"/>
  <c r="I168" i="3"/>
  <c r="N244" i="3"/>
  <c r="I244" i="3"/>
  <c r="N291" i="3"/>
  <c r="I291" i="3"/>
  <c r="N197" i="3"/>
  <c r="I197" i="3"/>
  <c r="N10" i="3"/>
  <c r="I10" i="3"/>
  <c r="N46" i="3"/>
  <c r="I46" i="3"/>
  <c r="N123" i="3"/>
  <c r="I123" i="3"/>
  <c r="N202" i="3"/>
  <c r="I202" i="3"/>
  <c r="I305" i="3"/>
  <c r="N305" i="3"/>
  <c r="I171" i="3"/>
  <c r="N171" i="3"/>
  <c r="N151" i="3"/>
  <c r="I151" i="3"/>
  <c r="N120" i="3"/>
  <c r="I120" i="3"/>
  <c r="I297" i="3"/>
  <c r="N297" i="3"/>
  <c r="N184" i="3"/>
  <c r="I184" i="3"/>
  <c r="N226" i="3"/>
  <c r="I226" i="3"/>
  <c r="I162" i="3"/>
  <c r="N162" i="3"/>
  <c r="I96" i="3"/>
  <c r="N96" i="3"/>
  <c r="N5" i="3"/>
  <c r="I5" i="3"/>
  <c r="I313" i="3"/>
  <c r="N313" i="3"/>
  <c r="N245" i="3"/>
  <c r="I245" i="3"/>
  <c r="N328" i="3"/>
  <c r="I328" i="3"/>
  <c r="I81" i="2"/>
  <c r="N81" i="2"/>
  <c r="I241" i="2"/>
  <c r="N241" i="2"/>
  <c r="N3" i="2"/>
  <c r="I3" i="2"/>
  <c r="I211" i="2"/>
  <c r="N211" i="2"/>
  <c r="I61" i="2"/>
  <c r="N61" i="2"/>
  <c r="N199" i="2"/>
  <c r="I199" i="2"/>
  <c r="I333" i="2"/>
  <c r="N333" i="2"/>
  <c r="I328" i="2"/>
  <c r="N328" i="2"/>
  <c r="N203" i="2"/>
  <c r="I203" i="2"/>
  <c r="K201" i="2" s="1"/>
  <c r="L201" i="2" s="1"/>
  <c r="N64" i="2"/>
  <c r="I64" i="2"/>
  <c r="N71" i="2"/>
  <c r="I71" i="2"/>
  <c r="I25" i="2"/>
  <c r="N25" i="2"/>
  <c r="N238" i="2"/>
  <c r="I238" i="2"/>
  <c r="N331" i="2"/>
  <c r="I331" i="2"/>
  <c r="N139" i="2"/>
  <c r="I139" i="2"/>
  <c r="I197" i="2"/>
  <c r="N197" i="2"/>
  <c r="I33" i="2"/>
  <c r="N33" i="2"/>
  <c r="I148" i="2"/>
  <c r="N148" i="2"/>
  <c r="N336" i="2"/>
  <c r="I336" i="2"/>
  <c r="I169" i="2"/>
  <c r="N169" i="2"/>
  <c r="I11" i="2"/>
  <c r="N11" i="2"/>
  <c r="N265" i="2"/>
  <c r="I265" i="2"/>
  <c r="I303" i="2"/>
  <c r="N303" i="2"/>
  <c r="N117" i="2"/>
  <c r="I117" i="2"/>
  <c r="I161" i="2"/>
  <c r="N161" i="2"/>
  <c r="I74" i="2"/>
  <c r="N74" i="2"/>
  <c r="I230" i="2"/>
  <c r="N230" i="2"/>
  <c r="N266" i="2"/>
  <c r="I266" i="2"/>
  <c r="N188" i="2"/>
  <c r="I188" i="2"/>
  <c r="I250" i="2"/>
  <c r="N250" i="2"/>
  <c r="N113" i="2"/>
  <c r="I113" i="2"/>
  <c r="I324" i="2"/>
  <c r="N324" i="2"/>
  <c r="I9" i="2"/>
  <c r="N9" i="2"/>
  <c r="I136" i="2"/>
  <c r="N136" i="2"/>
  <c r="I86" i="2"/>
  <c r="N86" i="2"/>
  <c r="N248" i="2"/>
  <c r="I248" i="2"/>
  <c r="I267" i="2"/>
  <c r="N267" i="2"/>
  <c r="N100" i="2"/>
  <c r="I100" i="2"/>
  <c r="N134" i="2"/>
  <c r="I134" i="2"/>
  <c r="N58" i="2"/>
  <c r="I58" i="2"/>
  <c r="I255" i="2"/>
  <c r="K254" i="2" s="1"/>
  <c r="L254" i="2" s="1"/>
  <c r="N255" i="2"/>
  <c r="S8" i="2" s="1"/>
  <c r="T8" i="2" s="1"/>
  <c r="I292" i="2"/>
  <c r="N292" i="2"/>
  <c r="I263" i="2"/>
  <c r="N263" i="2"/>
  <c r="N245" i="2"/>
  <c r="I245" i="2"/>
  <c r="K243" i="2" s="1"/>
  <c r="L243" i="2" s="1"/>
  <c r="N168" i="2"/>
  <c r="I168" i="2"/>
  <c r="I223" i="2"/>
  <c r="N223" i="2"/>
  <c r="I73" i="2"/>
  <c r="N73" i="2"/>
  <c r="I214" i="2"/>
  <c r="N214" i="2"/>
  <c r="N293" i="2"/>
  <c r="I293" i="2"/>
  <c r="I77" i="2"/>
  <c r="N77" i="2"/>
  <c r="N204" i="2"/>
  <c r="I204" i="2"/>
  <c r="N67" i="2"/>
  <c r="I67" i="2"/>
  <c r="N163" i="2"/>
  <c r="I163" i="2"/>
  <c r="I103" i="2"/>
  <c r="N103" i="2"/>
  <c r="N172" i="2"/>
  <c r="I172" i="2"/>
  <c r="N15" i="2"/>
  <c r="I15" i="2"/>
  <c r="N309" i="2"/>
  <c r="I309" i="2"/>
  <c r="N157" i="2"/>
  <c r="I157" i="2"/>
  <c r="N285" i="2"/>
  <c r="I285" i="2"/>
  <c r="I21" i="2"/>
  <c r="N21" i="2"/>
  <c r="I222" i="2"/>
  <c r="N222" i="2"/>
  <c r="N237" i="3"/>
  <c r="I237" i="3"/>
  <c r="N324" i="3"/>
  <c r="I324" i="3"/>
  <c r="N205" i="3"/>
  <c r="I205" i="3"/>
  <c r="N235" i="3"/>
  <c r="I235" i="3"/>
  <c r="N213" i="3"/>
  <c r="I213" i="3"/>
  <c r="N85" i="3"/>
  <c r="I85" i="3"/>
  <c r="I129" i="3"/>
  <c r="N129" i="3"/>
  <c r="N117" i="3"/>
  <c r="I117" i="3"/>
  <c r="I112" i="3"/>
  <c r="N112" i="3"/>
  <c r="N78" i="3"/>
  <c r="I78" i="3"/>
  <c r="N173" i="3"/>
  <c r="I173" i="3"/>
  <c r="N229" i="3"/>
  <c r="I229" i="3"/>
  <c r="I100" i="3"/>
  <c r="N100" i="3"/>
  <c r="I212" i="3"/>
  <c r="N212" i="3"/>
  <c r="N23" i="3"/>
  <c r="I23" i="3"/>
  <c r="I92" i="3"/>
  <c r="N92" i="3"/>
  <c r="I195" i="3"/>
  <c r="N195" i="3"/>
  <c r="N192" i="3"/>
  <c r="I192" i="3"/>
  <c r="I179" i="3"/>
  <c r="N179" i="3"/>
  <c r="N48" i="3"/>
  <c r="I48" i="3"/>
  <c r="I142" i="3"/>
  <c r="N142" i="3"/>
  <c r="N3" i="3"/>
  <c r="I3" i="3"/>
  <c r="I31" i="3"/>
  <c r="N31" i="3"/>
  <c r="S3" i="3" s="1"/>
  <c r="T3" i="3" s="1"/>
  <c r="I30" i="3"/>
  <c r="N30" i="3"/>
  <c r="I59" i="3"/>
  <c r="N59" i="3"/>
  <c r="I43" i="3"/>
  <c r="N43" i="3"/>
  <c r="I276" i="3"/>
  <c r="N276" i="3"/>
  <c r="N165" i="3"/>
  <c r="I165" i="3"/>
  <c r="N282" i="3"/>
  <c r="I282" i="3"/>
  <c r="N57" i="3"/>
  <c r="I57" i="3"/>
  <c r="I280" i="3"/>
  <c r="N280" i="3"/>
  <c r="N252" i="3"/>
  <c r="I252" i="3"/>
  <c r="N261" i="3"/>
  <c r="I261" i="3"/>
  <c r="I191" i="3"/>
  <c r="N191" i="3"/>
  <c r="I260" i="3"/>
  <c r="N260" i="3"/>
  <c r="N271" i="3"/>
  <c r="I271" i="3"/>
  <c r="N11" i="3"/>
  <c r="I11" i="3"/>
  <c r="I241" i="3"/>
  <c r="N241" i="3"/>
  <c r="I183" i="3"/>
  <c r="N183" i="3"/>
  <c r="N274" i="3"/>
  <c r="I274" i="3"/>
  <c r="N38" i="3"/>
  <c r="I38" i="3"/>
  <c r="N243" i="3"/>
  <c r="I243" i="3"/>
  <c r="N103" i="3"/>
  <c r="I103" i="3"/>
  <c r="I204" i="3"/>
  <c r="N204" i="3"/>
  <c r="I225" i="3"/>
  <c r="N225" i="3"/>
  <c r="N309" i="3"/>
  <c r="I309" i="3"/>
  <c r="I296" i="3"/>
  <c r="N296" i="3"/>
  <c r="N102" i="3"/>
  <c r="I102" i="3"/>
  <c r="N265" i="3"/>
  <c r="I265" i="3"/>
  <c r="N293" i="3"/>
  <c r="I293" i="3"/>
  <c r="I288" i="3"/>
  <c r="N288" i="3"/>
  <c r="I236" i="3"/>
  <c r="N236" i="3"/>
  <c r="N253" i="3"/>
  <c r="I253" i="3"/>
  <c r="N106" i="3"/>
  <c r="I106" i="3"/>
  <c r="N29" i="3"/>
  <c r="I29" i="3"/>
  <c r="N139" i="3"/>
  <c r="I139" i="3"/>
  <c r="N218" i="3"/>
  <c r="I218" i="3"/>
  <c r="I342" i="3"/>
  <c r="N342" i="3"/>
  <c r="N215" i="2"/>
  <c r="I215" i="2"/>
  <c r="N301" i="2"/>
  <c r="I301" i="2"/>
  <c r="I49" i="2"/>
  <c r="N49" i="2"/>
  <c r="N174" i="2"/>
  <c r="I174" i="2"/>
  <c r="N326" i="2"/>
  <c r="I326" i="2"/>
  <c r="N31" i="2"/>
  <c r="I31" i="2"/>
  <c r="N294" i="2"/>
  <c r="I294" i="2"/>
  <c r="N217" i="2"/>
  <c r="I217" i="2"/>
  <c r="I325" i="2"/>
  <c r="N325" i="2"/>
  <c r="I291" i="2"/>
  <c r="N291" i="2"/>
  <c r="I186" i="2"/>
  <c r="N186" i="2"/>
  <c r="I7" i="2"/>
  <c r="N7" i="2"/>
  <c r="I95" i="2"/>
  <c r="N95" i="2"/>
  <c r="N269" i="2"/>
  <c r="I269" i="2"/>
  <c r="I317" i="2"/>
  <c r="N317" i="2"/>
  <c r="I130" i="2"/>
  <c r="N130" i="2"/>
  <c r="I164" i="2"/>
  <c r="N164" i="2"/>
  <c r="I78" i="2"/>
  <c r="N78" i="2"/>
  <c r="N277" i="2"/>
  <c r="I277" i="2"/>
  <c r="N149" i="2"/>
  <c r="I149" i="2"/>
  <c r="N340" i="2"/>
  <c r="I340" i="2"/>
  <c r="N300" i="2"/>
  <c r="I300" i="2"/>
  <c r="I193" i="2"/>
  <c r="N193" i="2"/>
  <c r="N48" i="2"/>
  <c r="I48" i="2"/>
  <c r="N55" i="2"/>
  <c r="I55" i="2"/>
  <c r="N342" i="2"/>
  <c r="I342" i="2"/>
  <c r="I69" i="2"/>
  <c r="N69" i="2"/>
  <c r="N318" i="2"/>
  <c r="I318" i="2"/>
  <c r="N123" i="2"/>
  <c r="I123" i="2"/>
  <c r="I313" i="2"/>
  <c r="N313" i="2"/>
  <c r="I316" i="2"/>
  <c r="N316" i="2"/>
  <c r="I122" i="2"/>
  <c r="N122" i="2"/>
  <c r="N274" i="2"/>
  <c r="I274" i="2"/>
  <c r="N116" i="2"/>
  <c r="I116" i="2"/>
  <c r="N323" i="2"/>
  <c r="I323" i="2"/>
  <c r="N268" i="2"/>
  <c r="I268" i="2"/>
  <c r="N154" i="2"/>
  <c r="I154" i="2"/>
  <c r="N32" i="2"/>
  <c r="I32" i="2"/>
  <c r="N39" i="2"/>
  <c r="I39" i="2"/>
  <c r="I166" i="2"/>
  <c r="N166" i="2"/>
  <c r="I170" i="2"/>
  <c r="N170" i="2"/>
  <c r="N102" i="2"/>
  <c r="I102" i="2"/>
  <c r="I146" i="2"/>
  <c r="N146" i="2"/>
  <c r="N297" i="2"/>
  <c r="I297" i="2"/>
  <c r="N106" i="2"/>
  <c r="I106" i="2"/>
  <c r="N190" i="2"/>
  <c r="I190" i="2"/>
  <c r="I212" i="2"/>
  <c r="N212" i="2"/>
  <c r="I107" i="2"/>
  <c r="N107" i="2"/>
  <c r="I299" i="2"/>
  <c r="N299" i="2"/>
  <c r="I16" i="2"/>
  <c r="N16" i="2"/>
  <c r="N26" i="2"/>
  <c r="I26" i="2"/>
  <c r="N155" i="2"/>
  <c r="I155" i="2"/>
  <c r="S9" i="3"/>
  <c r="T9" i="3" s="1"/>
  <c r="I89" i="2"/>
  <c r="N89" i="2"/>
  <c r="N261" i="2"/>
  <c r="I261" i="2"/>
  <c r="N84" i="2"/>
  <c r="I84" i="2"/>
  <c r="N239" i="2"/>
  <c r="I239" i="2"/>
  <c r="N126" i="2"/>
  <c r="I126" i="2"/>
  <c r="N182" i="2"/>
  <c r="I182" i="2"/>
  <c r="N319" i="2"/>
  <c r="I319" i="2"/>
  <c r="S6" i="2"/>
  <c r="T6" i="2" s="1"/>
  <c r="I329" i="2"/>
  <c r="N329" i="2"/>
  <c r="N298" i="2"/>
  <c r="I298" i="2"/>
  <c r="I287" i="2"/>
  <c r="N287" i="2"/>
  <c r="I337" i="2"/>
  <c r="N337" i="2"/>
  <c r="K118" i="3" l="1"/>
  <c r="L118" i="3" s="1"/>
  <c r="I345" i="2"/>
  <c r="K2" i="2"/>
  <c r="L2" i="2" s="1"/>
  <c r="S6" i="3"/>
  <c r="T6" i="3" s="1"/>
  <c r="K310" i="2"/>
  <c r="L310" i="2" s="1"/>
  <c r="S10" i="2"/>
  <c r="T10" i="2" s="1"/>
  <c r="N345" i="3"/>
  <c r="S2" i="3"/>
  <c r="S4" i="3"/>
  <c r="T4" i="3" s="1"/>
  <c r="N345" i="2"/>
  <c r="S2" i="2"/>
  <c r="S10" i="3"/>
  <c r="T10" i="3" s="1"/>
  <c r="S5" i="2"/>
  <c r="T5" i="2" s="1"/>
  <c r="K31" i="2"/>
  <c r="L31" i="2" s="1"/>
  <c r="K243" i="3"/>
  <c r="L243" i="3" s="1"/>
  <c r="K254" i="3"/>
  <c r="L254" i="3" s="1"/>
  <c r="S9" i="2"/>
  <c r="T9" i="2" s="1"/>
  <c r="K330" i="2"/>
  <c r="L330" i="2" s="1"/>
  <c r="I345" i="3"/>
  <c r="K2" i="3"/>
  <c r="L2" i="3" s="1"/>
  <c r="K166" i="3"/>
  <c r="L166" i="3" s="1"/>
  <c r="K201" i="3"/>
  <c r="L201" i="3" s="1"/>
  <c r="K31" i="3"/>
  <c r="L31" i="3" s="1"/>
  <c r="K166" i="2"/>
  <c r="L166" i="2" s="1"/>
  <c r="S3" i="2"/>
  <c r="T3" i="2" s="1"/>
  <c r="S7" i="3"/>
  <c r="T7" i="3" s="1"/>
  <c r="S8" i="3"/>
  <c r="T8" i="3" s="1"/>
  <c r="S5" i="3"/>
  <c r="T5" i="3" s="1"/>
  <c r="T2" i="3" l="1"/>
  <c r="S11" i="3"/>
  <c r="T11" i="3" s="1"/>
  <c r="S11" i="2"/>
  <c r="T11" i="2" s="1"/>
  <c r="T2" i="2"/>
</calcChain>
</file>

<file path=xl/sharedStrings.xml><?xml version="1.0" encoding="utf-8"?>
<sst xmlns="http://schemas.openxmlformats.org/spreadsheetml/2006/main" count="1547" uniqueCount="410">
  <si>
    <t>Cuadro Nº 3.01.03.03</t>
  </si>
  <si>
    <t>BOLIVIA: NIÑOS Y NIÑAS MENORES DE CINCO AÑOS CON MALNUTRICIÓN, SEGÚN TRES ÍNDICES ANTROPOMÉTRICOS: TALLA PARA LA EDAD; PESO PARA LA TALLA Y PESO PARA LA EDAD, SEGÚN ÁREA Y DEPARTAMENTO, 2008, 2016 Y 2023</t>
  </si>
  <si>
    <t>(En porcentaje)</t>
  </si>
  <si>
    <t>ÁREA Y DEPARTAMENTO</t>
  </si>
  <si>
    <t>TALLA PARA LA EDAD</t>
  </si>
  <si>
    <t>PESO PARA LA TALLA</t>
  </si>
  <si>
    <t>PESO PARA LA EDAD</t>
  </si>
  <si>
    <t>NÚMERO DE NIÑOS</t>
  </si>
  <si>
    <t>Porcentaje por debajo de  -3 DE</t>
  </si>
  <si>
    <t>Porcentaje por debajo de -2 DE (1)</t>
  </si>
  <si>
    <t>Porcentaje por encima de +2 DE</t>
  </si>
  <si>
    <t>BOLIVIA 2008</t>
  </si>
  <si>
    <t>Urbana</t>
  </si>
  <si>
    <t xml:space="preserve">Rural </t>
  </si>
  <si>
    <t>DEPARTAMENTO</t>
  </si>
  <si>
    <t xml:space="preserve">La Paz </t>
  </si>
  <si>
    <t xml:space="preserve">Oruro </t>
  </si>
  <si>
    <t xml:space="preserve">Potosí </t>
  </si>
  <si>
    <t xml:space="preserve">Chuquisaca </t>
  </si>
  <si>
    <t xml:space="preserve">Cochabamba </t>
  </si>
  <si>
    <t xml:space="preserve">Tarija </t>
  </si>
  <si>
    <t xml:space="preserve">Santa Cruz </t>
  </si>
  <si>
    <t>Beni</t>
  </si>
  <si>
    <t>Pando</t>
  </si>
  <si>
    <t>BOLIVIA 2016</t>
  </si>
  <si>
    <t xml:space="preserve">Pando </t>
  </si>
  <si>
    <t>BOLIVIA 2023</t>
  </si>
  <si>
    <t>Fuente: Ministerio de Salud - Encuesta Nacional de Demografía y Salud 2003 y 2008</t>
  </si>
  <si>
    <t>Instituto Nacional de Estadística - Encuesta de Demografia y Salud 2016 y 2023</t>
  </si>
  <si>
    <t>(*) Con coeficiente de variación superior a 20% emplearlo solo de forma referencial</t>
  </si>
  <si>
    <t>Nota: El cuadro está basado en niños y niñas que durmieron en el hogar la noche anterior a la entrevista. Cada índice se expresa en términos del número de desviaciones estándar (DE) de la mediana de los patrones internacionales de crecimiento establecidos por la Organización Mundial de la Salud (OMS). El cuadro está basado en niños y niñas con información válida para la fecha de nacimiento (mes y año), en el peso y la talla.</t>
  </si>
  <si>
    <t>(1) Incluye niños y niñas que están -3 desviaciones estándar (DE) por debajo de la mediana de los patrones de crecimiento.</t>
  </si>
  <si>
    <t>id</t>
  </si>
  <si>
    <t>Municipio</t>
  </si>
  <si>
    <t>Población 2008</t>
  </si>
  <si>
    <t>Tasa de urbanización 2008</t>
  </si>
  <si>
    <t>Porcentaje de menores de 5 años con desnutrición cróncia, 2008 (%) (por departamento)</t>
  </si>
  <si>
    <t>Porcentaje de menores de 5 años con desnutrición cróncia, (%) 2008 (por urbanización)</t>
  </si>
  <si>
    <t>Ponderaciones por urbanización</t>
  </si>
  <si>
    <t>Porcentaje de menores de 5 años con desnutrición crónica, 2008 (%) (ponderado por departamento y nivel de urbanización)</t>
  </si>
  <si>
    <t>Check: Numero abs</t>
  </si>
  <si>
    <t>Check: Pop dep</t>
  </si>
  <si>
    <t>Check: Desn. Dep</t>
  </si>
  <si>
    <t>Check</t>
  </si>
  <si>
    <t>Estimación menores de 5 años, 2008</t>
  </si>
  <si>
    <t>Menores de 5 años con desnutrición crónica, 2008 (ponderado por departamento y nivel de urbanización)</t>
  </si>
  <si>
    <t>Departamento</t>
  </si>
  <si>
    <t>Sucre</t>
  </si>
  <si>
    <t>Urbana (Urb=100)</t>
  </si>
  <si>
    <t>Chuquisaca</t>
  </si>
  <si>
    <t>Yotala</t>
  </si>
  <si>
    <t>Rural (Urb=0)</t>
  </si>
  <si>
    <t>La Paz</t>
  </si>
  <si>
    <t>Poroma</t>
  </si>
  <si>
    <t>Pendiente</t>
  </si>
  <si>
    <t>Cochabamba</t>
  </si>
  <si>
    <t>Azurduy</t>
  </si>
  <si>
    <t>Oruro</t>
  </si>
  <si>
    <t>Tarvita</t>
  </si>
  <si>
    <t>Potosí</t>
  </si>
  <si>
    <t>Zudáñez</t>
  </si>
  <si>
    <t>Tarija</t>
  </si>
  <si>
    <t>Presto</t>
  </si>
  <si>
    <t>Santa Cruz</t>
  </si>
  <si>
    <t>Mojocoya</t>
  </si>
  <si>
    <t>Icla</t>
  </si>
  <si>
    <t>Padilla</t>
  </si>
  <si>
    <t>Bolivia</t>
  </si>
  <si>
    <t>Tomina</t>
  </si>
  <si>
    <t>Sopachuy</t>
  </si>
  <si>
    <t>Alcalá</t>
  </si>
  <si>
    <t>El Villar</t>
  </si>
  <si>
    <t>Monteagudo</t>
  </si>
  <si>
    <t>Huacareta</t>
  </si>
  <si>
    <t>Tarabuco</t>
  </si>
  <si>
    <t>Yamparáez</t>
  </si>
  <si>
    <t>Camargo</t>
  </si>
  <si>
    <t>San Lucas</t>
  </si>
  <si>
    <t>Incahuasi</t>
  </si>
  <si>
    <t>Villa Charcas</t>
  </si>
  <si>
    <t>Villa Serrano</t>
  </si>
  <si>
    <t>Villa Abecia</t>
  </si>
  <si>
    <t>Culpina</t>
  </si>
  <si>
    <t>Las Carreras</t>
  </si>
  <si>
    <t>Villa Vaca Guzmán</t>
  </si>
  <si>
    <t>Huacaya (Autonomía Guaraní Chaqueño de Huacaya)</t>
  </si>
  <si>
    <t>Macharetí</t>
  </si>
  <si>
    <t>Nuestra Señora de La Paz</t>
  </si>
  <si>
    <t>Palca</t>
  </si>
  <si>
    <t>Mecapaca</t>
  </si>
  <si>
    <t>Achocalla</t>
  </si>
  <si>
    <t>El Alto</t>
  </si>
  <si>
    <t>Achacachi</t>
  </si>
  <si>
    <t>Villa Ancoraimes</t>
  </si>
  <si>
    <t>Chua Cocani</t>
  </si>
  <si>
    <t>Huarina</t>
  </si>
  <si>
    <t>Santiago de Huata</t>
  </si>
  <si>
    <t>Huatajata</t>
  </si>
  <si>
    <t>Corocoro</t>
  </si>
  <si>
    <t>Caquiaviri</t>
  </si>
  <si>
    <t>Calacoto</t>
  </si>
  <si>
    <t>Comanche</t>
  </si>
  <si>
    <t>Charaña</t>
  </si>
  <si>
    <t>Waldo Ballivián</t>
  </si>
  <si>
    <t>Nazacara de Pacajes</t>
  </si>
  <si>
    <t>Santiago de Callapa</t>
  </si>
  <si>
    <t>Puerto Acosta</t>
  </si>
  <si>
    <t>Mocomoco</t>
  </si>
  <si>
    <t>Puerto Mayor de Carabuco</t>
  </si>
  <si>
    <t>Humanata</t>
  </si>
  <si>
    <t>Escoma</t>
  </si>
  <si>
    <t>Chuma</t>
  </si>
  <si>
    <t>Ayata</t>
  </si>
  <si>
    <t>Aucapata</t>
  </si>
  <si>
    <t>Sorata</t>
  </si>
  <si>
    <t>Guanay</t>
  </si>
  <si>
    <t>Tacacoma</t>
  </si>
  <si>
    <t>Quiabaya</t>
  </si>
  <si>
    <t>Combaya</t>
  </si>
  <si>
    <t>Tipuani</t>
  </si>
  <si>
    <t>Mapiri</t>
  </si>
  <si>
    <t>Teoponte</t>
  </si>
  <si>
    <t>Apolo</t>
  </si>
  <si>
    <t>Pelechuco</t>
  </si>
  <si>
    <t>Viacha</t>
  </si>
  <si>
    <t>Puerto Mayor de Guaqui</t>
  </si>
  <si>
    <t>Tiahuanacu</t>
  </si>
  <si>
    <t>Desaguadero</t>
  </si>
  <si>
    <t>La (Marka) San Andrés de Machaca</t>
  </si>
  <si>
    <t>Jesús de Machaka</t>
  </si>
  <si>
    <t>Taraco</t>
  </si>
  <si>
    <t>Luribay</t>
  </si>
  <si>
    <t>Sapahaqui</t>
  </si>
  <si>
    <t>Yaco</t>
  </si>
  <si>
    <t>Malla</t>
  </si>
  <si>
    <t>Cairoma</t>
  </si>
  <si>
    <t>Inquisivi</t>
  </si>
  <si>
    <t>Quime</t>
  </si>
  <si>
    <t>Cajuata</t>
  </si>
  <si>
    <t>Colquiri</t>
  </si>
  <si>
    <t>Ichoca</t>
  </si>
  <si>
    <t>Villa Libertad Licoma</t>
  </si>
  <si>
    <t>Chulumani</t>
  </si>
  <si>
    <t>Irupana</t>
  </si>
  <si>
    <t>Yanacachi</t>
  </si>
  <si>
    <t>Palos Blancos</t>
  </si>
  <si>
    <t>La Asunta</t>
  </si>
  <si>
    <t>Pucarani</t>
  </si>
  <si>
    <t>Laja</t>
  </si>
  <si>
    <t>Batallas</t>
  </si>
  <si>
    <t>Puerto Pérez</t>
  </si>
  <si>
    <t>Sicasica</t>
  </si>
  <si>
    <t>Umala</t>
  </si>
  <si>
    <t>Ayo Ayo</t>
  </si>
  <si>
    <t>Calamarca</t>
  </si>
  <si>
    <t>Patacamaya</t>
  </si>
  <si>
    <t>Colquencha</t>
  </si>
  <si>
    <t>Collana</t>
  </si>
  <si>
    <t>Coroico</t>
  </si>
  <si>
    <t>Coripata</t>
  </si>
  <si>
    <t>Ixiamas</t>
  </si>
  <si>
    <t>San Buenaventura</t>
  </si>
  <si>
    <t>Charazani</t>
  </si>
  <si>
    <t>Curva</t>
  </si>
  <si>
    <t>Copacabana</t>
  </si>
  <si>
    <t>San Pedro de Tiquina</t>
  </si>
  <si>
    <t>Tito Yupanqui</t>
  </si>
  <si>
    <t>San Pedro de Curahuara</t>
  </si>
  <si>
    <t>Papel Pampa</t>
  </si>
  <si>
    <t>Chacarilla</t>
  </si>
  <si>
    <t>Santiago de Machaca</t>
  </si>
  <si>
    <t>Catacora</t>
  </si>
  <si>
    <t>Caranavi</t>
  </si>
  <si>
    <t>Alto Beni</t>
  </si>
  <si>
    <t>Aiquile</t>
  </si>
  <si>
    <t>Pasorapa</t>
  </si>
  <si>
    <t>Omereque</t>
  </si>
  <si>
    <t>Ayopaya</t>
  </si>
  <si>
    <t>Morochata</t>
  </si>
  <si>
    <t>Cocapata</t>
  </si>
  <si>
    <t>Tarata</t>
  </si>
  <si>
    <t>Anzaldo</t>
  </si>
  <si>
    <t>Arbieto</t>
  </si>
  <si>
    <t>Sacabamba</t>
  </si>
  <si>
    <t>Arani</t>
  </si>
  <si>
    <t>Vacas</t>
  </si>
  <si>
    <t>Arque</t>
  </si>
  <si>
    <t>Tacopaya</t>
  </si>
  <si>
    <t>Capinota</t>
  </si>
  <si>
    <t>Santiváñez</t>
  </si>
  <si>
    <t>Sicaya</t>
  </si>
  <si>
    <t>Cliza</t>
  </si>
  <si>
    <t>Toco</t>
  </si>
  <si>
    <t>Tolata</t>
  </si>
  <si>
    <t>Quillacollo</t>
  </si>
  <si>
    <t>Sipesipe</t>
  </si>
  <si>
    <t>Tiquipaya</t>
  </si>
  <si>
    <t>Vinto</t>
  </si>
  <si>
    <t>Colcapirhua</t>
  </si>
  <si>
    <t>Sacaba</t>
  </si>
  <si>
    <t>Colomi</t>
  </si>
  <si>
    <t>Villa Tunari</t>
  </si>
  <si>
    <t>Tapacarí</t>
  </si>
  <si>
    <t>Totora</t>
  </si>
  <si>
    <t>Pojo</t>
  </si>
  <si>
    <t>Pocona</t>
  </si>
  <si>
    <t>Chimoré</t>
  </si>
  <si>
    <t>Puerto Villarroel</t>
  </si>
  <si>
    <t>Entre Ríos</t>
  </si>
  <si>
    <t>Mizque</t>
  </si>
  <si>
    <t>Vila Vila</t>
  </si>
  <si>
    <t>Alalay</t>
  </si>
  <si>
    <t>TIOC-Raqaypampa</t>
  </si>
  <si>
    <t>Punata</t>
  </si>
  <si>
    <t>Villa Rivero</t>
  </si>
  <si>
    <t>San Benito</t>
  </si>
  <si>
    <t>Tacachi</t>
  </si>
  <si>
    <t>Villa Gualberto Villarroel</t>
  </si>
  <si>
    <t>Bolívar</t>
  </si>
  <si>
    <t>Tiraque</t>
  </si>
  <si>
    <t>Shinahota</t>
  </si>
  <si>
    <t>Caracollo</t>
  </si>
  <si>
    <t>El Choro</t>
  </si>
  <si>
    <t>Paria</t>
  </si>
  <si>
    <t>Challapata</t>
  </si>
  <si>
    <t>Santuario de Quillacas</t>
  </si>
  <si>
    <t>Corque</t>
  </si>
  <si>
    <t>Choquecota</t>
  </si>
  <si>
    <t>Curahuara de Carangas</t>
  </si>
  <si>
    <t>Turco</t>
  </si>
  <si>
    <t>Huachacalla</t>
  </si>
  <si>
    <t>Escara</t>
  </si>
  <si>
    <t>Cruz de Machacamarca</t>
  </si>
  <si>
    <t>Yunguyo del Litoral</t>
  </si>
  <si>
    <t>Esmeralda</t>
  </si>
  <si>
    <t>Poopó</t>
  </si>
  <si>
    <t>Pazña</t>
  </si>
  <si>
    <t>Antequera</t>
  </si>
  <si>
    <t>Huanuni</t>
  </si>
  <si>
    <t>Machacamarca</t>
  </si>
  <si>
    <t>Salinas de Garci Mendoza (Autonomía Indígena Originario Campesina de Salinas)</t>
  </si>
  <si>
    <t>Pampa Aullagas</t>
  </si>
  <si>
    <t>Sabaya</t>
  </si>
  <si>
    <t>Coipasa</t>
  </si>
  <si>
    <t>Uru Chipaya (Nación Originaria Uru Chipaya)</t>
  </si>
  <si>
    <t>Toledo</t>
  </si>
  <si>
    <t>Eucaliptus</t>
  </si>
  <si>
    <t>Andamarca</t>
  </si>
  <si>
    <t>Belén de Andamarca</t>
  </si>
  <si>
    <t>Santiago de Huari</t>
  </si>
  <si>
    <t>La Rivera</t>
  </si>
  <si>
    <t>Todos Santos</t>
  </si>
  <si>
    <t>Carangas</t>
  </si>
  <si>
    <t>Santiago de Huayllamarca</t>
  </si>
  <si>
    <t>Tinguipaya</t>
  </si>
  <si>
    <t>Yocalla</t>
  </si>
  <si>
    <t>Urmiri</t>
  </si>
  <si>
    <t>Uncía</t>
  </si>
  <si>
    <t>Chayanta</t>
  </si>
  <si>
    <t>Llallagua</t>
  </si>
  <si>
    <t>Chuquihuta Ayllu Jucumani</t>
  </si>
  <si>
    <t>Betanzos</t>
  </si>
  <si>
    <t>Chaquí</t>
  </si>
  <si>
    <t>Tacobamba</t>
  </si>
  <si>
    <t>Colquechaca</t>
  </si>
  <si>
    <t>Ravelo</t>
  </si>
  <si>
    <t>Pocoata</t>
  </si>
  <si>
    <t>Ocurí</t>
  </si>
  <si>
    <t>San Pedro de Macha</t>
  </si>
  <si>
    <t>San Pedro</t>
  </si>
  <si>
    <t>Toro Toro</t>
  </si>
  <si>
    <t>Cotagaita</t>
  </si>
  <si>
    <t>Vitichi</t>
  </si>
  <si>
    <t>Sacaca</t>
  </si>
  <si>
    <t>Caripuyo</t>
  </si>
  <si>
    <t>Tupiza</t>
  </si>
  <si>
    <t>Atocha</t>
  </si>
  <si>
    <t>Colcha "K"</t>
  </si>
  <si>
    <t>San Pedro de Quemes</t>
  </si>
  <si>
    <t>San Pablo</t>
  </si>
  <si>
    <t>Mojinete</t>
  </si>
  <si>
    <t>San Antonio de Esmoruco</t>
  </si>
  <si>
    <t>Puna</t>
  </si>
  <si>
    <t>Caiza "D"</t>
  </si>
  <si>
    <t>Ckochas</t>
  </si>
  <si>
    <t>Uyuni</t>
  </si>
  <si>
    <t>Tomave</t>
  </si>
  <si>
    <t>Porco</t>
  </si>
  <si>
    <t>TIOC-Jatun Ayllu Yura</t>
  </si>
  <si>
    <t>Arampampa</t>
  </si>
  <si>
    <t>Acasio</t>
  </si>
  <si>
    <t>Llica</t>
  </si>
  <si>
    <t>Tahua</t>
  </si>
  <si>
    <t>Villazón</t>
  </si>
  <si>
    <t>San Agustín</t>
  </si>
  <si>
    <t>Padcaya</t>
  </si>
  <si>
    <t>Bermejo</t>
  </si>
  <si>
    <t>Yacuiba</t>
  </si>
  <si>
    <t>Caraparí</t>
  </si>
  <si>
    <t>Villa Montes</t>
  </si>
  <si>
    <t>Uriondo</t>
  </si>
  <si>
    <t>Yunchará</t>
  </si>
  <si>
    <t>San Lorenzo</t>
  </si>
  <si>
    <t>El Puente</t>
  </si>
  <si>
    <t>Santa Cruz de la Sierra</t>
  </si>
  <si>
    <t>Cotoca</t>
  </si>
  <si>
    <t>Porongo</t>
  </si>
  <si>
    <t>La Guardia</t>
  </si>
  <si>
    <t>El Torno</t>
  </si>
  <si>
    <t>Warnes</t>
  </si>
  <si>
    <t>Okinawa Uno</t>
  </si>
  <si>
    <t>San Ignacio</t>
  </si>
  <si>
    <t>San Miguel</t>
  </si>
  <si>
    <t>San Rafael</t>
  </si>
  <si>
    <t>Buena Vista</t>
  </si>
  <si>
    <t>San Carlos</t>
  </si>
  <si>
    <t>Yapacaní</t>
  </si>
  <si>
    <t>San Juan</t>
  </si>
  <si>
    <t>San José</t>
  </si>
  <si>
    <t>Pailón</t>
  </si>
  <si>
    <t>Roboré</t>
  </si>
  <si>
    <t>Portachuelo</t>
  </si>
  <si>
    <t>Santa Rosa</t>
  </si>
  <si>
    <t>Colpa Bélgica</t>
  </si>
  <si>
    <t>Lagunillas</t>
  </si>
  <si>
    <t>Charagua (Autonomía Guaraní Charagua Iyambae)</t>
  </si>
  <si>
    <t>Cabezas</t>
  </si>
  <si>
    <t>Cuevo</t>
  </si>
  <si>
    <t>Gutiérrez (Autonomía Indígena Kereimba Iyaambae)</t>
  </si>
  <si>
    <t>Camiri</t>
  </si>
  <si>
    <t>Boyuibe</t>
  </si>
  <si>
    <t>Vallegrande</t>
  </si>
  <si>
    <t>Trigal</t>
  </si>
  <si>
    <t>Moromoro</t>
  </si>
  <si>
    <t>Postrervalle</t>
  </si>
  <si>
    <t>Pucará</t>
  </si>
  <si>
    <t>Samaipata</t>
  </si>
  <si>
    <t>Pampagrande</t>
  </si>
  <si>
    <t>Mairana</t>
  </si>
  <si>
    <t>Quirusillas</t>
  </si>
  <si>
    <t>Montero</t>
  </si>
  <si>
    <t>General Saavedra</t>
  </si>
  <si>
    <t>Mineros</t>
  </si>
  <si>
    <t>Fernández Alonso</t>
  </si>
  <si>
    <t>Concepción</t>
  </si>
  <si>
    <t>San Javier</t>
  </si>
  <si>
    <t>San Ramón</t>
  </si>
  <si>
    <t>San Julián</t>
  </si>
  <si>
    <t>San Antonio de Lomerio</t>
  </si>
  <si>
    <t>Cuatro Cañadas</t>
  </si>
  <si>
    <t>San Matías</t>
  </si>
  <si>
    <t>Comarapa</t>
  </si>
  <si>
    <t>Saipina</t>
  </si>
  <si>
    <t>Puerto Suárez</t>
  </si>
  <si>
    <t>Puerto Quijarro</t>
  </si>
  <si>
    <t>El Carmen Rivero Tórrez</t>
  </si>
  <si>
    <t>Ascención de Guarayos</t>
  </si>
  <si>
    <t>Urubichá</t>
  </si>
  <si>
    <t>Trinidad</t>
  </si>
  <si>
    <t>Riberalta</t>
  </si>
  <si>
    <t>Guayaramerín</t>
  </si>
  <si>
    <t>Reyes</t>
  </si>
  <si>
    <t>San Borja</t>
  </si>
  <si>
    <t>Puerto Menor de Rurrenabaque</t>
  </si>
  <si>
    <t>Santa Ana</t>
  </si>
  <si>
    <t>Exaltación</t>
  </si>
  <si>
    <t>Loreto</t>
  </si>
  <si>
    <t>San Andrés</t>
  </si>
  <si>
    <t>San Joaquín</t>
  </si>
  <si>
    <t>Puerto Siles</t>
  </si>
  <si>
    <t>Magdalena</t>
  </si>
  <si>
    <t>Baures</t>
  </si>
  <si>
    <t>Huacaraje</t>
  </si>
  <si>
    <t>TIOC-Territorio Indígena Multiétnico</t>
  </si>
  <si>
    <t>Cobija</t>
  </si>
  <si>
    <t>Porvenir</t>
  </si>
  <si>
    <t>Bolpebra</t>
  </si>
  <si>
    <t>Bella Flor</t>
  </si>
  <si>
    <t>Puerto Rico</t>
  </si>
  <si>
    <t>Filadelfia</t>
  </si>
  <si>
    <t>Puerto Gonzalo Moreno</t>
  </si>
  <si>
    <t>Sena</t>
  </si>
  <si>
    <t>Ingavi</t>
  </si>
  <si>
    <t>Nueva Esperanza</t>
  </si>
  <si>
    <t>Villa Nueva</t>
  </si>
  <si>
    <t>Santos Mercado</t>
  </si>
  <si>
    <t>Población 2023</t>
  </si>
  <si>
    <t>Tasa de urbanización 2023</t>
  </si>
  <si>
    <t>Porcentaje de menores de 5 años con desnutrición cróncia, 2023 (%) (por departamento)</t>
  </si>
  <si>
    <t>Porcentaje de menores de 5 años con desnutrición cróncia, (%) 2023 (por urbanización)</t>
  </si>
  <si>
    <t>Porcentaje de menores de 5 años con desnutrición crónica, 2023 (%) (ponderado por departamento y nivel de urbanización)</t>
  </si>
  <si>
    <t>Estimación menores de 5 años, 2023</t>
  </si>
  <si>
    <t>Menores de 5 años con desnutrición crónica, 2023 (ponderado por departamento y nivel de urbanización)</t>
  </si>
  <si>
    <t>sdg2_2_desnutricion_menores_2008</t>
  </si>
  <si>
    <t>sdg2_2_desnutricion_menores_2023</t>
  </si>
  <si>
    <t>sdg2_2_desnutricion_menores_abs_2008</t>
  </si>
  <si>
    <t>sdg2_2_desnutricion_menores_abs_2023</t>
  </si>
  <si>
    <t>id_departamento</t>
  </si>
  <si>
    <t>ODS</t>
  </si>
  <si>
    <t>Indicador</t>
  </si>
  <si>
    <t>Meta Alcanzada max</t>
  </si>
  <si>
    <t>Meta Alcanzada min</t>
  </si>
  <si>
    <t>Próximo a Alcanzarse max</t>
  </si>
  <si>
    <t>Próximo a Alcanzarse min</t>
  </si>
  <si>
    <t>Quedan Retos Importantes max</t>
  </si>
  <si>
    <t>Quedan Retos Importantes min</t>
  </si>
  <si>
    <t>Quedan Retos Grandes max</t>
  </si>
  <si>
    <t>Quedan Retos Grandes min</t>
  </si>
  <si>
    <t>Desnutrición crónica niños &lt; 5 años</t>
  </si>
  <si>
    <t>Gran Chaco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</si>
</sst>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Red]#,##0"/>
    <numFmt numFmtId="166" formatCode="0.0&quot;*&quot;"/>
    <numFmt numFmtId="167" formatCode="_-* #,##0_-;\-* #,##0_-;_-* &quot;-&quot;??_-;_-@"/>
    <numFmt numFmtId="168" formatCode="#,##0.0"/>
    <numFmt numFmtId="169" formatCode="0.0%"/>
    <numFmt numFmtId="170" formatCode="_-* #,##0.00_-;\-* #,##0.00_-;_-* &quot;-&quot;??_-;_-@"/>
    <numFmt numFmtId="171" formatCode="_(* #,##0.0_);_(* \(#,##0.0\);_(* &quot;-&quot;??_);_(@_)"/>
  </numFmts>
  <fonts count="16">
    <font>
      <sz val="10"/>
      <color rgb="FF000000"/>
      <name val="Arial"/>
      <scheme val="minor"/>
    </font>
    <font>
      <sz val="10"/>
      <color theme="1"/>
      <name val="Arial"/>
      <family val="2"/>
    </font>
    <font>
      <b/>
      <sz val="10"/>
      <color rgb="FF17223D"/>
      <name val="Arial"/>
      <family val="2"/>
    </font>
    <font>
      <b/>
      <sz val="9"/>
      <color theme="0"/>
      <name val="Arial"/>
      <family val="2"/>
    </font>
    <font>
      <sz val="10"/>
      <name val="Arial"/>
      <family val="2"/>
    </font>
    <font>
      <sz val="9"/>
      <color theme="1"/>
      <name val="Arial"/>
      <family val="2"/>
    </font>
    <font>
      <b/>
      <sz val="9"/>
      <color theme="1"/>
      <name val="Arial"/>
      <family val="2"/>
    </font>
    <font>
      <sz val="8"/>
      <color theme="1"/>
      <name val="Arial"/>
      <family val="2"/>
    </font>
    <font>
      <sz val="10"/>
      <color rgb="FF000080"/>
      <name val="Arial"/>
      <family val="2"/>
    </font>
    <font>
      <sz val="9"/>
      <color rgb="FF000080"/>
      <name val="Arial"/>
      <family val="2"/>
    </font>
    <font>
      <b/>
      <sz val="11"/>
      <color theme="1"/>
      <name val="Calibri"/>
      <family val="2"/>
    </font>
    <font>
      <sz val="11"/>
      <color theme="1"/>
      <name val="Calibri"/>
      <family val="2"/>
    </font>
    <font>
      <sz val="10"/>
      <color theme="1"/>
      <name val="Arial"/>
      <family val="2"/>
      <scheme val="minor"/>
    </font>
    <font>
      <sz val="11"/>
      <color theme="1"/>
      <name val="Arial"/>
      <family val="2"/>
    </font>
    <font>
      <b/>
      <sz val="10"/>
      <color theme="1"/>
      <name val="Arial"/>
      <family val="2"/>
      <scheme val="minor"/>
    </font>
    <font>
      <b/>
      <sz val="9"/>
      <color theme="1"/>
      <name val="&quot;Aptos Display&quot;"/>
    </font>
  </fonts>
  <fills count="13">
    <fill>
      <patternFill patternType="none"/>
    </fill>
    <fill>
      <patternFill patternType="gray125"/>
    </fill>
    <fill>
      <patternFill patternType="solid">
        <fgColor rgb="FF17223D"/>
        <bgColor rgb="FF17223D"/>
      </patternFill>
    </fill>
    <fill>
      <patternFill patternType="solid">
        <fgColor theme="0"/>
        <bgColor theme="0"/>
      </patternFill>
    </fill>
    <fill>
      <patternFill patternType="solid">
        <fgColor rgb="FF44618C"/>
        <bgColor rgb="FF44618C"/>
      </patternFill>
    </fill>
    <fill>
      <patternFill patternType="solid">
        <fgColor rgb="FFC5D9F1"/>
        <bgColor rgb="FFC5D9F1"/>
      </patternFill>
    </fill>
    <fill>
      <patternFill patternType="solid">
        <fgColor rgb="FFE2EFD9"/>
        <bgColor rgb="FFE2EFD9"/>
      </patternFill>
    </fill>
    <fill>
      <patternFill patternType="solid">
        <fgColor rgb="FFF9CB9C"/>
        <bgColor rgb="FFF9CB9C"/>
      </patternFill>
    </fill>
    <fill>
      <patternFill patternType="solid">
        <fgColor rgb="FF808080"/>
        <bgColor rgb="FF808080"/>
      </patternFill>
    </fill>
    <fill>
      <patternFill patternType="solid">
        <fgColor rgb="FF00B050"/>
        <bgColor rgb="FF00B050"/>
      </patternFill>
    </fill>
    <fill>
      <patternFill patternType="solid">
        <fgColor rgb="FFFFFF00"/>
        <bgColor rgb="FFFFFF00"/>
      </patternFill>
    </fill>
    <fill>
      <patternFill patternType="solid">
        <fgColor rgb="FFE97132"/>
        <bgColor rgb="FFE97132"/>
      </patternFill>
    </fill>
    <fill>
      <patternFill patternType="solid">
        <fgColor rgb="FFEE0000"/>
        <bgColor rgb="FFEE0000"/>
      </patternFill>
    </fill>
  </fills>
  <borders count="26">
    <border>
      <left/>
      <right/>
      <top/>
      <bottom/>
      <diagonal/>
    </border>
    <border>
      <left/>
      <right style="thin">
        <color theme="0"/>
      </right>
      <top style="thin">
        <color rgb="FF000000"/>
      </top>
      <bottom/>
      <diagonal/>
    </border>
    <border>
      <left style="thin">
        <color theme="0"/>
      </left>
      <right/>
      <top style="thin">
        <color rgb="FF000000"/>
      </top>
      <bottom style="thin">
        <color theme="0"/>
      </bottom>
      <diagonal/>
    </border>
    <border>
      <left/>
      <right style="thin">
        <color theme="0"/>
      </right>
      <top style="thin">
        <color rgb="FF000000"/>
      </top>
      <bottom style="thin">
        <color theme="0"/>
      </bottom>
      <diagonal/>
    </border>
    <border>
      <left/>
      <right/>
      <top style="thin">
        <color rgb="FF000000"/>
      </top>
      <bottom style="thin">
        <color theme="0"/>
      </bottom>
      <diagonal/>
    </border>
    <border>
      <left style="thin">
        <color theme="0"/>
      </left>
      <right style="thin">
        <color rgb="FF000000"/>
      </right>
      <top style="thin">
        <color rgb="FF000000"/>
      </top>
      <bottom/>
      <diagonal/>
    </border>
    <border>
      <left/>
      <right style="thin">
        <color theme="0"/>
      </right>
      <top/>
      <bottom/>
      <diagonal/>
    </border>
    <border>
      <left style="thin">
        <color theme="0"/>
      </left>
      <right style="thin">
        <color theme="0"/>
      </right>
      <top style="thin">
        <color theme="0"/>
      </top>
      <bottom/>
      <diagonal/>
    </border>
    <border>
      <left style="thin">
        <color theme="0"/>
      </left>
      <right style="thin">
        <color rgb="FF000000"/>
      </right>
      <top/>
      <bottom/>
      <diagonal/>
    </border>
    <border>
      <left style="thin">
        <color theme="1"/>
      </left>
      <right style="thin">
        <color theme="1"/>
      </right>
      <top/>
      <bottom/>
      <diagonal/>
    </border>
    <border>
      <left/>
      <right/>
      <top/>
      <bottom/>
      <diagonal/>
    </border>
    <border>
      <left style="thin">
        <color theme="1"/>
      </left>
      <right style="thin">
        <color theme="1"/>
      </right>
      <top/>
      <bottom/>
      <diagonal/>
    </border>
    <border>
      <left style="thin">
        <color theme="1"/>
      </left>
      <right style="thin">
        <color theme="1"/>
      </right>
      <top/>
      <bottom style="thin">
        <color theme="1"/>
      </bottom>
      <diagonal/>
    </border>
    <border>
      <left style="thin">
        <color theme="1"/>
      </left>
      <right style="thin">
        <color theme="1"/>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9">
    <xf numFmtId="0" fontId="0" fillId="0" borderId="0" xfId="0"/>
    <xf numFmtId="0" fontId="1" fillId="0" borderId="0" xfId="0" applyFont="1"/>
    <xf numFmtId="0" fontId="2" fillId="0" borderId="0" xfId="0" applyFont="1" applyAlignment="1">
      <alignment horizontal="left"/>
    </xf>
    <xf numFmtId="0" fontId="2" fillId="0" borderId="0" xfId="0" applyFont="1"/>
    <xf numFmtId="0" fontId="2" fillId="0" borderId="0" xfId="0" applyFont="1" applyAlignment="1">
      <alignment horizontal="left" wrapText="1"/>
    </xf>
    <xf numFmtId="0" fontId="3" fillId="2" borderId="7"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1" fillId="3" borderId="10" xfId="0" applyFont="1" applyFill="1" applyBorder="1"/>
    <xf numFmtId="0" fontId="3" fillId="4" borderId="9" xfId="0" applyFont="1" applyFill="1" applyBorder="1" applyAlignment="1">
      <alignment horizontal="left"/>
    </xf>
    <xf numFmtId="0" fontId="3" fillId="4" borderId="9" xfId="0" applyFont="1" applyFill="1" applyBorder="1" applyAlignment="1">
      <alignment horizontal="center"/>
    </xf>
    <xf numFmtId="3" fontId="3" fillId="4" borderId="9" xfId="0" applyNumberFormat="1" applyFont="1" applyFill="1" applyBorder="1" applyAlignment="1">
      <alignment horizontal="right"/>
    </xf>
    <xf numFmtId="0" fontId="5" fillId="0" borderId="11" xfId="0" applyFont="1" applyBorder="1" applyAlignment="1">
      <alignment horizontal="left"/>
    </xf>
    <xf numFmtId="164" fontId="5" fillId="0" borderId="11" xfId="0" applyNumberFormat="1" applyFont="1" applyBorder="1" applyAlignment="1">
      <alignment horizontal="center"/>
    </xf>
    <xf numFmtId="165" fontId="5" fillId="0" borderId="11" xfId="0" applyNumberFormat="1" applyFont="1" applyBorder="1" applyAlignment="1">
      <alignment horizontal="right"/>
    </xf>
    <xf numFmtId="0" fontId="6" fillId="5" borderId="9" xfId="0" applyFont="1" applyFill="1" applyBorder="1" applyAlignment="1">
      <alignment horizontal="left"/>
    </xf>
    <xf numFmtId="0" fontId="6" fillId="5" borderId="9" xfId="0" applyFont="1" applyFill="1" applyBorder="1" applyAlignment="1">
      <alignment horizontal="center"/>
    </xf>
    <xf numFmtId="164" fontId="6" fillId="5" borderId="9" xfId="0" applyNumberFormat="1" applyFont="1" applyFill="1" applyBorder="1" applyAlignment="1">
      <alignment horizontal="center"/>
    </xf>
    <xf numFmtId="165" fontId="6" fillId="5" borderId="9" xfId="0" applyNumberFormat="1" applyFont="1" applyFill="1" applyBorder="1" applyAlignment="1">
      <alignment horizontal="right"/>
    </xf>
    <xf numFmtId="0" fontId="5" fillId="0" borderId="11" xfId="0" applyFont="1" applyBorder="1" applyAlignment="1">
      <alignment horizontal="left" wrapText="1"/>
    </xf>
    <xf numFmtId="164" fontId="3" fillId="4" borderId="9" xfId="0" applyNumberFormat="1" applyFont="1" applyFill="1" applyBorder="1" applyAlignment="1">
      <alignment horizontal="center"/>
    </xf>
    <xf numFmtId="166" fontId="3" fillId="4" borderId="9" xfId="0" applyNumberFormat="1" applyFont="1" applyFill="1" applyBorder="1" applyAlignment="1">
      <alignment horizontal="center"/>
    </xf>
    <xf numFmtId="166" fontId="5" fillId="0" borderId="11" xfId="0" applyNumberFormat="1" applyFont="1" applyBorder="1" applyAlignment="1">
      <alignment horizontal="center"/>
    </xf>
    <xf numFmtId="0" fontId="5" fillId="0" borderId="12" xfId="0" applyFont="1" applyBorder="1" applyAlignment="1">
      <alignment horizontal="left" wrapText="1"/>
    </xf>
    <xf numFmtId="166" fontId="5" fillId="0" borderId="13" xfId="0" applyNumberFormat="1" applyFont="1" applyBorder="1" applyAlignment="1">
      <alignment horizontal="center"/>
    </xf>
    <xf numFmtId="166" fontId="5" fillId="0" borderId="12" xfId="0" applyNumberFormat="1" applyFont="1" applyBorder="1" applyAlignment="1">
      <alignment horizontal="center"/>
    </xf>
    <xf numFmtId="165" fontId="5" fillId="0" borderId="12" xfId="0" applyNumberFormat="1" applyFont="1" applyBorder="1" applyAlignment="1">
      <alignment horizontal="right"/>
    </xf>
    <xf numFmtId="164" fontId="1" fillId="0" borderId="0" xfId="0" applyNumberFormat="1" applyFont="1"/>
    <xf numFmtId="164" fontId="5" fillId="0" borderId="12" xfId="0" applyNumberFormat="1" applyFont="1" applyBorder="1" applyAlignment="1">
      <alignment horizontal="center"/>
    </xf>
    <xf numFmtId="0" fontId="7" fillId="0" borderId="0" xfId="0" applyFont="1" applyAlignment="1">
      <alignment horizontal="left"/>
    </xf>
    <xf numFmtId="0" fontId="7" fillId="0" borderId="0" xfId="0" quotePrefix="1" applyFont="1" applyAlignment="1">
      <alignment horizontal="left"/>
    </xf>
    <xf numFmtId="0" fontId="8" fillId="0" borderId="0" xfId="0" applyFont="1" applyAlignment="1">
      <alignment horizontal="left" vertical="center" wrapText="1"/>
    </xf>
    <xf numFmtId="0" fontId="9" fillId="0" borderId="0" xfId="0" applyFont="1" applyAlignment="1">
      <alignment horizontal="left"/>
    </xf>
    <xf numFmtId="0" fontId="9" fillId="0" borderId="0" xfId="0" applyFont="1"/>
    <xf numFmtId="0" fontId="10" fillId="0" borderId="14" xfId="0" applyFont="1" applyBorder="1" applyAlignment="1">
      <alignment horizontal="center" vertical="top" wrapText="1"/>
    </xf>
    <xf numFmtId="167" fontId="10" fillId="0" borderId="14" xfId="0" applyNumberFormat="1" applyFont="1" applyBorder="1" applyAlignment="1">
      <alignment horizontal="center" vertical="top" wrapText="1"/>
    </xf>
    <xf numFmtId="168" fontId="10" fillId="0" borderId="14" xfId="0" applyNumberFormat="1" applyFont="1" applyBorder="1" applyAlignment="1">
      <alignment horizontal="center" vertical="top" wrapText="1"/>
    </xf>
    <xf numFmtId="0" fontId="10" fillId="6" borderId="14" xfId="0" applyFont="1" applyFill="1" applyBorder="1" applyAlignment="1">
      <alignment horizontal="center" vertical="top" wrapText="1"/>
    </xf>
    <xf numFmtId="3" fontId="10" fillId="0" borderId="14" xfId="0" applyNumberFormat="1" applyFont="1" applyBorder="1" applyAlignment="1">
      <alignment horizontal="center" vertical="top" wrapText="1"/>
    </xf>
    <xf numFmtId="169" fontId="10" fillId="0" borderId="14" xfId="0" applyNumberFormat="1" applyFont="1" applyBorder="1" applyAlignment="1">
      <alignment horizontal="center" vertical="top" wrapText="1"/>
    </xf>
    <xf numFmtId="0" fontId="10" fillId="0" borderId="14" xfId="0" applyFont="1" applyBorder="1" applyAlignment="1">
      <alignment vertical="top" wrapText="1"/>
    </xf>
    <xf numFmtId="0" fontId="11" fillId="0" borderId="0" xfId="0" applyFont="1"/>
    <xf numFmtId="0" fontId="10" fillId="0" borderId="14" xfId="0" applyFont="1" applyBorder="1" applyAlignment="1">
      <alignment wrapText="1"/>
    </xf>
    <xf numFmtId="0" fontId="12" fillId="0" borderId="14" xfId="0" applyFont="1" applyBorder="1"/>
    <xf numFmtId="167" fontId="11" fillId="0" borderId="14" xfId="0" applyNumberFormat="1" applyFont="1" applyBorder="1" applyAlignment="1">
      <alignment horizontal="right"/>
    </xf>
    <xf numFmtId="168" fontId="11" fillId="0" borderId="14" xfId="0" applyNumberFormat="1" applyFont="1" applyBorder="1" applyAlignment="1">
      <alignment horizontal="right"/>
    </xf>
    <xf numFmtId="164" fontId="12" fillId="0" borderId="14" xfId="0" applyNumberFormat="1" applyFont="1" applyBorder="1"/>
    <xf numFmtId="164" fontId="11" fillId="0" borderId="14" xfId="0" applyNumberFormat="1" applyFont="1" applyBorder="1"/>
    <xf numFmtId="164" fontId="11" fillId="6" borderId="14" xfId="0" applyNumberFormat="1" applyFont="1" applyFill="1" applyBorder="1"/>
    <xf numFmtId="170" fontId="11" fillId="0" borderId="14" xfId="0" applyNumberFormat="1" applyFont="1" applyBorder="1" applyAlignment="1">
      <alignment horizontal="right"/>
    </xf>
    <xf numFmtId="3" fontId="11" fillId="0" borderId="14" xfId="0" applyNumberFormat="1" applyFont="1" applyBorder="1" applyAlignment="1">
      <alignment horizontal="right"/>
    </xf>
    <xf numFmtId="169" fontId="11" fillId="0" borderId="14" xfId="0" applyNumberFormat="1" applyFont="1" applyBorder="1" applyAlignment="1">
      <alignment horizontal="right"/>
    </xf>
    <xf numFmtId="0" fontId="12" fillId="7" borderId="15" xfId="0" applyFont="1" applyFill="1" applyBorder="1"/>
    <xf numFmtId="164" fontId="12" fillId="7" borderId="16" xfId="0" applyNumberFormat="1" applyFont="1" applyFill="1" applyBorder="1"/>
    <xf numFmtId="0" fontId="11" fillId="0" borderId="14" xfId="0" applyFont="1" applyBorder="1"/>
    <xf numFmtId="171" fontId="11" fillId="0" borderId="14" xfId="0" applyNumberFormat="1" applyFont="1" applyBorder="1" applyAlignment="1">
      <alignment horizontal="right"/>
    </xf>
    <xf numFmtId="3" fontId="13" fillId="0" borderId="14" xfId="0" applyNumberFormat="1" applyFont="1" applyBorder="1"/>
    <xf numFmtId="169" fontId="13" fillId="0" borderId="14" xfId="0" applyNumberFormat="1" applyFont="1" applyBorder="1"/>
    <xf numFmtId="0" fontId="12" fillId="7" borderId="17" xfId="0" applyFont="1" applyFill="1" applyBorder="1"/>
    <xf numFmtId="164" fontId="12" fillId="7" borderId="18" xfId="0" applyNumberFormat="1" applyFont="1" applyFill="1" applyBorder="1"/>
    <xf numFmtId="0" fontId="12" fillId="7" borderId="19" xfId="0" applyFont="1" applyFill="1" applyBorder="1"/>
    <xf numFmtId="0" fontId="12" fillId="7" borderId="20" xfId="0" applyFont="1" applyFill="1" applyBorder="1"/>
    <xf numFmtId="3" fontId="11" fillId="0" borderId="14" xfId="0" applyNumberFormat="1" applyFont="1" applyBorder="1"/>
    <xf numFmtId="168" fontId="11" fillId="0" borderId="14" xfId="0" applyNumberFormat="1" applyFont="1" applyBorder="1"/>
    <xf numFmtId="0" fontId="12" fillId="0" borderId="21" xfId="0" applyFont="1" applyBorder="1"/>
    <xf numFmtId="3" fontId="11" fillId="0" borderId="21" xfId="0" applyNumberFormat="1" applyFont="1" applyBorder="1"/>
    <xf numFmtId="168" fontId="11" fillId="0" borderId="21" xfId="0" applyNumberFormat="1" applyFont="1" applyBorder="1"/>
    <xf numFmtId="164" fontId="11" fillId="6" borderId="21" xfId="0" applyNumberFormat="1" applyFont="1" applyFill="1" applyBorder="1"/>
    <xf numFmtId="170" fontId="11" fillId="0" borderId="21" xfId="0" applyNumberFormat="1" applyFont="1" applyBorder="1" applyAlignment="1">
      <alignment horizontal="right"/>
    </xf>
    <xf numFmtId="168" fontId="11" fillId="0" borderId="21" xfId="0" applyNumberFormat="1" applyFont="1" applyBorder="1" applyAlignment="1">
      <alignment horizontal="right"/>
    </xf>
    <xf numFmtId="3" fontId="13" fillId="0" borderId="21" xfId="0" applyNumberFormat="1" applyFont="1" applyBorder="1"/>
    <xf numFmtId="169" fontId="13" fillId="0" borderId="21" xfId="0" applyNumberFormat="1" applyFont="1" applyBorder="1"/>
    <xf numFmtId="167" fontId="11" fillId="0" borderId="21" xfId="0" applyNumberFormat="1" applyFont="1" applyBorder="1" applyAlignment="1">
      <alignment horizontal="right"/>
    </xf>
    <xf numFmtId="0" fontId="12" fillId="0" borderId="22" xfId="0" applyFont="1" applyBorder="1"/>
    <xf numFmtId="3" fontId="10" fillId="0" borderId="23" xfId="0" applyNumberFormat="1" applyFont="1" applyBorder="1"/>
    <xf numFmtId="168" fontId="10" fillId="0" borderId="23" xfId="0" applyNumberFormat="1" applyFont="1" applyBorder="1"/>
    <xf numFmtId="0" fontId="14" fillId="0" borderId="23" xfId="0" applyFont="1" applyBorder="1"/>
    <xf numFmtId="164" fontId="11" fillId="0" borderId="23" xfId="0" applyNumberFormat="1" applyFont="1" applyBorder="1"/>
    <xf numFmtId="0" fontId="12" fillId="0" borderId="23" xfId="0" applyFont="1" applyBorder="1"/>
    <xf numFmtId="164" fontId="12" fillId="0" borderId="23" xfId="0" applyNumberFormat="1" applyFont="1" applyBorder="1"/>
    <xf numFmtId="170" fontId="12" fillId="0" borderId="23" xfId="0" applyNumberFormat="1" applyFont="1" applyBorder="1"/>
    <xf numFmtId="168" fontId="11" fillId="0" borderId="23" xfId="0" applyNumberFormat="1" applyFont="1" applyBorder="1" applyAlignment="1">
      <alignment horizontal="right"/>
    </xf>
    <xf numFmtId="3" fontId="13" fillId="0" borderId="23" xfId="0" applyNumberFormat="1" applyFont="1" applyBorder="1"/>
    <xf numFmtId="169" fontId="13" fillId="0" borderId="23" xfId="0" applyNumberFormat="1" applyFont="1" applyBorder="1"/>
    <xf numFmtId="3" fontId="11" fillId="0" borderId="23" xfId="0" applyNumberFormat="1" applyFont="1" applyBorder="1"/>
    <xf numFmtId="167" fontId="11" fillId="0" borderId="24" xfId="0" applyNumberFormat="1" applyFont="1" applyBorder="1"/>
    <xf numFmtId="168" fontId="11" fillId="0" borderId="0" xfId="0" applyNumberFormat="1" applyFont="1"/>
    <xf numFmtId="3" fontId="13" fillId="0" borderId="0" xfId="0" applyNumberFormat="1" applyFont="1"/>
    <xf numFmtId="169" fontId="13" fillId="0" borderId="0" xfId="0" applyNumberFormat="1" applyFont="1"/>
    <xf numFmtId="0" fontId="14" fillId="0" borderId="14" xfId="0" applyFont="1" applyBorder="1" applyAlignment="1">
      <alignment wrapText="1"/>
    </xf>
    <xf numFmtId="0" fontId="12" fillId="0" borderId="0" xfId="0" applyFont="1"/>
    <xf numFmtId="164" fontId="12" fillId="0" borderId="0" xfId="0" applyNumberFormat="1" applyFont="1"/>
    <xf numFmtId="0" fontId="14" fillId="0" borderId="0" xfId="0" applyFont="1" applyAlignment="1">
      <alignment wrapText="1"/>
    </xf>
    <xf numFmtId="167" fontId="12" fillId="0" borderId="14" xfId="0" applyNumberFormat="1" applyFont="1" applyBorder="1"/>
    <xf numFmtId="167" fontId="12" fillId="0" borderId="0" xfId="0" applyNumberFormat="1" applyFont="1"/>
    <xf numFmtId="0" fontId="14" fillId="0" borderId="14" xfId="0" applyFont="1" applyBorder="1"/>
    <xf numFmtId="0" fontId="14" fillId="0" borderId="0" xfId="0" applyFont="1"/>
    <xf numFmtId="171" fontId="12" fillId="0" borderId="14" xfId="0" applyNumberFormat="1" applyFont="1" applyBorder="1"/>
    <xf numFmtId="0" fontId="10" fillId="8" borderId="14" xfId="0" applyFont="1" applyFill="1" applyBorder="1" applyAlignment="1">
      <alignment vertical="center" wrapText="1"/>
    </xf>
    <xf numFmtId="0" fontId="15" fillId="9" borderId="14" xfId="0" applyFont="1" applyFill="1" applyBorder="1" applyAlignment="1">
      <alignment horizontal="center" vertical="center" wrapText="1"/>
    </xf>
    <xf numFmtId="0" fontId="15" fillId="10" borderId="14" xfId="0" applyFont="1" applyFill="1" applyBorder="1" applyAlignment="1">
      <alignment horizontal="center" vertical="center" wrapText="1"/>
    </xf>
    <xf numFmtId="0" fontId="15" fillId="11" borderId="14" xfId="0" applyFont="1" applyFill="1" applyBorder="1" applyAlignment="1">
      <alignment horizontal="center" vertical="center" wrapText="1"/>
    </xf>
    <xf numFmtId="0" fontId="15" fillId="12" borderId="14" xfId="0" applyFont="1" applyFill="1" applyBorder="1" applyAlignment="1">
      <alignment horizontal="center" vertical="center" wrapText="1"/>
    </xf>
    <xf numFmtId="0" fontId="11" fillId="0" borderId="14" xfId="0" applyFont="1" applyBorder="1" applyAlignment="1">
      <alignment horizontal="right" vertical="center" wrapText="1"/>
    </xf>
    <xf numFmtId="0" fontId="11" fillId="0" borderId="14" xfId="0" applyFont="1" applyBorder="1" applyAlignment="1">
      <alignment vertical="center" wrapText="1"/>
    </xf>
    <xf numFmtId="0" fontId="12" fillId="0" borderId="0" xfId="0" applyFont="1" applyAlignment="1">
      <alignment vertical="center" wrapText="1"/>
    </xf>
    <xf numFmtId="0" fontId="11" fillId="0" borderId="0" xfId="0" applyFont="1" applyAlignment="1">
      <alignment wrapText="1"/>
    </xf>
    <xf numFmtId="0" fontId="0" fillId="0" borderId="0" xfId="0" applyAlignment="1">
      <alignment wrapText="1"/>
    </xf>
    <xf numFmtId="0" fontId="7" fillId="0" borderId="0" xfId="0" applyFont="1" applyAlignment="1">
      <alignment horizontal="left"/>
    </xf>
    <xf numFmtId="0" fontId="0" fillId="0" borderId="0" xfId="0"/>
    <xf numFmtId="0" fontId="7" fillId="0" borderId="0" xfId="0" applyFont="1" applyAlignment="1">
      <alignment horizontal="left" wrapText="1"/>
    </xf>
    <xf numFmtId="0" fontId="8" fillId="0" borderId="0" xfId="0" applyFont="1" applyAlignment="1">
      <alignment horizontal="left" vertical="center" wrapText="1"/>
    </xf>
    <xf numFmtId="0" fontId="2" fillId="0" borderId="0" xfId="0" applyFont="1" applyAlignment="1">
      <alignment horizontal="left" wrapText="1"/>
    </xf>
    <xf numFmtId="0" fontId="3" fillId="2" borderId="1" xfId="0" applyFont="1" applyFill="1" applyBorder="1" applyAlignment="1">
      <alignment horizontal="center" vertical="center" wrapText="1"/>
    </xf>
    <xf numFmtId="0" fontId="4" fillId="0" borderId="6" xfId="0" applyFont="1" applyBorder="1"/>
    <xf numFmtId="0" fontId="3" fillId="2" borderId="2" xfId="0" applyFont="1" applyFill="1" applyBorder="1" applyAlignment="1">
      <alignment horizontal="center" vertical="center" wrapText="1"/>
    </xf>
    <xf numFmtId="0" fontId="4" fillId="0" borderId="3" xfId="0" applyFont="1" applyBorder="1"/>
    <xf numFmtId="0" fontId="4" fillId="0" borderId="4" xfId="0" applyFont="1" applyBorder="1"/>
    <xf numFmtId="0" fontId="3" fillId="2" borderId="5" xfId="0" applyFont="1" applyFill="1" applyBorder="1" applyAlignment="1">
      <alignment horizontal="center" vertical="center" wrapText="1"/>
    </xf>
    <xf numFmtId="0" fontId="4" fillId="0" borderId="8" xfId="0" applyFont="1" applyBorder="1"/>
    <xf numFmtId="0" fontId="11" fillId="0" borderId="21" xfId="0" applyFont="1" applyBorder="1"/>
    <xf numFmtId="171" fontId="11" fillId="0" borderId="21" xfId="0" applyNumberFormat="1" applyFont="1" applyBorder="1" applyAlignment="1">
      <alignment horizontal="right"/>
    </xf>
    <xf numFmtId="0" fontId="11" fillId="0" borderId="25" xfId="0" applyFont="1" applyFill="1" applyBorder="1"/>
    <xf numFmtId="3" fontId="0" fillId="0" borderId="25" xfId="0" applyNumberFormat="1" applyBorder="1"/>
    <xf numFmtId="171" fontId="11" fillId="0" borderId="25" xfId="0" applyNumberFormat="1" applyFont="1" applyBorder="1" applyAlignment="1">
      <alignment horizontal="right"/>
    </xf>
    <xf numFmtId="171" fontId="12" fillId="0" borderId="21" xfId="0" applyNumberFormat="1" applyFont="1" applyBorder="1"/>
    <xf numFmtId="0" fontId="12" fillId="0" borderId="25" xfId="0" applyFont="1" applyFill="1" applyBorder="1"/>
    <xf numFmtId="171" fontId="0" fillId="0" borderId="25" xfId="0" applyNumberFormat="1" applyBorder="1"/>
    <xf numFmtId="167" fontId="0" fillId="0" borderId="25" xfId="0" applyNumberFormat="1" applyBorder="1"/>
    <xf numFmtId="16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086100" cy="1019175"/>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3.01.03.03"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01.03"/>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00"/>
  <sheetViews>
    <sheetView showGridLines="0" tabSelected="1" workbookViewId="0"/>
  </sheetViews>
  <sheetFormatPr baseColWidth="10" defaultColWidth="12.5703125" defaultRowHeight="15" customHeight="1"/>
  <cols>
    <col min="1" max="1" width="26.85546875" customWidth="1"/>
    <col min="2" max="9" width="13.5703125" customWidth="1"/>
    <col min="10" max="10" width="11.42578125" customWidth="1"/>
    <col min="11" max="11" width="3" customWidth="1"/>
    <col min="12" max="30" width="11.42578125" customWidth="1"/>
  </cols>
  <sheetData>
    <row r="1" spans="1:30" ht="84.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2.75" customHeight="1">
      <c r="A2" s="2" t="s">
        <v>0</v>
      </c>
      <c r="B2" s="3"/>
      <c r="C2" s="3"/>
      <c r="D2" s="3"/>
      <c r="E2" s="3"/>
      <c r="F2" s="3"/>
      <c r="G2" s="3"/>
      <c r="H2" s="3"/>
      <c r="I2" s="3"/>
      <c r="J2" s="3"/>
      <c r="K2" s="1"/>
      <c r="L2" s="1"/>
      <c r="M2" s="1"/>
      <c r="N2" s="1"/>
      <c r="O2" s="1"/>
      <c r="P2" s="1"/>
      <c r="Q2" s="1"/>
      <c r="R2" s="1"/>
      <c r="S2" s="1"/>
      <c r="T2" s="1"/>
      <c r="U2" s="1"/>
      <c r="V2" s="1"/>
      <c r="W2" s="1"/>
      <c r="X2" s="1"/>
      <c r="Y2" s="1"/>
      <c r="Z2" s="1"/>
      <c r="AA2" s="1"/>
      <c r="AB2" s="1"/>
      <c r="AC2" s="1"/>
      <c r="AD2" s="1"/>
    </row>
    <row r="3" spans="1:30" ht="27.75" customHeight="1">
      <c r="A3" s="111" t="s">
        <v>1</v>
      </c>
      <c r="B3" s="108"/>
      <c r="C3" s="108"/>
      <c r="D3" s="108"/>
      <c r="E3" s="108"/>
      <c r="F3" s="108"/>
      <c r="G3" s="108"/>
      <c r="H3" s="108"/>
      <c r="I3" s="108"/>
      <c r="J3" s="108"/>
      <c r="K3" s="1"/>
      <c r="L3" s="1"/>
      <c r="M3" s="1"/>
      <c r="N3" s="1"/>
      <c r="O3" s="1"/>
      <c r="P3" s="1"/>
      <c r="Q3" s="1"/>
      <c r="R3" s="1"/>
      <c r="S3" s="1"/>
      <c r="T3" s="1"/>
      <c r="U3" s="1"/>
      <c r="V3" s="1"/>
      <c r="W3" s="1"/>
      <c r="X3" s="1"/>
      <c r="Y3" s="1"/>
      <c r="Z3" s="1"/>
      <c r="AA3" s="1"/>
      <c r="AB3" s="1"/>
      <c r="AC3" s="1"/>
      <c r="AD3" s="1"/>
    </row>
    <row r="4" spans="1:30" ht="12.75" customHeight="1">
      <c r="A4" s="4" t="s">
        <v>2</v>
      </c>
      <c r="B4" s="4"/>
      <c r="C4" s="4"/>
      <c r="D4" s="4"/>
      <c r="E4" s="4"/>
      <c r="F4" s="4"/>
      <c r="G4" s="4"/>
      <c r="H4" s="4"/>
      <c r="I4" s="4"/>
      <c r="J4" s="4"/>
      <c r="K4" s="1"/>
      <c r="L4" s="1"/>
      <c r="M4" s="1"/>
      <c r="N4" s="1"/>
      <c r="O4" s="1"/>
      <c r="P4" s="1"/>
      <c r="Q4" s="1"/>
      <c r="R4" s="1"/>
      <c r="S4" s="1"/>
      <c r="T4" s="1"/>
      <c r="U4" s="1"/>
      <c r="V4" s="1"/>
      <c r="W4" s="1"/>
      <c r="X4" s="1"/>
      <c r="Y4" s="1"/>
      <c r="Z4" s="1"/>
      <c r="AA4" s="1"/>
      <c r="AB4" s="1"/>
      <c r="AC4" s="1"/>
      <c r="AD4" s="1"/>
    </row>
    <row r="5" spans="1:30" ht="24" customHeight="1">
      <c r="A5" s="112" t="s">
        <v>3</v>
      </c>
      <c r="B5" s="114" t="s">
        <v>4</v>
      </c>
      <c r="C5" s="115"/>
      <c r="D5" s="114" t="s">
        <v>5</v>
      </c>
      <c r="E5" s="116"/>
      <c r="F5" s="115"/>
      <c r="G5" s="114" t="s">
        <v>6</v>
      </c>
      <c r="H5" s="116"/>
      <c r="I5" s="115"/>
      <c r="J5" s="117" t="s">
        <v>7</v>
      </c>
      <c r="K5" s="1"/>
      <c r="L5" s="1"/>
      <c r="M5" s="1"/>
      <c r="N5" s="1"/>
      <c r="O5" s="1"/>
      <c r="P5" s="1"/>
      <c r="Q5" s="1"/>
      <c r="R5" s="1"/>
      <c r="S5" s="1"/>
      <c r="T5" s="1"/>
      <c r="U5" s="1"/>
      <c r="V5" s="1"/>
      <c r="W5" s="1"/>
      <c r="X5" s="1"/>
      <c r="Y5" s="1"/>
      <c r="Z5" s="1"/>
      <c r="AA5" s="1"/>
      <c r="AB5" s="1"/>
      <c r="AC5" s="1"/>
      <c r="AD5" s="1"/>
    </row>
    <row r="6" spans="1:30" ht="45" customHeight="1">
      <c r="A6" s="113"/>
      <c r="B6" s="5" t="s">
        <v>8</v>
      </c>
      <c r="C6" s="5" t="s">
        <v>9</v>
      </c>
      <c r="D6" s="5" t="s">
        <v>8</v>
      </c>
      <c r="E6" s="5" t="s">
        <v>9</v>
      </c>
      <c r="F6" s="5" t="s">
        <v>10</v>
      </c>
      <c r="G6" s="5" t="s">
        <v>8</v>
      </c>
      <c r="H6" s="5" t="s">
        <v>9</v>
      </c>
      <c r="I6" s="5" t="s">
        <v>10</v>
      </c>
      <c r="J6" s="118"/>
      <c r="K6" s="1"/>
      <c r="L6" s="1"/>
      <c r="M6" s="1"/>
      <c r="N6" s="1"/>
      <c r="O6" s="1"/>
      <c r="P6" s="1"/>
      <c r="Q6" s="1"/>
      <c r="R6" s="1"/>
      <c r="S6" s="1"/>
      <c r="T6" s="1"/>
      <c r="U6" s="1"/>
      <c r="V6" s="1"/>
      <c r="W6" s="1"/>
      <c r="X6" s="1"/>
      <c r="Y6" s="1"/>
      <c r="Z6" s="1"/>
      <c r="AA6" s="1"/>
      <c r="AB6" s="1"/>
      <c r="AC6" s="1"/>
      <c r="AD6" s="1"/>
    </row>
    <row r="7" spans="1:30" ht="7.5" customHeight="1">
      <c r="A7" s="6"/>
      <c r="B7" s="6"/>
      <c r="C7" s="6"/>
      <c r="D7" s="6"/>
      <c r="E7" s="6"/>
      <c r="F7" s="6"/>
      <c r="G7" s="6"/>
      <c r="H7" s="6"/>
      <c r="I7" s="6"/>
      <c r="J7" s="6"/>
      <c r="K7" s="7"/>
      <c r="L7" s="7"/>
      <c r="M7" s="7"/>
      <c r="N7" s="7"/>
      <c r="O7" s="7"/>
      <c r="P7" s="7"/>
      <c r="Q7" s="7"/>
      <c r="R7" s="7"/>
      <c r="S7" s="7"/>
      <c r="T7" s="7"/>
      <c r="U7" s="7"/>
      <c r="V7" s="7"/>
      <c r="W7" s="7"/>
      <c r="X7" s="7"/>
      <c r="Y7" s="7"/>
      <c r="Z7" s="7"/>
      <c r="AA7" s="7"/>
      <c r="AB7" s="7"/>
      <c r="AC7" s="7"/>
      <c r="AD7" s="7"/>
    </row>
    <row r="8" spans="1:30" ht="12.75" customHeight="1">
      <c r="A8" s="8" t="s">
        <v>11</v>
      </c>
      <c r="B8" s="9">
        <v>7.8</v>
      </c>
      <c r="C8" s="9">
        <v>27.1</v>
      </c>
      <c r="D8" s="9">
        <v>0.4</v>
      </c>
      <c r="E8" s="9">
        <v>1.4</v>
      </c>
      <c r="F8" s="9">
        <v>8.5</v>
      </c>
      <c r="G8" s="9">
        <v>0.8</v>
      </c>
      <c r="H8" s="9">
        <v>4.3</v>
      </c>
      <c r="I8" s="9">
        <v>1.7</v>
      </c>
      <c r="J8" s="10">
        <v>8422</v>
      </c>
      <c r="K8" s="1"/>
      <c r="L8" s="1"/>
      <c r="M8" s="1"/>
      <c r="N8" s="1"/>
      <c r="O8" s="1"/>
      <c r="P8" s="1"/>
      <c r="Q8" s="1"/>
      <c r="R8" s="1"/>
      <c r="S8" s="1"/>
      <c r="T8" s="1"/>
      <c r="U8" s="1"/>
      <c r="V8" s="1"/>
      <c r="W8" s="1"/>
      <c r="X8" s="1"/>
      <c r="Y8" s="1"/>
      <c r="Z8" s="1"/>
      <c r="AA8" s="1"/>
      <c r="AB8" s="1"/>
      <c r="AC8" s="1"/>
      <c r="AD8" s="1"/>
    </row>
    <row r="9" spans="1:30" ht="12.75" customHeight="1">
      <c r="A9" s="11" t="s">
        <v>12</v>
      </c>
      <c r="B9" s="12">
        <v>3.8</v>
      </c>
      <c r="C9" s="12">
        <v>17.2</v>
      </c>
      <c r="D9" s="12">
        <v>0.3</v>
      </c>
      <c r="E9" s="12">
        <v>1</v>
      </c>
      <c r="F9" s="12">
        <v>8.8000000000000007</v>
      </c>
      <c r="G9" s="12">
        <v>0.3</v>
      </c>
      <c r="H9" s="12">
        <v>2.7</v>
      </c>
      <c r="I9" s="12">
        <v>2.2999999999999998</v>
      </c>
      <c r="J9" s="13">
        <v>4557</v>
      </c>
      <c r="K9" s="1"/>
      <c r="L9" s="1"/>
      <c r="M9" s="1"/>
      <c r="N9" s="1"/>
      <c r="O9" s="1"/>
      <c r="P9" s="1"/>
      <c r="Q9" s="1"/>
      <c r="R9" s="1"/>
      <c r="S9" s="1"/>
      <c r="T9" s="1"/>
      <c r="U9" s="1"/>
      <c r="V9" s="1"/>
      <c r="W9" s="1"/>
      <c r="X9" s="1"/>
      <c r="Y9" s="1"/>
      <c r="Z9" s="1"/>
      <c r="AA9" s="1"/>
      <c r="AB9" s="1"/>
      <c r="AC9" s="1"/>
      <c r="AD9" s="1"/>
    </row>
    <row r="10" spans="1:30" ht="12.75" customHeight="1">
      <c r="A10" s="11" t="s">
        <v>13</v>
      </c>
      <c r="B10" s="12">
        <v>12.4</v>
      </c>
      <c r="C10" s="12">
        <v>38.6</v>
      </c>
      <c r="D10" s="12">
        <v>0.6</v>
      </c>
      <c r="E10" s="12">
        <v>1.8</v>
      </c>
      <c r="F10" s="12">
        <v>8.1999999999999993</v>
      </c>
      <c r="G10" s="12">
        <v>1.4</v>
      </c>
      <c r="H10" s="12">
        <v>6.1</v>
      </c>
      <c r="I10" s="12">
        <v>1.1000000000000001</v>
      </c>
      <c r="J10" s="13">
        <v>3865</v>
      </c>
      <c r="K10" s="1"/>
      <c r="L10" s="1"/>
      <c r="M10" s="1"/>
      <c r="N10" s="1"/>
      <c r="O10" s="1"/>
      <c r="P10" s="1"/>
      <c r="Q10" s="1"/>
      <c r="R10" s="1"/>
      <c r="S10" s="1"/>
      <c r="T10" s="1"/>
      <c r="U10" s="1"/>
      <c r="V10" s="1"/>
      <c r="W10" s="1"/>
      <c r="X10" s="1"/>
      <c r="Y10" s="1"/>
      <c r="Z10" s="1"/>
      <c r="AA10" s="1"/>
      <c r="AB10" s="1"/>
      <c r="AC10" s="1"/>
      <c r="AD10" s="1"/>
    </row>
    <row r="11" spans="1:30" ht="12.75" customHeight="1">
      <c r="A11" s="14" t="s">
        <v>14</v>
      </c>
      <c r="B11" s="15"/>
      <c r="C11" s="15"/>
      <c r="D11" s="16"/>
      <c r="E11" s="16"/>
      <c r="F11" s="16"/>
      <c r="G11" s="16"/>
      <c r="H11" s="16"/>
      <c r="I11" s="16"/>
      <c r="J11" s="17"/>
      <c r="K11" s="1"/>
      <c r="L11" s="1"/>
      <c r="M11" s="1"/>
      <c r="N11" s="1"/>
      <c r="O11" s="1"/>
      <c r="P11" s="1"/>
      <c r="Q11" s="1"/>
      <c r="R11" s="1"/>
      <c r="S11" s="1"/>
      <c r="T11" s="1"/>
      <c r="U11" s="1"/>
      <c r="V11" s="1"/>
      <c r="W11" s="1"/>
      <c r="X11" s="1"/>
      <c r="Y11" s="1"/>
      <c r="Z11" s="1"/>
      <c r="AA11" s="1"/>
      <c r="AB11" s="1"/>
      <c r="AC11" s="1"/>
      <c r="AD11" s="1"/>
    </row>
    <row r="12" spans="1:30" ht="12.75" customHeight="1">
      <c r="A12" s="18" t="s">
        <v>15</v>
      </c>
      <c r="B12" s="12">
        <v>6.7</v>
      </c>
      <c r="C12" s="12">
        <v>29.8</v>
      </c>
      <c r="D12" s="12">
        <v>0.4</v>
      </c>
      <c r="E12" s="12">
        <v>1</v>
      </c>
      <c r="F12" s="12">
        <v>8.1999999999999993</v>
      </c>
      <c r="G12" s="12">
        <v>0.8</v>
      </c>
      <c r="H12" s="12">
        <v>3.8</v>
      </c>
      <c r="I12" s="12">
        <v>1.2</v>
      </c>
      <c r="J12" s="13">
        <v>2275</v>
      </c>
      <c r="K12" s="1"/>
      <c r="L12" s="1"/>
      <c r="M12" s="1"/>
      <c r="N12" s="1"/>
      <c r="O12" s="1"/>
      <c r="P12" s="1"/>
      <c r="Q12" s="1"/>
      <c r="R12" s="1"/>
      <c r="S12" s="1"/>
      <c r="T12" s="1"/>
      <c r="U12" s="1"/>
      <c r="V12" s="1"/>
      <c r="W12" s="1"/>
      <c r="X12" s="1"/>
      <c r="Y12" s="1"/>
      <c r="Z12" s="1"/>
      <c r="AA12" s="1"/>
      <c r="AB12" s="1"/>
      <c r="AC12" s="1"/>
      <c r="AD12" s="1"/>
    </row>
    <row r="13" spans="1:30" ht="12.75" customHeight="1">
      <c r="A13" s="18" t="s">
        <v>16</v>
      </c>
      <c r="B13" s="12">
        <v>9</v>
      </c>
      <c r="C13" s="12">
        <v>33.4</v>
      </c>
      <c r="D13" s="12">
        <v>0.6</v>
      </c>
      <c r="E13" s="12">
        <v>1.7</v>
      </c>
      <c r="F13" s="12">
        <v>6.3</v>
      </c>
      <c r="G13" s="12">
        <v>1.5</v>
      </c>
      <c r="H13" s="12">
        <v>7.7</v>
      </c>
      <c r="I13" s="12">
        <v>0.5</v>
      </c>
      <c r="J13" s="13">
        <v>435</v>
      </c>
      <c r="K13" s="1"/>
      <c r="L13" s="1"/>
      <c r="M13" s="1"/>
      <c r="N13" s="1"/>
      <c r="O13" s="1"/>
      <c r="P13" s="1"/>
      <c r="Q13" s="1"/>
      <c r="R13" s="1"/>
      <c r="S13" s="1"/>
      <c r="T13" s="1"/>
      <c r="U13" s="1"/>
      <c r="V13" s="1"/>
      <c r="W13" s="1"/>
      <c r="X13" s="1"/>
      <c r="Y13" s="1"/>
      <c r="Z13" s="1"/>
      <c r="AA13" s="1"/>
      <c r="AB13" s="1"/>
      <c r="AC13" s="1"/>
      <c r="AD13" s="1"/>
    </row>
    <row r="14" spans="1:30" ht="12.75" customHeight="1">
      <c r="A14" s="18" t="s">
        <v>17</v>
      </c>
      <c r="B14" s="12">
        <v>16.7</v>
      </c>
      <c r="C14" s="12">
        <v>43.7</v>
      </c>
      <c r="D14" s="12">
        <v>0.4</v>
      </c>
      <c r="E14" s="12">
        <v>2.6</v>
      </c>
      <c r="F14" s="12">
        <v>6.7</v>
      </c>
      <c r="G14" s="12">
        <v>1.5</v>
      </c>
      <c r="H14" s="12">
        <v>8.5</v>
      </c>
      <c r="I14" s="12">
        <v>0.4</v>
      </c>
      <c r="J14" s="13">
        <v>1019</v>
      </c>
      <c r="K14" s="1"/>
      <c r="L14" s="1"/>
      <c r="M14" s="1"/>
      <c r="N14" s="1"/>
      <c r="O14" s="1"/>
      <c r="P14" s="1"/>
      <c r="Q14" s="1"/>
      <c r="R14" s="1"/>
      <c r="S14" s="1"/>
      <c r="T14" s="1"/>
      <c r="U14" s="1"/>
      <c r="V14" s="1"/>
      <c r="W14" s="1"/>
      <c r="X14" s="1"/>
      <c r="Y14" s="1"/>
      <c r="Z14" s="1"/>
      <c r="AA14" s="1"/>
      <c r="AB14" s="1"/>
      <c r="AC14" s="1"/>
      <c r="AD14" s="1"/>
    </row>
    <row r="15" spans="1:30" ht="12.75" customHeight="1">
      <c r="A15" s="18" t="s">
        <v>18</v>
      </c>
      <c r="B15" s="12">
        <v>12.1</v>
      </c>
      <c r="C15" s="12">
        <v>35.799999999999997</v>
      </c>
      <c r="D15" s="12">
        <v>0.2</v>
      </c>
      <c r="E15" s="12">
        <v>1.5</v>
      </c>
      <c r="F15" s="12">
        <v>8.6</v>
      </c>
      <c r="G15" s="12">
        <v>1</v>
      </c>
      <c r="H15" s="12">
        <v>6</v>
      </c>
      <c r="I15" s="12">
        <v>1.6</v>
      </c>
      <c r="J15" s="13">
        <v>534</v>
      </c>
      <c r="K15" s="1"/>
      <c r="L15" s="1"/>
      <c r="M15" s="1"/>
      <c r="N15" s="1"/>
      <c r="O15" s="1"/>
      <c r="P15" s="1"/>
      <c r="Q15" s="1"/>
      <c r="R15" s="1"/>
      <c r="S15" s="1"/>
      <c r="T15" s="1"/>
      <c r="U15" s="1"/>
      <c r="V15" s="1"/>
      <c r="W15" s="1"/>
      <c r="X15" s="1"/>
      <c r="Y15" s="1"/>
      <c r="Z15" s="1"/>
      <c r="AA15" s="1"/>
      <c r="AB15" s="1"/>
      <c r="AC15" s="1"/>
      <c r="AD15" s="1"/>
    </row>
    <row r="16" spans="1:30" ht="12.75" customHeight="1">
      <c r="A16" s="18" t="s">
        <v>19</v>
      </c>
      <c r="B16" s="12">
        <v>9.9</v>
      </c>
      <c r="C16" s="12">
        <v>30.5</v>
      </c>
      <c r="D16" s="12">
        <v>0.2</v>
      </c>
      <c r="E16" s="12">
        <v>0.8</v>
      </c>
      <c r="F16" s="12">
        <v>7.9</v>
      </c>
      <c r="G16" s="12">
        <v>0.7</v>
      </c>
      <c r="H16" s="12">
        <v>4.7</v>
      </c>
      <c r="I16" s="12">
        <v>1.1000000000000001</v>
      </c>
      <c r="J16" s="13">
        <v>1571</v>
      </c>
      <c r="K16" s="1"/>
      <c r="L16" s="1"/>
      <c r="M16" s="1"/>
      <c r="N16" s="1"/>
      <c r="O16" s="1"/>
      <c r="P16" s="1"/>
      <c r="Q16" s="1"/>
      <c r="R16" s="1"/>
      <c r="S16" s="1"/>
      <c r="T16" s="1"/>
      <c r="U16" s="1"/>
      <c r="V16" s="1"/>
      <c r="W16" s="1"/>
      <c r="X16" s="1"/>
      <c r="Y16" s="1"/>
      <c r="Z16" s="1"/>
      <c r="AA16" s="1"/>
      <c r="AB16" s="1"/>
      <c r="AC16" s="1"/>
      <c r="AD16" s="1"/>
    </row>
    <row r="17" spans="1:30" ht="12.75" customHeight="1">
      <c r="A17" s="18" t="s">
        <v>20</v>
      </c>
      <c r="B17" s="12">
        <v>3.4</v>
      </c>
      <c r="C17" s="12">
        <v>14.9</v>
      </c>
      <c r="D17" s="12">
        <v>0.4</v>
      </c>
      <c r="E17" s="12">
        <v>0.7</v>
      </c>
      <c r="F17" s="12">
        <v>11.4</v>
      </c>
      <c r="G17" s="12">
        <v>0</v>
      </c>
      <c r="H17" s="12">
        <v>2</v>
      </c>
      <c r="I17" s="12">
        <v>3.7</v>
      </c>
      <c r="J17" s="13">
        <v>310</v>
      </c>
      <c r="K17" s="1"/>
      <c r="L17" s="1"/>
      <c r="M17" s="1"/>
      <c r="N17" s="1"/>
      <c r="O17" s="1"/>
      <c r="P17" s="1"/>
      <c r="Q17" s="1"/>
      <c r="R17" s="1"/>
      <c r="S17" s="1"/>
      <c r="T17" s="1"/>
      <c r="U17" s="1"/>
      <c r="V17" s="1"/>
      <c r="W17" s="1"/>
      <c r="X17" s="1"/>
      <c r="Y17" s="1"/>
      <c r="Z17" s="1"/>
      <c r="AA17" s="1"/>
      <c r="AB17" s="1"/>
      <c r="AC17" s="1"/>
      <c r="AD17" s="1"/>
    </row>
    <row r="18" spans="1:30" ht="12.75" customHeight="1">
      <c r="A18" s="18" t="s">
        <v>21</v>
      </c>
      <c r="B18" s="12">
        <v>2.5</v>
      </c>
      <c r="C18" s="12">
        <v>12</v>
      </c>
      <c r="D18" s="12">
        <v>0.8</v>
      </c>
      <c r="E18" s="12">
        <v>1.6</v>
      </c>
      <c r="F18" s="12">
        <v>10.8</v>
      </c>
      <c r="G18" s="12">
        <v>0.4</v>
      </c>
      <c r="H18" s="12">
        <v>1.7</v>
      </c>
      <c r="I18" s="12">
        <v>3.5</v>
      </c>
      <c r="J18" s="13">
        <v>1894</v>
      </c>
      <c r="K18" s="1"/>
      <c r="L18" s="1"/>
      <c r="M18" s="1"/>
      <c r="N18" s="1"/>
      <c r="O18" s="1"/>
      <c r="P18" s="1"/>
      <c r="Q18" s="1"/>
      <c r="R18" s="1"/>
      <c r="S18" s="1"/>
      <c r="T18" s="1"/>
      <c r="U18" s="1"/>
      <c r="V18" s="1"/>
      <c r="W18" s="1"/>
      <c r="X18" s="1"/>
      <c r="Y18" s="1"/>
      <c r="Z18" s="1"/>
      <c r="AA18" s="1"/>
      <c r="AB18" s="1"/>
      <c r="AC18" s="1"/>
      <c r="AD18" s="1"/>
    </row>
    <row r="19" spans="1:30" ht="12.75" customHeight="1">
      <c r="A19" s="18" t="s">
        <v>22</v>
      </c>
      <c r="B19" s="12">
        <v>3.3</v>
      </c>
      <c r="C19" s="12">
        <v>17.8</v>
      </c>
      <c r="D19" s="12">
        <v>0.6</v>
      </c>
      <c r="E19" s="12">
        <v>1.6</v>
      </c>
      <c r="F19" s="12">
        <v>7.3</v>
      </c>
      <c r="G19" s="12">
        <v>0.3</v>
      </c>
      <c r="H19" s="12">
        <v>2.7</v>
      </c>
      <c r="I19" s="12">
        <v>2</v>
      </c>
      <c r="J19" s="13">
        <v>326</v>
      </c>
      <c r="K19" s="1"/>
      <c r="L19" s="1"/>
      <c r="M19" s="1"/>
      <c r="N19" s="1"/>
      <c r="O19" s="1"/>
      <c r="P19" s="1"/>
      <c r="Q19" s="1"/>
      <c r="R19" s="1"/>
      <c r="S19" s="1"/>
      <c r="T19" s="1"/>
      <c r="U19" s="1"/>
      <c r="V19" s="1"/>
      <c r="W19" s="1"/>
      <c r="X19" s="1"/>
      <c r="Y19" s="1"/>
      <c r="Z19" s="1"/>
      <c r="AA19" s="1"/>
      <c r="AB19" s="1"/>
      <c r="AC19" s="1"/>
      <c r="AD19" s="1"/>
    </row>
    <row r="20" spans="1:30" ht="12.75" customHeight="1">
      <c r="A20" s="18" t="s">
        <v>23</v>
      </c>
      <c r="B20" s="12">
        <v>5.2</v>
      </c>
      <c r="C20" s="12">
        <v>15</v>
      </c>
      <c r="D20" s="12">
        <v>1.2</v>
      </c>
      <c r="E20" s="12">
        <v>1.6</v>
      </c>
      <c r="F20" s="12">
        <v>4.2</v>
      </c>
      <c r="G20" s="12">
        <v>1</v>
      </c>
      <c r="H20" s="12">
        <v>1.8</v>
      </c>
      <c r="I20" s="12">
        <v>2.1</v>
      </c>
      <c r="J20" s="13">
        <v>58</v>
      </c>
      <c r="K20" s="1"/>
      <c r="L20" s="1"/>
      <c r="M20" s="1"/>
      <c r="N20" s="1"/>
      <c r="O20" s="1"/>
      <c r="P20" s="1"/>
      <c r="Q20" s="1"/>
      <c r="R20" s="1"/>
      <c r="S20" s="1"/>
      <c r="T20" s="1"/>
      <c r="U20" s="1"/>
      <c r="V20" s="1"/>
      <c r="W20" s="1"/>
      <c r="X20" s="1"/>
      <c r="Y20" s="1"/>
      <c r="Z20" s="1"/>
      <c r="AA20" s="1"/>
      <c r="AB20" s="1"/>
      <c r="AC20" s="1"/>
      <c r="AD20" s="1"/>
    </row>
    <row r="21" spans="1:30" ht="12.75" customHeight="1">
      <c r="A21" s="8" t="s">
        <v>24</v>
      </c>
      <c r="B21" s="19">
        <v>4.2863683040280165</v>
      </c>
      <c r="C21" s="19">
        <v>15.976083269604585</v>
      </c>
      <c r="D21" s="20">
        <v>0.8391238226549399</v>
      </c>
      <c r="E21" s="19">
        <v>1.8852587951727859</v>
      </c>
      <c r="F21" s="19">
        <v>10.13459088520055</v>
      </c>
      <c r="G21" s="19">
        <v>0.80855239348740437</v>
      </c>
      <c r="H21" s="19">
        <v>3.0655796081925217</v>
      </c>
      <c r="I21" s="19">
        <v>3.6556807439305437</v>
      </c>
      <c r="J21" s="10">
        <v>5103.8460693967836</v>
      </c>
      <c r="K21" s="1"/>
      <c r="L21" s="1"/>
      <c r="M21" s="1"/>
      <c r="N21" s="1"/>
      <c r="O21" s="1"/>
      <c r="P21" s="1"/>
      <c r="Q21" s="1"/>
      <c r="R21" s="1"/>
      <c r="S21" s="1"/>
      <c r="T21" s="1"/>
      <c r="U21" s="1"/>
      <c r="V21" s="1"/>
      <c r="W21" s="1"/>
      <c r="X21" s="1"/>
      <c r="Y21" s="1"/>
      <c r="Z21" s="1"/>
      <c r="AA21" s="1"/>
      <c r="AB21" s="1"/>
      <c r="AC21" s="1"/>
      <c r="AD21" s="1"/>
    </row>
    <row r="22" spans="1:30" ht="12.75" customHeight="1">
      <c r="A22" s="11" t="s">
        <v>12</v>
      </c>
      <c r="B22" s="12">
        <v>3.3531524160219877</v>
      </c>
      <c r="C22" s="12">
        <v>12.158236655477777</v>
      </c>
      <c r="D22" s="21">
        <v>0.88783129790743998</v>
      </c>
      <c r="E22" s="12">
        <v>2.020162555445784</v>
      </c>
      <c r="F22" s="12">
        <v>10.877081616165237</v>
      </c>
      <c r="G22" s="21">
        <v>0.77157102219155527</v>
      </c>
      <c r="H22" s="12">
        <v>2.6483682246335487</v>
      </c>
      <c r="I22" s="12">
        <v>4.4123787146124425</v>
      </c>
      <c r="J22" s="13">
        <v>3411.3126974486504</v>
      </c>
      <c r="K22" s="1"/>
      <c r="L22" s="1"/>
      <c r="M22" s="1"/>
      <c r="N22" s="1"/>
      <c r="O22" s="1"/>
      <c r="P22" s="1"/>
      <c r="Q22" s="1"/>
      <c r="R22" s="1"/>
      <c r="S22" s="1"/>
      <c r="T22" s="1"/>
      <c r="U22" s="1"/>
      <c r="V22" s="1"/>
      <c r="W22" s="1"/>
      <c r="X22" s="1"/>
      <c r="Y22" s="1"/>
      <c r="Z22" s="1"/>
      <c r="AA22" s="1"/>
      <c r="AB22" s="1"/>
      <c r="AC22" s="1"/>
      <c r="AD22" s="1"/>
    </row>
    <row r="23" spans="1:30" ht="12.75" customHeight="1">
      <c r="A23" s="11" t="s">
        <v>13</v>
      </c>
      <c r="B23" s="12">
        <v>6.1672713697983061</v>
      </c>
      <c r="C23" s="12">
        <v>23.670979481128793</v>
      </c>
      <c r="D23" s="21">
        <v>0.74095356997727913</v>
      </c>
      <c r="E23" s="12">
        <v>1.6133593348843627</v>
      </c>
      <c r="F23" s="12">
        <v>8.6380956903303723</v>
      </c>
      <c r="G23" s="21">
        <v>0.88308860267622957</v>
      </c>
      <c r="H23" s="12">
        <v>3.9064720324385869</v>
      </c>
      <c r="I23" s="12">
        <v>2.1305507593148603</v>
      </c>
      <c r="J23" s="13">
        <v>1692.5333719481348</v>
      </c>
      <c r="K23" s="1"/>
      <c r="L23" s="1"/>
      <c r="M23" s="1"/>
      <c r="N23" s="1"/>
      <c r="O23" s="1"/>
      <c r="P23" s="1"/>
      <c r="Q23" s="1"/>
      <c r="R23" s="1"/>
      <c r="S23" s="1"/>
      <c r="T23" s="1"/>
      <c r="U23" s="1"/>
      <c r="V23" s="1"/>
      <c r="W23" s="1"/>
      <c r="X23" s="1"/>
      <c r="Y23" s="1"/>
      <c r="Z23" s="1"/>
      <c r="AA23" s="1"/>
      <c r="AB23" s="1"/>
      <c r="AC23" s="1"/>
      <c r="AD23" s="1"/>
    </row>
    <row r="24" spans="1:30" ht="12.75" customHeight="1">
      <c r="A24" s="14" t="s">
        <v>14</v>
      </c>
      <c r="B24" s="15"/>
      <c r="C24" s="15"/>
      <c r="D24" s="16"/>
      <c r="E24" s="16"/>
      <c r="F24" s="16"/>
      <c r="G24" s="16"/>
      <c r="H24" s="16"/>
      <c r="I24" s="16"/>
      <c r="J24" s="17"/>
      <c r="K24" s="1"/>
      <c r="L24" s="1"/>
      <c r="M24" s="1"/>
      <c r="N24" s="1"/>
      <c r="O24" s="1"/>
      <c r="P24" s="1"/>
      <c r="Q24" s="1"/>
      <c r="R24" s="1"/>
      <c r="S24" s="1"/>
      <c r="T24" s="1"/>
      <c r="U24" s="1"/>
      <c r="V24" s="1"/>
      <c r="W24" s="1"/>
      <c r="X24" s="1"/>
      <c r="Y24" s="1"/>
      <c r="Z24" s="1"/>
      <c r="AA24" s="1"/>
      <c r="AB24" s="1"/>
      <c r="AC24" s="1"/>
      <c r="AD24" s="1"/>
    </row>
    <row r="25" spans="1:30" ht="12.75" customHeight="1">
      <c r="A25" s="18" t="s">
        <v>15</v>
      </c>
      <c r="B25" s="12">
        <v>4.3391537995373808</v>
      </c>
      <c r="C25" s="12">
        <v>17.858610486408924</v>
      </c>
      <c r="D25" s="21">
        <v>0.72155941119551037</v>
      </c>
      <c r="E25" s="21">
        <v>1.6637498818965035</v>
      </c>
      <c r="F25" s="12">
        <v>6.7985062182662608</v>
      </c>
      <c r="G25" s="21">
        <v>0.88554669857311719</v>
      </c>
      <c r="H25" s="12">
        <v>4.0676486761488571</v>
      </c>
      <c r="I25" s="21">
        <v>3.1001115877247805</v>
      </c>
      <c r="J25" s="13">
        <v>1004.9108679961897</v>
      </c>
      <c r="K25" s="1"/>
      <c r="L25" s="1"/>
      <c r="M25" s="1"/>
      <c r="N25" s="1"/>
      <c r="O25" s="1"/>
      <c r="P25" s="1"/>
      <c r="Q25" s="1"/>
      <c r="R25" s="1"/>
      <c r="S25" s="1"/>
      <c r="T25" s="1"/>
      <c r="U25" s="1"/>
      <c r="V25" s="1"/>
      <c r="W25" s="1"/>
      <c r="X25" s="1"/>
      <c r="Y25" s="1"/>
      <c r="Z25" s="1"/>
      <c r="AA25" s="1"/>
      <c r="AB25" s="1"/>
      <c r="AC25" s="1"/>
      <c r="AD25" s="1"/>
    </row>
    <row r="26" spans="1:30" ht="12.75" customHeight="1">
      <c r="A26" s="18" t="s">
        <v>16</v>
      </c>
      <c r="B26" s="12">
        <v>6.0723589488075351</v>
      </c>
      <c r="C26" s="12">
        <v>25.67583980306453</v>
      </c>
      <c r="D26" s="21">
        <v>0.73779473049831346</v>
      </c>
      <c r="E26" s="21">
        <v>2.4642327238412061</v>
      </c>
      <c r="F26" s="21">
        <v>6.7717881096947412</v>
      </c>
      <c r="G26" s="21">
        <v>1.4898766445834624</v>
      </c>
      <c r="H26" s="21">
        <v>4.0534726883605234</v>
      </c>
      <c r="I26" s="21">
        <v>0.81579359359651349</v>
      </c>
      <c r="J26" s="13">
        <v>258.88012809133028</v>
      </c>
      <c r="K26" s="1"/>
      <c r="L26" s="1"/>
      <c r="M26" s="1"/>
      <c r="N26" s="1"/>
      <c r="O26" s="1"/>
      <c r="P26" s="1"/>
      <c r="Q26" s="1"/>
      <c r="R26" s="1"/>
      <c r="S26" s="1"/>
      <c r="T26" s="1"/>
      <c r="U26" s="1"/>
      <c r="V26" s="1"/>
      <c r="W26" s="1"/>
      <c r="X26" s="1"/>
      <c r="Y26" s="1"/>
      <c r="Z26" s="1"/>
      <c r="AA26" s="1"/>
      <c r="AB26" s="1"/>
      <c r="AC26" s="1"/>
      <c r="AD26" s="1"/>
    </row>
    <row r="27" spans="1:30" ht="12.75" customHeight="1">
      <c r="A27" s="18" t="s">
        <v>17</v>
      </c>
      <c r="B27" s="12">
        <v>8.0685255481792915</v>
      </c>
      <c r="C27" s="12">
        <v>29.77397114602606</v>
      </c>
      <c r="D27" s="21">
        <v>1.3706778290570658</v>
      </c>
      <c r="E27" s="21">
        <v>2.3564116661468675</v>
      </c>
      <c r="F27" s="12">
        <v>7.9937430505446168</v>
      </c>
      <c r="G27" s="21">
        <v>0.95284365675779381</v>
      </c>
      <c r="H27" s="12">
        <v>5.84489554213771</v>
      </c>
      <c r="I27" s="21">
        <v>2.2364704813291159</v>
      </c>
      <c r="J27" s="13">
        <v>462.72846070944422</v>
      </c>
      <c r="K27" s="1"/>
      <c r="L27" s="1"/>
      <c r="M27" s="1"/>
      <c r="N27" s="1"/>
      <c r="O27" s="1"/>
      <c r="P27" s="1"/>
      <c r="Q27" s="1"/>
      <c r="R27" s="1"/>
      <c r="S27" s="1"/>
      <c r="T27" s="1"/>
      <c r="U27" s="1"/>
      <c r="V27" s="1"/>
      <c r="W27" s="1"/>
      <c r="X27" s="1"/>
      <c r="Y27" s="1"/>
      <c r="Z27" s="1"/>
      <c r="AA27" s="1"/>
      <c r="AB27" s="1"/>
      <c r="AC27" s="1"/>
      <c r="AD27" s="1"/>
    </row>
    <row r="28" spans="1:30" ht="12.75" customHeight="1">
      <c r="A28" s="18" t="s">
        <v>18</v>
      </c>
      <c r="B28" s="21">
        <v>6.9549688290035494</v>
      </c>
      <c r="C28" s="12">
        <v>26.196422466203447</v>
      </c>
      <c r="D28" s="21">
        <v>0.56234373596578435</v>
      </c>
      <c r="E28" s="21">
        <v>1.8276678433422227</v>
      </c>
      <c r="F28" s="12">
        <v>11.463500395146941</v>
      </c>
      <c r="G28" s="21">
        <v>0.78476475186214123</v>
      </c>
      <c r="H28" s="21">
        <v>3.6575928550581023</v>
      </c>
      <c r="I28" s="21">
        <v>4.8284862619988971</v>
      </c>
      <c r="J28" s="13">
        <v>270.23685916390866</v>
      </c>
      <c r="K28" s="1"/>
      <c r="L28" s="1"/>
      <c r="M28" s="1"/>
      <c r="N28" s="1"/>
      <c r="O28" s="1"/>
      <c r="P28" s="1"/>
      <c r="Q28" s="1"/>
      <c r="R28" s="1"/>
      <c r="S28" s="1"/>
      <c r="T28" s="1"/>
      <c r="U28" s="1"/>
      <c r="V28" s="1"/>
      <c r="W28" s="1"/>
      <c r="X28" s="1"/>
      <c r="Y28" s="1"/>
      <c r="Z28" s="1"/>
      <c r="AA28" s="1"/>
      <c r="AB28" s="1"/>
      <c r="AC28" s="1"/>
      <c r="AD28" s="1"/>
    </row>
    <row r="29" spans="1:30" ht="12.75" customHeight="1">
      <c r="A29" s="18" t="s">
        <v>19</v>
      </c>
      <c r="B29" s="21">
        <v>3.4246766986352934</v>
      </c>
      <c r="C29" s="12">
        <v>15.058470616095823</v>
      </c>
      <c r="D29" s="21">
        <v>0.74439927482917656</v>
      </c>
      <c r="E29" s="21">
        <v>1.8586824014217549</v>
      </c>
      <c r="F29" s="12">
        <v>8.1363252015185683</v>
      </c>
      <c r="G29" s="21">
        <v>0.78078919838620731</v>
      </c>
      <c r="H29" s="12">
        <v>2.9276210493490247</v>
      </c>
      <c r="I29" s="21">
        <v>3.214195242978394</v>
      </c>
      <c r="J29" s="13">
        <v>903.25097836713064</v>
      </c>
      <c r="K29" s="1"/>
      <c r="L29" s="1"/>
      <c r="M29" s="1"/>
      <c r="N29" s="1"/>
      <c r="O29" s="1"/>
      <c r="P29" s="1"/>
      <c r="Q29" s="1"/>
      <c r="R29" s="1"/>
      <c r="S29" s="1"/>
      <c r="T29" s="1"/>
      <c r="U29" s="1"/>
      <c r="V29" s="1"/>
      <c r="W29" s="1"/>
      <c r="X29" s="1"/>
      <c r="Y29" s="1"/>
      <c r="Z29" s="1"/>
      <c r="AA29" s="1"/>
      <c r="AB29" s="1"/>
      <c r="AC29" s="1"/>
      <c r="AD29" s="1"/>
    </row>
    <row r="30" spans="1:30" ht="12.75" customHeight="1">
      <c r="A30" s="18" t="s">
        <v>20</v>
      </c>
      <c r="B30" s="21">
        <v>6.2815085670038426</v>
      </c>
      <c r="C30" s="12">
        <v>14.69398307349854</v>
      </c>
      <c r="D30" s="21">
        <v>0.60702986305365358</v>
      </c>
      <c r="E30" s="21">
        <v>1.3896577551360048</v>
      </c>
      <c r="F30" s="12">
        <v>19.959945355432232</v>
      </c>
      <c r="G30" s="21">
        <v>0.63972455814461615</v>
      </c>
      <c r="H30" s="21">
        <v>2.1529043716681735</v>
      </c>
      <c r="I30" s="21">
        <v>5.3371930774496965</v>
      </c>
      <c r="J30" s="13">
        <v>233.09955616649955</v>
      </c>
      <c r="K30" s="1"/>
      <c r="L30" s="1"/>
      <c r="M30" s="1"/>
      <c r="N30" s="1"/>
      <c r="O30" s="1"/>
      <c r="P30" s="1"/>
      <c r="Q30" s="1"/>
      <c r="R30" s="1"/>
      <c r="S30" s="1"/>
      <c r="T30" s="1"/>
      <c r="U30" s="1"/>
      <c r="V30" s="1"/>
      <c r="W30" s="1"/>
      <c r="X30" s="1"/>
      <c r="Y30" s="1"/>
      <c r="Z30" s="1"/>
      <c r="AA30" s="1"/>
      <c r="AB30" s="1"/>
      <c r="AC30" s="1"/>
      <c r="AD30" s="1"/>
    </row>
    <row r="31" spans="1:30" ht="12.75" customHeight="1">
      <c r="A31" s="18" t="s">
        <v>21</v>
      </c>
      <c r="B31" s="21">
        <v>2.6221401022212469</v>
      </c>
      <c r="C31" s="12">
        <v>8.4136555518723313</v>
      </c>
      <c r="D31" s="21">
        <v>1.0433937158527276</v>
      </c>
      <c r="E31" s="21">
        <v>2.1754643460539098</v>
      </c>
      <c r="F31" s="12">
        <v>13.24363708052085</v>
      </c>
      <c r="G31" s="21">
        <v>0.74744485384335491</v>
      </c>
      <c r="H31" s="21">
        <v>1.717112390139109</v>
      </c>
      <c r="I31" s="12">
        <v>4.8566639602943109</v>
      </c>
      <c r="J31" s="13">
        <v>1607.6647344135861</v>
      </c>
      <c r="K31" s="1"/>
      <c r="L31" s="1"/>
      <c r="M31" s="1"/>
      <c r="N31" s="1"/>
      <c r="O31" s="1"/>
      <c r="P31" s="1"/>
      <c r="Q31" s="1"/>
      <c r="R31" s="1"/>
      <c r="S31" s="1"/>
      <c r="T31" s="1"/>
      <c r="U31" s="1"/>
      <c r="V31" s="1"/>
      <c r="W31" s="1"/>
      <c r="X31" s="1"/>
      <c r="Y31" s="1"/>
      <c r="Z31" s="1"/>
      <c r="AA31" s="1"/>
      <c r="AB31" s="1"/>
      <c r="AC31" s="1"/>
      <c r="AD31" s="1"/>
    </row>
    <row r="32" spans="1:30" ht="12.75" customHeight="1">
      <c r="A32" s="18" t="s">
        <v>22</v>
      </c>
      <c r="B32" s="21">
        <v>3.9792191433485975</v>
      </c>
      <c r="C32" s="12">
        <v>14.800080226013648</v>
      </c>
      <c r="D32" s="21">
        <v>0.18616013245582957</v>
      </c>
      <c r="E32" s="21">
        <v>0.408734705462167</v>
      </c>
      <c r="F32" s="12">
        <v>9.6552041073684904</v>
      </c>
      <c r="G32" s="21">
        <v>0.45582838600045672</v>
      </c>
      <c r="H32" s="21">
        <v>2.414435459275178</v>
      </c>
      <c r="I32" s="21">
        <v>3.4895066758746731</v>
      </c>
      <c r="J32" s="13">
        <v>279.5711605835026</v>
      </c>
      <c r="K32" s="1"/>
      <c r="L32" s="1"/>
      <c r="M32" s="1"/>
      <c r="N32" s="1"/>
      <c r="O32" s="1"/>
      <c r="P32" s="1"/>
      <c r="Q32" s="1"/>
      <c r="R32" s="1"/>
      <c r="S32" s="1"/>
      <c r="T32" s="1"/>
      <c r="U32" s="1"/>
      <c r="V32" s="1"/>
      <c r="W32" s="1"/>
      <c r="X32" s="1"/>
      <c r="Y32" s="1"/>
      <c r="Z32" s="1"/>
      <c r="AA32" s="1"/>
      <c r="AB32" s="1"/>
      <c r="AC32" s="1"/>
      <c r="AD32" s="1"/>
    </row>
    <row r="33" spans="1:30" ht="12.75" customHeight="1">
      <c r="A33" s="22" t="s">
        <v>25</v>
      </c>
      <c r="B33" s="23">
        <v>5.3399824611913171</v>
      </c>
      <c r="C33" s="24">
        <v>16.753086379186129</v>
      </c>
      <c r="D33" s="24">
        <v>0.44414804643938932</v>
      </c>
      <c r="E33" s="24">
        <v>1.3586819641841905</v>
      </c>
      <c r="F33" s="24">
        <v>4.2056041747830015</v>
      </c>
      <c r="G33" s="24">
        <v>0.1761179679899714</v>
      </c>
      <c r="H33" s="24">
        <v>2.8080011771551803</v>
      </c>
      <c r="I33" s="24">
        <v>0.73068434638823188</v>
      </c>
      <c r="J33" s="25">
        <v>83.503323905192133</v>
      </c>
      <c r="K33" s="1"/>
      <c r="L33" s="1"/>
      <c r="M33" s="1"/>
      <c r="N33" s="1"/>
      <c r="O33" s="1"/>
      <c r="P33" s="1"/>
      <c r="Q33" s="1"/>
      <c r="R33" s="1"/>
      <c r="S33" s="1"/>
      <c r="T33" s="1"/>
      <c r="U33" s="1"/>
      <c r="V33" s="1"/>
      <c r="W33" s="1"/>
      <c r="X33" s="1"/>
      <c r="Y33" s="1"/>
      <c r="Z33" s="1"/>
      <c r="AA33" s="1"/>
      <c r="AB33" s="1"/>
      <c r="AC33" s="1"/>
      <c r="AD33" s="1"/>
    </row>
    <row r="34" spans="1:30" ht="12.75" customHeight="1">
      <c r="A34" s="8" t="s">
        <v>26</v>
      </c>
      <c r="B34" s="19">
        <v>3.5</v>
      </c>
      <c r="C34" s="19">
        <v>14.4</v>
      </c>
      <c r="D34" s="19">
        <v>1</v>
      </c>
      <c r="E34" s="19">
        <v>2.6</v>
      </c>
      <c r="F34" s="19">
        <v>8.5</v>
      </c>
      <c r="G34" s="20">
        <v>0.5</v>
      </c>
      <c r="H34" s="19">
        <v>2.5</v>
      </c>
      <c r="I34" s="19">
        <v>2.2000000000000002</v>
      </c>
      <c r="J34" s="10">
        <v>4391</v>
      </c>
      <c r="K34" s="1"/>
      <c r="L34" s="1"/>
      <c r="M34" s="1"/>
      <c r="N34" s="1"/>
      <c r="O34" s="1"/>
      <c r="P34" s="1"/>
      <c r="Q34" s="1"/>
      <c r="R34" s="1"/>
      <c r="S34" s="1"/>
      <c r="T34" s="1"/>
      <c r="U34" s="1"/>
      <c r="V34" s="1"/>
      <c r="W34" s="1"/>
      <c r="X34" s="1"/>
      <c r="Y34" s="1"/>
      <c r="Z34" s="1"/>
      <c r="AA34" s="1"/>
      <c r="AB34" s="1"/>
      <c r="AC34" s="1"/>
      <c r="AD34" s="1"/>
    </row>
    <row r="35" spans="1:30" ht="12.75" customHeight="1">
      <c r="A35" s="11" t="s">
        <v>12</v>
      </c>
      <c r="B35" s="12">
        <v>3</v>
      </c>
      <c r="C35" s="12">
        <v>12.4</v>
      </c>
      <c r="D35" s="12">
        <v>1</v>
      </c>
      <c r="E35" s="12">
        <v>2.5</v>
      </c>
      <c r="F35" s="12">
        <v>9.5</v>
      </c>
      <c r="G35" s="21">
        <v>0.6</v>
      </c>
      <c r="H35" s="12">
        <v>2.8</v>
      </c>
      <c r="I35" s="12">
        <v>2.7</v>
      </c>
      <c r="J35" s="13">
        <v>3024</v>
      </c>
      <c r="K35" s="1"/>
      <c r="L35" s="1"/>
      <c r="M35" s="1"/>
      <c r="N35" s="1"/>
      <c r="O35" s="1"/>
      <c r="P35" s="1"/>
      <c r="Q35" s="1"/>
      <c r="R35" s="1"/>
      <c r="S35" s="1"/>
      <c r="T35" s="1"/>
      <c r="U35" s="1"/>
      <c r="V35" s="1"/>
      <c r="W35" s="1"/>
      <c r="X35" s="1"/>
      <c r="Y35" s="1"/>
      <c r="Z35" s="1"/>
      <c r="AA35" s="1"/>
      <c r="AB35" s="1"/>
      <c r="AC35" s="1"/>
      <c r="AD35" s="1"/>
    </row>
    <row r="36" spans="1:30" ht="12.75" customHeight="1">
      <c r="A36" s="11" t="s">
        <v>13</v>
      </c>
      <c r="B36" s="12">
        <v>4.5999999999999996</v>
      </c>
      <c r="C36" s="12">
        <v>18.8</v>
      </c>
      <c r="D36" s="21">
        <v>0.8</v>
      </c>
      <c r="E36" s="21">
        <v>2.6</v>
      </c>
      <c r="F36" s="12">
        <v>6.3</v>
      </c>
      <c r="G36" s="21">
        <v>0.3</v>
      </c>
      <c r="H36" s="12">
        <v>1.9</v>
      </c>
      <c r="I36" s="21">
        <v>1.1000000000000001</v>
      </c>
      <c r="J36" s="13">
        <v>1367</v>
      </c>
      <c r="K36" s="1"/>
      <c r="L36" s="1"/>
      <c r="M36" s="1"/>
      <c r="N36" s="1"/>
      <c r="O36" s="1"/>
      <c r="P36" s="1"/>
      <c r="Q36" s="1"/>
      <c r="R36" s="1"/>
      <c r="S36" s="1"/>
      <c r="T36" s="1"/>
      <c r="U36" s="1"/>
      <c r="V36" s="1"/>
      <c r="W36" s="1"/>
      <c r="X36" s="1"/>
      <c r="Y36" s="1"/>
      <c r="Z36" s="1"/>
      <c r="AA36" s="1"/>
      <c r="AB36" s="1"/>
      <c r="AC36" s="1"/>
      <c r="AD36" s="1"/>
    </row>
    <row r="37" spans="1:30" ht="12.75" customHeight="1">
      <c r="A37" s="14" t="s">
        <v>14</v>
      </c>
      <c r="B37" s="15"/>
      <c r="C37" s="15"/>
      <c r="D37" s="16"/>
      <c r="E37" s="16"/>
      <c r="F37" s="16"/>
      <c r="G37" s="16"/>
      <c r="H37" s="16"/>
      <c r="I37" s="16"/>
      <c r="J37" s="17"/>
      <c r="K37" s="1"/>
      <c r="L37" s="26"/>
      <c r="M37" s="26"/>
      <c r="N37" s="26"/>
      <c r="O37" s="26"/>
      <c r="P37" s="26"/>
      <c r="Q37" s="26"/>
      <c r="R37" s="26"/>
      <c r="S37" s="26"/>
      <c r="T37" s="26"/>
      <c r="U37" s="26"/>
      <c r="V37" s="1"/>
      <c r="W37" s="26"/>
      <c r="X37" s="26"/>
      <c r="Y37" s="26"/>
      <c r="Z37" s="26"/>
      <c r="AA37" s="26"/>
      <c r="AB37" s="26"/>
      <c r="AC37" s="26"/>
      <c r="AD37" s="26"/>
    </row>
    <row r="38" spans="1:30" ht="12.75" customHeight="1">
      <c r="A38" s="18" t="s">
        <v>15</v>
      </c>
      <c r="B38" s="12">
        <v>5</v>
      </c>
      <c r="C38" s="12">
        <v>16.7</v>
      </c>
      <c r="D38" s="21">
        <v>0.8</v>
      </c>
      <c r="E38" s="21">
        <v>2</v>
      </c>
      <c r="F38" s="12">
        <v>10.4</v>
      </c>
      <c r="G38" s="21">
        <v>0.3</v>
      </c>
      <c r="H38" s="21">
        <v>2.6</v>
      </c>
      <c r="I38" s="21">
        <v>0.8</v>
      </c>
      <c r="J38" s="13">
        <v>1005</v>
      </c>
      <c r="K38" s="1"/>
      <c r="L38" s="26"/>
      <c r="M38" s="26"/>
      <c r="N38" s="26"/>
      <c r="O38" s="26"/>
      <c r="P38" s="26"/>
      <c r="Q38" s="26"/>
      <c r="R38" s="26"/>
      <c r="S38" s="26"/>
      <c r="T38" s="26"/>
      <c r="U38" s="26"/>
      <c r="V38" s="1"/>
      <c r="W38" s="26"/>
      <c r="X38" s="26"/>
      <c r="Y38" s="26"/>
      <c r="Z38" s="26"/>
      <c r="AA38" s="26"/>
      <c r="AB38" s="26"/>
      <c r="AC38" s="26"/>
      <c r="AD38" s="26"/>
    </row>
    <row r="39" spans="1:30" ht="12.75" customHeight="1">
      <c r="A39" s="18" t="s">
        <v>16</v>
      </c>
      <c r="B39" s="21">
        <v>7.9</v>
      </c>
      <c r="C39" s="12">
        <v>24.3</v>
      </c>
      <c r="D39" s="21">
        <v>1</v>
      </c>
      <c r="E39" s="21">
        <v>2.9</v>
      </c>
      <c r="F39" s="21">
        <v>7.2</v>
      </c>
      <c r="G39" s="21">
        <v>0.8</v>
      </c>
      <c r="H39" s="21">
        <v>4.3</v>
      </c>
      <c r="I39" s="21">
        <v>2.4</v>
      </c>
      <c r="J39" s="13">
        <v>178</v>
      </c>
      <c r="K39" s="1"/>
      <c r="L39" s="26"/>
      <c r="M39" s="26"/>
      <c r="N39" s="26"/>
      <c r="O39" s="26"/>
      <c r="P39" s="26"/>
      <c r="Q39" s="26"/>
      <c r="R39" s="26"/>
      <c r="S39" s="26"/>
      <c r="T39" s="26"/>
      <c r="U39" s="26"/>
      <c r="V39" s="1"/>
      <c r="W39" s="26"/>
      <c r="X39" s="26"/>
      <c r="Y39" s="26"/>
      <c r="Z39" s="26"/>
      <c r="AA39" s="26"/>
      <c r="AB39" s="26"/>
      <c r="AC39" s="26"/>
      <c r="AD39" s="26"/>
    </row>
    <row r="40" spans="1:30" ht="12.75" customHeight="1">
      <c r="A40" s="18" t="s">
        <v>17</v>
      </c>
      <c r="B40" s="21">
        <v>6.2</v>
      </c>
      <c r="C40" s="12">
        <v>26.7</v>
      </c>
      <c r="D40" s="21">
        <v>1.4</v>
      </c>
      <c r="E40" s="21">
        <v>4.3</v>
      </c>
      <c r="F40" s="12">
        <v>6.1</v>
      </c>
      <c r="G40" s="21">
        <v>0.8</v>
      </c>
      <c r="H40" s="21">
        <v>3</v>
      </c>
      <c r="I40" s="21">
        <v>1.1000000000000001</v>
      </c>
      <c r="J40" s="13">
        <v>367</v>
      </c>
      <c r="K40" s="1"/>
      <c r="L40" s="26"/>
      <c r="M40" s="26"/>
      <c r="N40" s="26"/>
      <c r="O40" s="26"/>
      <c r="P40" s="26"/>
      <c r="Q40" s="26"/>
      <c r="R40" s="26"/>
      <c r="S40" s="26"/>
      <c r="T40" s="26"/>
      <c r="U40" s="26"/>
      <c r="V40" s="1"/>
      <c r="W40" s="26"/>
      <c r="X40" s="26"/>
      <c r="Y40" s="26"/>
      <c r="Z40" s="26"/>
      <c r="AA40" s="26"/>
      <c r="AB40" s="26"/>
      <c r="AC40" s="26"/>
      <c r="AD40" s="26"/>
    </row>
    <row r="41" spans="1:30" ht="12.75" customHeight="1">
      <c r="A41" s="18" t="s">
        <v>18</v>
      </c>
      <c r="B41" s="21">
        <v>1.9</v>
      </c>
      <c r="C41" s="21">
        <v>13.6</v>
      </c>
      <c r="D41" s="21">
        <v>1.7</v>
      </c>
      <c r="E41" s="21">
        <v>2</v>
      </c>
      <c r="F41" s="21">
        <v>6.9</v>
      </c>
      <c r="G41" s="21">
        <v>1.3</v>
      </c>
      <c r="H41" s="21">
        <v>1.9</v>
      </c>
      <c r="I41" s="21">
        <v>2.2999999999999998</v>
      </c>
      <c r="J41" s="13">
        <v>240</v>
      </c>
      <c r="K41" s="1"/>
      <c r="L41" s="26"/>
      <c r="M41" s="26"/>
      <c r="N41" s="26"/>
      <c r="O41" s="26"/>
      <c r="P41" s="26"/>
      <c r="Q41" s="26"/>
      <c r="R41" s="26"/>
      <c r="S41" s="26"/>
      <c r="T41" s="26"/>
      <c r="U41" s="26"/>
      <c r="V41" s="1"/>
      <c r="W41" s="26"/>
      <c r="X41" s="26"/>
      <c r="Y41" s="26"/>
      <c r="Z41" s="26"/>
      <c r="AA41" s="26"/>
      <c r="AB41" s="26"/>
      <c r="AC41" s="26"/>
      <c r="AD41" s="26"/>
    </row>
    <row r="42" spans="1:30" ht="12.75" customHeight="1">
      <c r="A42" s="18" t="s">
        <v>19</v>
      </c>
      <c r="B42" s="21">
        <v>3.2</v>
      </c>
      <c r="C42" s="12">
        <v>12.6</v>
      </c>
      <c r="D42" s="21">
        <v>0.6</v>
      </c>
      <c r="E42" s="21">
        <v>2.1</v>
      </c>
      <c r="F42" s="12">
        <v>6.2</v>
      </c>
      <c r="G42" s="21">
        <v>0.7</v>
      </c>
      <c r="H42" s="21">
        <v>3</v>
      </c>
      <c r="I42" s="21">
        <v>2.5</v>
      </c>
      <c r="J42" s="13">
        <v>755</v>
      </c>
      <c r="K42" s="1"/>
      <c r="L42" s="26"/>
      <c r="M42" s="26"/>
      <c r="N42" s="26"/>
      <c r="O42" s="26"/>
      <c r="P42" s="26"/>
      <c r="Q42" s="26"/>
      <c r="R42" s="26"/>
      <c r="S42" s="26"/>
      <c r="T42" s="26"/>
      <c r="U42" s="26"/>
      <c r="V42" s="1"/>
      <c r="W42" s="26"/>
      <c r="X42" s="26"/>
      <c r="Y42" s="26"/>
      <c r="Z42" s="26"/>
      <c r="AA42" s="26"/>
      <c r="AB42" s="26"/>
      <c r="AC42" s="26"/>
      <c r="AD42" s="26"/>
    </row>
    <row r="43" spans="1:30" ht="12.75" customHeight="1">
      <c r="A43" s="18" t="s">
        <v>20</v>
      </c>
      <c r="B43" s="21">
        <v>2.8</v>
      </c>
      <c r="C43" s="21">
        <v>9.1</v>
      </c>
      <c r="D43" s="21">
        <v>0.2</v>
      </c>
      <c r="E43" s="21">
        <v>1.5</v>
      </c>
      <c r="F43" s="12">
        <v>10.7</v>
      </c>
      <c r="G43" s="21">
        <v>0.6</v>
      </c>
      <c r="H43" s="21">
        <v>1.2</v>
      </c>
      <c r="I43" s="21">
        <v>5.3</v>
      </c>
      <c r="J43" s="13">
        <v>209</v>
      </c>
      <c r="K43" s="1"/>
      <c r="L43" s="26"/>
      <c r="M43" s="26"/>
      <c r="N43" s="26"/>
      <c r="O43" s="26"/>
      <c r="P43" s="26"/>
      <c r="Q43" s="26"/>
      <c r="R43" s="26"/>
      <c r="S43" s="26"/>
      <c r="T43" s="26"/>
      <c r="U43" s="26"/>
      <c r="V43" s="1"/>
      <c r="W43" s="26"/>
      <c r="X43" s="26"/>
      <c r="Y43" s="26"/>
      <c r="Z43" s="26"/>
      <c r="AA43" s="26"/>
      <c r="AB43" s="26"/>
      <c r="AC43" s="26"/>
      <c r="AD43" s="26"/>
    </row>
    <row r="44" spans="1:30" ht="12.75" customHeight="1">
      <c r="A44" s="18" t="s">
        <v>21</v>
      </c>
      <c r="B44" s="21">
        <v>1.6</v>
      </c>
      <c r="C44" s="12">
        <v>10.1</v>
      </c>
      <c r="D44" s="21">
        <v>0.7</v>
      </c>
      <c r="E44" s="21">
        <v>2.6</v>
      </c>
      <c r="F44" s="12">
        <v>9.6</v>
      </c>
      <c r="G44" s="21">
        <v>0.2</v>
      </c>
      <c r="H44" s="21">
        <v>1.3</v>
      </c>
      <c r="I44" s="21">
        <v>3</v>
      </c>
      <c r="J44" s="13">
        <v>1323</v>
      </c>
      <c r="K44" s="1"/>
      <c r="L44" s="26"/>
      <c r="M44" s="26"/>
      <c r="N44" s="26"/>
      <c r="O44" s="26"/>
      <c r="P44" s="26"/>
      <c r="Q44" s="26"/>
      <c r="R44" s="26"/>
      <c r="S44" s="26"/>
      <c r="T44" s="26"/>
      <c r="U44" s="26"/>
      <c r="V44" s="1"/>
      <c r="W44" s="26"/>
      <c r="X44" s="26"/>
      <c r="Y44" s="26"/>
      <c r="Z44" s="26"/>
      <c r="AA44" s="26"/>
      <c r="AB44" s="26"/>
      <c r="AC44" s="26"/>
      <c r="AD44" s="26"/>
    </row>
    <row r="45" spans="1:30" ht="12.75" customHeight="1">
      <c r="A45" s="18" t="s">
        <v>22</v>
      </c>
      <c r="B45" s="21">
        <v>4</v>
      </c>
      <c r="C45" s="12">
        <v>15.5</v>
      </c>
      <c r="D45" s="21">
        <v>2.5</v>
      </c>
      <c r="E45" s="21">
        <v>4.3</v>
      </c>
      <c r="F45" s="21">
        <v>7.8</v>
      </c>
      <c r="G45" s="21">
        <v>1</v>
      </c>
      <c r="H45" s="21">
        <v>5.9</v>
      </c>
      <c r="I45" s="21">
        <v>2</v>
      </c>
      <c r="J45" s="13">
        <v>238</v>
      </c>
      <c r="K45" s="1"/>
      <c r="L45" s="26"/>
      <c r="M45" s="26"/>
      <c r="N45" s="26"/>
      <c r="O45" s="26"/>
      <c r="P45" s="26"/>
      <c r="Q45" s="26"/>
      <c r="R45" s="26"/>
      <c r="S45" s="26"/>
      <c r="T45" s="26"/>
      <c r="U45" s="26"/>
      <c r="V45" s="1"/>
      <c r="W45" s="26"/>
      <c r="X45" s="26"/>
      <c r="Y45" s="26"/>
      <c r="Z45" s="26"/>
      <c r="AA45" s="26"/>
      <c r="AB45" s="26"/>
      <c r="AC45" s="26"/>
      <c r="AD45" s="26"/>
    </row>
    <row r="46" spans="1:30" ht="12.75" customHeight="1">
      <c r="A46" s="22" t="s">
        <v>25</v>
      </c>
      <c r="B46" s="24">
        <v>2.2000000000000002</v>
      </c>
      <c r="C46" s="27">
        <v>9.1999999999999993</v>
      </c>
      <c r="D46" s="24">
        <v>4</v>
      </c>
      <c r="E46" s="24">
        <v>5.5</v>
      </c>
      <c r="F46" s="24">
        <v>4.5999999999999996</v>
      </c>
      <c r="G46" s="27">
        <v>0</v>
      </c>
      <c r="H46" s="24">
        <v>4.0999999999999996</v>
      </c>
      <c r="I46" s="24">
        <v>1.9</v>
      </c>
      <c r="J46" s="25">
        <v>75</v>
      </c>
      <c r="K46" s="1"/>
      <c r="L46" s="26"/>
      <c r="M46" s="26"/>
      <c r="N46" s="26"/>
      <c r="O46" s="26"/>
      <c r="P46" s="26"/>
      <c r="Q46" s="26"/>
      <c r="R46" s="26"/>
      <c r="S46" s="26"/>
      <c r="T46" s="26"/>
      <c r="U46" s="26"/>
      <c r="V46" s="1"/>
      <c r="W46" s="1"/>
      <c r="X46" s="1"/>
      <c r="Y46" s="1"/>
      <c r="Z46" s="1"/>
      <c r="AA46" s="1"/>
      <c r="AB46" s="1"/>
      <c r="AC46" s="1"/>
      <c r="AD46" s="1"/>
    </row>
    <row r="47" spans="1:30" ht="12" customHeight="1">
      <c r="A47" s="107" t="s">
        <v>27</v>
      </c>
      <c r="B47" s="108"/>
      <c r="C47" s="108"/>
      <c r="D47" s="108"/>
      <c r="E47" s="108"/>
      <c r="F47" s="108"/>
      <c r="G47" s="108"/>
      <c r="H47" s="108"/>
      <c r="I47" s="108"/>
      <c r="J47" s="108"/>
      <c r="K47" s="1"/>
      <c r="L47" s="26"/>
      <c r="M47" s="26"/>
      <c r="N47" s="26"/>
      <c r="O47" s="26"/>
      <c r="P47" s="26"/>
      <c r="Q47" s="26"/>
      <c r="R47" s="26"/>
      <c r="S47" s="26"/>
      <c r="T47" s="26"/>
      <c r="U47" s="26"/>
      <c r="V47" s="1"/>
      <c r="W47" s="1"/>
      <c r="X47" s="1"/>
      <c r="Y47" s="1"/>
      <c r="Z47" s="1"/>
      <c r="AA47" s="1"/>
      <c r="AB47" s="1"/>
      <c r="AC47" s="1"/>
      <c r="AD47" s="1"/>
    </row>
    <row r="48" spans="1:30" ht="12" customHeight="1">
      <c r="A48" s="107" t="s">
        <v>28</v>
      </c>
      <c r="B48" s="108"/>
      <c r="C48" s="108"/>
      <c r="D48" s="108"/>
      <c r="E48" s="108"/>
      <c r="F48" s="108"/>
      <c r="G48" s="108"/>
      <c r="H48" s="108"/>
      <c r="I48" s="108"/>
      <c r="J48" s="108"/>
      <c r="K48" s="1"/>
      <c r="L48" s="26"/>
      <c r="M48" s="26"/>
      <c r="N48" s="26"/>
      <c r="O48" s="26"/>
      <c r="P48" s="26"/>
      <c r="Q48" s="26"/>
      <c r="R48" s="26"/>
      <c r="S48" s="26"/>
      <c r="T48" s="26"/>
      <c r="U48" s="26"/>
      <c r="V48" s="1"/>
      <c r="W48" s="1"/>
      <c r="X48" s="1"/>
      <c r="Y48" s="1"/>
      <c r="Z48" s="1"/>
      <c r="AA48" s="1"/>
      <c r="AB48" s="1"/>
      <c r="AC48" s="1"/>
      <c r="AD48" s="1"/>
    </row>
    <row r="49" spans="1:30" ht="12" customHeight="1">
      <c r="A49" s="29" t="s">
        <v>29</v>
      </c>
      <c r="B49" s="28"/>
      <c r="C49" s="28"/>
      <c r="D49" s="28"/>
      <c r="E49" s="28"/>
      <c r="F49" s="28"/>
      <c r="G49" s="28"/>
      <c r="H49" s="28"/>
      <c r="I49" s="28"/>
      <c r="J49" s="28"/>
      <c r="K49" s="1"/>
      <c r="L49" s="26"/>
      <c r="M49" s="26"/>
      <c r="N49" s="26"/>
      <c r="O49" s="26"/>
      <c r="P49" s="26"/>
      <c r="Q49" s="26"/>
      <c r="R49" s="26"/>
      <c r="S49" s="26"/>
      <c r="T49" s="26"/>
      <c r="U49" s="26"/>
      <c r="V49" s="1"/>
      <c r="W49" s="1"/>
      <c r="X49" s="1"/>
      <c r="Y49" s="1"/>
      <c r="Z49" s="1"/>
      <c r="AA49" s="1"/>
      <c r="AB49" s="1"/>
      <c r="AC49" s="1"/>
      <c r="AD49" s="1"/>
    </row>
    <row r="50" spans="1:30" ht="21.75" customHeight="1">
      <c r="A50" s="109" t="s">
        <v>30</v>
      </c>
      <c r="B50" s="108"/>
      <c r="C50" s="108"/>
      <c r="D50" s="108"/>
      <c r="E50" s="108"/>
      <c r="F50" s="108"/>
      <c r="G50" s="108"/>
      <c r="H50" s="108"/>
      <c r="I50" s="108"/>
      <c r="J50" s="108"/>
      <c r="K50" s="1"/>
      <c r="L50" s="26"/>
      <c r="M50" s="26"/>
      <c r="N50" s="26"/>
      <c r="O50" s="26"/>
      <c r="P50" s="26"/>
      <c r="Q50" s="26"/>
      <c r="R50" s="26"/>
      <c r="S50" s="26"/>
      <c r="T50" s="26"/>
      <c r="U50" s="26"/>
      <c r="V50" s="1"/>
      <c r="W50" s="1"/>
      <c r="X50" s="1"/>
      <c r="Y50" s="1"/>
      <c r="Z50" s="1"/>
      <c r="AA50" s="1"/>
      <c r="AB50" s="1"/>
      <c r="AC50" s="1"/>
      <c r="AD50" s="1"/>
    </row>
    <row r="51" spans="1:30" ht="12.75" customHeight="1">
      <c r="A51" s="107" t="s">
        <v>31</v>
      </c>
      <c r="B51" s="108"/>
      <c r="C51" s="108"/>
      <c r="D51" s="108"/>
      <c r="E51" s="108"/>
      <c r="F51" s="108"/>
      <c r="G51" s="108"/>
      <c r="H51" s="108"/>
      <c r="I51" s="108"/>
      <c r="J51" s="108"/>
      <c r="K51" s="1"/>
      <c r="L51" s="26"/>
      <c r="M51" s="26"/>
      <c r="N51" s="26"/>
      <c r="O51" s="26"/>
      <c r="P51" s="26"/>
      <c r="Q51" s="26"/>
      <c r="R51" s="26"/>
      <c r="S51" s="26"/>
      <c r="T51" s="26"/>
      <c r="U51" s="26"/>
      <c r="V51" s="1"/>
      <c r="W51" s="1"/>
      <c r="X51" s="1"/>
      <c r="Y51" s="1"/>
      <c r="Z51" s="1"/>
      <c r="AA51" s="1"/>
      <c r="AB51" s="1"/>
      <c r="AC51" s="1"/>
      <c r="AD51" s="1"/>
    </row>
    <row r="52" spans="1:30" ht="12.75" customHeight="1">
      <c r="A52" s="110"/>
      <c r="B52" s="108"/>
      <c r="C52" s="108"/>
      <c r="D52" s="31"/>
      <c r="E52" s="31"/>
      <c r="F52" s="31"/>
      <c r="G52" s="31"/>
      <c r="H52" s="31"/>
      <c r="I52" s="31"/>
      <c r="J52" s="1"/>
      <c r="K52" s="1"/>
      <c r="L52" s="26"/>
      <c r="M52" s="26"/>
      <c r="N52" s="26"/>
      <c r="O52" s="26"/>
      <c r="P52" s="26"/>
      <c r="Q52" s="26"/>
      <c r="R52" s="26"/>
      <c r="S52" s="26"/>
      <c r="T52" s="26"/>
      <c r="U52" s="26"/>
      <c r="V52" s="1"/>
      <c r="W52" s="1"/>
      <c r="X52" s="1"/>
      <c r="Y52" s="1"/>
      <c r="Z52" s="1"/>
      <c r="AA52" s="1"/>
      <c r="AB52" s="1"/>
      <c r="AC52" s="1"/>
      <c r="AD52" s="1"/>
    </row>
    <row r="53" spans="1:30" ht="12.75" customHeight="1">
      <c r="A53" s="31"/>
      <c r="B53" s="30"/>
      <c r="C53" s="30"/>
      <c r="D53" s="31"/>
      <c r="E53" s="31"/>
      <c r="F53" s="31"/>
      <c r="G53" s="31"/>
      <c r="H53" s="31"/>
      <c r="I53" s="31"/>
      <c r="J53" s="1"/>
      <c r="K53" s="1"/>
      <c r="L53" s="1"/>
      <c r="M53" s="1"/>
      <c r="N53" s="1"/>
      <c r="O53" s="1"/>
      <c r="P53" s="1"/>
      <c r="Q53" s="1"/>
      <c r="R53" s="1"/>
      <c r="S53" s="1"/>
      <c r="T53" s="1"/>
      <c r="U53" s="1"/>
      <c r="V53" s="1"/>
      <c r="W53" s="1"/>
      <c r="X53" s="1"/>
      <c r="Y53" s="1"/>
      <c r="Z53" s="1"/>
      <c r="AA53" s="1"/>
      <c r="AB53" s="1"/>
      <c r="AC53" s="1"/>
      <c r="AD53" s="1"/>
    </row>
    <row r="54" spans="1:30" ht="12.75" customHeight="1">
      <c r="A54" s="31"/>
      <c r="B54" s="30"/>
      <c r="C54" s="30"/>
      <c r="D54" s="31"/>
      <c r="E54" s="31"/>
      <c r="F54" s="31"/>
      <c r="G54" s="31"/>
      <c r="H54" s="31"/>
      <c r="I54" s="31"/>
      <c r="J54" s="1"/>
      <c r="K54" s="1"/>
      <c r="L54" s="1"/>
      <c r="M54" s="1"/>
      <c r="N54" s="1"/>
      <c r="O54" s="1"/>
      <c r="P54" s="1"/>
      <c r="Q54" s="1"/>
      <c r="R54" s="1"/>
      <c r="S54" s="1"/>
      <c r="T54" s="1"/>
      <c r="U54" s="1"/>
      <c r="V54" s="1"/>
      <c r="W54" s="1"/>
      <c r="X54" s="1"/>
      <c r="Y54" s="1"/>
      <c r="Z54" s="1"/>
      <c r="AA54" s="1"/>
      <c r="AB54" s="1"/>
      <c r="AC54" s="1"/>
      <c r="AD54" s="1"/>
    </row>
    <row r="55" spans="1:30" ht="12.75" customHeight="1">
      <c r="A55" s="32"/>
      <c r="B55" s="30"/>
      <c r="C55" s="30"/>
      <c r="D55" s="31"/>
      <c r="E55" s="31"/>
      <c r="F55" s="31"/>
      <c r="G55" s="31"/>
      <c r="H55" s="31"/>
      <c r="I55" s="31"/>
      <c r="J55" s="1"/>
      <c r="K55" s="1"/>
      <c r="L55" s="1"/>
      <c r="M55" s="1"/>
      <c r="N55" s="1"/>
      <c r="O55" s="1"/>
      <c r="P55" s="1"/>
      <c r="Q55" s="1"/>
      <c r="R55" s="1"/>
      <c r="S55" s="1"/>
      <c r="T55" s="1"/>
      <c r="U55" s="1"/>
      <c r="V55" s="1"/>
      <c r="W55" s="1"/>
      <c r="X55" s="1"/>
      <c r="Y55" s="1"/>
      <c r="Z55" s="1"/>
      <c r="AA55" s="1"/>
      <c r="AB55" s="1"/>
      <c r="AC55" s="1"/>
      <c r="AD55" s="1"/>
    </row>
    <row r="56" spans="1:30"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row r="57" spans="1:30"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spans="1:30"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spans="1:30"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spans="1:3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spans="1:30"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row>
    <row r="62" spans="1:30"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spans="1:30"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spans="1:30"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spans="1:30"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spans="1:30"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spans="1:30"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spans="1:30"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spans="1:30"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spans="1:3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spans="1:30"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spans="1:30"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spans="1:30"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spans="1:30"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spans="1:30"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spans="1:30"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spans="1:30"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spans="1:30"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spans="1:30"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spans="1:3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spans="1:30"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spans="1:30"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spans="1:30"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spans="1:30"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spans="1:30"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spans="1:30"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spans="1:30"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spans="1:30"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spans="1:30"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spans="1:3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spans="1:30"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spans="1:30"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spans="1:30"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spans="1:30"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spans="1:30"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spans="1:30"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spans="1:30"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spans="1:30"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spans="1:30"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spans="1:3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spans="1:30"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spans="1:30"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spans="1:30"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spans="1:30"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spans="1:30"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spans="1:30"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spans="1:30"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spans="1:30"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spans="1:30"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spans="1:3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spans="1:30"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spans="1:30"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spans="1:30"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spans="1:30"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spans="1:30"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spans="1:30"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spans="1:30"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spans="1:30"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spans="1:30"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spans="1:3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spans="1:30"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spans="1:30"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spans="1:30"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spans="1:30"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spans="1:30"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spans="1:30"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spans="1:30"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spans="1:30"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spans="1:30"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spans="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spans="1:30"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spans="1:30"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spans="1:30"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spans="1:30"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spans="1:30"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spans="1:30"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spans="1:30"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spans="1:30"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spans="1:30"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spans="1:3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spans="1:30"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spans="1:30"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spans="1:30"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spans="1:30"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spans="1:30"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spans="1:30"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spans="1:30"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spans="1:30"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spans="1:30"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spans="1:3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spans="1:30"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spans="1:30"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spans="1:30"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spans="1:30"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spans="1:30"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spans="1:30"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spans="1:30"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spans="1:30"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spans="1:30"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spans="1:3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spans="1:30"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spans="1:30"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spans="1:30"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spans="1:30"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spans="1:30"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spans="1:30"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spans="1:30"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spans="1:30"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spans="1:30"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spans="1:3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spans="1:30"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spans="1:30"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spans="1:30"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spans="1:30"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spans="1:30"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spans="1:30"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spans="1:30"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spans="1:30"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spans="1:30"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spans="1:3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spans="1:30"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spans="1:30"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spans="1:30"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spans="1:30"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spans="1:30"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spans="1:30"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spans="1:30"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spans="1:30"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spans="1:30"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spans="1:3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spans="1:30"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spans="1:30"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spans="1:30"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spans="1:30"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spans="1:30"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spans="1:30"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spans="1:30"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spans="1:30"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spans="1:30"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spans="1:3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spans="1:30"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spans="1:30"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spans="1:30"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spans="1:30"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spans="1:30"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spans="1:30"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spans="1:30"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spans="1:30"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spans="1:30"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spans="1:3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spans="1:30"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spans="1:30"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spans="1:30"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spans="1:30"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spans="1:30"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spans="1:30"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spans="1:30"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spans="1:30"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spans="1:30"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spans="1:3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spans="1:30"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1:30"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spans="1:30"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spans="1:30"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spans="1:30"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spans="1:30"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spans="1:30"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spans="1:30"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1: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spans="1:30"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spans="1:30"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spans="1:30"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spans="1:30"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spans="1:30"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spans="1:30"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spans="1:30"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spans="1:30"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spans="1:30"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spans="1:3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spans="1:30"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spans="1:30"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spans="1:30"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1:30"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1:30"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spans="1:30"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1:30"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spans="1:30"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spans="1:30"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spans="1:3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spans="1:30"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spans="1:30"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spans="1:30"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spans="1:30"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spans="1:30"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spans="1:30"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spans="1:30"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spans="1:30"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spans="1:30"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spans="1:3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spans="1:30"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spans="1:30"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spans="1:30"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spans="1:30"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spans="1:30"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spans="1:30"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spans="1:30"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spans="1:30"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spans="1:30"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spans="1:3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spans="1:30"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spans="1:30"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spans="1:30"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spans="1:30"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spans="1:30"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spans="1:30"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spans="1:30"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spans="1:30"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spans="1:30"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spans="1:3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spans="1:30"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spans="1:30"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spans="1:30"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spans="1:30"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spans="1:30"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spans="1:30"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spans="1:30"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spans="1:30"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spans="1:30"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spans="1:3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spans="1:30"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spans="1:30"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spans="1:30"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spans="1:30"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spans="1:30"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spans="1:30"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spans="1:30"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spans="1:30"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spans="1:30"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spans="1:3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spans="1:30"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spans="1:30"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spans="1:30"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spans="1:30"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spans="1:30"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spans="1:30"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spans="1:30"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spans="1:30"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spans="1:30"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spans="1:3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spans="1:30"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spans="1:30"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spans="1:30"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spans="1:30"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spans="1:30"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spans="1:30"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spans="1:30"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spans="1:30"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spans="1:30"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spans="1:3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spans="1:30"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spans="1:30"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spans="1:30"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spans="1:30"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spans="1:30"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spans="1:30"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spans="1:30"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spans="1:30"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spans="1:30"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spans="1: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spans="1:30"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spans="1:30"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spans="1:30"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spans="1:30"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spans="1:30"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spans="1:30"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spans="1:30"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spans="1:30"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spans="1:30"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spans="1:3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spans="1:30"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spans="1:30"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spans="1:30"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spans="1:30"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spans="1:30"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spans="1:30"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spans="1:30"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spans="1:30"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spans="1:30"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spans="1:3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spans="1:30"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spans="1:30"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spans="1:30"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spans="1:30"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spans="1:30"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spans="1:30"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spans="1:30"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spans="1:30"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spans="1:30"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spans="1:3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spans="1:30"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spans="1:30"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spans="1:30"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spans="1:30"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spans="1:30"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spans="1:30"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spans="1:30"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spans="1:30"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spans="1:30"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spans="1:3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spans="1:30"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spans="1:30"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spans="1:30"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spans="1:30"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spans="1:30"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spans="1:30"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spans="1:30"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spans="1:30"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spans="1:30"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spans="1:3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spans="1:30"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spans="1:30"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spans="1:30"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spans="1:30"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spans="1:30"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spans="1:30"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spans="1:30"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spans="1:30"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spans="1:30"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spans="1:3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spans="1:30"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spans="1:30"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spans="1:30"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spans="1:30"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spans="1:30"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spans="1:30"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spans="1:30"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spans="1:30"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spans="1:30"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spans="1:3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spans="1:30"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spans="1:30"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spans="1:30"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spans="1:30"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spans="1:30"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spans="1:30"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spans="1:30"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spans="1:30"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spans="1:30"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spans="1:3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spans="1:30"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spans="1:30"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spans="1:30"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spans="1:30"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spans="1:30"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spans="1:30"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spans="1:30"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spans="1:30"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spans="1:30"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spans="1:3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spans="1:30"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spans="1:30"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spans="1:30"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spans="1:30"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spans="1:30"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spans="1:30"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spans="1:30"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spans="1:30"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spans="1:30"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spans="1: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spans="1:30"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spans="1:30"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spans="1:30"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spans="1:30"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spans="1:30"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spans="1:30"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spans="1:30"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spans="1:30"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spans="1:30"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spans="1:3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spans="1:30"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spans="1:30"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spans="1:30"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spans="1:30"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spans="1:30"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spans="1:30"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spans="1:30"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spans="1:30"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spans="1:30"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spans="1:3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spans="1:30"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spans="1:30"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spans="1:30"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spans="1:30"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spans="1:30"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spans="1:30"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spans="1:30"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spans="1:30"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spans="1:30"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spans="1:3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spans="1:30"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spans="1:30"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spans="1:30"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spans="1:30"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spans="1:30"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spans="1:30"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spans="1:30"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spans="1:30"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spans="1:30"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spans="1:3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spans="1:30"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spans="1:30"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spans="1:30"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spans="1:30"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spans="1:30"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spans="1:30"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spans="1:30"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spans="1:30"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spans="1:30"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spans="1:3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spans="1:30"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spans="1:30"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spans="1:30"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spans="1:30"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spans="1:30"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spans="1:30"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spans="1:30"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spans="1:30"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spans="1:30"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spans="1:3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spans="1:30"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spans="1:30"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spans="1:30"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spans="1:30"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spans="1:30"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spans="1:30"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spans="1:30"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spans="1:30"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spans="1:30"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spans="1:3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spans="1:30"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spans="1:30"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spans="1:30"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spans="1:30"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spans="1:30"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spans="1:30"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spans="1:30"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spans="1:30"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spans="1:30"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spans="1:3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spans="1:30"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spans="1:30"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spans="1:30"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spans="1:30"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spans="1:30"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spans="1:30"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spans="1:30"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spans="1:30"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spans="1:30"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spans="1:3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spans="1:30"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spans="1:30"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spans="1:30"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spans="1:30"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spans="1:30"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spans="1:30"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spans="1:30"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spans="1:30"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spans="1:30"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spans="1: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spans="1:30"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spans="1:30"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spans="1:30"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spans="1:30"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spans="1:30"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spans="1:30"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spans="1:30"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spans="1:30"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spans="1:30"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spans="1:3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spans="1:30"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spans="1:30"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spans="1:30"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spans="1:30"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spans="1:30"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spans="1:30"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spans="1:30"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spans="1:30"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spans="1:30"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spans="1:3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spans="1:30"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spans="1:30"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spans="1:30"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spans="1:30"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spans="1:30"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spans="1:30"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spans="1:30"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spans="1:30"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spans="1:30"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spans="1:3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spans="1:30"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spans="1:30"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spans="1:30"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spans="1:30"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spans="1:30"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spans="1:30"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spans="1:30"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spans="1:30"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spans="1:30"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spans="1:3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spans="1:30"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spans="1:30"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spans="1:30"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spans="1:30"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spans="1:30"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spans="1:30"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spans="1:30"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spans="1:30"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spans="1:30"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spans="1:3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spans="1:30"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spans="1:30"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spans="1:30"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spans="1:30"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spans="1:30"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spans="1:30"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spans="1:30"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spans="1:30"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spans="1:30"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spans="1:3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spans="1:30"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spans="1:30"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spans="1:30"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spans="1:30"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spans="1:30"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spans="1:30"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spans="1:30"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spans="1:30"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spans="1:30"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spans="1:3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spans="1:30"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spans="1:30"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spans="1:30"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spans="1:30"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spans="1:30"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spans="1:30"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spans="1:30"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spans="1:30"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spans="1:30"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spans="1:3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spans="1:30"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spans="1:30"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spans="1:30"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spans="1:30"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spans="1:30"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spans="1:30"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spans="1:30"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spans="1:30"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spans="1:30"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spans="1:3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spans="1:30"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spans="1:30"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spans="1:30"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spans="1:30"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spans="1:30"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spans="1:30"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spans="1:30"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spans="1:30"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spans="1:30"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spans="1: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spans="1:30"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spans="1:30"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spans="1:30"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spans="1:30"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spans="1:30"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spans="1:30"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spans="1:30"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spans="1:30"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spans="1:30"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spans="1:3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spans="1:30"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spans="1:30"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spans="1:30"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spans="1:30"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spans="1:30"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spans="1:30"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spans="1:30"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spans="1:30"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spans="1:30"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spans="1:3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spans="1:30"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spans="1:30"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spans="1:30"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spans="1:30"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spans="1:30"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spans="1:30"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spans="1:30"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spans="1:30"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spans="1:30"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spans="1:3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spans="1:30"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spans="1:30"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spans="1:30"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spans="1:30"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spans="1:30"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spans="1:30"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spans="1:30"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spans="1:30"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spans="1:30"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spans="1:3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spans="1:30"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spans="1:30"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spans="1:30"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spans="1:30"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spans="1:30"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spans="1:30"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spans="1:30"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spans="1:30"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spans="1:30"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spans="1:3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spans="1:30"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spans="1:30"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spans="1:30"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spans="1:30"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spans="1:30"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spans="1:30"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spans="1:30"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spans="1:30"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spans="1:30"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spans="1:3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spans="1:30"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spans="1:30"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spans="1:30"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spans="1:30"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spans="1:30"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spans="1:30"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spans="1:30"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spans="1:30"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spans="1:30"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spans="1:3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spans="1:30"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spans="1:30"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spans="1:30"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spans="1:30"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spans="1:30"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spans="1:30"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spans="1:30"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spans="1:30"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spans="1:30"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spans="1:3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spans="1:30"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spans="1:30"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spans="1:30"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spans="1:30"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spans="1:30"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spans="1:30"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spans="1:30"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spans="1:30"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spans="1:30"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spans="1:3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spans="1:30"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spans="1:30"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spans="1:30"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spans="1:30"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spans="1:30"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spans="1:30"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spans="1:30"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spans="1:30"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spans="1:30"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spans="1: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spans="1:30"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spans="1:30"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spans="1:30"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spans="1:30"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spans="1:30"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spans="1:30"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spans="1:30"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spans="1:30"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spans="1:30"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spans="1:3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spans="1:30"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spans="1:30"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spans="1:30"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spans="1:30"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spans="1:30"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spans="1:30"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spans="1:30"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spans="1:30"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spans="1:30"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spans="1:3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spans="1:30"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spans="1:30"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spans="1:30"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spans="1:30"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spans="1:30"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spans="1:30"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spans="1:30"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spans="1:30"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spans="1:30"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spans="1:3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spans="1:30"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spans="1:30"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spans="1:30"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spans="1:30"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spans="1:30"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spans="1:30"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spans="1:30"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spans="1:30"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spans="1:30"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spans="1:3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spans="1:30"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spans="1:30"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spans="1:30"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spans="1:30"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spans="1:30"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spans="1:30"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spans="1:30"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spans="1:30"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spans="1:30"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spans="1:3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spans="1:30"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spans="1:30"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spans="1:30"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spans="1:30"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spans="1:30"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spans="1:30"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spans="1:30"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spans="1:30"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spans="1:30"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spans="1:3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spans="1:30"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spans="1:30"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spans="1:30"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spans="1:30"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spans="1:30"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spans="1:30"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spans="1:30"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spans="1:30"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spans="1:30"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spans="1:3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spans="1:30"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spans="1:30"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spans="1:30"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spans="1:30"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spans="1:30"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spans="1:30"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spans="1:30"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spans="1:30"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spans="1:30"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spans="1:3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spans="1:30"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spans="1:30"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spans="1:30"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spans="1:30"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spans="1:30"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spans="1:30"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spans="1:30"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spans="1:30"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spans="1:30"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spans="1:3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spans="1:30"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spans="1:30"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spans="1:30"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spans="1:30"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spans="1:30"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spans="1:30"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spans="1:30"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spans="1:30"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spans="1:30"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spans="1: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spans="1:30"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spans="1:30"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spans="1:30"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spans="1:30"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spans="1:30"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spans="1:30"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spans="1:30"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spans="1:30"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spans="1:30"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spans="1:3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spans="1:30"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spans="1:30"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spans="1:30"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spans="1:30"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spans="1:30"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spans="1:30"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spans="1:30"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spans="1:30"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spans="1:30"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spans="1:3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spans="1:30"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spans="1:30"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spans="1:30"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spans="1:30"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spans="1:30"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spans="1:30"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spans="1:30"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spans="1:30"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spans="1:30"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spans="1:3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spans="1:30"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spans="1:30"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spans="1:30"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spans="1:30"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spans="1:30"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spans="1:30"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spans="1:30"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spans="1:30"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spans="1:30"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spans="1:3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spans="1:30"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spans="1:30"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spans="1:30"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spans="1:30"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spans="1:30"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spans="1:30"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spans="1:30"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spans="1:30"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spans="1:30"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spans="1:3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spans="1:30"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spans="1:30"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spans="1:30"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spans="1:30"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spans="1:30"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spans="1:30"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spans="1:30"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spans="1:30"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spans="1:30"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spans="1:3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spans="1:30"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spans="1:30"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spans="1:30"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spans="1:30"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spans="1:30"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spans="1:30"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spans="1:30"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spans="1:30"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spans="1:30"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spans="1:3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spans="1:30"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spans="1:30"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spans="1:30"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spans="1:30"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spans="1:30"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spans="1:30"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spans="1:30"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spans="1:30"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spans="1:30"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spans="1:3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spans="1:30"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spans="1:30"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spans="1:30"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spans="1:30"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spans="1:30"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spans="1:30"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spans="1:30"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spans="1:30"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spans="1:30"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spans="1:3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spans="1:30"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spans="1:30"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spans="1:30"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spans="1:30"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spans="1:30"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spans="1:30"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spans="1:30"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spans="1:30"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spans="1:30"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spans="1: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spans="1:30"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spans="1:30"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spans="1:30"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spans="1:30"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spans="1:30"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spans="1:30"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spans="1:30"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spans="1:30"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spans="1:30"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spans="1:3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spans="1:30"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spans="1:30"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spans="1:30"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spans="1:30"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spans="1:30"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spans="1:30"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spans="1:30"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spans="1:30"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spans="1:30"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spans="1:3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spans="1:30"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spans="1:30"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spans="1:30"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spans="1:30"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spans="1:30"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spans="1:30"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spans="1:30"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spans="1:30"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spans="1:30"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spans="1:3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spans="1:30"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spans="1:30"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spans="1:30"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spans="1:30"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spans="1:30"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spans="1:30"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spans="1:30"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spans="1:30"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spans="1:30"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spans="1:3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spans="1:30"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spans="1:30"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spans="1:30"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spans="1:30"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spans="1:30"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spans="1:30"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spans="1:30"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spans="1:30"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spans="1:30"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spans="1:3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spans="1:30"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spans="1:30"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spans="1:30"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spans="1:30"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spans="1:30"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spans="1:30"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row>
    <row r="987" spans="1:30"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row>
    <row r="988" spans="1:30"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row>
    <row r="989" spans="1:30"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row>
    <row r="990" spans="1:3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row>
    <row r="991" spans="1:30"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row>
    <row r="992" spans="1:30"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row>
    <row r="993" spans="1:30"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row>
    <row r="994" spans="1:30"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row>
    <row r="995" spans="1:30"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row>
    <row r="996" spans="1:30"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row>
    <row r="997" spans="1:30"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row>
    <row r="998" spans="1:30"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row>
    <row r="999" spans="1:30"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row>
    <row r="1000" spans="1:3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row>
  </sheetData>
  <mergeCells count="11">
    <mergeCell ref="A48:J48"/>
    <mergeCell ref="A50:J50"/>
    <mergeCell ref="A51:J51"/>
    <mergeCell ref="A52:C52"/>
    <mergeCell ref="A3:J3"/>
    <mergeCell ref="A5:A6"/>
    <mergeCell ref="B5:C5"/>
    <mergeCell ref="D5:F5"/>
    <mergeCell ref="G5:I5"/>
    <mergeCell ref="J5:J6"/>
    <mergeCell ref="A47:J47"/>
  </mergeCells>
  <printOptions horizontalCentered="1"/>
  <pageMargins left="0" right="0" top="0.98425196850393704" bottom="0.98425196850393704" header="0" footer="0"/>
  <pageSetup scale="75"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1000"/>
  <sheetViews>
    <sheetView workbookViewId="0">
      <pane xSplit="2" ySplit="1" topLeftCell="M2" activePane="bottomRight" state="frozen"/>
      <selection pane="topRight" activeCell="C1" sqref="C1"/>
      <selection pane="bottomLeft" activeCell="A2" sqref="A2"/>
      <selection pane="bottomRight" activeCell="S11" sqref="S11"/>
    </sheetView>
  </sheetViews>
  <sheetFormatPr baseColWidth="10" defaultColWidth="12.5703125" defaultRowHeight="15" customHeight="1"/>
  <cols>
    <col min="15" max="15" width="14.140625" customWidth="1"/>
    <col min="16" max="16" width="8.7109375" customWidth="1"/>
  </cols>
  <sheetData>
    <row r="1" spans="1:25" s="106" customFormat="1" ht="59.25" customHeight="1">
      <c r="A1" s="33" t="s">
        <v>32</v>
      </c>
      <c r="B1" s="33" t="s">
        <v>33</v>
      </c>
      <c r="C1" s="34" t="s">
        <v>34</v>
      </c>
      <c r="D1" s="35" t="s">
        <v>35</v>
      </c>
      <c r="E1" s="33" t="s">
        <v>36</v>
      </c>
      <c r="F1" s="33" t="s">
        <v>37</v>
      </c>
      <c r="G1" s="33" t="s">
        <v>38</v>
      </c>
      <c r="H1" s="36" t="s">
        <v>39</v>
      </c>
      <c r="I1" s="33" t="s">
        <v>40</v>
      </c>
      <c r="J1" s="37" t="s">
        <v>41</v>
      </c>
      <c r="K1" s="37" t="s">
        <v>42</v>
      </c>
      <c r="L1" s="38" t="s">
        <v>43</v>
      </c>
      <c r="M1" s="39" t="s">
        <v>44</v>
      </c>
      <c r="N1" s="36" t="s">
        <v>45</v>
      </c>
      <c r="O1" s="105"/>
      <c r="P1" s="105"/>
      <c r="Q1" s="39" t="s">
        <v>46</v>
      </c>
      <c r="R1" s="39" t="s">
        <v>44</v>
      </c>
      <c r="S1" s="39" t="s">
        <v>45</v>
      </c>
      <c r="T1" s="41" t="s">
        <v>39</v>
      </c>
      <c r="U1" s="105"/>
      <c r="V1" s="105"/>
      <c r="W1" s="105"/>
      <c r="X1" s="105"/>
      <c r="Y1" s="105"/>
    </row>
    <row r="2" spans="1:25" ht="15" customHeight="1">
      <c r="A2" s="42">
        <v>10101</v>
      </c>
      <c r="B2" s="42" t="s">
        <v>47</v>
      </c>
      <c r="C2" s="43">
        <v>244637</v>
      </c>
      <c r="D2" s="44">
        <v>90.9</v>
      </c>
      <c r="E2" s="45">
        <v>35.799999999999997</v>
      </c>
      <c r="F2" s="46">
        <f t="shared" ref="F2:F256" si="0">$P$3+$P$4*D2</f>
        <v>19.147399999999998</v>
      </c>
      <c r="G2" s="46">
        <f t="shared" ref="G2:G30" si="1">1.18*F2/F$345</f>
        <v>0.66648181167030662</v>
      </c>
      <c r="H2" s="47">
        <f t="shared" ref="H2:H256" si="2">E2*G2</f>
        <v>23.860048857796976</v>
      </c>
      <c r="I2" s="48">
        <f t="shared" ref="I2:I256" si="3">C2*H2/100</f>
        <v>58370.507724248782</v>
      </c>
      <c r="J2" s="49">
        <f>SUM(C2:C30)</f>
        <v>562960</v>
      </c>
      <c r="K2" s="49">
        <f>SUM(I2:I30)</f>
        <v>201734.52737990953</v>
      </c>
      <c r="L2" s="50">
        <f>K2/J2</f>
        <v>0.35834611229911456</v>
      </c>
      <c r="M2" s="49">
        <v>26825</v>
      </c>
      <c r="N2" s="43">
        <f t="shared" ref="N2:N256" si="4">+(H2*M2)/100</f>
        <v>6400.458106104039</v>
      </c>
      <c r="O2" s="51" t="s">
        <v>48</v>
      </c>
      <c r="P2" s="52">
        <v>17.2</v>
      </c>
      <c r="Q2" s="53" t="s">
        <v>49</v>
      </c>
      <c r="R2" s="43">
        <f t="shared" ref="R2:S2" si="5">+SUM(M2:M30)</f>
        <v>68965</v>
      </c>
      <c r="S2" s="43">
        <f t="shared" si="5"/>
        <v>25453.464207125569</v>
      </c>
      <c r="T2" s="54">
        <f t="shared" ref="T2:T12" si="6">+(S2*100)/R2</f>
        <v>36.907799908831393</v>
      </c>
    </row>
    <row r="3" spans="1:25" ht="15" customHeight="1">
      <c r="A3" s="42">
        <v>10102</v>
      </c>
      <c r="B3" s="42" t="s">
        <v>50</v>
      </c>
      <c r="C3" s="43">
        <v>9474</v>
      </c>
      <c r="D3" s="44">
        <v>0</v>
      </c>
      <c r="E3" s="45">
        <v>35.799999999999997</v>
      </c>
      <c r="F3" s="46">
        <f t="shared" si="0"/>
        <v>38.6</v>
      </c>
      <c r="G3" s="46">
        <f t="shared" si="1"/>
        <v>1.3435870107938332</v>
      </c>
      <c r="H3" s="47">
        <f t="shared" si="2"/>
        <v>48.100414986419224</v>
      </c>
      <c r="I3" s="48">
        <f t="shared" si="3"/>
        <v>4557.0333158133571</v>
      </c>
      <c r="J3" s="55"/>
      <c r="K3" s="55"/>
      <c r="L3" s="56"/>
      <c r="M3" s="49">
        <v>1072</v>
      </c>
      <c r="N3" s="43">
        <f t="shared" si="4"/>
        <v>515.63644865441404</v>
      </c>
      <c r="O3" s="57" t="s">
        <v>51</v>
      </c>
      <c r="P3" s="58">
        <v>38.6</v>
      </c>
      <c r="Q3" s="53" t="s">
        <v>52</v>
      </c>
      <c r="R3" s="43">
        <f t="shared" ref="R3:S3" si="7">+SUM(M31:M117)</f>
        <v>269074</v>
      </c>
      <c r="S3" s="43">
        <f t="shared" si="7"/>
        <v>80523.56591748615</v>
      </c>
      <c r="T3" s="54">
        <f t="shared" si="6"/>
        <v>29.926178641372317</v>
      </c>
    </row>
    <row r="4" spans="1:25" ht="15" customHeight="1">
      <c r="A4" s="42">
        <v>10103</v>
      </c>
      <c r="B4" s="42" t="s">
        <v>53</v>
      </c>
      <c r="C4" s="43">
        <v>16690</v>
      </c>
      <c r="D4" s="44">
        <v>0</v>
      </c>
      <c r="E4" s="45">
        <v>35.799999999999997</v>
      </c>
      <c r="F4" s="46">
        <f t="shared" si="0"/>
        <v>38.6</v>
      </c>
      <c r="G4" s="46">
        <f t="shared" si="1"/>
        <v>1.3435870107938332</v>
      </c>
      <c r="H4" s="47">
        <f t="shared" si="2"/>
        <v>48.100414986419224</v>
      </c>
      <c r="I4" s="48">
        <f t="shared" si="3"/>
        <v>8027.959261233369</v>
      </c>
      <c r="J4" s="55"/>
      <c r="K4" s="55"/>
      <c r="L4" s="56"/>
      <c r="M4" s="49">
        <v>2425</v>
      </c>
      <c r="N4" s="43">
        <f t="shared" si="4"/>
        <v>1166.4350634206662</v>
      </c>
      <c r="O4" s="59" t="s">
        <v>54</v>
      </c>
      <c r="P4" s="60">
        <f>(P2-P3)/(100-0)</f>
        <v>-0.21400000000000002</v>
      </c>
      <c r="Q4" s="53" t="s">
        <v>55</v>
      </c>
      <c r="R4" s="43">
        <f t="shared" ref="R4:S4" si="8">+SUM(M118:M165)</f>
        <v>191211</v>
      </c>
      <c r="S4" s="43">
        <f t="shared" si="8"/>
        <v>60496.558192871082</v>
      </c>
      <c r="T4" s="54">
        <f t="shared" si="6"/>
        <v>31.638639091302846</v>
      </c>
    </row>
    <row r="5" spans="1:25" ht="15" customHeight="1">
      <c r="A5" s="42">
        <v>10201</v>
      </c>
      <c r="B5" s="42" t="s">
        <v>56</v>
      </c>
      <c r="C5" s="43">
        <v>10905</v>
      </c>
      <c r="D5" s="44">
        <v>0</v>
      </c>
      <c r="E5" s="45">
        <v>35.799999999999997</v>
      </c>
      <c r="F5" s="46">
        <f t="shared" si="0"/>
        <v>38.6</v>
      </c>
      <c r="G5" s="46">
        <f t="shared" si="1"/>
        <v>1.3435870107938332</v>
      </c>
      <c r="H5" s="47">
        <f t="shared" si="2"/>
        <v>48.100414986419224</v>
      </c>
      <c r="I5" s="48">
        <f t="shared" si="3"/>
        <v>5245.3502542690167</v>
      </c>
      <c r="J5" s="55"/>
      <c r="K5" s="55"/>
      <c r="L5" s="56"/>
      <c r="M5" s="49">
        <v>1607</v>
      </c>
      <c r="N5" s="43">
        <f t="shared" si="4"/>
        <v>772.97366883175698</v>
      </c>
      <c r="Q5" s="53" t="s">
        <v>57</v>
      </c>
      <c r="R5" s="43">
        <f t="shared" ref="R5:S5" si="9">+SUM(M166:M200)</f>
        <v>51544</v>
      </c>
      <c r="S5" s="43">
        <f t="shared" si="9"/>
        <v>17189.072647829678</v>
      </c>
      <c r="T5" s="54">
        <f t="shared" si="6"/>
        <v>33.348348300150704</v>
      </c>
    </row>
    <row r="6" spans="1:25" ht="15" customHeight="1">
      <c r="A6" s="42">
        <v>10202</v>
      </c>
      <c r="B6" s="42" t="s">
        <v>58</v>
      </c>
      <c r="C6" s="43">
        <v>14977</v>
      </c>
      <c r="D6" s="44">
        <v>0</v>
      </c>
      <c r="E6" s="45">
        <v>35.799999999999997</v>
      </c>
      <c r="F6" s="46">
        <f t="shared" si="0"/>
        <v>38.6</v>
      </c>
      <c r="G6" s="46">
        <f t="shared" si="1"/>
        <v>1.3435870107938332</v>
      </c>
      <c r="H6" s="47">
        <f t="shared" si="2"/>
        <v>48.100414986419224</v>
      </c>
      <c r="I6" s="48">
        <f t="shared" si="3"/>
        <v>7203.9991525160067</v>
      </c>
      <c r="J6" s="55"/>
      <c r="K6" s="55"/>
      <c r="L6" s="56"/>
      <c r="M6" s="49">
        <v>2095</v>
      </c>
      <c r="N6" s="43">
        <f t="shared" si="4"/>
        <v>1007.7036939654828</v>
      </c>
      <c r="Q6" s="53" t="s">
        <v>59</v>
      </c>
      <c r="R6" s="43">
        <f t="shared" ref="R6:S6" si="10">+SUM(M201:M242)</f>
        <v>98276</v>
      </c>
      <c r="S6" s="43">
        <f t="shared" si="10"/>
        <v>43309.634251796684</v>
      </c>
      <c r="T6" s="54">
        <f t="shared" si="6"/>
        <v>44.069390544788845</v>
      </c>
    </row>
    <row r="7" spans="1:25" ht="15" customHeight="1">
      <c r="A7" s="42">
        <v>10301</v>
      </c>
      <c r="B7" s="42" t="s">
        <v>60</v>
      </c>
      <c r="C7" s="43">
        <v>9930</v>
      </c>
      <c r="D7" s="44">
        <v>23.4</v>
      </c>
      <c r="E7" s="45">
        <v>35.799999999999997</v>
      </c>
      <c r="F7" s="46">
        <f t="shared" si="0"/>
        <v>33.592399999999998</v>
      </c>
      <c r="G7" s="46">
        <f t="shared" si="1"/>
        <v>1.1692827021085688</v>
      </c>
      <c r="H7" s="47">
        <f t="shared" si="2"/>
        <v>41.860320735486759</v>
      </c>
      <c r="I7" s="48">
        <f t="shared" si="3"/>
        <v>4156.7298490338353</v>
      </c>
      <c r="J7" s="55"/>
      <c r="K7" s="55"/>
      <c r="L7" s="56"/>
      <c r="M7" s="49">
        <v>1094</v>
      </c>
      <c r="N7" s="43">
        <f t="shared" si="4"/>
        <v>457.95190884622514</v>
      </c>
      <c r="Q7" s="53" t="s">
        <v>61</v>
      </c>
      <c r="R7" s="43">
        <f t="shared" ref="R7:S7" si="11">+SUM(M243:M253)</f>
        <v>49723</v>
      </c>
      <c r="S7" s="43">
        <f t="shared" si="11"/>
        <v>7518.2158986533786</v>
      </c>
      <c r="T7" s="54">
        <f t="shared" si="6"/>
        <v>15.120197692523336</v>
      </c>
    </row>
    <row r="8" spans="1:25" ht="15" customHeight="1">
      <c r="A8" s="42">
        <v>10302</v>
      </c>
      <c r="B8" s="42" t="s">
        <v>62</v>
      </c>
      <c r="C8" s="43">
        <v>11115</v>
      </c>
      <c r="D8" s="44">
        <v>15</v>
      </c>
      <c r="E8" s="45">
        <v>35.799999999999997</v>
      </c>
      <c r="F8" s="46">
        <f t="shared" si="0"/>
        <v>35.39</v>
      </c>
      <c r="G8" s="46">
        <f t="shared" si="1"/>
        <v>1.2318534795853304</v>
      </c>
      <c r="H8" s="47">
        <f t="shared" si="2"/>
        <v>44.100354569154824</v>
      </c>
      <c r="I8" s="48">
        <f t="shared" si="3"/>
        <v>4901.7544103615583</v>
      </c>
      <c r="J8" s="55"/>
      <c r="K8" s="55"/>
      <c r="L8" s="56"/>
      <c r="M8" s="49">
        <v>1543</v>
      </c>
      <c r="N8" s="43">
        <f t="shared" si="4"/>
        <v>680.46847100205889</v>
      </c>
      <c r="Q8" s="53" t="s">
        <v>63</v>
      </c>
      <c r="R8" s="43">
        <f t="shared" ref="R8:S8" si="12">+SUM(M254:M309)</f>
        <v>293010</v>
      </c>
      <c r="S8" s="43">
        <f t="shared" si="12"/>
        <v>36139.092819951693</v>
      </c>
      <c r="T8" s="54">
        <f t="shared" si="6"/>
        <v>12.333740425224972</v>
      </c>
    </row>
    <row r="9" spans="1:25" ht="15" customHeight="1">
      <c r="A9" s="42">
        <v>10303</v>
      </c>
      <c r="B9" s="42" t="s">
        <v>64</v>
      </c>
      <c r="C9" s="43">
        <v>8016</v>
      </c>
      <c r="D9" s="44">
        <v>0</v>
      </c>
      <c r="E9" s="45">
        <v>35.799999999999997</v>
      </c>
      <c r="F9" s="46">
        <f t="shared" si="0"/>
        <v>38.6</v>
      </c>
      <c r="G9" s="46">
        <f t="shared" si="1"/>
        <v>1.3435870107938332</v>
      </c>
      <c r="H9" s="47">
        <f t="shared" si="2"/>
        <v>48.100414986419224</v>
      </c>
      <c r="I9" s="48">
        <f t="shared" si="3"/>
        <v>3855.729265311365</v>
      </c>
      <c r="J9" s="55"/>
      <c r="K9" s="55"/>
      <c r="L9" s="56"/>
      <c r="M9" s="49">
        <v>1059</v>
      </c>
      <c r="N9" s="43">
        <f t="shared" si="4"/>
        <v>509.38339470617962</v>
      </c>
      <c r="Q9" s="53" t="s">
        <v>22</v>
      </c>
      <c r="R9" s="43">
        <f t="shared" ref="R9:S9" si="13">+SUM(M310:M329)</f>
        <v>54651</v>
      </c>
      <c r="S9" s="43">
        <f t="shared" si="13"/>
        <v>9892.8404087632662</v>
      </c>
      <c r="T9" s="54">
        <f t="shared" si="6"/>
        <v>18.101847008770683</v>
      </c>
    </row>
    <row r="10" spans="1:25" ht="15" customHeight="1">
      <c r="A10" s="42">
        <v>10304</v>
      </c>
      <c r="B10" s="42" t="s">
        <v>65</v>
      </c>
      <c r="C10" s="43">
        <v>7921</v>
      </c>
      <c r="D10" s="44">
        <v>0</v>
      </c>
      <c r="E10" s="45">
        <v>35.799999999999997</v>
      </c>
      <c r="F10" s="46">
        <f t="shared" si="0"/>
        <v>38.6</v>
      </c>
      <c r="G10" s="46">
        <f t="shared" si="1"/>
        <v>1.3435870107938332</v>
      </c>
      <c r="H10" s="47">
        <f t="shared" si="2"/>
        <v>48.100414986419224</v>
      </c>
      <c r="I10" s="48">
        <f t="shared" si="3"/>
        <v>3810.0338710742667</v>
      </c>
      <c r="J10" s="55"/>
      <c r="K10" s="55"/>
      <c r="L10" s="56"/>
      <c r="M10" s="49">
        <v>1042</v>
      </c>
      <c r="N10" s="43">
        <f t="shared" si="4"/>
        <v>501.20632415848837</v>
      </c>
      <c r="Q10" s="53" t="s">
        <v>23</v>
      </c>
      <c r="R10" s="43">
        <f t="shared" ref="R10:S10" si="14">+SUM(M330:M344)</f>
        <v>12614</v>
      </c>
      <c r="S10" s="43">
        <f t="shared" si="14"/>
        <v>1932.3700051714018</v>
      </c>
      <c r="T10" s="54">
        <f t="shared" si="6"/>
        <v>15.319248495095939</v>
      </c>
    </row>
    <row r="11" spans="1:25" ht="15" customHeight="1">
      <c r="A11" s="42">
        <v>10401</v>
      </c>
      <c r="B11" s="42" t="s">
        <v>66</v>
      </c>
      <c r="C11" s="43">
        <v>11136</v>
      </c>
      <c r="D11" s="44">
        <v>28.2</v>
      </c>
      <c r="E11" s="45">
        <v>35.799999999999997</v>
      </c>
      <c r="F11" s="46">
        <f t="shared" si="0"/>
        <v>32.565200000000004</v>
      </c>
      <c r="G11" s="46">
        <f t="shared" si="1"/>
        <v>1.1335279721218483</v>
      </c>
      <c r="H11" s="47">
        <f t="shared" si="2"/>
        <v>40.580301401962167</v>
      </c>
      <c r="I11" s="48">
        <f t="shared" si="3"/>
        <v>4519.0223641225066</v>
      </c>
      <c r="J11" s="55"/>
      <c r="K11" s="55"/>
      <c r="L11" s="56"/>
      <c r="M11" s="49">
        <v>1303</v>
      </c>
      <c r="N11" s="43">
        <f t="shared" si="4"/>
        <v>528.76132726756703</v>
      </c>
      <c r="Q11" s="119" t="s">
        <v>67</v>
      </c>
      <c r="R11" s="71">
        <f t="shared" ref="R11:S11" si="15">SUM(R2:R10)</f>
        <v>1089068</v>
      </c>
      <c r="S11" s="71">
        <f t="shared" si="15"/>
        <v>282454.81434964889</v>
      </c>
      <c r="T11" s="120">
        <f t="shared" si="6"/>
        <v>25.935461729630187</v>
      </c>
    </row>
    <row r="12" spans="1:25" ht="15" customHeight="1">
      <c r="A12" s="42">
        <v>10402</v>
      </c>
      <c r="B12" s="42" t="s">
        <v>68</v>
      </c>
      <c r="C12" s="43">
        <v>8700</v>
      </c>
      <c r="D12" s="44">
        <v>0</v>
      </c>
      <c r="E12" s="45">
        <v>35.799999999999997</v>
      </c>
      <c r="F12" s="46">
        <f t="shared" si="0"/>
        <v>38.6</v>
      </c>
      <c r="G12" s="46">
        <f t="shared" si="1"/>
        <v>1.3435870107938332</v>
      </c>
      <c r="H12" s="47">
        <f t="shared" si="2"/>
        <v>48.100414986419224</v>
      </c>
      <c r="I12" s="48">
        <f t="shared" si="3"/>
        <v>4184.7361038184727</v>
      </c>
      <c r="J12" s="55"/>
      <c r="K12" s="55"/>
      <c r="L12" s="56"/>
      <c r="M12" s="49">
        <v>1135</v>
      </c>
      <c r="N12" s="43">
        <f t="shared" si="4"/>
        <v>545.93971009585812</v>
      </c>
      <c r="Q12" s="121" t="s">
        <v>409</v>
      </c>
      <c r="R12" s="122">
        <f>SUM(M246:M248)</f>
        <v>16208</v>
      </c>
      <c r="S12" s="122">
        <f>SUM(N246:N248)</f>
        <v>2363.6641617956238</v>
      </c>
      <c r="T12" s="123">
        <f t="shared" si="6"/>
        <v>14.583317878798272</v>
      </c>
    </row>
    <row r="13" spans="1:25" ht="15" customHeight="1">
      <c r="A13" s="42">
        <v>10403</v>
      </c>
      <c r="B13" s="42" t="s">
        <v>69</v>
      </c>
      <c r="C13" s="43">
        <v>7286</v>
      </c>
      <c r="D13" s="44">
        <v>18.600000000000001</v>
      </c>
      <c r="E13" s="45">
        <v>35.799999999999997</v>
      </c>
      <c r="F13" s="46">
        <f t="shared" si="0"/>
        <v>34.619599999999998</v>
      </c>
      <c r="G13" s="46">
        <f t="shared" si="1"/>
        <v>1.2050374320952897</v>
      </c>
      <c r="H13" s="47">
        <f t="shared" si="2"/>
        <v>43.140340069011366</v>
      </c>
      <c r="I13" s="48">
        <f t="shared" si="3"/>
        <v>3143.2051774281681</v>
      </c>
      <c r="J13" s="55"/>
      <c r="K13" s="55"/>
      <c r="L13" s="56"/>
      <c r="M13" s="49">
        <v>970</v>
      </c>
      <c r="N13" s="43">
        <f t="shared" si="4"/>
        <v>418.46129866941027</v>
      </c>
    </row>
    <row r="14" spans="1:25" ht="15" customHeight="1">
      <c r="A14" s="42">
        <v>10404</v>
      </c>
      <c r="B14" s="42" t="s">
        <v>70</v>
      </c>
      <c r="C14" s="43">
        <v>4586</v>
      </c>
      <c r="D14" s="44">
        <v>0</v>
      </c>
      <c r="E14" s="45">
        <v>35.799999999999997</v>
      </c>
      <c r="F14" s="46">
        <f t="shared" si="0"/>
        <v>38.6</v>
      </c>
      <c r="G14" s="46">
        <f t="shared" si="1"/>
        <v>1.3435870107938332</v>
      </c>
      <c r="H14" s="47">
        <f t="shared" si="2"/>
        <v>48.100414986419224</v>
      </c>
      <c r="I14" s="48">
        <f t="shared" si="3"/>
        <v>2205.8850312771856</v>
      </c>
      <c r="J14" s="55"/>
      <c r="K14" s="55"/>
      <c r="L14" s="56"/>
      <c r="M14" s="49">
        <v>551</v>
      </c>
      <c r="N14" s="43">
        <f t="shared" si="4"/>
        <v>265.03328657516994</v>
      </c>
    </row>
    <row r="15" spans="1:25" ht="15" customHeight="1">
      <c r="A15" s="42">
        <v>10405</v>
      </c>
      <c r="B15" s="42" t="s">
        <v>71</v>
      </c>
      <c r="C15" s="43">
        <v>4509</v>
      </c>
      <c r="D15" s="44">
        <v>0</v>
      </c>
      <c r="E15" s="45">
        <v>35.799999999999997</v>
      </c>
      <c r="F15" s="46">
        <f t="shared" si="0"/>
        <v>38.6</v>
      </c>
      <c r="G15" s="46">
        <f t="shared" si="1"/>
        <v>1.3435870107938332</v>
      </c>
      <c r="H15" s="47">
        <f t="shared" si="2"/>
        <v>48.100414986419224</v>
      </c>
      <c r="I15" s="48">
        <f t="shared" si="3"/>
        <v>2168.8477117376428</v>
      </c>
      <c r="J15" s="55"/>
      <c r="K15" s="55"/>
      <c r="L15" s="56"/>
      <c r="M15" s="49">
        <v>514</v>
      </c>
      <c r="N15" s="43">
        <f t="shared" si="4"/>
        <v>247.23613303019479</v>
      </c>
    </row>
    <row r="16" spans="1:25" ht="15" customHeight="1">
      <c r="A16" s="42">
        <v>10501</v>
      </c>
      <c r="B16" s="42" t="s">
        <v>72</v>
      </c>
      <c r="C16" s="43">
        <v>25103</v>
      </c>
      <c r="D16" s="44">
        <v>40</v>
      </c>
      <c r="E16" s="45">
        <v>35.799999999999997</v>
      </c>
      <c r="F16" s="46">
        <f t="shared" si="0"/>
        <v>30.04</v>
      </c>
      <c r="G16" s="46">
        <f t="shared" si="1"/>
        <v>1.0456309275711591</v>
      </c>
      <c r="H16" s="47">
        <f t="shared" si="2"/>
        <v>37.433587207047488</v>
      </c>
      <c r="I16" s="48">
        <f t="shared" si="3"/>
        <v>9396.9533965851315</v>
      </c>
      <c r="J16" s="55"/>
      <c r="K16" s="55"/>
      <c r="L16" s="56"/>
      <c r="M16" s="49">
        <v>2991</v>
      </c>
      <c r="N16" s="43">
        <f t="shared" si="4"/>
        <v>1119.6385933627905</v>
      </c>
    </row>
    <row r="17" spans="1:14" ht="15" customHeight="1">
      <c r="A17" s="42">
        <v>10502</v>
      </c>
      <c r="B17" s="42" t="s">
        <v>73</v>
      </c>
      <c r="C17" s="43">
        <v>8952</v>
      </c>
      <c r="D17" s="44">
        <v>0</v>
      </c>
      <c r="E17" s="45">
        <v>35.799999999999997</v>
      </c>
      <c r="F17" s="46">
        <f t="shared" si="0"/>
        <v>38.6</v>
      </c>
      <c r="G17" s="46">
        <f t="shared" si="1"/>
        <v>1.3435870107938332</v>
      </c>
      <c r="H17" s="47">
        <f t="shared" si="2"/>
        <v>48.100414986419224</v>
      </c>
      <c r="I17" s="48">
        <f t="shared" si="3"/>
        <v>4305.9491495842494</v>
      </c>
      <c r="J17" s="55"/>
      <c r="K17" s="55"/>
      <c r="L17" s="56"/>
      <c r="M17" s="49">
        <v>1269</v>
      </c>
      <c r="N17" s="43">
        <f t="shared" si="4"/>
        <v>610.39426617765992</v>
      </c>
    </row>
    <row r="18" spans="1:14" ht="15" customHeight="1">
      <c r="A18" s="42">
        <v>10601</v>
      </c>
      <c r="B18" s="42" t="s">
        <v>74</v>
      </c>
      <c r="C18" s="43">
        <v>17893</v>
      </c>
      <c r="D18" s="44">
        <v>15.7</v>
      </c>
      <c r="E18" s="45">
        <v>35.799999999999997</v>
      </c>
      <c r="F18" s="46">
        <f t="shared" si="0"/>
        <v>35.240200000000002</v>
      </c>
      <c r="G18" s="46">
        <f t="shared" si="1"/>
        <v>1.2266392481289337</v>
      </c>
      <c r="H18" s="47">
        <f t="shared" si="2"/>
        <v>43.913685083015821</v>
      </c>
      <c r="I18" s="48">
        <f t="shared" si="3"/>
        <v>7857.4756719040206</v>
      </c>
      <c r="J18" s="55"/>
      <c r="K18" s="55"/>
      <c r="L18" s="56"/>
      <c r="M18" s="49">
        <v>2355</v>
      </c>
      <c r="N18" s="43">
        <f t="shared" si="4"/>
        <v>1034.1672837050226</v>
      </c>
    </row>
    <row r="19" spans="1:14" ht="15" customHeight="1">
      <c r="A19" s="42">
        <v>10602</v>
      </c>
      <c r="B19" s="42" t="s">
        <v>75</v>
      </c>
      <c r="C19" s="43">
        <v>10075</v>
      </c>
      <c r="D19" s="44">
        <v>0</v>
      </c>
      <c r="E19" s="45">
        <v>35.799999999999997</v>
      </c>
      <c r="F19" s="46">
        <f t="shared" si="0"/>
        <v>38.6</v>
      </c>
      <c r="G19" s="46">
        <f t="shared" si="1"/>
        <v>1.3435870107938332</v>
      </c>
      <c r="H19" s="47">
        <f t="shared" si="2"/>
        <v>48.100414986419224</v>
      </c>
      <c r="I19" s="48">
        <f t="shared" si="3"/>
        <v>4846.116809881737</v>
      </c>
      <c r="J19" s="55"/>
      <c r="K19" s="55"/>
      <c r="L19" s="56"/>
      <c r="M19" s="49">
        <v>1179</v>
      </c>
      <c r="N19" s="43">
        <f t="shared" si="4"/>
        <v>567.10389268988263</v>
      </c>
    </row>
    <row r="20" spans="1:14" ht="15" customHeight="1">
      <c r="A20" s="42">
        <v>10701</v>
      </c>
      <c r="B20" s="42" t="s">
        <v>76</v>
      </c>
      <c r="C20" s="43">
        <v>15189</v>
      </c>
      <c r="D20" s="44">
        <v>32.799999999999997</v>
      </c>
      <c r="E20" s="45">
        <v>35.799999999999997</v>
      </c>
      <c r="F20" s="46">
        <f t="shared" si="0"/>
        <v>31.5808</v>
      </c>
      <c r="G20" s="46">
        <f t="shared" si="1"/>
        <v>1.0992630225512405</v>
      </c>
      <c r="H20" s="47">
        <f t="shared" si="2"/>
        <v>39.353616207334404</v>
      </c>
      <c r="I20" s="48">
        <f t="shared" si="3"/>
        <v>5977.420765732023</v>
      </c>
      <c r="J20" s="55"/>
      <c r="K20" s="55"/>
      <c r="L20" s="56"/>
      <c r="M20" s="49">
        <v>1843</v>
      </c>
      <c r="N20" s="43">
        <f t="shared" si="4"/>
        <v>725.28714670117301</v>
      </c>
    </row>
    <row r="21" spans="1:14" ht="15" customHeight="1">
      <c r="A21" s="42">
        <v>10702</v>
      </c>
      <c r="B21" s="42" t="s">
        <v>77</v>
      </c>
      <c r="C21" s="43">
        <v>32371</v>
      </c>
      <c r="D21" s="44">
        <v>0</v>
      </c>
      <c r="E21" s="45">
        <v>35.799999999999997</v>
      </c>
      <c r="F21" s="46">
        <f t="shared" si="0"/>
        <v>38.6</v>
      </c>
      <c r="G21" s="46">
        <f t="shared" si="1"/>
        <v>1.3435870107938332</v>
      </c>
      <c r="H21" s="47">
        <f t="shared" si="2"/>
        <v>48.100414986419224</v>
      </c>
      <c r="I21" s="48">
        <f t="shared" si="3"/>
        <v>15570.585335253769</v>
      </c>
      <c r="J21" s="55"/>
      <c r="K21" s="55"/>
      <c r="L21" s="56"/>
      <c r="M21" s="49">
        <v>4770</v>
      </c>
      <c r="N21" s="43">
        <f t="shared" si="4"/>
        <v>2294.3897948521972</v>
      </c>
    </row>
    <row r="22" spans="1:14" ht="15" customHeight="1">
      <c r="A22" s="42">
        <v>10703</v>
      </c>
      <c r="B22" s="42" t="s">
        <v>78</v>
      </c>
      <c r="C22" s="43">
        <v>12203</v>
      </c>
      <c r="D22" s="44">
        <v>0</v>
      </c>
      <c r="E22" s="45">
        <v>35.799999999999997</v>
      </c>
      <c r="F22" s="46">
        <f t="shared" si="0"/>
        <v>38.6</v>
      </c>
      <c r="G22" s="46">
        <f t="shared" si="1"/>
        <v>1.3435870107938332</v>
      </c>
      <c r="H22" s="47">
        <f t="shared" si="2"/>
        <v>48.100414986419224</v>
      </c>
      <c r="I22" s="48">
        <f t="shared" si="3"/>
        <v>5869.6936407927378</v>
      </c>
      <c r="J22" s="55"/>
      <c r="K22" s="55"/>
      <c r="L22" s="56"/>
      <c r="M22" s="49">
        <v>1869</v>
      </c>
      <c r="N22" s="43">
        <f t="shared" si="4"/>
        <v>898.9967560961752</v>
      </c>
    </row>
    <row r="23" spans="1:14">
      <c r="A23" s="42">
        <v>10704</v>
      </c>
      <c r="B23" s="42" t="s">
        <v>79</v>
      </c>
      <c r="C23" s="43">
        <v>14751</v>
      </c>
      <c r="D23" s="44">
        <v>11.2</v>
      </c>
      <c r="E23" s="45">
        <v>35.799999999999997</v>
      </c>
      <c r="F23" s="46">
        <f t="shared" si="0"/>
        <v>36.203200000000002</v>
      </c>
      <c r="G23" s="46">
        <f t="shared" si="1"/>
        <v>1.2601593074914845</v>
      </c>
      <c r="H23" s="47">
        <f t="shared" si="2"/>
        <v>45.11370320819514</v>
      </c>
      <c r="I23" s="48">
        <f t="shared" si="3"/>
        <v>6654.7223602408649</v>
      </c>
      <c r="J23" s="55"/>
      <c r="K23" s="55"/>
      <c r="L23" s="56"/>
      <c r="M23" s="49">
        <v>2231</v>
      </c>
      <c r="N23" s="43">
        <f t="shared" si="4"/>
        <v>1006.4867185748336</v>
      </c>
    </row>
    <row r="24" spans="1:14">
      <c r="A24" s="42">
        <v>10801</v>
      </c>
      <c r="B24" s="42" t="s">
        <v>80</v>
      </c>
      <c r="C24" s="43">
        <v>11606</v>
      </c>
      <c r="D24" s="44">
        <v>27.2</v>
      </c>
      <c r="E24" s="45">
        <v>35.799999999999997</v>
      </c>
      <c r="F24" s="46">
        <f t="shared" si="0"/>
        <v>32.779200000000003</v>
      </c>
      <c r="G24" s="46">
        <f t="shared" si="1"/>
        <v>1.1409768742024149</v>
      </c>
      <c r="H24" s="47">
        <f t="shared" si="2"/>
        <v>40.84697209644645</v>
      </c>
      <c r="I24" s="48">
        <f t="shared" si="3"/>
        <v>4740.6995815135751</v>
      </c>
      <c r="J24" s="55"/>
      <c r="K24" s="55"/>
      <c r="L24" s="56"/>
      <c r="M24" s="49">
        <v>1375</v>
      </c>
      <c r="N24" s="43">
        <f t="shared" si="4"/>
        <v>561.64586632613873</v>
      </c>
    </row>
    <row r="25" spans="1:14">
      <c r="A25" s="42">
        <v>10901</v>
      </c>
      <c r="B25" s="42" t="s">
        <v>81</v>
      </c>
      <c r="C25" s="43">
        <v>3398</v>
      </c>
      <c r="D25" s="44">
        <v>0</v>
      </c>
      <c r="E25" s="45">
        <v>35.799999999999997</v>
      </c>
      <c r="F25" s="46">
        <f t="shared" si="0"/>
        <v>38.6</v>
      </c>
      <c r="G25" s="46">
        <f t="shared" si="1"/>
        <v>1.3435870107938332</v>
      </c>
      <c r="H25" s="47">
        <f t="shared" si="2"/>
        <v>48.100414986419224</v>
      </c>
      <c r="I25" s="48">
        <f t="shared" si="3"/>
        <v>1634.4521012385253</v>
      </c>
      <c r="J25" s="55"/>
      <c r="K25" s="55"/>
      <c r="L25" s="56"/>
      <c r="M25" s="49">
        <v>414</v>
      </c>
      <c r="N25" s="43">
        <f t="shared" si="4"/>
        <v>199.1357180437756</v>
      </c>
    </row>
    <row r="26" spans="1:14">
      <c r="A26" s="42">
        <v>10902</v>
      </c>
      <c r="B26" s="42" t="s">
        <v>82</v>
      </c>
      <c r="C26" s="43">
        <v>17672</v>
      </c>
      <c r="D26" s="44">
        <v>14.2</v>
      </c>
      <c r="E26" s="45">
        <v>35.799999999999997</v>
      </c>
      <c r="F26" s="46">
        <f t="shared" si="0"/>
        <v>35.561199999999999</v>
      </c>
      <c r="G26" s="46">
        <f t="shared" si="1"/>
        <v>1.2378126012497839</v>
      </c>
      <c r="H26" s="47">
        <f t="shared" si="2"/>
        <v>44.313691124742256</v>
      </c>
      <c r="I26" s="48">
        <f t="shared" si="3"/>
        <v>7831.1154955644506</v>
      </c>
      <c r="J26" s="55"/>
      <c r="K26" s="55"/>
      <c r="L26" s="56"/>
      <c r="M26" s="49">
        <v>2398</v>
      </c>
      <c r="N26" s="43">
        <f t="shared" si="4"/>
        <v>1062.6423131713193</v>
      </c>
    </row>
    <row r="27" spans="1:14">
      <c r="A27" s="42">
        <v>10903</v>
      </c>
      <c r="B27" s="42" t="s">
        <v>83</v>
      </c>
      <c r="C27" s="43">
        <v>3895</v>
      </c>
      <c r="D27" s="44">
        <v>0</v>
      </c>
      <c r="E27" s="45">
        <v>35.799999999999997</v>
      </c>
      <c r="F27" s="46">
        <f t="shared" si="0"/>
        <v>38.6</v>
      </c>
      <c r="G27" s="46">
        <f t="shared" si="1"/>
        <v>1.3435870107938332</v>
      </c>
      <c r="H27" s="47">
        <f t="shared" si="2"/>
        <v>48.100414986419224</v>
      </c>
      <c r="I27" s="48">
        <f t="shared" si="3"/>
        <v>1873.5111637210287</v>
      </c>
      <c r="J27" s="55"/>
      <c r="K27" s="55"/>
      <c r="L27" s="56"/>
      <c r="M27" s="49">
        <v>417</v>
      </c>
      <c r="N27" s="43">
        <f t="shared" si="4"/>
        <v>200.57873049336817</v>
      </c>
    </row>
    <row r="28" spans="1:14">
      <c r="A28" s="42">
        <v>11001</v>
      </c>
      <c r="B28" s="42" t="s">
        <v>84</v>
      </c>
      <c r="C28" s="43">
        <v>10094</v>
      </c>
      <c r="D28" s="44">
        <v>29</v>
      </c>
      <c r="E28" s="45">
        <v>35.799999999999997</v>
      </c>
      <c r="F28" s="46">
        <f t="shared" si="0"/>
        <v>32.393999999999998</v>
      </c>
      <c r="G28" s="46">
        <f t="shared" si="1"/>
        <v>1.1275688504573944</v>
      </c>
      <c r="H28" s="47">
        <f t="shared" si="2"/>
        <v>40.366964846374714</v>
      </c>
      <c r="I28" s="48">
        <f t="shared" si="3"/>
        <v>4074.6414315930638</v>
      </c>
      <c r="J28" s="55"/>
      <c r="K28" s="55"/>
      <c r="L28" s="56"/>
      <c r="M28" s="49">
        <v>1350</v>
      </c>
      <c r="N28" s="43">
        <f t="shared" si="4"/>
        <v>544.95402542605871</v>
      </c>
    </row>
    <row r="29" spans="1:14">
      <c r="A29" s="42">
        <v>11002</v>
      </c>
      <c r="B29" s="42" t="s">
        <v>85</v>
      </c>
      <c r="C29" s="43">
        <v>2470</v>
      </c>
      <c r="D29" s="44">
        <v>0</v>
      </c>
      <c r="E29" s="45">
        <v>35.799999999999997</v>
      </c>
      <c r="F29" s="46">
        <f t="shared" si="0"/>
        <v>38.6</v>
      </c>
      <c r="G29" s="46">
        <f t="shared" si="1"/>
        <v>1.3435870107938332</v>
      </c>
      <c r="H29" s="47">
        <f t="shared" si="2"/>
        <v>48.100414986419224</v>
      </c>
      <c r="I29" s="48">
        <f t="shared" si="3"/>
        <v>1188.0802501645549</v>
      </c>
      <c r="J29" s="55"/>
      <c r="K29" s="55"/>
      <c r="L29" s="56"/>
      <c r="M29" s="49">
        <v>343</v>
      </c>
      <c r="N29" s="43">
        <f t="shared" si="4"/>
        <v>164.98442340341794</v>
      </c>
    </row>
    <row r="30" spans="1:14">
      <c r="A30" s="42">
        <v>11003</v>
      </c>
      <c r="B30" s="42" t="s">
        <v>86</v>
      </c>
      <c r="C30" s="43">
        <v>7406</v>
      </c>
      <c r="D30" s="44">
        <v>0</v>
      </c>
      <c r="E30" s="45">
        <v>35.799999999999997</v>
      </c>
      <c r="F30" s="46">
        <f t="shared" si="0"/>
        <v>38.6</v>
      </c>
      <c r="G30" s="46">
        <f t="shared" si="1"/>
        <v>1.3435870107938332</v>
      </c>
      <c r="H30" s="47">
        <f t="shared" si="2"/>
        <v>48.100414986419224</v>
      </c>
      <c r="I30" s="48">
        <f t="shared" si="3"/>
        <v>3562.316733894208</v>
      </c>
      <c r="J30" s="55"/>
      <c r="K30" s="55"/>
      <c r="L30" s="56"/>
      <c r="M30" s="49">
        <v>926</v>
      </c>
      <c r="N30" s="43">
        <f t="shared" si="4"/>
        <v>445.40984277424201</v>
      </c>
    </row>
    <row r="31" spans="1:14">
      <c r="A31" s="42">
        <v>20101</v>
      </c>
      <c r="B31" s="42" t="s">
        <v>87</v>
      </c>
      <c r="C31" s="43">
        <v>776223</v>
      </c>
      <c r="D31" s="44">
        <v>99.2</v>
      </c>
      <c r="E31" s="45">
        <v>29.8</v>
      </c>
      <c r="F31" s="46">
        <f t="shared" si="0"/>
        <v>17.371199999999998</v>
      </c>
      <c r="G31" s="46">
        <f t="shared" ref="G31:G117" si="16">1.39*F31/F$345</f>
        <v>0.71226418213409026</v>
      </c>
      <c r="H31" s="47">
        <f t="shared" si="2"/>
        <v>21.225472627595892</v>
      </c>
      <c r="I31" s="48">
        <f t="shared" si="3"/>
        <v>164757.00039410367</v>
      </c>
      <c r="J31" s="49">
        <f>SUM(C31:C117)</f>
        <v>2584995</v>
      </c>
      <c r="K31" s="49">
        <f>SUM(I31:I117)</f>
        <v>770870.79956818745</v>
      </c>
      <c r="L31" s="50">
        <f>K31/J31</f>
        <v>0.29820978360429612</v>
      </c>
      <c r="M31" s="49">
        <v>68247</v>
      </c>
      <c r="N31" s="43">
        <f t="shared" si="4"/>
        <v>14485.74830415537</v>
      </c>
    </row>
    <row r="32" spans="1:14">
      <c r="A32" s="42">
        <v>20102</v>
      </c>
      <c r="B32" s="42" t="s">
        <v>88</v>
      </c>
      <c r="C32" s="43">
        <v>15736</v>
      </c>
      <c r="D32" s="44">
        <v>0</v>
      </c>
      <c r="E32" s="45">
        <v>29.8</v>
      </c>
      <c r="F32" s="46">
        <f t="shared" si="0"/>
        <v>38.6</v>
      </c>
      <c r="G32" s="46">
        <f t="shared" si="16"/>
        <v>1.5826999533927355</v>
      </c>
      <c r="H32" s="47">
        <f t="shared" si="2"/>
        <v>47.16445861110352</v>
      </c>
      <c r="I32" s="48">
        <f t="shared" si="3"/>
        <v>7421.7992070432492</v>
      </c>
      <c r="J32" s="55"/>
      <c r="K32" s="55"/>
      <c r="L32" s="56"/>
      <c r="M32" s="49">
        <v>1775</v>
      </c>
      <c r="N32" s="43">
        <f t="shared" si="4"/>
        <v>837.16914034708748</v>
      </c>
    </row>
    <row r="33" spans="1:14">
      <c r="A33" s="42">
        <v>20103</v>
      </c>
      <c r="B33" s="42" t="s">
        <v>89</v>
      </c>
      <c r="C33" s="43">
        <v>14361</v>
      </c>
      <c r="D33" s="44">
        <v>0</v>
      </c>
      <c r="E33" s="45">
        <v>29.8</v>
      </c>
      <c r="F33" s="46">
        <f t="shared" si="0"/>
        <v>38.6</v>
      </c>
      <c r="G33" s="46">
        <f t="shared" si="16"/>
        <v>1.5826999533927355</v>
      </c>
      <c r="H33" s="47">
        <f t="shared" si="2"/>
        <v>47.16445861110352</v>
      </c>
      <c r="I33" s="48">
        <f t="shared" si="3"/>
        <v>6773.2879011405757</v>
      </c>
      <c r="J33" s="55"/>
      <c r="K33" s="55"/>
      <c r="L33" s="56"/>
      <c r="M33" s="49">
        <v>1358</v>
      </c>
      <c r="N33" s="43">
        <f t="shared" si="4"/>
        <v>640.49334793878586</v>
      </c>
    </row>
    <row r="34" spans="1:14">
      <c r="A34" s="42">
        <v>20104</v>
      </c>
      <c r="B34" s="42" t="s">
        <v>90</v>
      </c>
      <c r="C34" s="43">
        <v>19769</v>
      </c>
      <c r="D34" s="44">
        <v>78.099999999999994</v>
      </c>
      <c r="E34" s="45">
        <v>29.8</v>
      </c>
      <c r="F34" s="46">
        <f t="shared" si="0"/>
        <v>21.886600000000001</v>
      </c>
      <c r="G34" s="46">
        <f t="shared" si="16"/>
        <v>0.89740727460946756</v>
      </c>
      <c r="H34" s="47">
        <f t="shared" si="2"/>
        <v>26.742736783362133</v>
      </c>
      <c r="I34" s="48">
        <f t="shared" si="3"/>
        <v>5286.7716347028609</v>
      </c>
      <c r="J34" s="55"/>
      <c r="K34" s="55"/>
      <c r="L34" s="56"/>
      <c r="M34" s="49">
        <v>2095</v>
      </c>
      <c r="N34" s="43">
        <f t="shared" si="4"/>
        <v>560.26033561143663</v>
      </c>
    </row>
    <row r="35" spans="1:14">
      <c r="A35" s="42">
        <v>20105</v>
      </c>
      <c r="B35" s="42" t="s">
        <v>91</v>
      </c>
      <c r="C35" s="43">
        <v>776272</v>
      </c>
      <c r="D35" s="44">
        <v>99.7</v>
      </c>
      <c r="E35" s="45">
        <v>29.8</v>
      </c>
      <c r="F35" s="46">
        <f t="shared" si="0"/>
        <v>17.264199999999999</v>
      </c>
      <c r="G35" s="46">
        <f t="shared" si="16"/>
        <v>0.70787690506121403</v>
      </c>
      <c r="H35" s="47">
        <f t="shared" si="2"/>
        <v>21.094731770824179</v>
      </c>
      <c r="I35" s="48">
        <f t="shared" si="3"/>
        <v>163752.49621201225</v>
      </c>
      <c r="J35" s="55"/>
      <c r="K35" s="55"/>
      <c r="L35" s="56"/>
      <c r="M35" s="49">
        <v>91029</v>
      </c>
      <c r="N35" s="43">
        <f t="shared" si="4"/>
        <v>19202.323383663541</v>
      </c>
    </row>
    <row r="36" spans="1:14">
      <c r="A36" s="42">
        <v>20201</v>
      </c>
      <c r="B36" s="42" t="s">
        <v>92</v>
      </c>
      <c r="C36" s="43">
        <v>45991</v>
      </c>
      <c r="D36" s="44">
        <v>18.8</v>
      </c>
      <c r="E36" s="45">
        <v>29.8</v>
      </c>
      <c r="F36" s="46">
        <f t="shared" si="0"/>
        <v>34.576799999999999</v>
      </c>
      <c r="G36" s="46">
        <f t="shared" si="16"/>
        <v>1.417738335452589</v>
      </c>
      <c r="H36" s="47">
        <f t="shared" si="2"/>
        <v>42.248602396487151</v>
      </c>
      <c r="I36" s="48">
        <f t="shared" si="3"/>
        <v>19430.554728168405</v>
      </c>
      <c r="J36" s="55"/>
      <c r="K36" s="55"/>
      <c r="L36" s="56"/>
      <c r="M36" s="49">
        <v>4318</v>
      </c>
      <c r="N36" s="43">
        <f t="shared" si="4"/>
        <v>1824.294651480315</v>
      </c>
    </row>
    <row r="37" spans="1:14">
      <c r="A37" s="42">
        <v>20202</v>
      </c>
      <c r="B37" s="42" t="s">
        <v>93</v>
      </c>
      <c r="C37" s="43">
        <v>13886</v>
      </c>
      <c r="D37" s="44">
        <v>0</v>
      </c>
      <c r="E37" s="45">
        <v>29.8</v>
      </c>
      <c r="F37" s="46">
        <f t="shared" si="0"/>
        <v>38.6</v>
      </c>
      <c r="G37" s="46">
        <f t="shared" si="16"/>
        <v>1.5826999533927355</v>
      </c>
      <c r="H37" s="47">
        <f t="shared" si="2"/>
        <v>47.16445861110352</v>
      </c>
      <c r="I37" s="48">
        <f t="shared" si="3"/>
        <v>6549.2567227378349</v>
      </c>
      <c r="J37" s="55"/>
      <c r="K37" s="55"/>
      <c r="L37" s="56"/>
      <c r="M37" s="49">
        <v>1245</v>
      </c>
      <c r="N37" s="43">
        <f t="shared" si="4"/>
        <v>587.19750970823884</v>
      </c>
    </row>
    <row r="38" spans="1:14">
      <c r="A38" s="42">
        <v>20203</v>
      </c>
      <c r="B38" s="42" t="s">
        <v>94</v>
      </c>
      <c r="C38" s="43">
        <v>5198</v>
      </c>
      <c r="D38" s="44">
        <v>0</v>
      </c>
      <c r="E38" s="45">
        <v>29.8</v>
      </c>
      <c r="F38" s="46">
        <f t="shared" si="0"/>
        <v>38.6</v>
      </c>
      <c r="G38" s="46">
        <f t="shared" si="16"/>
        <v>1.5826999533927355</v>
      </c>
      <c r="H38" s="47">
        <f t="shared" si="2"/>
        <v>47.16445861110352</v>
      </c>
      <c r="I38" s="48">
        <f t="shared" si="3"/>
        <v>2451.6085586051613</v>
      </c>
      <c r="J38" s="55"/>
      <c r="K38" s="55"/>
      <c r="L38" s="56"/>
      <c r="M38" s="49">
        <v>405</v>
      </c>
      <c r="N38" s="43">
        <f t="shared" si="4"/>
        <v>191.01605737496925</v>
      </c>
    </row>
    <row r="39" spans="1:14">
      <c r="A39" s="42">
        <v>20204</v>
      </c>
      <c r="B39" s="42" t="s">
        <v>95</v>
      </c>
      <c r="C39" s="43">
        <v>8072</v>
      </c>
      <c r="D39" s="44">
        <v>0</v>
      </c>
      <c r="E39" s="45">
        <v>29.8</v>
      </c>
      <c r="F39" s="46">
        <f t="shared" si="0"/>
        <v>38.6</v>
      </c>
      <c r="G39" s="46">
        <f t="shared" si="16"/>
        <v>1.5826999533927355</v>
      </c>
      <c r="H39" s="47">
        <f t="shared" si="2"/>
        <v>47.16445861110352</v>
      </c>
      <c r="I39" s="48">
        <f t="shared" si="3"/>
        <v>3807.1150990882761</v>
      </c>
      <c r="J39" s="55"/>
      <c r="K39" s="55"/>
      <c r="L39" s="56"/>
      <c r="M39" s="49">
        <v>600</v>
      </c>
      <c r="N39" s="43">
        <f t="shared" si="4"/>
        <v>282.9867516666211</v>
      </c>
    </row>
    <row r="40" spans="1:14">
      <c r="A40" s="42">
        <v>20205</v>
      </c>
      <c r="B40" s="42" t="s">
        <v>96</v>
      </c>
      <c r="C40" s="43">
        <v>8306</v>
      </c>
      <c r="D40" s="44">
        <v>0</v>
      </c>
      <c r="E40" s="45">
        <v>29.8</v>
      </c>
      <c r="F40" s="46">
        <f t="shared" si="0"/>
        <v>38.6</v>
      </c>
      <c r="G40" s="46">
        <f t="shared" si="16"/>
        <v>1.5826999533927355</v>
      </c>
      <c r="H40" s="47">
        <f t="shared" si="2"/>
        <v>47.16445861110352</v>
      </c>
      <c r="I40" s="48">
        <f t="shared" si="3"/>
        <v>3917.4799322382582</v>
      </c>
      <c r="J40" s="55"/>
      <c r="K40" s="55"/>
      <c r="L40" s="56"/>
      <c r="M40" s="49">
        <v>629</v>
      </c>
      <c r="N40" s="43">
        <f t="shared" si="4"/>
        <v>296.66444466384115</v>
      </c>
    </row>
    <row r="41" spans="1:14">
      <c r="A41" s="42">
        <v>20206</v>
      </c>
      <c r="B41" s="42" t="s">
        <v>97</v>
      </c>
      <c r="C41" s="43">
        <v>3520</v>
      </c>
      <c r="D41" s="44">
        <v>0</v>
      </c>
      <c r="E41" s="45">
        <v>29.8</v>
      </c>
      <c r="F41" s="46">
        <f t="shared" si="0"/>
        <v>38.6</v>
      </c>
      <c r="G41" s="46">
        <f t="shared" si="16"/>
        <v>1.5826999533927355</v>
      </c>
      <c r="H41" s="47">
        <f t="shared" si="2"/>
        <v>47.16445861110352</v>
      </c>
      <c r="I41" s="48">
        <f t="shared" si="3"/>
        <v>1660.1889431108439</v>
      </c>
      <c r="J41" s="55"/>
      <c r="K41" s="55"/>
      <c r="L41" s="56"/>
      <c r="M41" s="49">
        <v>289</v>
      </c>
      <c r="N41" s="43">
        <f t="shared" si="4"/>
        <v>136.30528538608917</v>
      </c>
    </row>
    <row r="42" spans="1:14">
      <c r="A42" s="42">
        <v>20301</v>
      </c>
      <c r="B42" s="42" t="s">
        <v>98</v>
      </c>
      <c r="C42" s="43">
        <v>11071</v>
      </c>
      <c r="D42" s="44">
        <v>0</v>
      </c>
      <c r="E42" s="45">
        <v>29.8</v>
      </c>
      <c r="F42" s="46">
        <f t="shared" si="0"/>
        <v>38.6</v>
      </c>
      <c r="G42" s="46">
        <f t="shared" si="16"/>
        <v>1.5826999533927355</v>
      </c>
      <c r="H42" s="47">
        <f t="shared" si="2"/>
        <v>47.16445861110352</v>
      </c>
      <c r="I42" s="48">
        <f t="shared" si="3"/>
        <v>5221.577212835271</v>
      </c>
      <c r="J42" s="55"/>
      <c r="K42" s="55"/>
      <c r="L42" s="56"/>
      <c r="M42" s="49">
        <v>1025</v>
      </c>
      <c r="N42" s="43">
        <f t="shared" si="4"/>
        <v>483.4357007638111</v>
      </c>
    </row>
    <row r="43" spans="1:14">
      <c r="A43" s="42">
        <v>20302</v>
      </c>
      <c r="B43" s="42" t="s">
        <v>99</v>
      </c>
      <c r="C43" s="43">
        <v>13674</v>
      </c>
      <c r="D43" s="44">
        <v>0</v>
      </c>
      <c r="E43" s="45">
        <v>29.8</v>
      </c>
      <c r="F43" s="46">
        <f t="shared" si="0"/>
        <v>38.6</v>
      </c>
      <c r="G43" s="46">
        <f t="shared" si="16"/>
        <v>1.5826999533927355</v>
      </c>
      <c r="H43" s="47">
        <f t="shared" si="2"/>
        <v>47.16445861110352</v>
      </c>
      <c r="I43" s="48">
        <f t="shared" si="3"/>
        <v>6449.2680704822951</v>
      </c>
      <c r="J43" s="55"/>
      <c r="K43" s="55"/>
      <c r="L43" s="56"/>
      <c r="M43" s="49">
        <v>1261</v>
      </c>
      <c r="N43" s="43">
        <f t="shared" si="4"/>
        <v>594.74382308601537</v>
      </c>
    </row>
    <row r="44" spans="1:14">
      <c r="A44" s="42">
        <v>20303</v>
      </c>
      <c r="B44" s="42" t="s">
        <v>100</v>
      </c>
      <c r="C44" s="43">
        <v>9493</v>
      </c>
      <c r="D44" s="44">
        <v>0</v>
      </c>
      <c r="E44" s="45">
        <v>29.8</v>
      </c>
      <c r="F44" s="46">
        <f t="shared" si="0"/>
        <v>38.6</v>
      </c>
      <c r="G44" s="46">
        <f t="shared" si="16"/>
        <v>1.5826999533927355</v>
      </c>
      <c r="H44" s="47">
        <f t="shared" si="2"/>
        <v>47.16445861110352</v>
      </c>
      <c r="I44" s="48">
        <f t="shared" si="3"/>
        <v>4477.3220559520569</v>
      </c>
      <c r="J44" s="55"/>
      <c r="K44" s="55"/>
      <c r="L44" s="56"/>
      <c r="M44" s="49">
        <v>772</v>
      </c>
      <c r="N44" s="43">
        <f t="shared" si="4"/>
        <v>364.10962047771915</v>
      </c>
    </row>
    <row r="45" spans="1:14">
      <c r="A45" s="42">
        <v>20304</v>
      </c>
      <c r="B45" s="42" t="s">
        <v>101</v>
      </c>
      <c r="C45" s="43">
        <v>3873</v>
      </c>
      <c r="D45" s="44">
        <v>0</v>
      </c>
      <c r="E45" s="45">
        <v>29.8</v>
      </c>
      <c r="F45" s="46">
        <f t="shared" si="0"/>
        <v>38.6</v>
      </c>
      <c r="G45" s="46">
        <f t="shared" si="16"/>
        <v>1.5826999533927355</v>
      </c>
      <c r="H45" s="47">
        <f t="shared" si="2"/>
        <v>47.16445861110352</v>
      </c>
      <c r="I45" s="48">
        <f t="shared" si="3"/>
        <v>1826.6794820080393</v>
      </c>
      <c r="J45" s="55"/>
      <c r="K45" s="55"/>
      <c r="L45" s="56"/>
      <c r="M45" s="49">
        <v>383</v>
      </c>
      <c r="N45" s="43">
        <f t="shared" si="4"/>
        <v>180.63987648052648</v>
      </c>
    </row>
    <row r="46" spans="1:14">
      <c r="A46" s="42">
        <v>20305</v>
      </c>
      <c r="B46" s="42" t="s">
        <v>102</v>
      </c>
      <c r="C46" s="43">
        <v>3071</v>
      </c>
      <c r="D46" s="44">
        <v>0</v>
      </c>
      <c r="E46" s="45">
        <v>29.8</v>
      </c>
      <c r="F46" s="46">
        <f t="shared" si="0"/>
        <v>38.6</v>
      </c>
      <c r="G46" s="46">
        <f t="shared" si="16"/>
        <v>1.5826999533927355</v>
      </c>
      <c r="H46" s="47">
        <f t="shared" si="2"/>
        <v>47.16445861110352</v>
      </c>
      <c r="I46" s="48">
        <f t="shared" si="3"/>
        <v>1448.4205239469891</v>
      </c>
      <c r="J46" s="55"/>
      <c r="K46" s="55"/>
      <c r="L46" s="56"/>
      <c r="M46" s="49">
        <v>303</v>
      </c>
      <c r="N46" s="43">
        <f t="shared" si="4"/>
        <v>142.90830959164367</v>
      </c>
    </row>
    <row r="47" spans="1:14">
      <c r="A47" s="42">
        <v>20306</v>
      </c>
      <c r="B47" s="42" t="s">
        <v>103</v>
      </c>
      <c r="C47" s="43">
        <v>3828</v>
      </c>
      <c r="D47" s="44">
        <v>25.5</v>
      </c>
      <c r="E47" s="45">
        <v>29.8</v>
      </c>
      <c r="F47" s="46">
        <f t="shared" si="0"/>
        <v>33.143000000000001</v>
      </c>
      <c r="G47" s="46">
        <f t="shared" si="16"/>
        <v>1.3589488226760476</v>
      </c>
      <c r="H47" s="47">
        <f t="shared" si="2"/>
        <v>40.496674915746219</v>
      </c>
      <c r="I47" s="48">
        <f t="shared" si="3"/>
        <v>1550.2127157747652</v>
      </c>
      <c r="J47" s="55"/>
      <c r="K47" s="55"/>
      <c r="L47" s="56"/>
      <c r="M47" s="49">
        <v>423</v>
      </c>
      <c r="N47" s="43">
        <f t="shared" si="4"/>
        <v>171.3009348936065</v>
      </c>
    </row>
    <row r="48" spans="1:14">
      <c r="A48" s="42">
        <v>20307</v>
      </c>
      <c r="B48" s="42" t="s">
        <v>104</v>
      </c>
      <c r="C48" s="43">
        <v>491</v>
      </c>
      <c r="D48" s="44">
        <v>0</v>
      </c>
      <c r="E48" s="45">
        <v>29.8</v>
      </c>
      <c r="F48" s="46">
        <f t="shared" si="0"/>
        <v>38.6</v>
      </c>
      <c r="G48" s="46">
        <f t="shared" si="16"/>
        <v>1.5826999533927355</v>
      </c>
      <c r="H48" s="47">
        <f t="shared" si="2"/>
        <v>47.16445861110352</v>
      </c>
      <c r="I48" s="48">
        <f t="shared" si="3"/>
        <v>231.57749178051827</v>
      </c>
      <c r="J48" s="55"/>
      <c r="K48" s="55"/>
      <c r="L48" s="56"/>
      <c r="M48" s="49">
        <v>44</v>
      </c>
      <c r="N48" s="43">
        <f t="shared" si="4"/>
        <v>20.752361788885551</v>
      </c>
    </row>
    <row r="49" spans="1:14">
      <c r="A49" s="42">
        <v>20308</v>
      </c>
      <c r="B49" s="42" t="s">
        <v>105</v>
      </c>
      <c r="C49" s="43">
        <v>7584</v>
      </c>
      <c r="D49" s="44">
        <v>0</v>
      </c>
      <c r="E49" s="45">
        <v>29.8</v>
      </c>
      <c r="F49" s="46">
        <f t="shared" si="0"/>
        <v>38.6</v>
      </c>
      <c r="G49" s="46">
        <f t="shared" si="16"/>
        <v>1.5826999533927355</v>
      </c>
      <c r="H49" s="47">
        <f t="shared" si="2"/>
        <v>47.16445861110352</v>
      </c>
      <c r="I49" s="48">
        <f t="shared" si="3"/>
        <v>3576.9525410660908</v>
      </c>
      <c r="J49" s="55"/>
      <c r="K49" s="55"/>
      <c r="L49" s="56"/>
      <c r="M49" s="49">
        <v>679</v>
      </c>
      <c r="N49" s="43">
        <f t="shared" si="4"/>
        <v>320.24667396939293</v>
      </c>
    </row>
    <row r="50" spans="1:14">
      <c r="A50" s="42">
        <v>20401</v>
      </c>
      <c r="B50" s="42" t="s">
        <v>106</v>
      </c>
      <c r="C50" s="43">
        <v>11942</v>
      </c>
      <c r="D50" s="44">
        <v>0</v>
      </c>
      <c r="E50" s="45">
        <v>29.8</v>
      </c>
      <c r="F50" s="46">
        <f t="shared" si="0"/>
        <v>38.6</v>
      </c>
      <c r="G50" s="46">
        <f t="shared" si="16"/>
        <v>1.5826999533927355</v>
      </c>
      <c r="H50" s="47">
        <f t="shared" si="2"/>
        <v>47.16445861110352</v>
      </c>
      <c r="I50" s="48">
        <f t="shared" si="3"/>
        <v>5632.3796473379816</v>
      </c>
      <c r="J50" s="55"/>
      <c r="K50" s="55"/>
      <c r="L50" s="56"/>
      <c r="M50" s="49">
        <v>1009</v>
      </c>
      <c r="N50" s="43">
        <f t="shared" si="4"/>
        <v>475.88938738603451</v>
      </c>
    </row>
    <row r="51" spans="1:14">
      <c r="A51" s="42">
        <v>20402</v>
      </c>
      <c r="B51" s="42" t="s">
        <v>107</v>
      </c>
      <c r="C51" s="43">
        <v>16235</v>
      </c>
      <c r="D51" s="44">
        <v>0</v>
      </c>
      <c r="E51" s="45">
        <v>29.8</v>
      </c>
      <c r="F51" s="46">
        <f t="shared" si="0"/>
        <v>38.6</v>
      </c>
      <c r="G51" s="46">
        <f t="shared" si="16"/>
        <v>1.5826999533927355</v>
      </c>
      <c r="H51" s="47">
        <f t="shared" si="2"/>
        <v>47.16445861110352</v>
      </c>
      <c r="I51" s="48">
        <f t="shared" si="3"/>
        <v>7657.1498555126564</v>
      </c>
      <c r="J51" s="55"/>
      <c r="K51" s="55"/>
      <c r="L51" s="56"/>
      <c r="M51" s="49">
        <v>1611</v>
      </c>
      <c r="N51" s="43">
        <f t="shared" si="4"/>
        <v>759.81942822487758</v>
      </c>
    </row>
    <row r="52" spans="1:14">
      <c r="A52" s="42">
        <v>20403</v>
      </c>
      <c r="B52" s="42" t="s">
        <v>108</v>
      </c>
      <c r="C52" s="43">
        <v>14637</v>
      </c>
      <c r="D52" s="44">
        <v>0</v>
      </c>
      <c r="E52" s="45">
        <v>29.8</v>
      </c>
      <c r="F52" s="46">
        <f t="shared" si="0"/>
        <v>38.6</v>
      </c>
      <c r="G52" s="46">
        <f t="shared" si="16"/>
        <v>1.5826999533927355</v>
      </c>
      <c r="H52" s="47">
        <f t="shared" si="2"/>
        <v>47.16445861110352</v>
      </c>
      <c r="I52" s="48">
        <f t="shared" si="3"/>
        <v>6903.4618069072221</v>
      </c>
      <c r="J52" s="55"/>
      <c r="K52" s="55"/>
      <c r="L52" s="56"/>
      <c r="M52" s="49">
        <v>1377</v>
      </c>
      <c r="N52" s="43">
        <f t="shared" si="4"/>
        <v>649.45459507489545</v>
      </c>
    </row>
    <row r="53" spans="1:14">
      <c r="A53" s="42">
        <v>20404</v>
      </c>
      <c r="B53" s="42" t="s">
        <v>109</v>
      </c>
      <c r="C53" s="43">
        <v>5435</v>
      </c>
      <c r="D53" s="44">
        <v>0</v>
      </c>
      <c r="E53" s="45">
        <v>29.8</v>
      </c>
      <c r="F53" s="46">
        <f t="shared" si="0"/>
        <v>38.6</v>
      </c>
      <c r="G53" s="46">
        <f t="shared" si="16"/>
        <v>1.5826999533927355</v>
      </c>
      <c r="H53" s="47">
        <f t="shared" si="2"/>
        <v>47.16445861110352</v>
      </c>
      <c r="I53" s="48">
        <f t="shared" si="3"/>
        <v>2563.388325513476</v>
      </c>
      <c r="J53" s="55"/>
      <c r="K53" s="55"/>
      <c r="L53" s="56"/>
      <c r="M53" s="49">
        <v>521</v>
      </c>
      <c r="N53" s="43">
        <f t="shared" si="4"/>
        <v>245.72682936384933</v>
      </c>
    </row>
    <row r="54" spans="1:14">
      <c r="A54" s="42">
        <v>20405</v>
      </c>
      <c r="B54" s="42" t="s">
        <v>110</v>
      </c>
      <c r="C54" s="43">
        <v>7206</v>
      </c>
      <c r="D54" s="44">
        <v>0</v>
      </c>
      <c r="E54" s="45">
        <v>29.8</v>
      </c>
      <c r="F54" s="46">
        <f t="shared" si="0"/>
        <v>38.6</v>
      </c>
      <c r="G54" s="46">
        <f t="shared" si="16"/>
        <v>1.5826999533927355</v>
      </c>
      <c r="H54" s="47">
        <f t="shared" si="2"/>
        <v>47.16445861110352</v>
      </c>
      <c r="I54" s="48">
        <f t="shared" si="3"/>
        <v>3398.6708875161194</v>
      </c>
      <c r="J54" s="55"/>
      <c r="K54" s="55"/>
      <c r="L54" s="56"/>
      <c r="M54" s="49">
        <v>535</v>
      </c>
      <c r="N54" s="43">
        <f t="shared" si="4"/>
        <v>252.32985356940381</v>
      </c>
    </row>
    <row r="55" spans="1:14">
      <c r="A55" s="42">
        <v>20501</v>
      </c>
      <c r="B55" s="42" t="s">
        <v>111</v>
      </c>
      <c r="C55" s="43">
        <v>11971</v>
      </c>
      <c r="D55" s="44">
        <v>0</v>
      </c>
      <c r="E55" s="45">
        <v>29.8</v>
      </c>
      <c r="F55" s="46">
        <f t="shared" si="0"/>
        <v>38.6</v>
      </c>
      <c r="G55" s="46">
        <f t="shared" si="16"/>
        <v>1.5826999533927355</v>
      </c>
      <c r="H55" s="47">
        <f t="shared" si="2"/>
        <v>47.16445861110352</v>
      </c>
      <c r="I55" s="48">
        <f t="shared" si="3"/>
        <v>5646.0573403352018</v>
      </c>
      <c r="J55" s="55"/>
      <c r="K55" s="55"/>
      <c r="L55" s="56"/>
      <c r="M55" s="49">
        <v>1314</v>
      </c>
      <c r="N55" s="43">
        <f t="shared" si="4"/>
        <v>619.74098614990032</v>
      </c>
    </row>
    <row r="56" spans="1:14">
      <c r="A56" s="42">
        <v>20502</v>
      </c>
      <c r="B56" s="42" t="s">
        <v>112</v>
      </c>
      <c r="C56" s="43">
        <v>8313</v>
      </c>
      <c r="D56" s="44">
        <v>0</v>
      </c>
      <c r="E56" s="45">
        <v>29.8</v>
      </c>
      <c r="F56" s="46">
        <f t="shared" si="0"/>
        <v>38.6</v>
      </c>
      <c r="G56" s="46">
        <f t="shared" si="16"/>
        <v>1.5826999533927355</v>
      </c>
      <c r="H56" s="47">
        <f t="shared" si="2"/>
        <v>47.16445861110352</v>
      </c>
      <c r="I56" s="48">
        <f t="shared" si="3"/>
        <v>3920.7814443410357</v>
      </c>
      <c r="J56" s="55"/>
      <c r="K56" s="55"/>
      <c r="L56" s="56"/>
      <c r="M56" s="49">
        <v>1062</v>
      </c>
      <c r="N56" s="43">
        <f t="shared" si="4"/>
        <v>500.88655044991935</v>
      </c>
    </row>
    <row r="57" spans="1:14">
      <c r="A57" s="42">
        <v>20503</v>
      </c>
      <c r="B57" s="42" t="s">
        <v>113</v>
      </c>
      <c r="C57" s="43">
        <v>5004</v>
      </c>
      <c r="D57" s="44">
        <v>0</v>
      </c>
      <c r="E57" s="45">
        <v>29.8</v>
      </c>
      <c r="F57" s="46">
        <f t="shared" si="0"/>
        <v>38.6</v>
      </c>
      <c r="G57" s="46">
        <f t="shared" si="16"/>
        <v>1.5826999533927355</v>
      </c>
      <c r="H57" s="47">
        <f t="shared" si="2"/>
        <v>47.16445861110352</v>
      </c>
      <c r="I57" s="48">
        <f t="shared" si="3"/>
        <v>2360.1095088996199</v>
      </c>
      <c r="J57" s="55"/>
      <c r="K57" s="55"/>
      <c r="L57" s="56"/>
      <c r="M57" s="49">
        <v>612</v>
      </c>
      <c r="N57" s="43">
        <f t="shared" si="4"/>
        <v>288.64648669995353</v>
      </c>
    </row>
    <row r="58" spans="1:14">
      <c r="A58" s="42">
        <v>20601</v>
      </c>
      <c r="B58" s="42" t="s">
        <v>114</v>
      </c>
      <c r="C58" s="43">
        <v>21847</v>
      </c>
      <c r="D58" s="44">
        <v>11.8</v>
      </c>
      <c r="E58" s="45">
        <v>29.8</v>
      </c>
      <c r="F58" s="46">
        <f t="shared" si="0"/>
        <v>36.074800000000003</v>
      </c>
      <c r="G58" s="46">
        <f t="shared" si="16"/>
        <v>1.4791602144728564</v>
      </c>
      <c r="H58" s="47">
        <f t="shared" si="2"/>
        <v>44.078974391291119</v>
      </c>
      <c r="I58" s="48">
        <f t="shared" si="3"/>
        <v>9629.9335352653707</v>
      </c>
      <c r="J58" s="55"/>
      <c r="K58" s="55"/>
      <c r="L58" s="56"/>
      <c r="M58" s="49">
        <v>2296</v>
      </c>
      <c r="N58" s="43">
        <f t="shared" si="4"/>
        <v>1012.053252024044</v>
      </c>
    </row>
    <row r="59" spans="1:14">
      <c r="A59" s="42">
        <v>20602</v>
      </c>
      <c r="B59" s="42" t="s">
        <v>115</v>
      </c>
      <c r="C59" s="43">
        <v>13603</v>
      </c>
      <c r="D59" s="44">
        <v>30.2</v>
      </c>
      <c r="E59" s="45">
        <v>29.8</v>
      </c>
      <c r="F59" s="46">
        <f t="shared" si="0"/>
        <v>32.1372</v>
      </c>
      <c r="G59" s="46">
        <f t="shared" si="16"/>
        <v>1.317708418191011</v>
      </c>
      <c r="H59" s="47">
        <f t="shared" si="2"/>
        <v>39.26771086209213</v>
      </c>
      <c r="I59" s="48">
        <f t="shared" si="3"/>
        <v>5341.5867085703931</v>
      </c>
      <c r="J59" s="55"/>
      <c r="K59" s="55"/>
      <c r="L59" s="56"/>
      <c r="M59" s="49">
        <v>1635</v>
      </c>
      <c r="N59" s="43">
        <f t="shared" si="4"/>
        <v>642.02707259520639</v>
      </c>
    </row>
    <row r="60" spans="1:14">
      <c r="A60" s="42">
        <v>20603</v>
      </c>
      <c r="B60" s="42" t="s">
        <v>116</v>
      </c>
      <c r="C60" s="43">
        <v>7486</v>
      </c>
      <c r="D60" s="44">
        <v>0</v>
      </c>
      <c r="E60" s="45">
        <v>29.8</v>
      </c>
      <c r="F60" s="46">
        <f t="shared" si="0"/>
        <v>38.6</v>
      </c>
      <c r="G60" s="46">
        <f t="shared" si="16"/>
        <v>1.5826999533927355</v>
      </c>
      <c r="H60" s="47">
        <f t="shared" si="2"/>
        <v>47.16445861110352</v>
      </c>
      <c r="I60" s="48">
        <f t="shared" si="3"/>
        <v>3530.7313716272097</v>
      </c>
      <c r="J60" s="55"/>
      <c r="K60" s="55"/>
      <c r="L60" s="56"/>
      <c r="M60" s="49">
        <v>891</v>
      </c>
      <c r="N60" s="43">
        <f t="shared" si="4"/>
        <v>420.23532622493235</v>
      </c>
    </row>
    <row r="61" spans="1:14">
      <c r="A61" s="42">
        <v>20604</v>
      </c>
      <c r="B61" s="42" t="s">
        <v>117</v>
      </c>
      <c r="C61" s="43">
        <v>2646</v>
      </c>
      <c r="D61" s="44">
        <v>0</v>
      </c>
      <c r="E61" s="45">
        <v>29.8</v>
      </c>
      <c r="F61" s="46">
        <f t="shared" si="0"/>
        <v>38.6</v>
      </c>
      <c r="G61" s="46">
        <f t="shared" si="16"/>
        <v>1.5826999533927355</v>
      </c>
      <c r="H61" s="47">
        <f t="shared" si="2"/>
        <v>47.16445861110352</v>
      </c>
      <c r="I61" s="48">
        <f t="shared" si="3"/>
        <v>1247.971574849799</v>
      </c>
      <c r="J61" s="55"/>
      <c r="K61" s="55"/>
      <c r="L61" s="56"/>
      <c r="M61" s="49">
        <v>320</v>
      </c>
      <c r="N61" s="43">
        <f t="shared" si="4"/>
        <v>150.92626755553127</v>
      </c>
    </row>
    <row r="62" spans="1:14">
      <c r="A62" s="42">
        <v>20605</v>
      </c>
      <c r="B62" s="42" t="s">
        <v>118</v>
      </c>
      <c r="C62" s="43">
        <v>3353</v>
      </c>
      <c r="D62" s="44">
        <v>0</v>
      </c>
      <c r="E62" s="45">
        <v>29.8</v>
      </c>
      <c r="F62" s="46">
        <f t="shared" si="0"/>
        <v>38.6</v>
      </c>
      <c r="G62" s="46">
        <f t="shared" si="16"/>
        <v>1.5826999533927355</v>
      </c>
      <c r="H62" s="47">
        <f t="shared" si="2"/>
        <v>47.16445861110352</v>
      </c>
      <c r="I62" s="48">
        <f t="shared" si="3"/>
        <v>1581.4242972303009</v>
      </c>
      <c r="J62" s="55"/>
      <c r="K62" s="55"/>
      <c r="L62" s="56"/>
      <c r="M62" s="49">
        <v>260</v>
      </c>
      <c r="N62" s="43">
        <f t="shared" si="4"/>
        <v>122.62759238886915</v>
      </c>
    </row>
    <row r="63" spans="1:14">
      <c r="A63" s="42">
        <v>20606</v>
      </c>
      <c r="B63" s="42" t="s">
        <v>119</v>
      </c>
      <c r="C63" s="43">
        <v>9744</v>
      </c>
      <c r="D63" s="44">
        <v>25.7</v>
      </c>
      <c r="E63" s="45">
        <v>29.8</v>
      </c>
      <c r="F63" s="46">
        <f t="shared" si="0"/>
        <v>33.100200000000001</v>
      </c>
      <c r="G63" s="46">
        <f t="shared" si="16"/>
        <v>1.357193911846897</v>
      </c>
      <c r="H63" s="47">
        <f t="shared" si="2"/>
        <v>40.444378573037532</v>
      </c>
      <c r="I63" s="48">
        <f t="shared" si="3"/>
        <v>3940.9002481567773</v>
      </c>
      <c r="J63" s="55"/>
      <c r="K63" s="55"/>
      <c r="L63" s="56"/>
      <c r="M63" s="49">
        <v>1202</v>
      </c>
      <c r="N63" s="43">
        <f t="shared" si="4"/>
        <v>486.14143044791109</v>
      </c>
    </row>
    <row r="64" spans="1:14">
      <c r="A64" s="42">
        <v>20607</v>
      </c>
      <c r="B64" s="42" t="s">
        <v>120</v>
      </c>
      <c r="C64" s="43">
        <v>12343</v>
      </c>
      <c r="D64" s="44">
        <v>37.200000000000003</v>
      </c>
      <c r="E64" s="45">
        <v>29.8</v>
      </c>
      <c r="F64" s="46">
        <f t="shared" si="0"/>
        <v>30.639199999999999</v>
      </c>
      <c r="G64" s="46">
        <f t="shared" si="16"/>
        <v>1.2562865391707436</v>
      </c>
      <c r="H64" s="47">
        <f t="shared" si="2"/>
        <v>37.437338867288162</v>
      </c>
      <c r="I64" s="48">
        <f t="shared" si="3"/>
        <v>4620.8907363893777</v>
      </c>
      <c r="J64" s="55"/>
      <c r="K64" s="55"/>
      <c r="L64" s="56"/>
      <c r="M64" s="49">
        <v>1745</v>
      </c>
      <c r="N64" s="43">
        <f t="shared" si="4"/>
        <v>653.28156323417841</v>
      </c>
    </row>
    <row r="65" spans="1:14">
      <c r="A65" s="42">
        <v>20608</v>
      </c>
      <c r="B65" s="42" t="s">
        <v>121</v>
      </c>
      <c r="C65" s="43">
        <v>8534</v>
      </c>
      <c r="D65" s="44">
        <v>0</v>
      </c>
      <c r="E65" s="45">
        <v>29.8</v>
      </c>
      <c r="F65" s="46">
        <f t="shared" si="0"/>
        <v>38.6</v>
      </c>
      <c r="G65" s="46">
        <f t="shared" si="16"/>
        <v>1.5826999533927355</v>
      </c>
      <c r="H65" s="47">
        <f t="shared" si="2"/>
        <v>47.16445861110352</v>
      </c>
      <c r="I65" s="48">
        <f t="shared" si="3"/>
        <v>4025.0148978715747</v>
      </c>
      <c r="J65" s="55"/>
      <c r="K65" s="55"/>
      <c r="L65" s="56"/>
      <c r="M65" s="49">
        <v>1049</v>
      </c>
      <c r="N65" s="43">
        <f t="shared" si="4"/>
        <v>494.75517083047589</v>
      </c>
    </row>
    <row r="66" spans="1:14">
      <c r="A66" s="42">
        <v>20701</v>
      </c>
      <c r="B66" s="42" t="s">
        <v>122</v>
      </c>
      <c r="C66" s="43">
        <v>17749</v>
      </c>
      <c r="D66" s="44">
        <v>25.8</v>
      </c>
      <c r="E66" s="45">
        <v>29.8</v>
      </c>
      <c r="F66" s="46">
        <f t="shared" si="0"/>
        <v>33.078800000000001</v>
      </c>
      <c r="G66" s="46">
        <f t="shared" si="16"/>
        <v>1.3563164564323218</v>
      </c>
      <c r="H66" s="47">
        <f t="shared" si="2"/>
        <v>40.418230401683189</v>
      </c>
      <c r="I66" s="48">
        <f t="shared" si="3"/>
        <v>7173.8317139947494</v>
      </c>
      <c r="J66" s="55"/>
      <c r="K66" s="55"/>
      <c r="L66" s="56"/>
      <c r="M66" s="49">
        <v>2383</v>
      </c>
      <c r="N66" s="43">
        <f t="shared" si="4"/>
        <v>963.16643047211039</v>
      </c>
    </row>
    <row r="67" spans="1:14">
      <c r="A67" s="42">
        <v>20702</v>
      </c>
      <c r="B67" s="42" t="s">
        <v>123</v>
      </c>
      <c r="C67" s="43">
        <v>6175</v>
      </c>
      <c r="D67" s="44">
        <v>0</v>
      </c>
      <c r="E67" s="45">
        <v>29.8</v>
      </c>
      <c r="F67" s="46">
        <f t="shared" si="0"/>
        <v>38.6</v>
      </c>
      <c r="G67" s="46">
        <f t="shared" si="16"/>
        <v>1.5826999533927355</v>
      </c>
      <c r="H67" s="47">
        <f t="shared" si="2"/>
        <v>47.16445861110352</v>
      </c>
      <c r="I67" s="48">
        <f t="shared" si="3"/>
        <v>2912.4053192356423</v>
      </c>
      <c r="J67" s="55"/>
      <c r="K67" s="55"/>
      <c r="L67" s="56"/>
      <c r="M67" s="49">
        <v>775</v>
      </c>
      <c r="N67" s="43">
        <f t="shared" si="4"/>
        <v>365.52455423605227</v>
      </c>
    </row>
    <row r="68" spans="1:14">
      <c r="A68" s="42">
        <v>20801</v>
      </c>
      <c r="B68" s="42" t="s">
        <v>124</v>
      </c>
      <c r="C68" s="43">
        <v>68314</v>
      </c>
      <c r="D68" s="44">
        <v>72.400000000000006</v>
      </c>
      <c r="E68" s="45">
        <v>29.8</v>
      </c>
      <c r="F68" s="46">
        <f t="shared" si="0"/>
        <v>23.106400000000001</v>
      </c>
      <c r="G68" s="46">
        <f t="shared" si="16"/>
        <v>0.94742223324025676</v>
      </c>
      <c r="H68" s="47">
        <f t="shared" si="2"/>
        <v>28.233182550559651</v>
      </c>
      <c r="I68" s="48">
        <f t="shared" si="3"/>
        <v>19287.216327589318</v>
      </c>
      <c r="J68" s="55"/>
      <c r="K68" s="55"/>
      <c r="L68" s="56"/>
      <c r="M68" s="49">
        <v>7150</v>
      </c>
      <c r="N68" s="43">
        <f t="shared" si="4"/>
        <v>2018.6725523650152</v>
      </c>
    </row>
    <row r="69" spans="1:14">
      <c r="A69" s="42">
        <v>20802</v>
      </c>
      <c r="B69" s="42" t="s">
        <v>125</v>
      </c>
      <c r="C69" s="43">
        <v>7378</v>
      </c>
      <c r="D69" s="44">
        <v>0</v>
      </c>
      <c r="E69" s="45">
        <v>29.8</v>
      </c>
      <c r="F69" s="46">
        <f t="shared" si="0"/>
        <v>38.6</v>
      </c>
      <c r="G69" s="46">
        <f t="shared" si="16"/>
        <v>1.5826999533927355</v>
      </c>
      <c r="H69" s="47">
        <f t="shared" si="2"/>
        <v>47.16445861110352</v>
      </c>
      <c r="I69" s="48">
        <f t="shared" si="3"/>
        <v>3479.7937563272176</v>
      </c>
      <c r="J69" s="55"/>
      <c r="K69" s="55"/>
      <c r="L69" s="56"/>
      <c r="M69" s="49">
        <v>549</v>
      </c>
      <c r="N69" s="43">
        <f t="shared" si="4"/>
        <v>258.93287777495834</v>
      </c>
    </row>
    <row r="70" spans="1:14">
      <c r="A70" s="42">
        <v>20803</v>
      </c>
      <c r="B70" s="42" t="s">
        <v>126</v>
      </c>
      <c r="C70" s="43">
        <v>11869</v>
      </c>
      <c r="D70" s="44">
        <v>10.6</v>
      </c>
      <c r="E70" s="45">
        <v>29.8</v>
      </c>
      <c r="F70" s="46">
        <f t="shared" si="0"/>
        <v>36.331600000000002</v>
      </c>
      <c r="G70" s="46">
        <f t="shared" si="16"/>
        <v>1.4896896794477594</v>
      </c>
      <c r="H70" s="47">
        <f t="shared" si="2"/>
        <v>44.392752447543231</v>
      </c>
      <c r="I70" s="48">
        <f t="shared" si="3"/>
        <v>5268.9757879989056</v>
      </c>
      <c r="J70" s="55"/>
      <c r="K70" s="55"/>
      <c r="L70" s="56"/>
      <c r="M70" s="49">
        <v>992</v>
      </c>
      <c r="N70" s="43">
        <f t="shared" si="4"/>
        <v>440.37610427962886</v>
      </c>
    </row>
    <row r="71" spans="1:14">
      <c r="A71" s="42">
        <v>20804</v>
      </c>
      <c r="B71" s="42" t="s">
        <v>127</v>
      </c>
      <c r="C71" s="43">
        <v>6258</v>
      </c>
      <c r="D71" s="44">
        <v>53.2</v>
      </c>
      <c r="E71" s="45">
        <v>29.8</v>
      </c>
      <c r="F71" s="46">
        <f t="shared" si="0"/>
        <v>27.215199999999999</v>
      </c>
      <c r="G71" s="46">
        <f t="shared" si="16"/>
        <v>1.1158936728387041</v>
      </c>
      <c r="H71" s="47">
        <f t="shared" si="2"/>
        <v>33.253631450593382</v>
      </c>
      <c r="I71" s="48">
        <f t="shared" si="3"/>
        <v>2081.0122561781336</v>
      </c>
      <c r="J71" s="55"/>
      <c r="K71" s="55"/>
      <c r="L71" s="56"/>
      <c r="M71" s="49">
        <v>607</v>
      </c>
      <c r="N71" s="43">
        <f t="shared" si="4"/>
        <v>201.84954290510186</v>
      </c>
    </row>
    <row r="72" spans="1:14">
      <c r="A72" s="42">
        <v>20805</v>
      </c>
      <c r="B72" s="42" t="s">
        <v>128</v>
      </c>
      <c r="C72" s="43">
        <v>6201</v>
      </c>
      <c r="D72" s="44">
        <v>0</v>
      </c>
      <c r="E72" s="45">
        <v>29.8</v>
      </c>
      <c r="F72" s="46">
        <f t="shared" si="0"/>
        <v>38.6</v>
      </c>
      <c r="G72" s="46">
        <f t="shared" si="16"/>
        <v>1.5826999533927355</v>
      </c>
      <c r="H72" s="47">
        <f t="shared" si="2"/>
        <v>47.16445861110352</v>
      </c>
      <c r="I72" s="48">
        <f t="shared" si="3"/>
        <v>2924.6680784745295</v>
      </c>
      <c r="J72" s="55"/>
      <c r="K72" s="55"/>
      <c r="L72" s="56"/>
      <c r="M72" s="49">
        <v>495</v>
      </c>
      <c r="N72" s="43">
        <f t="shared" si="4"/>
        <v>233.4640701249624</v>
      </c>
    </row>
    <row r="73" spans="1:14">
      <c r="A73" s="42">
        <v>20806</v>
      </c>
      <c r="B73" s="42" t="s">
        <v>129</v>
      </c>
      <c r="C73" s="43">
        <v>14387</v>
      </c>
      <c r="D73" s="44">
        <v>0</v>
      </c>
      <c r="E73" s="45">
        <v>29.8</v>
      </c>
      <c r="F73" s="46">
        <f t="shared" si="0"/>
        <v>38.6</v>
      </c>
      <c r="G73" s="46">
        <f t="shared" si="16"/>
        <v>1.5826999533927355</v>
      </c>
      <c r="H73" s="47">
        <f t="shared" si="2"/>
        <v>47.16445861110352</v>
      </c>
      <c r="I73" s="48">
        <f t="shared" si="3"/>
        <v>6785.5506603794638</v>
      </c>
      <c r="J73" s="55"/>
      <c r="K73" s="55"/>
      <c r="L73" s="56"/>
      <c r="M73" s="49">
        <v>1248</v>
      </c>
      <c r="N73" s="43">
        <f t="shared" si="4"/>
        <v>588.6124434665719</v>
      </c>
    </row>
    <row r="74" spans="1:14">
      <c r="A74" s="42">
        <v>20807</v>
      </c>
      <c r="B74" s="42" t="s">
        <v>130</v>
      </c>
      <c r="C74" s="43">
        <v>6355</v>
      </c>
      <c r="D74" s="44">
        <v>0</v>
      </c>
      <c r="E74" s="45">
        <v>29.8</v>
      </c>
      <c r="F74" s="46">
        <f t="shared" si="0"/>
        <v>38.6</v>
      </c>
      <c r="G74" s="46">
        <f t="shared" si="16"/>
        <v>1.5826999533927355</v>
      </c>
      <c r="H74" s="47">
        <f t="shared" si="2"/>
        <v>47.16445861110352</v>
      </c>
      <c r="I74" s="48">
        <f t="shared" si="3"/>
        <v>2997.3013447356288</v>
      </c>
      <c r="J74" s="55"/>
      <c r="K74" s="55"/>
      <c r="L74" s="56"/>
      <c r="M74" s="49">
        <v>435</v>
      </c>
      <c r="N74" s="43">
        <f t="shared" si="4"/>
        <v>205.16539495830031</v>
      </c>
    </row>
    <row r="75" spans="1:14">
      <c r="A75" s="42">
        <v>20901</v>
      </c>
      <c r="B75" s="42" t="s">
        <v>131</v>
      </c>
      <c r="C75" s="43">
        <v>10363</v>
      </c>
      <c r="D75" s="44">
        <v>0</v>
      </c>
      <c r="E75" s="45">
        <v>29.8</v>
      </c>
      <c r="F75" s="46">
        <f t="shared" si="0"/>
        <v>38.6</v>
      </c>
      <c r="G75" s="46">
        <f t="shared" si="16"/>
        <v>1.5826999533927355</v>
      </c>
      <c r="H75" s="47">
        <f t="shared" si="2"/>
        <v>47.16445861110352</v>
      </c>
      <c r="I75" s="48">
        <f t="shared" si="3"/>
        <v>4887.6528458686571</v>
      </c>
      <c r="J75" s="55"/>
      <c r="K75" s="55"/>
      <c r="L75" s="56"/>
      <c r="M75" s="49">
        <v>936</v>
      </c>
      <c r="N75" s="43">
        <f t="shared" si="4"/>
        <v>441.45933259992898</v>
      </c>
    </row>
    <row r="76" spans="1:14">
      <c r="A76" s="42">
        <v>20902</v>
      </c>
      <c r="B76" s="42" t="s">
        <v>132</v>
      </c>
      <c r="C76" s="43">
        <v>12232</v>
      </c>
      <c r="D76" s="44">
        <v>0</v>
      </c>
      <c r="E76" s="45">
        <v>29.8</v>
      </c>
      <c r="F76" s="46">
        <f t="shared" si="0"/>
        <v>38.6</v>
      </c>
      <c r="G76" s="46">
        <f t="shared" si="16"/>
        <v>1.5826999533927355</v>
      </c>
      <c r="H76" s="47">
        <f t="shared" si="2"/>
        <v>47.16445861110352</v>
      </c>
      <c r="I76" s="48">
        <f t="shared" si="3"/>
        <v>5769.1565773101829</v>
      </c>
      <c r="J76" s="55"/>
      <c r="K76" s="55"/>
      <c r="L76" s="56"/>
      <c r="M76" s="49">
        <v>1167</v>
      </c>
      <c r="N76" s="43">
        <f t="shared" si="4"/>
        <v>550.40923199157805</v>
      </c>
    </row>
    <row r="77" spans="1:14">
      <c r="A77" s="42">
        <v>20903</v>
      </c>
      <c r="B77" s="42" t="s">
        <v>133</v>
      </c>
      <c r="C77" s="43">
        <v>7515</v>
      </c>
      <c r="D77" s="44">
        <v>0</v>
      </c>
      <c r="E77" s="45">
        <v>29.8</v>
      </c>
      <c r="F77" s="46">
        <f t="shared" si="0"/>
        <v>38.6</v>
      </c>
      <c r="G77" s="46">
        <f t="shared" si="16"/>
        <v>1.5826999533927355</v>
      </c>
      <c r="H77" s="47">
        <f t="shared" si="2"/>
        <v>47.16445861110352</v>
      </c>
      <c r="I77" s="48">
        <f t="shared" si="3"/>
        <v>3544.4090646244294</v>
      </c>
      <c r="J77" s="55"/>
      <c r="K77" s="55"/>
      <c r="L77" s="56"/>
      <c r="M77" s="49">
        <v>807</v>
      </c>
      <c r="N77" s="43">
        <f t="shared" si="4"/>
        <v>380.61718099160544</v>
      </c>
    </row>
    <row r="78" spans="1:14">
      <c r="A78" s="42">
        <v>20904</v>
      </c>
      <c r="B78" s="42" t="s">
        <v>134</v>
      </c>
      <c r="C78" s="43">
        <v>4654</v>
      </c>
      <c r="D78" s="44">
        <v>0</v>
      </c>
      <c r="E78" s="45">
        <v>29.8</v>
      </c>
      <c r="F78" s="46">
        <f t="shared" si="0"/>
        <v>38.6</v>
      </c>
      <c r="G78" s="46">
        <f t="shared" si="16"/>
        <v>1.5826999533927355</v>
      </c>
      <c r="H78" s="47">
        <f t="shared" si="2"/>
        <v>47.16445861110352</v>
      </c>
      <c r="I78" s="48">
        <f t="shared" si="3"/>
        <v>2195.0339037607578</v>
      </c>
      <c r="J78" s="55"/>
      <c r="K78" s="55"/>
      <c r="L78" s="56"/>
      <c r="M78" s="49">
        <v>579</v>
      </c>
      <c r="N78" s="43">
        <f t="shared" si="4"/>
        <v>273.08221535828937</v>
      </c>
    </row>
    <row r="79" spans="1:14">
      <c r="A79" s="42">
        <v>20905</v>
      </c>
      <c r="B79" s="42" t="s">
        <v>135</v>
      </c>
      <c r="C79" s="43">
        <v>11349</v>
      </c>
      <c r="D79" s="44">
        <v>0</v>
      </c>
      <c r="E79" s="45">
        <v>29.8</v>
      </c>
      <c r="F79" s="46">
        <f t="shared" si="0"/>
        <v>38.6</v>
      </c>
      <c r="G79" s="46">
        <f t="shared" si="16"/>
        <v>1.5826999533927355</v>
      </c>
      <c r="H79" s="47">
        <f t="shared" si="2"/>
        <v>47.16445861110352</v>
      </c>
      <c r="I79" s="48">
        <f t="shared" si="3"/>
        <v>5352.6944077741391</v>
      </c>
      <c r="J79" s="55"/>
      <c r="K79" s="55"/>
      <c r="L79" s="56"/>
      <c r="M79" s="49">
        <v>1322</v>
      </c>
      <c r="N79" s="43">
        <f t="shared" si="4"/>
        <v>623.51414283878853</v>
      </c>
    </row>
    <row r="80" spans="1:14">
      <c r="A80" s="42">
        <v>21001</v>
      </c>
      <c r="B80" s="42" t="s">
        <v>136</v>
      </c>
      <c r="C80" s="43">
        <v>15236</v>
      </c>
      <c r="D80" s="44">
        <v>0</v>
      </c>
      <c r="E80" s="45">
        <v>29.8</v>
      </c>
      <c r="F80" s="46">
        <f t="shared" si="0"/>
        <v>38.6</v>
      </c>
      <c r="G80" s="46">
        <f t="shared" si="16"/>
        <v>1.5826999533927355</v>
      </c>
      <c r="H80" s="47">
        <f t="shared" si="2"/>
        <v>47.16445861110352</v>
      </c>
      <c r="I80" s="48">
        <f t="shared" si="3"/>
        <v>7185.9769139877326</v>
      </c>
      <c r="J80" s="55"/>
      <c r="K80" s="55"/>
      <c r="L80" s="56"/>
      <c r="M80" s="49">
        <v>1836</v>
      </c>
      <c r="N80" s="43">
        <f t="shared" si="4"/>
        <v>865.93946009986064</v>
      </c>
    </row>
    <row r="81" spans="1:14">
      <c r="A81" s="42">
        <v>21002</v>
      </c>
      <c r="B81" s="42" t="s">
        <v>137</v>
      </c>
      <c r="C81" s="43">
        <v>7929</v>
      </c>
      <c r="D81" s="44">
        <v>36.200000000000003</v>
      </c>
      <c r="E81" s="45">
        <v>29.8</v>
      </c>
      <c r="F81" s="46">
        <f t="shared" si="0"/>
        <v>30.853200000000001</v>
      </c>
      <c r="G81" s="46">
        <f t="shared" si="16"/>
        <v>1.2650610933164961</v>
      </c>
      <c r="H81" s="47">
        <f t="shared" si="2"/>
        <v>37.698820580831587</v>
      </c>
      <c r="I81" s="48">
        <f t="shared" si="3"/>
        <v>2989.1394838541369</v>
      </c>
      <c r="J81" s="55"/>
      <c r="K81" s="55"/>
      <c r="L81" s="56"/>
      <c r="M81" s="49">
        <v>856</v>
      </c>
      <c r="N81" s="43">
        <f t="shared" si="4"/>
        <v>322.70190417191839</v>
      </c>
    </row>
    <row r="82" spans="1:14">
      <c r="A82" s="42">
        <v>21003</v>
      </c>
      <c r="B82" s="42" t="s">
        <v>138</v>
      </c>
      <c r="C82" s="43">
        <v>9476</v>
      </c>
      <c r="D82" s="44">
        <v>0</v>
      </c>
      <c r="E82" s="45">
        <v>29.8</v>
      </c>
      <c r="F82" s="46">
        <f t="shared" si="0"/>
        <v>38.6</v>
      </c>
      <c r="G82" s="46">
        <f t="shared" si="16"/>
        <v>1.5826999533927355</v>
      </c>
      <c r="H82" s="47">
        <f t="shared" si="2"/>
        <v>47.16445861110352</v>
      </c>
      <c r="I82" s="48">
        <f t="shared" si="3"/>
        <v>4469.3040979881698</v>
      </c>
      <c r="J82" s="55"/>
      <c r="K82" s="55"/>
      <c r="L82" s="56"/>
      <c r="M82" s="49">
        <v>1114</v>
      </c>
      <c r="N82" s="43">
        <f t="shared" si="4"/>
        <v>525.41206892769321</v>
      </c>
    </row>
    <row r="83" spans="1:14">
      <c r="A83" s="42">
        <v>21004</v>
      </c>
      <c r="B83" s="42" t="s">
        <v>139</v>
      </c>
      <c r="C83" s="43">
        <v>19159</v>
      </c>
      <c r="D83" s="44">
        <v>27.3</v>
      </c>
      <c r="E83" s="45">
        <v>29.8</v>
      </c>
      <c r="F83" s="46">
        <f t="shared" si="0"/>
        <v>32.757800000000003</v>
      </c>
      <c r="G83" s="46">
        <f t="shared" si="16"/>
        <v>1.3431546252136932</v>
      </c>
      <c r="H83" s="47">
        <f t="shared" si="2"/>
        <v>40.026007831368062</v>
      </c>
      <c r="I83" s="48">
        <f t="shared" si="3"/>
        <v>7668.5828404118074</v>
      </c>
      <c r="J83" s="55"/>
      <c r="K83" s="55"/>
      <c r="L83" s="56"/>
      <c r="M83" s="49">
        <v>2382</v>
      </c>
      <c r="N83" s="43">
        <f t="shared" si="4"/>
        <v>953.41950654318725</v>
      </c>
    </row>
    <row r="84" spans="1:14">
      <c r="A84" s="42">
        <v>21005</v>
      </c>
      <c r="B84" s="42" t="s">
        <v>140</v>
      </c>
      <c r="C84" s="43">
        <v>7522</v>
      </c>
      <c r="D84" s="44">
        <v>0</v>
      </c>
      <c r="E84" s="45">
        <v>29.8</v>
      </c>
      <c r="F84" s="46">
        <f t="shared" si="0"/>
        <v>38.6</v>
      </c>
      <c r="G84" s="46">
        <f t="shared" si="16"/>
        <v>1.5826999533927355</v>
      </c>
      <c r="H84" s="47">
        <f t="shared" si="2"/>
        <v>47.16445861110352</v>
      </c>
      <c r="I84" s="48">
        <f t="shared" si="3"/>
        <v>3547.7105767272069</v>
      </c>
      <c r="J84" s="55"/>
      <c r="K84" s="55"/>
      <c r="L84" s="56"/>
      <c r="M84" s="49">
        <v>913</v>
      </c>
      <c r="N84" s="43">
        <f t="shared" si="4"/>
        <v>430.61150711937518</v>
      </c>
    </row>
    <row r="85" spans="1:14">
      <c r="A85" s="42">
        <v>21006</v>
      </c>
      <c r="B85" s="42" t="s">
        <v>141</v>
      </c>
      <c r="C85" s="43">
        <v>4488</v>
      </c>
      <c r="D85" s="44">
        <v>27.1</v>
      </c>
      <c r="E85" s="45">
        <v>29.8</v>
      </c>
      <c r="F85" s="46">
        <f t="shared" si="0"/>
        <v>32.800600000000003</v>
      </c>
      <c r="G85" s="46">
        <f t="shared" si="16"/>
        <v>1.3449095360428438</v>
      </c>
      <c r="H85" s="47">
        <f t="shared" si="2"/>
        <v>40.078304174076749</v>
      </c>
      <c r="I85" s="48">
        <f t="shared" si="3"/>
        <v>1798.7142913325647</v>
      </c>
      <c r="J85" s="55"/>
      <c r="K85" s="55"/>
      <c r="L85" s="56"/>
      <c r="M85" s="49">
        <v>394</v>
      </c>
      <c r="N85" s="43">
        <f t="shared" si="4"/>
        <v>157.9085184458624</v>
      </c>
    </row>
    <row r="86" spans="1:14">
      <c r="A86" s="42">
        <v>21101</v>
      </c>
      <c r="B86" s="42" t="s">
        <v>142</v>
      </c>
      <c r="C86" s="43">
        <v>16143</v>
      </c>
      <c r="D86" s="44">
        <v>14.9</v>
      </c>
      <c r="E86" s="45">
        <v>29.8</v>
      </c>
      <c r="F86" s="46">
        <f t="shared" si="0"/>
        <v>35.4114</v>
      </c>
      <c r="G86" s="46">
        <f t="shared" si="16"/>
        <v>1.4519590966210238</v>
      </c>
      <c r="H86" s="47">
        <f t="shared" si="2"/>
        <v>43.268381079306515</v>
      </c>
      <c r="I86" s="48">
        <f t="shared" si="3"/>
        <v>6984.81475763245</v>
      </c>
      <c r="J86" s="55"/>
      <c r="K86" s="55"/>
      <c r="L86" s="56"/>
      <c r="M86" s="49">
        <v>1708</v>
      </c>
      <c r="N86" s="43">
        <f t="shared" si="4"/>
        <v>739.02394883455531</v>
      </c>
    </row>
    <row r="87" spans="1:14">
      <c r="A87" s="42">
        <v>21102</v>
      </c>
      <c r="B87" s="42" t="s">
        <v>143</v>
      </c>
      <c r="C87" s="43">
        <v>15133</v>
      </c>
      <c r="D87" s="44">
        <v>0</v>
      </c>
      <c r="E87" s="45">
        <v>29.8</v>
      </c>
      <c r="F87" s="46">
        <f t="shared" si="0"/>
        <v>38.6</v>
      </c>
      <c r="G87" s="46">
        <f t="shared" si="16"/>
        <v>1.5826999533927355</v>
      </c>
      <c r="H87" s="47">
        <f t="shared" si="2"/>
        <v>47.16445861110352</v>
      </c>
      <c r="I87" s="48">
        <f t="shared" si="3"/>
        <v>7137.3975216182962</v>
      </c>
      <c r="J87" s="55"/>
      <c r="K87" s="55"/>
      <c r="L87" s="56"/>
      <c r="M87" s="49">
        <v>1611</v>
      </c>
      <c r="N87" s="43">
        <f t="shared" si="4"/>
        <v>759.81942822487758</v>
      </c>
    </row>
    <row r="88" spans="1:14">
      <c r="A88" s="42">
        <v>21103</v>
      </c>
      <c r="B88" s="42" t="s">
        <v>144</v>
      </c>
      <c r="C88" s="43">
        <v>5631</v>
      </c>
      <c r="D88" s="44">
        <v>0</v>
      </c>
      <c r="E88" s="45">
        <v>29.8</v>
      </c>
      <c r="F88" s="46">
        <f t="shared" si="0"/>
        <v>38.6</v>
      </c>
      <c r="G88" s="46">
        <f t="shared" si="16"/>
        <v>1.5826999533927355</v>
      </c>
      <c r="H88" s="47">
        <f t="shared" si="2"/>
        <v>47.16445861110352</v>
      </c>
      <c r="I88" s="48">
        <f t="shared" si="3"/>
        <v>2655.8306643912392</v>
      </c>
      <c r="J88" s="55"/>
      <c r="K88" s="55"/>
      <c r="L88" s="56"/>
      <c r="M88" s="49">
        <v>565</v>
      </c>
      <c r="N88" s="43">
        <f t="shared" si="4"/>
        <v>266.47919115273487</v>
      </c>
    </row>
    <row r="89" spans="1:14">
      <c r="A89" s="42">
        <v>21104</v>
      </c>
      <c r="B89" s="42" t="s">
        <v>145</v>
      </c>
      <c r="C89" s="43">
        <v>21842</v>
      </c>
      <c r="D89" s="44">
        <v>20.5</v>
      </c>
      <c r="E89" s="45">
        <v>29.8</v>
      </c>
      <c r="F89" s="46">
        <f t="shared" si="0"/>
        <v>34.213000000000001</v>
      </c>
      <c r="G89" s="46">
        <f t="shared" si="16"/>
        <v>1.4028215934048098</v>
      </c>
      <c r="H89" s="47">
        <f t="shared" si="2"/>
        <v>41.804083483463337</v>
      </c>
      <c r="I89" s="48">
        <f t="shared" si="3"/>
        <v>9130.8479144580615</v>
      </c>
      <c r="J89" s="55"/>
      <c r="K89" s="55"/>
      <c r="L89" s="56"/>
      <c r="M89" s="49">
        <v>2831</v>
      </c>
      <c r="N89" s="43">
        <f t="shared" si="4"/>
        <v>1183.473603416847</v>
      </c>
    </row>
    <row r="90" spans="1:14">
      <c r="A90" s="42">
        <v>21105</v>
      </c>
      <c r="B90" s="42" t="s">
        <v>146</v>
      </c>
      <c r="C90" s="43">
        <v>32119</v>
      </c>
      <c r="D90" s="44">
        <v>3.8</v>
      </c>
      <c r="E90" s="45">
        <v>29.8</v>
      </c>
      <c r="F90" s="46">
        <f t="shared" si="0"/>
        <v>37.786799999999999</v>
      </c>
      <c r="G90" s="46">
        <f t="shared" si="16"/>
        <v>1.5493566476388763</v>
      </c>
      <c r="H90" s="47">
        <f t="shared" si="2"/>
        <v>46.170828099638513</v>
      </c>
      <c r="I90" s="48">
        <f t="shared" si="3"/>
        <v>14829.608277322894</v>
      </c>
      <c r="J90" s="55"/>
      <c r="K90" s="55"/>
      <c r="L90" s="56"/>
      <c r="M90" s="49">
        <v>4650</v>
      </c>
      <c r="N90" s="43">
        <f t="shared" si="4"/>
        <v>2146.9435066331907</v>
      </c>
    </row>
    <row r="91" spans="1:14">
      <c r="A91" s="42">
        <v>21201</v>
      </c>
      <c r="B91" s="42" t="s">
        <v>147</v>
      </c>
      <c r="C91" s="43">
        <v>28104</v>
      </c>
      <c r="D91" s="44">
        <v>0</v>
      </c>
      <c r="E91" s="45">
        <v>29.8</v>
      </c>
      <c r="F91" s="46">
        <f t="shared" si="0"/>
        <v>38.6</v>
      </c>
      <c r="G91" s="46">
        <f t="shared" si="16"/>
        <v>1.5826999533927355</v>
      </c>
      <c r="H91" s="47">
        <f t="shared" si="2"/>
        <v>47.16445861110352</v>
      </c>
      <c r="I91" s="48">
        <f t="shared" si="3"/>
        <v>13255.099448064533</v>
      </c>
      <c r="J91" s="55"/>
      <c r="K91" s="55"/>
      <c r="L91" s="56"/>
      <c r="M91" s="49">
        <v>2938</v>
      </c>
      <c r="N91" s="43">
        <f t="shared" si="4"/>
        <v>1385.6917939942214</v>
      </c>
    </row>
    <row r="92" spans="1:14">
      <c r="A92" s="42">
        <v>21202</v>
      </c>
      <c r="B92" s="42" t="s">
        <v>148</v>
      </c>
      <c r="C92" s="43">
        <v>21542</v>
      </c>
      <c r="D92" s="44">
        <v>0</v>
      </c>
      <c r="E92" s="45">
        <v>29.8</v>
      </c>
      <c r="F92" s="46">
        <f t="shared" si="0"/>
        <v>38.6</v>
      </c>
      <c r="G92" s="46">
        <f t="shared" si="16"/>
        <v>1.5826999533927355</v>
      </c>
      <c r="H92" s="47">
        <f t="shared" si="2"/>
        <v>47.16445861110352</v>
      </c>
      <c r="I92" s="48">
        <f t="shared" si="3"/>
        <v>10160.16767400392</v>
      </c>
      <c r="J92" s="55"/>
      <c r="K92" s="55"/>
      <c r="L92" s="56"/>
      <c r="M92" s="49">
        <v>2031</v>
      </c>
      <c r="N92" s="43">
        <f t="shared" si="4"/>
        <v>957.91015439151249</v>
      </c>
    </row>
    <row r="93" spans="1:14">
      <c r="A93" s="42">
        <v>21203</v>
      </c>
      <c r="B93" s="42" t="s">
        <v>149</v>
      </c>
      <c r="C93" s="43">
        <v>18698</v>
      </c>
      <c r="D93" s="44">
        <v>8.3000000000000007</v>
      </c>
      <c r="E93" s="45">
        <v>29.8</v>
      </c>
      <c r="F93" s="46">
        <f t="shared" si="0"/>
        <v>36.823799999999999</v>
      </c>
      <c r="G93" s="46">
        <f t="shared" si="16"/>
        <v>1.5098711539829899</v>
      </c>
      <c r="H93" s="47">
        <f t="shared" si="2"/>
        <v>44.994160388693096</v>
      </c>
      <c r="I93" s="48">
        <f t="shared" si="3"/>
        <v>8413.0081094778361</v>
      </c>
      <c r="J93" s="55"/>
      <c r="K93" s="55"/>
      <c r="L93" s="56"/>
      <c r="M93" s="49">
        <v>1833</v>
      </c>
      <c r="N93" s="43">
        <f t="shared" si="4"/>
        <v>824.74295992474447</v>
      </c>
    </row>
    <row r="94" spans="1:14">
      <c r="A94" s="42">
        <v>21204</v>
      </c>
      <c r="B94" s="42" t="s">
        <v>150</v>
      </c>
      <c r="C94" s="43">
        <v>6982</v>
      </c>
      <c r="D94" s="44">
        <v>0</v>
      </c>
      <c r="E94" s="45">
        <v>29.8</v>
      </c>
      <c r="F94" s="46">
        <f t="shared" si="0"/>
        <v>38.6</v>
      </c>
      <c r="G94" s="46">
        <f t="shared" si="16"/>
        <v>1.5826999533927355</v>
      </c>
      <c r="H94" s="47">
        <f t="shared" si="2"/>
        <v>47.16445861110352</v>
      </c>
      <c r="I94" s="48">
        <f t="shared" si="3"/>
        <v>3293.0225002272477</v>
      </c>
      <c r="J94" s="55"/>
      <c r="K94" s="55"/>
      <c r="L94" s="56"/>
      <c r="M94" s="49">
        <v>609</v>
      </c>
      <c r="N94" s="43">
        <f t="shared" si="4"/>
        <v>287.23155294162041</v>
      </c>
    </row>
    <row r="95" spans="1:14">
      <c r="A95" s="42">
        <v>21301</v>
      </c>
      <c r="B95" s="42" t="s">
        <v>151</v>
      </c>
      <c r="C95" s="43">
        <v>29678</v>
      </c>
      <c r="D95" s="44">
        <v>31.8</v>
      </c>
      <c r="E95" s="45">
        <v>29.8</v>
      </c>
      <c r="F95" s="46">
        <f t="shared" si="0"/>
        <v>31.794800000000002</v>
      </c>
      <c r="G95" s="46">
        <f t="shared" si="16"/>
        <v>1.3036691315578071</v>
      </c>
      <c r="H95" s="47">
        <f t="shared" si="2"/>
        <v>38.849340120422653</v>
      </c>
      <c r="I95" s="48">
        <f t="shared" si="3"/>
        <v>11529.707160939033</v>
      </c>
      <c r="J95" s="55"/>
      <c r="K95" s="55"/>
      <c r="L95" s="56"/>
      <c r="M95" s="49">
        <v>3291</v>
      </c>
      <c r="N95" s="43">
        <f t="shared" si="4"/>
        <v>1278.5317833631095</v>
      </c>
    </row>
    <row r="96" spans="1:14">
      <c r="A96" s="42">
        <v>21302</v>
      </c>
      <c r="B96" s="42" t="s">
        <v>152</v>
      </c>
      <c r="C96" s="43">
        <v>9150</v>
      </c>
      <c r="D96" s="44">
        <v>0</v>
      </c>
      <c r="E96" s="45">
        <v>29.8</v>
      </c>
      <c r="F96" s="46">
        <f t="shared" si="0"/>
        <v>38.6</v>
      </c>
      <c r="G96" s="46">
        <f t="shared" si="16"/>
        <v>1.5826999533927355</v>
      </c>
      <c r="H96" s="47">
        <f t="shared" si="2"/>
        <v>47.16445861110352</v>
      </c>
      <c r="I96" s="48">
        <f t="shared" si="3"/>
        <v>4315.5479629159718</v>
      </c>
      <c r="J96" s="55"/>
      <c r="K96" s="55"/>
      <c r="L96" s="56"/>
      <c r="M96" s="49">
        <v>919</v>
      </c>
      <c r="N96" s="43">
        <f t="shared" si="4"/>
        <v>433.44137463604136</v>
      </c>
    </row>
    <row r="97" spans="1:14">
      <c r="A97" s="42">
        <v>21303</v>
      </c>
      <c r="B97" s="42" t="s">
        <v>153</v>
      </c>
      <c r="C97" s="43">
        <v>7501</v>
      </c>
      <c r="D97" s="44">
        <v>0</v>
      </c>
      <c r="E97" s="45">
        <v>29.8</v>
      </c>
      <c r="F97" s="46">
        <f t="shared" si="0"/>
        <v>38.6</v>
      </c>
      <c r="G97" s="46">
        <f t="shared" si="16"/>
        <v>1.5826999533927355</v>
      </c>
      <c r="H97" s="47">
        <f t="shared" si="2"/>
        <v>47.16445861110352</v>
      </c>
      <c r="I97" s="48">
        <f t="shared" si="3"/>
        <v>3537.806040418875</v>
      </c>
      <c r="J97" s="55"/>
      <c r="K97" s="55"/>
      <c r="L97" s="56"/>
      <c r="M97" s="49">
        <v>802</v>
      </c>
      <c r="N97" s="43">
        <f t="shared" si="4"/>
        <v>378.25895806105024</v>
      </c>
    </row>
    <row r="98" spans="1:14">
      <c r="A98" s="42">
        <v>21304</v>
      </c>
      <c r="B98" s="42" t="s">
        <v>154</v>
      </c>
      <c r="C98" s="43">
        <v>12304</v>
      </c>
      <c r="D98" s="44">
        <v>0</v>
      </c>
      <c r="E98" s="45">
        <v>29.8</v>
      </c>
      <c r="F98" s="46">
        <f t="shared" si="0"/>
        <v>38.6</v>
      </c>
      <c r="G98" s="46">
        <f t="shared" si="16"/>
        <v>1.5826999533927355</v>
      </c>
      <c r="H98" s="47">
        <f t="shared" si="2"/>
        <v>47.16445861110352</v>
      </c>
      <c r="I98" s="48">
        <f t="shared" si="3"/>
        <v>5803.1149875101773</v>
      </c>
      <c r="J98" s="55"/>
      <c r="K98" s="55"/>
      <c r="L98" s="56"/>
      <c r="M98" s="49">
        <v>1232</v>
      </c>
      <c r="N98" s="43">
        <f t="shared" si="4"/>
        <v>581.06613008879538</v>
      </c>
    </row>
    <row r="99" spans="1:14">
      <c r="A99" s="42">
        <v>21305</v>
      </c>
      <c r="B99" s="42" t="s">
        <v>155</v>
      </c>
      <c r="C99" s="43">
        <v>21833</v>
      </c>
      <c r="D99" s="44">
        <v>46.6</v>
      </c>
      <c r="E99" s="45">
        <v>29.8</v>
      </c>
      <c r="F99" s="46">
        <f t="shared" si="0"/>
        <v>28.627600000000001</v>
      </c>
      <c r="G99" s="46">
        <f t="shared" si="16"/>
        <v>1.1738057302006704</v>
      </c>
      <c r="H99" s="47">
        <f t="shared" si="2"/>
        <v>34.979410759979977</v>
      </c>
      <c r="I99" s="48">
        <f t="shared" si="3"/>
        <v>7637.0547512264284</v>
      </c>
      <c r="J99" s="55"/>
      <c r="K99" s="55"/>
      <c r="L99" s="56"/>
      <c r="M99" s="49">
        <v>2551</v>
      </c>
      <c r="N99" s="43">
        <f t="shared" si="4"/>
        <v>892.32476848708916</v>
      </c>
    </row>
    <row r="100" spans="1:14">
      <c r="A100" s="42">
        <v>21306</v>
      </c>
      <c r="B100" s="42" t="s">
        <v>156</v>
      </c>
      <c r="C100" s="43">
        <v>9203</v>
      </c>
      <c r="D100" s="44">
        <v>30.5</v>
      </c>
      <c r="E100" s="45">
        <v>29.8</v>
      </c>
      <c r="F100" s="46">
        <f t="shared" si="0"/>
        <v>32.073</v>
      </c>
      <c r="G100" s="46">
        <f t="shared" si="16"/>
        <v>1.3150760519472851</v>
      </c>
      <c r="H100" s="47">
        <f t="shared" si="2"/>
        <v>39.189266348029093</v>
      </c>
      <c r="I100" s="48">
        <f t="shared" si="3"/>
        <v>3606.5881820091176</v>
      </c>
      <c r="J100" s="55"/>
      <c r="K100" s="55"/>
      <c r="L100" s="56"/>
      <c r="M100" s="49">
        <v>1010</v>
      </c>
      <c r="N100" s="43">
        <f t="shared" si="4"/>
        <v>395.81159011509385</v>
      </c>
    </row>
    <row r="101" spans="1:14">
      <c r="A101" s="42">
        <v>21307</v>
      </c>
      <c r="B101" s="42" t="s">
        <v>157</v>
      </c>
      <c r="C101" s="43">
        <v>4273</v>
      </c>
      <c r="D101" s="44">
        <v>35.9</v>
      </c>
      <c r="E101" s="45">
        <v>29.8</v>
      </c>
      <c r="F101" s="46">
        <f t="shared" si="0"/>
        <v>30.917400000000001</v>
      </c>
      <c r="G101" s="46">
        <f t="shared" si="16"/>
        <v>1.2676934595602218</v>
      </c>
      <c r="H101" s="47">
        <f t="shared" si="2"/>
        <v>37.777265094894609</v>
      </c>
      <c r="I101" s="48">
        <f t="shared" si="3"/>
        <v>1614.2225375048467</v>
      </c>
      <c r="J101" s="55"/>
      <c r="K101" s="55"/>
      <c r="L101" s="56"/>
      <c r="M101" s="49">
        <v>415</v>
      </c>
      <c r="N101" s="43">
        <f t="shared" si="4"/>
        <v>156.77565014381264</v>
      </c>
    </row>
    <row r="102" spans="1:14">
      <c r="A102" s="42">
        <v>21401</v>
      </c>
      <c r="B102" s="42" t="s">
        <v>158</v>
      </c>
      <c r="C102" s="43">
        <v>16793</v>
      </c>
      <c r="D102" s="44">
        <v>14.2</v>
      </c>
      <c r="E102" s="45">
        <v>29.8</v>
      </c>
      <c r="F102" s="46">
        <f t="shared" si="0"/>
        <v>35.561199999999999</v>
      </c>
      <c r="G102" s="46">
        <f t="shared" si="16"/>
        <v>1.4581012845230505</v>
      </c>
      <c r="H102" s="47">
        <f t="shared" si="2"/>
        <v>43.45141827878691</v>
      </c>
      <c r="I102" s="48">
        <f t="shared" si="3"/>
        <v>7296.7966715566863</v>
      </c>
      <c r="J102" s="55"/>
      <c r="K102" s="55"/>
      <c r="L102" s="56"/>
      <c r="M102" s="49">
        <v>1676</v>
      </c>
      <c r="N102" s="43">
        <f t="shared" si="4"/>
        <v>728.24577035246864</v>
      </c>
    </row>
    <row r="103" spans="1:14">
      <c r="A103" s="42">
        <v>21402</v>
      </c>
      <c r="B103" s="42" t="s">
        <v>159</v>
      </c>
      <c r="C103" s="43">
        <v>14935</v>
      </c>
      <c r="D103" s="44">
        <v>7</v>
      </c>
      <c r="E103" s="45">
        <v>29.8</v>
      </c>
      <c r="F103" s="46">
        <f t="shared" si="0"/>
        <v>37.102000000000004</v>
      </c>
      <c r="G103" s="46">
        <f t="shared" si="16"/>
        <v>1.5212780743724685</v>
      </c>
      <c r="H103" s="47">
        <f t="shared" si="2"/>
        <v>45.334086616299565</v>
      </c>
      <c r="I103" s="48">
        <f t="shared" si="3"/>
        <v>6770.6458361443401</v>
      </c>
      <c r="J103" s="55"/>
      <c r="K103" s="55"/>
      <c r="L103" s="56"/>
      <c r="M103" s="49">
        <v>1568</v>
      </c>
      <c r="N103" s="43">
        <f t="shared" si="4"/>
        <v>710.83847814357728</v>
      </c>
    </row>
    <row r="104" spans="1:14">
      <c r="A104" s="42">
        <v>21501</v>
      </c>
      <c r="B104" s="42" t="s">
        <v>160</v>
      </c>
      <c r="C104" s="43">
        <v>8003</v>
      </c>
      <c r="D104" s="44">
        <v>27.4</v>
      </c>
      <c r="E104" s="45">
        <v>29.8</v>
      </c>
      <c r="F104" s="46">
        <f t="shared" si="0"/>
        <v>32.736400000000003</v>
      </c>
      <c r="G104" s="46">
        <f t="shared" si="16"/>
        <v>1.342277169799118</v>
      </c>
      <c r="H104" s="47">
        <f t="shared" si="2"/>
        <v>39.999859660013719</v>
      </c>
      <c r="I104" s="48">
        <f t="shared" si="3"/>
        <v>3201.1887685908978</v>
      </c>
      <c r="J104" s="55"/>
      <c r="K104" s="55"/>
      <c r="L104" s="56"/>
      <c r="M104" s="49">
        <v>1178</v>
      </c>
      <c r="N104" s="43">
        <f t="shared" si="4"/>
        <v>471.19834679496159</v>
      </c>
    </row>
    <row r="105" spans="1:14">
      <c r="A105" s="42">
        <v>21502</v>
      </c>
      <c r="B105" s="42" t="s">
        <v>161</v>
      </c>
      <c r="C105" s="43">
        <v>7799</v>
      </c>
      <c r="D105" s="44">
        <v>38.5</v>
      </c>
      <c r="E105" s="45">
        <v>29.8</v>
      </c>
      <c r="F105" s="46">
        <f t="shared" si="0"/>
        <v>30.361000000000001</v>
      </c>
      <c r="G105" s="46">
        <f t="shared" si="16"/>
        <v>1.2448796187812654</v>
      </c>
      <c r="H105" s="47">
        <f t="shared" si="2"/>
        <v>37.097412639681707</v>
      </c>
      <c r="I105" s="48">
        <f t="shared" si="3"/>
        <v>2893.2272117687762</v>
      </c>
      <c r="J105" s="55"/>
      <c r="K105" s="55"/>
      <c r="L105" s="56"/>
      <c r="M105" s="49">
        <v>1098</v>
      </c>
      <c r="N105" s="43">
        <f t="shared" si="4"/>
        <v>407.32959078370516</v>
      </c>
    </row>
    <row r="106" spans="1:14">
      <c r="A106" s="42">
        <v>21601</v>
      </c>
      <c r="B106" s="42" t="s">
        <v>162</v>
      </c>
      <c r="C106" s="43">
        <v>11619</v>
      </c>
      <c r="D106" s="44">
        <v>16.2</v>
      </c>
      <c r="E106" s="45">
        <v>29.8</v>
      </c>
      <c r="F106" s="46">
        <f t="shared" si="0"/>
        <v>35.133200000000002</v>
      </c>
      <c r="G106" s="46">
        <f t="shared" si="16"/>
        <v>1.4405521762315454</v>
      </c>
      <c r="H106" s="47">
        <f t="shared" si="2"/>
        <v>42.928454851700053</v>
      </c>
      <c r="I106" s="48">
        <f t="shared" si="3"/>
        <v>4987.8571692190289</v>
      </c>
      <c r="J106" s="55"/>
      <c r="K106" s="55"/>
      <c r="L106" s="56"/>
      <c r="M106" s="49">
        <v>1506</v>
      </c>
      <c r="N106" s="43">
        <f t="shared" si="4"/>
        <v>646.50253006660273</v>
      </c>
    </row>
    <row r="107" spans="1:14">
      <c r="A107" s="42">
        <v>21602</v>
      </c>
      <c r="B107" s="42" t="s">
        <v>163</v>
      </c>
      <c r="C107" s="43">
        <v>2895</v>
      </c>
      <c r="D107" s="44">
        <v>0</v>
      </c>
      <c r="E107" s="45">
        <v>29.8</v>
      </c>
      <c r="F107" s="46">
        <f t="shared" si="0"/>
        <v>38.6</v>
      </c>
      <c r="G107" s="46">
        <f t="shared" si="16"/>
        <v>1.5826999533927355</v>
      </c>
      <c r="H107" s="47">
        <f t="shared" si="2"/>
        <v>47.16445861110352</v>
      </c>
      <c r="I107" s="48">
        <f t="shared" si="3"/>
        <v>1365.4110767914469</v>
      </c>
      <c r="J107" s="55"/>
      <c r="K107" s="55"/>
      <c r="L107" s="56"/>
      <c r="M107" s="49">
        <v>378</v>
      </c>
      <c r="N107" s="43">
        <f t="shared" si="4"/>
        <v>178.28165354997131</v>
      </c>
    </row>
    <row r="108" spans="1:14">
      <c r="A108" s="42">
        <v>21701</v>
      </c>
      <c r="B108" s="42" t="s">
        <v>164</v>
      </c>
      <c r="C108" s="43">
        <v>14806</v>
      </c>
      <c r="D108" s="44">
        <v>34.799999999999997</v>
      </c>
      <c r="E108" s="45">
        <v>29.8</v>
      </c>
      <c r="F108" s="46">
        <f t="shared" si="0"/>
        <v>31.152799999999999</v>
      </c>
      <c r="G108" s="46">
        <f t="shared" si="16"/>
        <v>1.2773454691205495</v>
      </c>
      <c r="H108" s="47">
        <f t="shared" si="2"/>
        <v>38.064894979792378</v>
      </c>
      <c r="I108" s="48">
        <f t="shared" si="3"/>
        <v>5635.88835070806</v>
      </c>
      <c r="J108" s="55"/>
      <c r="K108" s="55"/>
      <c r="L108" s="56"/>
      <c r="M108" s="49">
        <v>1409</v>
      </c>
      <c r="N108" s="43">
        <f t="shared" si="4"/>
        <v>536.33437026527463</v>
      </c>
    </row>
    <row r="109" spans="1:14">
      <c r="A109" s="42">
        <v>21702</v>
      </c>
      <c r="B109" s="42" t="s">
        <v>165</v>
      </c>
      <c r="C109" s="43">
        <v>6067</v>
      </c>
      <c r="D109" s="44">
        <v>0</v>
      </c>
      <c r="E109" s="45">
        <v>29.8</v>
      </c>
      <c r="F109" s="46">
        <f t="shared" si="0"/>
        <v>38.6</v>
      </c>
      <c r="G109" s="46">
        <f t="shared" si="16"/>
        <v>1.5826999533927355</v>
      </c>
      <c r="H109" s="47">
        <f t="shared" si="2"/>
        <v>47.16445861110352</v>
      </c>
      <c r="I109" s="48">
        <f t="shared" si="3"/>
        <v>2861.4677039356507</v>
      </c>
      <c r="J109" s="55"/>
      <c r="K109" s="55"/>
      <c r="L109" s="56"/>
      <c r="M109" s="49">
        <v>441</v>
      </c>
      <c r="N109" s="43">
        <f t="shared" si="4"/>
        <v>207.99526247496652</v>
      </c>
    </row>
    <row r="110" spans="1:14">
      <c r="A110" s="42">
        <v>21703</v>
      </c>
      <c r="B110" s="42" t="s">
        <v>166</v>
      </c>
      <c r="C110" s="43">
        <v>4789</v>
      </c>
      <c r="D110" s="44">
        <v>35.1</v>
      </c>
      <c r="E110" s="45">
        <v>29.8</v>
      </c>
      <c r="F110" s="46">
        <f t="shared" si="0"/>
        <v>31.0886</v>
      </c>
      <c r="G110" s="46">
        <f t="shared" si="16"/>
        <v>1.2747131028768237</v>
      </c>
      <c r="H110" s="47">
        <f t="shared" si="2"/>
        <v>37.986450465729348</v>
      </c>
      <c r="I110" s="48">
        <f t="shared" si="3"/>
        <v>1819.1711128037784</v>
      </c>
      <c r="J110" s="55"/>
      <c r="K110" s="55"/>
      <c r="L110" s="56"/>
      <c r="M110" s="49">
        <v>305</v>
      </c>
      <c r="N110" s="43">
        <f t="shared" si="4"/>
        <v>115.8586739204745</v>
      </c>
    </row>
    <row r="111" spans="1:14">
      <c r="A111" s="42">
        <v>21801</v>
      </c>
      <c r="B111" s="42" t="s">
        <v>167</v>
      </c>
      <c r="C111" s="43">
        <v>8583</v>
      </c>
      <c r="D111" s="44">
        <v>0</v>
      </c>
      <c r="E111" s="45">
        <v>29.8</v>
      </c>
      <c r="F111" s="46">
        <f t="shared" si="0"/>
        <v>38.6</v>
      </c>
      <c r="G111" s="46">
        <f t="shared" si="16"/>
        <v>1.5826999533927355</v>
      </c>
      <c r="H111" s="47">
        <f t="shared" si="2"/>
        <v>47.16445861110352</v>
      </c>
      <c r="I111" s="48">
        <f t="shared" si="3"/>
        <v>4048.125482591015</v>
      </c>
      <c r="J111" s="55"/>
      <c r="K111" s="55"/>
      <c r="L111" s="56"/>
      <c r="M111" s="49">
        <v>749</v>
      </c>
      <c r="N111" s="43">
        <f t="shared" si="4"/>
        <v>353.26179499716534</v>
      </c>
    </row>
    <row r="112" spans="1:14">
      <c r="A112" s="42">
        <v>21802</v>
      </c>
      <c r="B112" s="42" t="s">
        <v>168</v>
      </c>
      <c r="C112" s="43">
        <v>6658</v>
      </c>
      <c r="D112" s="44">
        <v>0</v>
      </c>
      <c r="E112" s="45">
        <v>29.8</v>
      </c>
      <c r="F112" s="46">
        <f t="shared" si="0"/>
        <v>38.6</v>
      </c>
      <c r="G112" s="46">
        <f t="shared" si="16"/>
        <v>1.5826999533927355</v>
      </c>
      <c r="H112" s="47">
        <f t="shared" si="2"/>
        <v>47.16445861110352</v>
      </c>
      <c r="I112" s="48">
        <f t="shared" si="3"/>
        <v>3140.2096543272723</v>
      </c>
      <c r="J112" s="55"/>
      <c r="K112" s="55"/>
      <c r="L112" s="56"/>
      <c r="M112" s="49">
        <v>646</v>
      </c>
      <c r="N112" s="43">
        <f t="shared" si="4"/>
        <v>304.68240262772872</v>
      </c>
    </row>
    <row r="113" spans="1:14">
      <c r="A113" s="42">
        <v>21803</v>
      </c>
      <c r="B113" s="42" t="s">
        <v>169</v>
      </c>
      <c r="C113" s="43">
        <v>1845</v>
      </c>
      <c r="D113" s="44">
        <v>0</v>
      </c>
      <c r="E113" s="45">
        <v>29.8</v>
      </c>
      <c r="F113" s="46">
        <f t="shared" si="0"/>
        <v>38.6</v>
      </c>
      <c r="G113" s="46">
        <f t="shared" si="16"/>
        <v>1.5826999533927355</v>
      </c>
      <c r="H113" s="47">
        <f t="shared" si="2"/>
        <v>47.16445861110352</v>
      </c>
      <c r="I113" s="48">
        <f t="shared" si="3"/>
        <v>870.18426137485994</v>
      </c>
      <c r="J113" s="55"/>
      <c r="K113" s="55"/>
      <c r="L113" s="56"/>
      <c r="M113" s="49">
        <v>205</v>
      </c>
      <c r="N113" s="43">
        <f t="shared" si="4"/>
        <v>96.687140152762225</v>
      </c>
    </row>
    <row r="114" spans="1:14">
      <c r="A114" s="42">
        <v>21901</v>
      </c>
      <c r="B114" s="42" t="s">
        <v>170</v>
      </c>
      <c r="C114" s="43">
        <v>4524</v>
      </c>
      <c r="D114" s="44">
        <v>0</v>
      </c>
      <c r="E114" s="45">
        <v>29.8</v>
      </c>
      <c r="F114" s="46">
        <f t="shared" si="0"/>
        <v>38.6</v>
      </c>
      <c r="G114" s="46">
        <f t="shared" si="16"/>
        <v>1.5826999533927355</v>
      </c>
      <c r="H114" s="47">
        <f t="shared" si="2"/>
        <v>47.16445861110352</v>
      </c>
      <c r="I114" s="48">
        <f t="shared" si="3"/>
        <v>2133.7201075663233</v>
      </c>
      <c r="J114" s="55"/>
      <c r="K114" s="55"/>
      <c r="L114" s="56"/>
      <c r="M114" s="49">
        <v>341</v>
      </c>
      <c r="N114" s="43">
        <f t="shared" si="4"/>
        <v>160.830803863863</v>
      </c>
    </row>
    <row r="115" spans="1:14">
      <c r="A115" s="42">
        <v>21902</v>
      </c>
      <c r="B115" s="42" t="s">
        <v>171</v>
      </c>
      <c r="C115" s="43">
        <v>2464</v>
      </c>
      <c r="D115" s="44">
        <v>0</v>
      </c>
      <c r="E115" s="45">
        <v>29.8</v>
      </c>
      <c r="F115" s="46">
        <f t="shared" si="0"/>
        <v>38.6</v>
      </c>
      <c r="G115" s="46">
        <f t="shared" si="16"/>
        <v>1.5826999533927355</v>
      </c>
      <c r="H115" s="47">
        <f t="shared" si="2"/>
        <v>47.16445861110352</v>
      </c>
      <c r="I115" s="48">
        <f t="shared" si="3"/>
        <v>1162.1322601775908</v>
      </c>
      <c r="J115" s="55"/>
      <c r="K115" s="55"/>
      <c r="L115" s="56"/>
      <c r="M115" s="49">
        <v>250</v>
      </c>
      <c r="N115" s="43">
        <f t="shared" si="4"/>
        <v>117.91114652775879</v>
      </c>
    </row>
    <row r="116" spans="1:14">
      <c r="A116" s="42">
        <v>22001</v>
      </c>
      <c r="B116" s="42" t="s">
        <v>172</v>
      </c>
      <c r="C116" s="43">
        <v>47686</v>
      </c>
      <c r="D116" s="44">
        <v>27</v>
      </c>
      <c r="E116" s="45">
        <v>29.8</v>
      </c>
      <c r="F116" s="46">
        <f t="shared" si="0"/>
        <v>32.822000000000003</v>
      </c>
      <c r="G116" s="46">
        <f t="shared" si="16"/>
        <v>1.345786991457419</v>
      </c>
      <c r="H116" s="47">
        <f t="shared" si="2"/>
        <v>40.104452345431085</v>
      </c>
      <c r="I116" s="48">
        <f t="shared" si="3"/>
        <v>19124.209145442266</v>
      </c>
      <c r="J116" s="55"/>
      <c r="K116" s="55"/>
      <c r="L116" s="56"/>
      <c r="M116" s="49">
        <v>5835</v>
      </c>
      <c r="N116" s="43">
        <f t="shared" si="4"/>
        <v>2340.094794355904</v>
      </c>
    </row>
    <row r="117" spans="1:14">
      <c r="A117" s="42">
        <v>22002</v>
      </c>
      <c r="B117" s="42" t="s">
        <v>173</v>
      </c>
      <c r="C117" s="43">
        <v>10066</v>
      </c>
      <c r="D117" s="44">
        <v>0</v>
      </c>
      <c r="E117" s="45">
        <v>29.8</v>
      </c>
      <c r="F117" s="46">
        <f t="shared" si="0"/>
        <v>38.6</v>
      </c>
      <c r="G117" s="46">
        <f t="shared" si="16"/>
        <v>1.5826999533927355</v>
      </c>
      <c r="H117" s="47">
        <f t="shared" si="2"/>
        <v>47.16445861110352</v>
      </c>
      <c r="I117" s="48">
        <f t="shared" si="3"/>
        <v>4747.5744037936802</v>
      </c>
      <c r="J117" s="55"/>
      <c r="K117" s="55"/>
      <c r="L117" s="56"/>
      <c r="M117" s="49">
        <v>1234</v>
      </c>
      <c r="N117" s="43">
        <f t="shared" si="4"/>
        <v>582.00941926101746</v>
      </c>
    </row>
    <row r="118" spans="1:14">
      <c r="A118" s="42">
        <v>30101</v>
      </c>
      <c r="B118" s="42" t="s">
        <v>55</v>
      </c>
      <c r="C118" s="43">
        <v>590199</v>
      </c>
      <c r="D118" s="44">
        <v>100</v>
      </c>
      <c r="E118" s="45">
        <v>30.5</v>
      </c>
      <c r="F118" s="46">
        <f t="shared" si="0"/>
        <v>17.2</v>
      </c>
      <c r="G118" s="46">
        <f t="shared" ref="G118:G165" si="17">1.37*F118/F$345</f>
        <v>0.69509713538126561</v>
      </c>
      <c r="H118" s="47">
        <f t="shared" si="2"/>
        <v>21.200462629128602</v>
      </c>
      <c r="I118" s="48">
        <f t="shared" si="3"/>
        <v>125124.91843249071</v>
      </c>
      <c r="J118" s="49">
        <f>SUM(C118:C165)</f>
        <v>1651108</v>
      </c>
      <c r="K118" s="49">
        <f>SUM(I118:I165)</f>
        <v>503684.08509001118</v>
      </c>
      <c r="L118" s="50">
        <f>K118/J118</f>
        <v>0.30505823064875903</v>
      </c>
      <c r="M118" s="49">
        <v>61004</v>
      </c>
      <c r="N118" s="43">
        <f t="shared" si="4"/>
        <v>12933.13022227361</v>
      </c>
    </row>
    <row r="119" spans="1:14">
      <c r="A119" s="42">
        <v>30201</v>
      </c>
      <c r="B119" s="42" t="s">
        <v>174</v>
      </c>
      <c r="C119" s="43">
        <v>24363</v>
      </c>
      <c r="D119" s="44">
        <v>31.7</v>
      </c>
      <c r="E119" s="45">
        <v>30.5</v>
      </c>
      <c r="F119" s="46">
        <f t="shared" si="0"/>
        <v>31.816200000000002</v>
      </c>
      <c r="G119" s="46">
        <f t="shared" si="17"/>
        <v>1.2857761324835713</v>
      </c>
      <c r="H119" s="47">
        <f t="shared" si="2"/>
        <v>39.216172040748923</v>
      </c>
      <c r="I119" s="48">
        <f t="shared" si="3"/>
        <v>9554.235994287661</v>
      </c>
      <c r="J119" s="55"/>
      <c r="K119" s="55"/>
      <c r="L119" s="56"/>
      <c r="M119" s="49">
        <v>3198</v>
      </c>
      <c r="N119" s="43">
        <f t="shared" si="4"/>
        <v>1254.1331818631506</v>
      </c>
    </row>
    <row r="120" spans="1:14">
      <c r="A120" s="42">
        <v>30202</v>
      </c>
      <c r="B120" s="42" t="s">
        <v>175</v>
      </c>
      <c r="C120" s="43">
        <v>6055</v>
      </c>
      <c r="D120" s="44">
        <v>29.1</v>
      </c>
      <c r="E120" s="45">
        <v>30.5</v>
      </c>
      <c r="F120" s="46">
        <f t="shared" si="0"/>
        <v>32.372599999999998</v>
      </c>
      <c r="G120" s="46">
        <f t="shared" si="17"/>
        <v>1.308261716560672</v>
      </c>
      <c r="H120" s="47">
        <f t="shared" si="2"/>
        <v>39.9019823551005</v>
      </c>
      <c r="I120" s="48">
        <f t="shared" si="3"/>
        <v>2416.0650316013352</v>
      </c>
      <c r="J120" s="55"/>
      <c r="K120" s="55"/>
      <c r="L120" s="56"/>
      <c r="M120" s="49">
        <v>685</v>
      </c>
      <c r="N120" s="43">
        <f t="shared" si="4"/>
        <v>273.32857913243845</v>
      </c>
    </row>
    <row r="121" spans="1:14">
      <c r="A121" s="42">
        <v>30203</v>
      </c>
      <c r="B121" s="42" t="s">
        <v>176</v>
      </c>
      <c r="C121" s="43">
        <v>5799</v>
      </c>
      <c r="D121" s="44">
        <v>0</v>
      </c>
      <c r="E121" s="45">
        <v>30.5</v>
      </c>
      <c r="F121" s="46">
        <f t="shared" si="0"/>
        <v>38.6</v>
      </c>
      <c r="G121" s="46">
        <f t="shared" si="17"/>
        <v>1.5599272921928404</v>
      </c>
      <c r="H121" s="47">
        <f t="shared" si="2"/>
        <v>47.577782411881635</v>
      </c>
      <c r="I121" s="48">
        <f t="shared" si="3"/>
        <v>2759.0356020650161</v>
      </c>
      <c r="J121" s="55"/>
      <c r="K121" s="55"/>
      <c r="L121" s="56"/>
      <c r="M121" s="49">
        <v>753</v>
      </c>
      <c r="N121" s="43">
        <f t="shared" si="4"/>
        <v>358.26070156146875</v>
      </c>
    </row>
    <row r="122" spans="1:14">
      <c r="A122" s="42">
        <v>30301</v>
      </c>
      <c r="B122" s="42" t="s">
        <v>177</v>
      </c>
      <c r="C122" s="43">
        <v>24810</v>
      </c>
      <c r="D122" s="44">
        <v>2.7</v>
      </c>
      <c r="E122" s="45">
        <v>30.5</v>
      </c>
      <c r="F122" s="46">
        <f t="shared" si="0"/>
        <v>38.022199999999998</v>
      </c>
      <c r="G122" s="46">
        <f t="shared" si="17"/>
        <v>1.5365768779589277</v>
      </c>
      <c r="H122" s="47">
        <f t="shared" si="2"/>
        <v>46.865594777747297</v>
      </c>
      <c r="I122" s="48">
        <f t="shared" si="3"/>
        <v>11627.354064359104</v>
      </c>
      <c r="J122" s="55"/>
      <c r="K122" s="55"/>
      <c r="L122" s="56"/>
      <c r="M122" s="49">
        <v>3482</v>
      </c>
      <c r="N122" s="43">
        <f t="shared" si="4"/>
        <v>1631.860010161161</v>
      </c>
    </row>
    <row r="123" spans="1:14">
      <c r="A123" s="42">
        <v>30302</v>
      </c>
      <c r="B123" s="42" t="s">
        <v>178</v>
      </c>
      <c r="C123" s="43">
        <v>14352</v>
      </c>
      <c r="D123" s="44">
        <v>0</v>
      </c>
      <c r="E123" s="45">
        <v>30.5</v>
      </c>
      <c r="F123" s="46">
        <f t="shared" si="0"/>
        <v>38.6</v>
      </c>
      <c r="G123" s="46">
        <f t="shared" si="17"/>
        <v>1.5599272921928404</v>
      </c>
      <c r="H123" s="47">
        <f t="shared" si="2"/>
        <v>47.577782411881635</v>
      </c>
      <c r="I123" s="48">
        <f t="shared" si="3"/>
        <v>6828.3633317532522</v>
      </c>
      <c r="J123" s="55"/>
      <c r="K123" s="55"/>
      <c r="L123" s="56"/>
      <c r="M123" s="49">
        <v>2013</v>
      </c>
      <c r="N123" s="43">
        <f t="shared" si="4"/>
        <v>957.74075995117732</v>
      </c>
    </row>
    <row r="124" spans="1:14">
      <c r="A124" s="42">
        <v>30303</v>
      </c>
      <c r="B124" s="42" t="s">
        <v>179</v>
      </c>
      <c r="C124" s="43">
        <v>17707</v>
      </c>
      <c r="D124" s="44">
        <v>0</v>
      </c>
      <c r="E124" s="45">
        <v>30.5</v>
      </c>
      <c r="F124" s="46">
        <f t="shared" si="0"/>
        <v>38.6</v>
      </c>
      <c r="G124" s="46">
        <f t="shared" si="17"/>
        <v>1.5599272921928404</v>
      </c>
      <c r="H124" s="47">
        <f t="shared" si="2"/>
        <v>47.577782411881635</v>
      </c>
      <c r="I124" s="48">
        <f t="shared" si="3"/>
        <v>8424.5979316718804</v>
      </c>
      <c r="J124" s="55"/>
      <c r="K124" s="55"/>
      <c r="L124" s="56"/>
      <c r="M124" s="49">
        <v>2598</v>
      </c>
      <c r="N124" s="43">
        <f t="shared" si="4"/>
        <v>1236.070787060685</v>
      </c>
    </row>
    <row r="125" spans="1:14">
      <c r="A125" s="42">
        <v>30401</v>
      </c>
      <c r="B125" s="42" t="s">
        <v>180</v>
      </c>
      <c r="C125" s="43">
        <v>8414</v>
      </c>
      <c r="D125" s="44">
        <v>44.3</v>
      </c>
      <c r="E125" s="45">
        <v>30.5</v>
      </c>
      <c r="F125" s="46">
        <f t="shared" si="0"/>
        <v>29.119800000000001</v>
      </c>
      <c r="G125" s="46">
        <f t="shared" si="17"/>
        <v>1.1768075327253129</v>
      </c>
      <c r="H125" s="47">
        <f t="shared" si="2"/>
        <v>35.892629748122047</v>
      </c>
      <c r="I125" s="48">
        <f t="shared" si="3"/>
        <v>3020.0058670069889</v>
      </c>
      <c r="J125" s="55"/>
      <c r="K125" s="55"/>
      <c r="L125" s="56"/>
      <c r="M125" s="49">
        <v>909</v>
      </c>
      <c r="N125" s="43">
        <f t="shared" si="4"/>
        <v>326.26400441042938</v>
      </c>
    </row>
    <row r="126" spans="1:14">
      <c r="A126" s="42">
        <v>30402</v>
      </c>
      <c r="B126" s="42" t="s">
        <v>181</v>
      </c>
      <c r="C126" s="43">
        <v>7895</v>
      </c>
      <c r="D126" s="44">
        <v>0</v>
      </c>
      <c r="E126" s="45">
        <v>30.5</v>
      </c>
      <c r="F126" s="46">
        <f t="shared" si="0"/>
        <v>38.6</v>
      </c>
      <c r="G126" s="46">
        <f t="shared" si="17"/>
        <v>1.5599272921928404</v>
      </c>
      <c r="H126" s="47">
        <f t="shared" si="2"/>
        <v>47.577782411881635</v>
      </c>
      <c r="I126" s="48">
        <f t="shared" si="3"/>
        <v>3756.2659214180549</v>
      </c>
      <c r="J126" s="55"/>
      <c r="K126" s="55"/>
      <c r="L126" s="56"/>
      <c r="M126" s="49">
        <v>995</v>
      </c>
      <c r="N126" s="43">
        <f t="shared" si="4"/>
        <v>473.39893499822227</v>
      </c>
    </row>
    <row r="127" spans="1:14">
      <c r="A127" s="42">
        <v>30403</v>
      </c>
      <c r="B127" s="42" t="s">
        <v>182</v>
      </c>
      <c r="C127" s="43">
        <v>14533</v>
      </c>
      <c r="D127" s="44">
        <v>13</v>
      </c>
      <c r="E127" s="45">
        <v>30.5</v>
      </c>
      <c r="F127" s="46">
        <f t="shared" si="0"/>
        <v>35.817999999999998</v>
      </c>
      <c r="G127" s="46">
        <f t="shared" si="17"/>
        <v>1.4474993718073357</v>
      </c>
      <c r="H127" s="47">
        <f t="shared" si="2"/>
        <v>44.14873084012374</v>
      </c>
      <c r="I127" s="48">
        <f t="shared" si="3"/>
        <v>6416.1350529951833</v>
      </c>
      <c r="J127" s="55"/>
      <c r="K127" s="55"/>
      <c r="L127" s="56"/>
      <c r="M127" s="49">
        <v>1449</v>
      </c>
      <c r="N127" s="43">
        <f t="shared" si="4"/>
        <v>639.71510987339298</v>
      </c>
    </row>
    <row r="128" spans="1:14">
      <c r="A128" s="42">
        <v>30404</v>
      </c>
      <c r="B128" s="42" t="s">
        <v>183</v>
      </c>
      <c r="C128" s="43">
        <v>4494</v>
      </c>
      <c r="D128" s="44">
        <v>0</v>
      </c>
      <c r="E128" s="45">
        <v>30.5</v>
      </c>
      <c r="F128" s="46">
        <f t="shared" si="0"/>
        <v>38.6</v>
      </c>
      <c r="G128" s="46">
        <f t="shared" si="17"/>
        <v>1.5599272921928404</v>
      </c>
      <c r="H128" s="47">
        <f t="shared" si="2"/>
        <v>47.577782411881635</v>
      </c>
      <c r="I128" s="48">
        <f t="shared" si="3"/>
        <v>2138.1455415899604</v>
      </c>
      <c r="J128" s="55"/>
      <c r="K128" s="55"/>
      <c r="L128" s="56"/>
      <c r="M128" s="49">
        <v>552</v>
      </c>
      <c r="N128" s="43">
        <f t="shared" si="4"/>
        <v>262.6293589135866</v>
      </c>
    </row>
    <row r="129" spans="1:14">
      <c r="A129" s="42">
        <v>30501</v>
      </c>
      <c r="B129" s="42" t="s">
        <v>184</v>
      </c>
      <c r="C129" s="43">
        <v>10245</v>
      </c>
      <c r="D129" s="44">
        <v>34.799999999999997</v>
      </c>
      <c r="E129" s="45">
        <v>30.5</v>
      </c>
      <c r="F129" s="46">
        <f t="shared" si="0"/>
        <v>31.152799999999999</v>
      </c>
      <c r="G129" s="46">
        <f t="shared" si="17"/>
        <v>1.2589663976224121</v>
      </c>
      <c r="H129" s="47">
        <f t="shared" si="2"/>
        <v>38.398475127483572</v>
      </c>
      <c r="I129" s="48">
        <f t="shared" si="3"/>
        <v>3933.9237768106918</v>
      </c>
      <c r="J129" s="55"/>
      <c r="K129" s="55"/>
      <c r="L129" s="56"/>
      <c r="M129" s="49">
        <v>1006</v>
      </c>
      <c r="N129" s="43">
        <f t="shared" si="4"/>
        <v>386.28865978248473</v>
      </c>
    </row>
    <row r="130" spans="1:14">
      <c r="A130" s="42">
        <v>30502</v>
      </c>
      <c r="B130" s="42" t="s">
        <v>185</v>
      </c>
      <c r="C130" s="43">
        <v>10239</v>
      </c>
      <c r="D130" s="44">
        <v>0</v>
      </c>
      <c r="E130" s="45">
        <v>30.5</v>
      </c>
      <c r="F130" s="46">
        <f t="shared" si="0"/>
        <v>38.6</v>
      </c>
      <c r="G130" s="46">
        <f t="shared" si="17"/>
        <v>1.5599272921928404</v>
      </c>
      <c r="H130" s="47">
        <f t="shared" si="2"/>
        <v>47.577782411881635</v>
      </c>
      <c r="I130" s="48">
        <f t="shared" si="3"/>
        <v>4871.4891411525605</v>
      </c>
      <c r="J130" s="55"/>
      <c r="K130" s="55"/>
      <c r="L130" s="56"/>
      <c r="M130" s="49">
        <v>1254</v>
      </c>
      <c r="N130" s="43">
        <f t="shared" si="4"/>
        <v>596.62539144499567</v>
      </c>
    </row>
    <row r="131" spans="1:14">
      <c r="A131" s="42">
        <v>30601</v>
      </c>
      <c r="B131" s="42" t="s">
        <v>186</v>
      </c>
      <c r="C131" s="43">
        <v>11037</v>
      </c>
      <c r="D131" s="44">
        <v>0</v>
      </c>
      <c r="E131" s="45">
        <v>30.5</v>
      </c>
      <c r="F131" s="46">
        <f t="shared" si="0"/>
        <v>38.6</v>
      </c>
      <c r="G131" s="46">
        <f t="shared" si="17"/>
        <v>1.5599272921928404</v>
      </c>
      <c r="H131" s="47">
        <f t="shared" si="2"/>
        <v>47.577782411881635</v>
      </c>
      <c r="I131" s="48">
        <f t="shared" si="3"/>
        <v>5251.1598447993756</v>
      </c>
      <c r="J131" s="55"/>
      <c r="K131" s="55"/>
      <c r="L131" s="56"/>
      <c r="M131" s="49">
        <v>1822</v>
      </c>
      <c r="N131" s="43">
        <f t="shared" si="4"/>
        <v>866.86719554448337</v>
      </c>
    </row>
    <row r="132" spans="1:14">
      <c r="A132" s="42">
        <v>30602</v>
      </c>
      <c r="B132" s="42" t="s">
        <v>187</v>
      </c>
      <c r="C132" s="43">
        <v>10764</v>
      </c>
      <c r="D132" s="44">
        <v>0</v>
      </c>
      <c r="E132" s="45">
        <v>30.5</v>
      </c>
      <c r="F132" s="46">
        <f t="shared" si="0"/>
        <v>38.6</v>
      </c>
      <c r="G132" s="46">
        <f t="shared" si="17"/>
        <v>1.5599272921928404</v>
      </c>
      <c r="H132" s="47">
        <f t="shared" si="2"/>
        <v>47.577782411881635</v>
      </c>
      <c r="I132" s="48">
        <f t="shared" si="3"/>
        <v>5121.2724988149394</v>
      </c>
      <c r="J132" s="55"/>
      <c r="K132" s="55"/>
      <c r="L132" s="56"/>
      <c r="M132" s="49">
        <v>1513</v>
      </c>
      <c r="N132" s="43">
        <f t="shared" si="4"/>
        <v>719.85184789176913</v>
      </c>
    </row>
    <row r="133" spans="1:14">
      <c r="A133" s="42">
        <v>30701</v>
      </c>
      <c r="B133" s="42" t="s">
        <v>188</v>
      </c>
      <c r="C133" s="43">
        <v>18556</v>
      </c>
      <c r="D133" s="44">
        <v>46.2</v>
      </c>
      <c r="E133" s="45">
        <v>30.5</v>
      </c>
      <c r="F133" s="46">
        <f t="shared" si="0"/>
        <v>28.713200000000001</v>
      </c>
      <c r="G133" s="46">
        <f t="shared" si="17"/>
        <v>1.1603757597458928</v>
      </c>
      <c r="H133" s="47">
        <f t="shared" si="2"/>
        <v>35.391460672249728</v>
      </c>
      <c r="I133" s="48">
        <f t="shared" si="3"/>
        <v>6567.2394423426595</v>
      </c>
      <c r="J133" s="55"/>
      <c r="K133" s="55"/>
      <c r="L133" s="56"/>
      <c r="M133" s="49">
        <v>2333</v>
      </c>
      <c r="N133" s="43">
        <f t="shared" si="4"/>
        <v>825.68277748358605</v>
      </c>
    </row>
    <row r="134" spans="1:14">
      <c r="A134" s="42">
        <v>30702</v>
      </c>
      <c r="B134" s="42" t="s">
        <v>189</v>
      </c>
      <c r="C134" s="43">
        <v>6482</v>
      </c>
      <c r="D134" s="44">
        <v>0</v>
      </c>
      <c r="E134" s="45">
        <v>30.5</v>
      </c>
      <c r="F134" s="46">
        <f t="shared" si="0"/>
        <v>38.6</v>
      </c>
      <c r="G134" s="46">
        <f t="shared" si="17"/>
        <v>1.5599272921928404</v>
      </c>
      <c r="H134" s="47">
        <f t="shared" si="2"/>
        <v>47.577782411881635</v>
      </c>
      <c r="I134" s="48">
        <f t="shared" si="3"/>
        <v>3083.9918559381676</v>
      </c>
      <c r="J134" s="55"/>
      <c r="K134" s="55"/>
      <c r="L134" s="56"/>
      <c r="M134" s="49">
        <v>625</v>
      </c>
      <c r="N134" s="43">
        <f t="shared" si="4"/>
        <v>297.36114007426022</v>
      </c>
    </row>
    <row r="135" spans="1:14">
      <c r="A135" s="42">
        <v>30703</v>
      </c>
      <c r="B135" s="42" t="s">
        <v>190</v>
      </c>
      <c r="C135" s="43">
        <v>3193</v>
      </c>
      <c r="D135" s="44">
        <v>0</v>
      </c>
      <c r="E135" s="45">
        <v>30.5</v>
      </c>
      <c r="F135" s="46">
        <f t="shared" si="0"/>
        <v>38.6</v>
      </c>
      <c r="G135" s="46">
        <f t="shared" si="17"/>
        <v>1.5599272921928404</v>
      </c>
      <c r="H135" s="47">
        <f t="shared" si="2"/>
        <v>47.577782411881635</v>
      </c>
      <c r="I135" s="48">
        <f t="shared" si="3"/>
        <v>1519.1585924113806</v>
      </c>
      <c r="J135" s="55"/>
      <c r="K135" s="55"/>
      <c r="L135" s="56"/>
      <c r="M135" s="49">
        <v>412</v>
      </c>
      <c r="N135" s="43">
        <f t="shared" si="4"/>
        <v>196.02046353695235</v>
      </c>
    </row>
    <row r="136" spans="1:14">
      <c r="A136" s="42">
        <v>30801</v>
      </c>
      <c r="B136" s="42" t="s">
        <v>191</v>
      </c>
      <c r="C136" s="43">
        <v>21116</v>
      </c>
      <c r="D136" s="44">
        <v>49</v>
      </c>
      <c r="E136" s="45">
        <v>30.5</v>
      </c>
      <c r="F136" s="46">
        <f t="shared" si="0"/>
        <v>28.114000000000001</v>
      </c>
      <c r="G136" s="46">
        <f t="shared" si="17"/>
        <v>1.1361605153551688</v>
      </c>
      <c r="H136" s="47">
        <f t="shared" si="2"/>
        <v>34.652895718332651</v>
      </c>
      <c r="I136" s="48">
        <f t="shared" si="3"/>
        <v>7317.3054598831222</v>
      </c>
      <c r="J136" s="55"/>
      <c r="K136" s="55"/>
      <c r="L136" s="56"/>
      <c r="M136" s="49">
        <v>2140</v>
      </c>
      <c r="N136" s="43">
        <f t="shared" si="4"/>
        <v>741.57196837231879</v>
      </c>
    </row>
    <row r="137" spans="1:14">
      <c r="A137" s="42">
        <v>30802</v>
      </c>
      <c r="B137" s="42" t="s">
        <v>192</v>
      </c>
      <c r="C137" s="43">
        <v>6929</v>
      </c>
      <c r="D137" s="44">
        <v>0</v>
      </c>
      <c r="E137" s="45">
        <v>30.5</v>
      </c>
      <c r="F137" s="46">
        <f t="shared" si="0"/>
        <v>38.6</v>
      </c>
      <c r="G137" s="46">
        <f t="shared" si="17"/>
        <v>1.5599272921928404</v>
      </c>
      <c r="H137" s="47">
        <f t="shared" si="2"/>
        <v>47.577782411881635</v>
      </c>
      <c r="I137" s="48">
        <f t="shared" si="3"/>
        <v>3296.6645433192789</v>
      </c>
      <c r="J137" s="55"/>
      <c r="K137" s="55"/>
      <c r="L137" s="56"/>
      <c r="M137" s="49">
        <v>606</v>
      </c>
      <c r="N137" s="43">
        <f t="shared" si="4"/>
        <v>288.32136141600273</v>
      </c>
    </row>
    <row r="138" spans="1:14">
      <c r="A138" s="42">
        <v>30803</v>
      </c>
      <c r="B138" s="42" t="s">
        <v>193</v>
      </c>
      <c r="C138" s="43">
        <v>5460</v>
      </c>
      <c r="D138" s="44">
        <v>53.8</v>
      </c>
      <c r="E138" s="45">
        <v>30.5</v>
      </c>
      <c r="F138" s="46">
        <f t="shared" si="0"/>
        <v>27.0868</v>
      </c>
      <c r="G138" s="46">
        <f t="shared" si="17"/>
        <v>1.094648667828213</v>
      </c>
      <c r="H138" s="47">
        <f t="shared" si="2"/>
        <v>33.386784368760495</v>
      </c>
      <c r="I138" s="48">
        <f t="shared" si="3"/>
        <v>1822.9184265343231</v>
      </c>
      <c r="J138" s="55"/>
      <c r="K138" s="55"/>
      <c r="L138" s="56"/>
      <c r="M138" s="49">
        <v>545</v>
      </c>
      <c r="N138" s="43">
        <f t="shared" si="4"/>
        <v>181.95797480974471</v>
      </c>
    </row>
    <row r="139" spans="1:14">
      <c r="A139" s="42">
        <v>30901</v>
      </c>
      <c r="B139" s="42" t="s">
        <v>194</v>
      </c>
      <c r="C139" s="43">
        <v>125191</v>
      </c>
      <c r="D139" s="44">
        <v>87.9</v>
      </c>
      <c r="E139" s="45">
        <v>30.5</v>
      </c>
      <c r="F139" s="46">
        <f t="shared" si="0"/>
        <v>19.789399999999997</v>
      </c>
      <c r="G139" s="46">
        <f t="shared" si="17"/>
        <v>0.79974158435546605</v>
      </c>
      <c r="H139" s="47">
        <f t="shared" si="2"/>
        <v>24.392118322841714</v>
      </c>
      <c r="I139" s="48">
        <f t="shared" si="3"/>
        <v>30536.736849548772</v>
      </c>
      <c r="J139" s="55"/>
      <c r="K139" s="55"/>
      <c r="L139" s="56"/>
      <c r="M139" s="49">
        <v>13909</v>
      </c>
      <c r="N139" s="43">
        <f t="shared" si="4"/>
        <v>3392.6997375240539</v>
      </c>
    </row>
    <row r="140" spans="1:14">
      <c r="A140" s="42">
        <v>30902</v>
      </c>
      <c r="B140" s="42" t="s">
        <v>195</v>
      </c>
      <c r="C140" s="43">
        <v>37850</v>
      </c>
      <c r="D140" s="44">
        <v>25.5</v>
      </c>
      <c r="E140" s="45">
        <v>30.5</v>
      </c>
      <c r="F140" s="46">
        <f t="shared" si="0"/>
        <v>33.143000000000001</v>
      </c>
      <c r="G140" s="46">
        <f t="shared" si="17"/>
        <v>1.3393956022058888</v>
      </c>
      <c r="H140" s="47">
        <f t="shared" si="2"/>
        <v>40.851565867279611</v>
      </c>
      <c r="I140" s="48">
        <f t="shared" si="3"/>
        <v>15462.317680765333</v>
      </c>
      <c r="J140" s="55"/>
      <c r="K140" s="55"/>
      <c r="L140" s="56"/>
      <c r="M140" s="49">
        <v>4609</v>
      </c>
      <c r="N140" s="43">
        <f t="shared" si="4"/>
        <v>1882.8486708229173</v>
      </c>
    </row>
    <row r="141" spans="1:14">
      <c r="A141" s="42">
        <v>30903</v>
      </c>
      <c r="B141" s="42" t="s">
        <v>196</v>
      </c>
      <c r="C141" s="43">
        <v>48045</v>
      </c>
      <c r="D141" s="44">
        <v>84.1</v>
      </c>
      <c r="E141" s="45">
        <v>30.5</v>
      </c>
      <c r="F141" s="46">
        <f t="shared" si="0"/>
        <v>20.602599999999999</v>
      </c>
      <c r="G141" s="46">
        <f t="shared" si="17"/>
        <v>0.83260513031430594</v>
      </c>
      <c r="H141" s="47">
        <f t="shared" si="2"/>
        <v>25.394456474586331</v>
      </c>
      <c r="I141" s="48">
        <f t="shared" si="3"/>
        <v>12200.766613215003</v>
      </c>
      <c r="J141" s="55"/>
      <c r="K141" s="55"/>
      <c r="L141" s="56"/>
      <c r="M141" s="49">
        <v>5421</v>
      </c>
      <c r="N141" s="43">
        <f t="shared" si="4"/>
        <v>1376.6334854873248</v>
      </c>
    </row>
    <row r="142" spans="1:14">
      <c r="A142" s="42">
        <v>30904</v>
      </c>
      <c r="B142" s="42" t="s">
        <v>197</v>
      </c>
      <c r="C142" s="43">
        <v>44521</v>
      </c>
      <c r="D142" s="44">
        <v>66.599999999999994</v>
      </c>
      <c r="E142" s="45">
        <v>30.5</v>
      </c>
      <c r="F142" s="46">
        <f t="shared" si="0"/>
        <v>24.3476</v>
      </c>
      <c r="G142" s="46">
        <f t="shared" si="17"/>
        <v>0.98395040775633147</v>
      </c>
      <c r="H142" s="47">
        <f t="shared" si="2"/>
        <v>30.010487436568109</v>
      </c>
      <c r="I142" s="48">
        <f t="shared" si="3"/>
        <v>13360.969111634487</v>
      </c>
      <c r="J142" s="55"/>
      <c r="K142" s="55"/>
      <c r="L142" s="56"/>
      <c r="M142" s="49">
        <v>5320</v>
      </c>
      <c r="N142" s="43">
        <f t="shared" si="4"/>
        <v>1596.5579316254234</v>
      </c>
    </row>
    <row r="143" spans="1:14">
      <c r="A143" s="42">
        <v>30905</v>
      </c>
      <c r="B143" s="42" t="s">
        <v>198</v>
      </c>
      <c r="C143" s="43">
        <v>48350</v>
      </c>
      <c r="D143" s="44">
        <v>99.7</v>
      </c>
      <c r="E143" s="45">
        <v>30.5</v>
      </c>
      <c r="F143" s="46">
        <f t="shared" si="0"/>
        <v>17.264199999999999</v>
      </c>
      <c r="G143" s="46">
        <f t="shared" si="17"/>
        <v>0.6976916258517003</v>
      </c>
      <c r="H143" s="47">
        <f t="shared" si="2"/>
        <v>21.279594588476858</v>
      </c>
      <c r="I143" s="48">
        <f t="shared" si="3"/>
        <v>10288.683983528561</v>
      </c>
      <c r="J143" s="55"/>
      <c r="K143" s="55"/>
      <c r="L143" s="56"/>
      <c r="M143" s="49">
        <v>5105</v>
      </c>
      <c r="N143" s="43">
        <f t="shared" si="4"/>
        <v>1086.3233037417435</v>
      </c>
    </row>
    <row r="144" spans="1:14">
      <c r="A144" s="42">
        <v>31001</v>
      </c>
      <c r="B144" s="42" t="s">
        <v>199</v>
      </c>
      <c r="C144" s="43">
        <v>152333</v>
      </c>
      <c r="D144" s="44">
        <v>84.1</v>
      </c>
      <c r="E144" s="45">
        <v>30.5</v>
      </c>
      <c r="F144" s="46">
        <f t="shared" si="0"/>
        <v>20.602599999999999</v>
      </c>
      <c r="G144" s="46">
        <f t="shared" si="17"/>
        <v>0.83260513031430594</v>
      </c>
      <c r="H144" s="47">
        <f t="shared" si="2"/>
        <v>25.394456474586331</v>
      </c>
      <c r="I144" s="48">
        <f t="shared" si="3"/>
        <v>38684.137381431596</v>
      </c>
      <c r="J144" s="55"/>
      <c r="K144" s="55"/>
      <c r="L144" s="56"/>
      <c r="M144" s="49">
        <v>17190</v>
      </c>
      <c r="N144" s="43">
        <f t="shared" si="4"/>
        <v>4365.30706798139</v>
      </c>
    </row>
    <row r="145" spans="1:14">
      <c r="A145" s="42">
        <v>31002</v>
      </c>
      <c r="B145" s="42" t="s">
        <v>200</v>
      </c>
      <c r="C145" s="43">
        <v>18589</v>
      </c>
      <c r="D145" s="44">
        <v>20.7</v>
      </c>
      <c r="E145" s="45">
        <v>30.5</v>
      </c>
      <c r="F145" s="46">
        <f t="shared" si="0"/>
        <v>34.170200000000001</v>
      </c>
      <c r="G145" s="46">
        <f t="shared" si="17"/>
        <v>1.3809074497328444</v>
      </c>
      <c r="H145" s="47">
        <f t="shared" si="2"/>
        <v>42.117677216851753</v>
      </c>
      <c r="I145" s="48">
        <f t="shared" si="3"/>
        <v>7829.2550178405727</v>
      </c>
      <c r="J145" s="55"/>
      <c r="K145" s="55"/>
      <c r="L145" s="56"/>
      <c r="M145" s="49">
        <v>2514</v>
      </c>
      <c r="N145" s="43">
        <f t="shared" si="4"/>
        <v>1058.838405231653</v>
      </c>
    </row>
    <row r="146" spans="1:14">
      <c r="A146" s="42">
        <v>31003</v>
      </c>
      <c r="B146" s="42" t="s">
        <v>201</v>
      </c>
      <c r="C146" s="43">
        <v>64659</v>
      </c>
      <c r="D146" s="44">
        <v>10.9</v>
      </c>
      <c r="E146" s="45">
        <v>30.5</v>
      </c>
      <c r="F146" s="46">
        <f t="shared" si="0"/>
        <v>36.267400000000002</v>
      </c>
      <c r="G146" s="46">
        <f t="shared" si="17"/>
        <v>1.4656608051003788</v>
      </c>
      <c r="H146" s="47">
        <f t="shared" si="2"/>
        <v>44.702654555561551</v>
      </c>
      <c r="I146" s="48">
        <f t="shared" si="3"/>
        <v>28904.289409080542</v>
      </c>
      <c r="J146" s="55"/>
      <c r="K146" s="55"/>
      <c r="L146" s="56"/>
      <c r="M146" s="49">
        <v>9268</v>
      </c>
      <c r="N146" s="43">
        <f t="shared" si="4"/>
        <v>4143.0420242094442</v>
      </c>
    </row>
    <row r="147" spans="1:14">
      <c r="A147" s="42">
        <v>31101</v>
      </c>
      <c r="B147" s="42" t="s">
        <v>202</v>
      </c>
      <c r="C147" s="43">
        <v>25096</v>
      </c>
      <c r="D147" s="44">
        <v>0</v>
      </c>
      <c r="E147" s="45">
        <v>30.5</v>
      </c>
      <c r="F147" s="46">
        <f t="shared" si="0"/>
        <v>38.6</v>
      </c>
      <c r="G147" s="46">
        <f t="shared" si="17"/>
        <v>1.5599272921928404</v>
      </c>
      <c r="H147" s="47">
        <f t="shared" si="2"/>
        <v>47.577782411881635</v>
      </c>
      <c r="I147" s="48">
        <f t="shared" si="3"/>
        <v>11940.120274085815</v>
      </c>
      <c r="J147" s="55"/>
      <c r="K147" s="55"/>
      <c r="L147" s="56"/>
      <c r="M147" s="49">
        <v>3380</v>
      </c>
      <c r="N147" s="43">
        <f t="shared" si="4"/>
        <v>1608.1290455215992</v>
      </c>
    </row>
    <row r="148" spans="1:14">
      <c r="A148" s="42">
        <v>31201</v>
      </c>
      <c r="B148" s="42" t="s">
        <v>203</v>
      </c>
      <c r="C148" s="43">
        <v>14033</v>
      </c>
      <c r="D148" s="44">
        <v>0</v>
      </c>
      <c r="E148" s="45">
        <v>30.5</v>
      </c>
      <c r="F148" s="46">
        <f t="shared" si="0"/>
        <v>38.6</v>
      </c>
      <c r="G148" s="46">
        <f t="shared" si="17"/>
        <v>1.5599272921928404</v>
      </c>
      <c r="H148" s="47">
        <f t="shared" si="2"/>
        <v>47.577782411881635</v>
      </c>
      <c r="I148" s="48">
        <f t="shared" si="3"/>
        <v>6676.5902058593501</v>
      </c>
      <c r="J148" s="55"/>
      <c r="K148" s="55"/>
      <c r="L148" s="56"/>
      <c r="M148" s="49">
        <v>2030</v>
      </c>
      <c r="N148" s="43">
        <f t="shared" si="4"/>
        <v>965.8289829611972</v>
      </c>
    </row>
    <row r="149" spans="1:14">
      <c r="A149" s="42">
        <v>31202</v>
      </c>
      <c r="B149" s="42" t="s">
        <v>204</v>
      </c>
      <c r="C149" s="43">
        <v>10650</v>
      </c>
      <c r="D149" s="44">
        <v>0</v>
      </c>
      <c r="E149" s="45">
        <v>30.5</v>
      </c>
      <c r="F149" s="46">
        <f t="shared" si="0"/>
        <v>38.6</v>
      </c>
      <c r="G149" s="46">
        <f t="shared" si="17"/>
        <v>1.5599272921928404</v>
      </c>
      <c r="H149" s="47">
        <f t="shared" si="2"/>
        <v>47.577782411881635</v>
      </c>
      <c r="I149" s="48">
        <f t="shared" si="3"/>
        <v>5067.0338268653941</v>
      </c>
      <c r="J149" s="55"/>
      <c r="K149" s="55"/>
      <c r="L149" s="56"/>
      <c r="M149" s="49">
        <v>1614</v>
      </c>
      <c r="N149" s="43">
        <f t="shared" si="4"/>
        <v>767.90540812776965</v>
      </c>
    </row>
    <row r="150" spans="1:14">
      <c r="A150" s="42">
        <v>31203</v>
      </c>
      <c r="B150" s="42" t="s">
        <v>205</v>
      </c>
      <c r="C150" s="43">
        <v>11746</v>
      </c>
      <c r="D150" s="44">
        <v>0</v>
      </c>
      <c r="E150" s="45">
        <v>30.5</v>
      </c>
      <c r="F150" s="46">
        <f t="shared" si="0"/>
        <v>38.6</v>
      </c>
      <c r="G150" s="46">
        <f t="shared" si="17"/>
        <v>1.5599272921928404</v>
      </c>
      <c r="H150" s="47">
        <f t="shared" si="2"/>
        <v>47.577782411881635</v>
      </c>
      <c r="I150" s="48">
        <f t="shared" si="3"/>
        <v>5588.4863220996167</v>
      </c>
      <c r="J150" s="55"/>
      <c r="K150" s="55"/>
      <c r="L150" s="56"/>
      <c r="M150" s="49">
        <v>1510</v>
      </c>
      <c r="N150" s="43">
        <f t="shared" si="4"/>
        <v>718.42451441941273</v>
      </c>
    </row>
    <row r="151" spans="1:14">
      <c r="A151" s="42">
        <v>31204</v>
      </c>
      <c r="B151" s="42" t="s">
        <v>206</v>
      </c>
      <c r="C151" s="43">
        <v>19226</v>
      </c>
      <c r="D151" s="44">
        <v>27.8</v>
      </c>
      <c r="E151" s="45">
        <v>30.5</v>
      </c>
      <c r="F151" s="46">
        <f t="shared" si="0"/>
        <v>32.650800000000004</v>
      </c>
      <c r="G151" s="46">
        <f t="shared" si="17"/>
        <v>1.3195045085992227</v>
      </c>
      <c r="H151" s="47">
        <f t="shared" si="2"/>
        <v>40.244887512276293</v>
      </c>
      <c r="I151" s="48">
        <f t="shared" si="3"/>
        <v>7737.48207311024</v>
      </c>
      <c r="J151" s="55"/>
      <c r="K151" s="55"/>
      <c r="L151" s="56"/>
      <c r="M151" s="49">
        <v>2714</v>
      </c>
      <c r="N151" s="43">
        <f t="shared" si="4"/>
        <v>1092.2462470831786</v>
      </c>
    </row>
    <row r="152" spans="1:14">
      <c r="A152" s="42">
        <v>31205</v>
      </c>
      <c r="B152" s="42" t="s">
        <v>207</v>
      </c>
      <c r="C152" s="43">
        <v>44504</v>
      </c>
      <c r="D152" s="44">
        <v>23.4</v>
      </c>
      <c r="E152" s="45">
        <v>30.5</v>
      </c>
      <c r="F152" s="46">
        <f t="shared" si="0"/>
        <v>33.592399999999998</v>
      </c>
      <c r="G152" s="46">
        <f t="shared" si="17"/>
        <v>1.3575570354989317</v>
      </c>
      <c r="H152" s="47">
        <f t="shared" si="2"/>
        <v>41.405489582717415</v>
      </c>
      <c r="I152" s="48">
        <f t="shared" si="3"/>
        <v>18427.099083892557</v>
      </c>
      <c r="J152" s="55"/>
      <c r="K152" s="55"/>
      <c r="L152" s="56"/>
      <c r="M152" s="49">
        <v>6149</v>
      </c>
      <c r="N152" s="43">
        <f t="shared" si="4"/>
        <v>2546.023554441294</v>
      </c>
    </row>
    <row r="153" spans="1:14">
      <c r="A153" s="42">
        <v>31206</v>
      </c>
      <c r="B153" s="42" t="s">
        <v>208</v>
      </c>
      <c r="C153" s="43">
        <v>28145</v>
      </c>
      <c r="D153" s="44">
        <v>38.299999999999997</v>
      </c>
      <c r="E153" s="45">
        <v>30.5</v>
      </c>
      <c r="F153" s="46">
        <f t="shared" si="0"/>
        <v>30.4038</v>
      </c>
      <c r="G153" s="46">
        <f t="shared" si="17"/>
        <v>1.2286973421340073</v>
      </c>
      <c r="H153" s="47">
        <f t="shared" si="2"/>
        <v>37.475268935087222</v>
      </c>
      <c r="I153" s="48">
        <f t="shared" si="3"/>
        <v>10547.414441780298</v>
      </c>
      <c r="J153" s="55"/>
      <c r="K153" s="55"/>
      <c r="L153" s="56"/>
      <c r="M153" s="49">
        <v>3770</v>
      </c>
      <c r="N153" s="43">
        <f t="shared" si="4"/>
        <v>1412.8176388527884</v>
      </c>
    </row>
    <row r="154" spans="1:14">
      <c r="A154" s="42">
        <v>31301</v>
      </c>
      <c r="B154" s="42" t="s">
        <v>209</v>
      </c>
      <c r="C154" s="43">
        <v>20412</v>
      </c>
      <c r="D154" s="44">
        <v>15.7</v>
      </c>
      <c r="E154" s="45">
        <v>30.5</v>
      </c>
      <c r="F154" s="46">
        <f t="shared" si="0"/>
        <v>35.240200000000002</v>
      </c>
      <c r="G154" s="46">
        <f t="shared" si="17"/>
        <v>1.4241489575734232</v>
      </c>
      <c r="H154" s="47">
        <f t="shared" si="2"/>
        <v>43.436543205989409</v>
      </c>
      <c r="I154" s="48">
        <f t="shared" si="3"/>
        <v>8866.2671992065589</v>
      </c>
      <c r="J154" s="55"/>
      <c r="K154" s="55"/>
      <c r="L154" s="56"/>
      <c r="M154" s="49">
        <v>2897</v>
      </c>
      <c r="N154" s="43">
        <f t="shared" si="4"/>
        <v>1258.3566566775132</v>
      </c>
    </row>
    <row r="155" spans="1:14">
      <c r="A155" s="42">
        <v>31302</v>
      </c>
      <c r="B155" s="42" t="s">
        <v>210</v>
      </c>
      <c r="C155" s="43">
        <v>5143</v>
      </c>
      <c r="D155" s="44">
        <v>0</v>
      </c>
      <c r="E155" s="45">
        <v>30.5</v>
      </c>
      <c r="F155" s="46">
        <f t="shared" si="0"/>
        <v>38.6</v>
      </c>
      <c r="G155" s="46">
        <f t="shared" si="17"/>
        <v>1.5599272921928404</v>
      </c>
      <c r="H155" s="47">
        <f t="shared" si="2"/>
        <v>47.577782411881635</v>
      </c>
      <c r="I155" s="48">
        <f t="shared" si="3"/>
        <v>2446.9253494430727</v>
      </c>
      <c r="J155" s="55"/>
      <c r="K155" s="55"/>
      <c r="L155" s="56"/>
      <c r="M155" s="49">
        <v>760</v>
      </c>
      <c r="N155" s="43">
        <f t="shared" si="4"/>
        <v>361.59114633030038</v>
      </c>
    </row>
    <row r="156" spans="1:14">
      <c r="A156" s="42">
        <v>31303</v>
      </c>
      <c r="B156" s="42" t="s">
        <v>211</v>
      </c>
      <c r="C156" s="43">
        <v>3987</v>
      </c>
      <c r="D156" s="44">
        <v>0</v>
      </c>
      <c r="E156" s="45">
        <v>30.5</v>
      </c>
      <c r="F156" s="46">
        <f t="shared" si="0"/>
        <v>38.6</v>
      </c>
      <c r="G156" s="46">
        <f t="shared" si="17"/>
        <v>1.5599272921928404</v>
      </c>
      <c r="H156" s="47">
        <f t="shared" si="2"/>
        <v>47.577782411881635</v>
      </c>
      <c r="I156" s="48">
        <f t="shared" si="3"/>
        <v>1896.9261847617208</v>
      </c>
      <c r="J156" s="55"/>
      <c r="K156" s="55"/>
      <c r="L156" s="56"/>
      <c r="M156" s="49">
        <v>624</v>
      </c>
      <c r="N156" s="43">
        <f t="shared" si="4"/>
        <v>296.88536225014138</v>
      </c>
    </row>
    <row r="157" spans="1:14">
      <c r="A157" s="42">
        <v>31304</v>
      </c>
      <c r="B157" s="42" t="s">
        <v>212</v>
      </c>
      <c r="C157" s="43">
        <v>6400</v>
      </c>
      <c r="D157" s="44">
        <v>0</v>
      </c>
      <c r="E157" s="45">
        <v>30.5</v>
      </c>
      <c r="F157" s="46">
        <f t="shared" si="0"/>
        <v>38.6</v>
      </c>
      <c r="G157" s="46">
        <f t="shared" si="17"/>
        <v>1.5599272921928404</v>
      </c>
      <c r="H157" s="47">
        <f t="shared" si="2"/>
        <v>47.577782411881635</v>
      </c>
      <c r="I157" s="48">
        <f t="shared" si="3"/>
        <v>3044.9780743604247</v>
      </c>
      <c r="J157" s="55"/>
      <c r="K157" s="55"/>
      <c r="L157" s="56"/>
      <c r="M157" s="49">
        <v>1017</v>
      </c>
      <c r="N157" s="43">
        <f t="shared" si="4"/>
        <v>483.86604712883621</v>
      </c>
    </row>
    <row r="158" spans="1:14">
      <c r="A158" s="42">
        <v>31401</v>
      </c>
      <c r="B158" s="42" t="s">
        <v>213</v>
      </c>
      <c r="C158" s="43">
        <v>27888</v>
      </c>
      <c r="D158" s="44">
        <v>63.7</v>
      </c>
      <c r="E158" s="45">
        <v>30.5</v>
      </c>
      <c r="F158" s="46">
        <f t="shared" si="0"/>
        <v>24.9682</v>
      </c>
      <c r="G158" s="46">
        <f t="shared" si="17"/>
        <v>1.0090304823038672</v>
      </c>
      <c r="H158" s="47">
        <f t="shared" si="2"/>
        <v>30.77542971026795</v>
      </c>
      <c r="I158" s="48">
        <f t="shared" si="3"/>
        <v>8582.6518375995256</v>
      </c>
      <c r="J158" s="55"/>
      <c r="K158" s="55"/>
      <c r="L158" s="56"/>
      <c r="M158" s="49">
        <v>2675</v>
      </c>
      <c r="N158" s="43">
        <f t="shared" si="4"/>
        <v>823.24274474966762</v>
      </c>
    </row>
    <row r="159" spans="1:14">
      <c r="A159" s="42">
        <v>31402</v>
      </c>
      <c r="B159" s="42" t="s">
        <v>214</v>
      </c>
      <c r="C159" s="43">
        <v>7307</v>
      </c>
      <c r="D159" s="44">
        <v>0</v>
      </c>
      <c r="E159" s="45">
        <v>30.5</v>
      </c>
      <c r="F159" s="46">
        <f t="shared" si="0"/>
        <v>38.6</v>
      </c>
      <c r="G159" s="46">
        <f t="shared" si="17"/>
        <v>1.5599272921928404</v>
      </c>
      <c r="H159" s="47">
        <f t="shared" si="2"/>
        <v>47.577782411881635</v>
      </c>
      <c r="I159" s="48">
        <f t="shared" si="3"/>
        <v>3476.508560836191</v>
      </c>
      <c r="J159" s="55"/>
      <c r="K159" s="55"/>
      <c r="L159" s="56"/>
      <c r="M159" s="49">
        <v>809</v>
      </c>
      <c r="N159" s="43">
        <f t="shared" si="4"/>
        <v>384.90425971212244</v>
      </c>
    </row>
    <row r="160" spans="1:14">
      <c r="A160" s="42">
        <v>31403</v>
      </c>
      <c r="B160" s="42" t="s">
        <v>215</v>
      </c>
      <c r="C160" s="43">
        <v>13256</v>
      </c>
      <c r="D160" s="44">
        <v>45.7</v>
      </c>
      <c r="E160" s="45">
        <v>30.5</v>
      </c>
      <c r="F160" s="46">
        <f t="shared" si="0"/>
        <v>28.8202</v>
      </c>
      <c r="G160" s="46">
        <f t="shared" si="17"/>
        <v>1.1646999105299507</v>
      </c>
      <c r="H160" s="47">
        <f t="shared" si="2"/>
        <v>35.523347271163495</v>
      </c>
      <c r="I160" s="48">
        <f t="shared" si="3"/>
        <v>4708.9749142654327</v>
      </c>
      <c r="J160" s="55"/>
      <c r="K160" s="55"/>
      <c r="L160" s="56"/>
      <c r="M160" s="49">
        <v>1329</v>
      </c>
      <c r="N160" s="43">
        <f t="shared" si="4"/>
        <v>472.10528523376286</v>
      </c>
    </row>
    <row r="161" spans="1:14">
      <c r="A161" s="42">
        <v>31404</v>
      </c>
      <c r="B161" s="42" t="s">
        <v>216</v>
      </c>
      <c r="C161" s="43">
        <v>1220</v>
      </c>
      <c r="D161" s="44">
        <v>0</v>
      </c>
      <c r="E161" s="45">
        <v>30.5</v>
      </c>
      <c r="F161" s="46">
        <f t="shared" si="0"/>
        <v>38.6</v>
      </c>
      <c r="G161" s="46">
        <f t="shared" si="17"/>
        <v>1.5599272921928404</v>
      </c>
      <c r="H161" s="47">
        <f t="shared" si="2"/>
        <v>47.577782411881635</v>
      </c>
      <c r="I161" s="48">
        <f t="shared" si="3"/>
        <v>580.44894542495592</v>
      </c>
      <c r="J161" s="55"/>
      <c r="K161" s="55"/>
      <c r="L161" s="56"/>
      <c r="M161" s="49">
        <v>105</v>
      </c>
      <c r="N161" s="43">
        <f t="shared" si="4"/>
        <v>49.956671532475724</v>
      </c>
    </row>
    <row r="162" spans="1:14">
      <c r="A162" s="42">
        <v>31405</v>
      </c>
      <c r="B162" s="42" t="s">
        <v>217</v>
      </c>
      <c r="C162" s="43">
        <v>2468</v>
      </c>
      <c r="D162" s="44">
        <v>0</v>
      </c>
      <c r="E162" s="45">
        <v>30.5</v>
      </c>
      <c r="F162" s="46">
        <f t="shared" si="0"/>
        <v>38.6</v>
      </c>
      <c r="G162" s="46">
        <f t="shared" si="17"/>
        <v>1.5599272921928404</v>
      </c>
      <c r="H162" s="47">
        <f t="shared" si="2"/>
        <v>47.577782411881635</v>
      </c>
      <c r="I162" s="48">
        <f t="shared" si="3"/>
        <v>1174.2196699252388</v>
      </c>
      <c r="J162" s="55"/>
      <c r="K162" s="55"/>
      <c r="L162" s="56"/>
      <c r="M162" s="49">
        <v>282</v>
      </c>
      <c r="N162" s="43">
        <f t="shared" si="4"/>
        <v>134.1693464015062</v>
      </c>
    </row>
    <row r="163" spans="1:14">
      <c r="A163" s="42">
        <v>31501</v>
      </c>
      <c r="B163" s="42" t="s">
        <v>218</v>
      </c>
      <c r="C163" s="43">
        <v>7772</v>
      </c>
      <c r="D163" s="44">
        <v>0</v>
      </c>
      <c r="E163" s="45">
        <v>30.5</v>
      </c>
      <c r="F163" s="46">
        <f t="shared" si="0"/>
        <v>38.6</v>
      </c>
      <c r="G163" s="46">
        <f t="shared" si="17"/>
        <v>1.5599272921928404</v>
      </c>
      <c r="H163" s="47">
        <f t="shared" si="2"/>
        <v>47.577782411881635</v>
      </c>
      <c r="I163" s="48">
        <f t="shared" si="3"/>
        <v>3697.7452490514406</v>
      </c>
      <c r="J163" s="55"/>
      <c r="K163" s="55"/>
      <c r="L163" s="56"/>
      <c r="M163" s="49">
        <v>1026</v>
      </c>
      <c r="N163" s="43">
        <f t="shared" si="4"/>
        <v>488.14804754590557</v>
      </c>
    </row>
    <row r="164" spans="1:14">
      <c r="A164" s="42">
        <v>31601</v>
      </c>
      <c r="B164" s="42" t="s">
        <v>219</v>
      </c>
      <c r="C164" s="43">
        <v>21064</v>
      </c>
      <c r="D164" s="44">
        <v>7.2</v>
      </c>
      <c r="E164" s="45">
        <v>30.5</v>
      </c>
      <c r="F164" s="46">
        <f t="shared" si="0"/>
        <v>37.059200000000004</v>
      </c>
      <c r="G164" s="46">
        <f t="shared" si="17"/>
        <v>1.4976595209024071</v>
      </c>
      <c r="H164" s="47">
        <f t="shared" si="2"/>
        <v>45.678615387523415</v>
      </c>
      <c r="I164" s="48">
        <f t="shared" si="3"/>
        <v>9621.7435452279315</v>
      </c>
      <c r="J164" s="55"/>
      <c r="K164" s="55"/>
      <c r="L164" s="56"/>
      <c r="M164" s="49">
        <v>2840</v>
      </c>
      <c r="N164" s="43">
        <f t="shared" si="4"/>
        <v>1297.2726770056649</v>
      </c>
    </row>
    <row r="165" spans="1:14">
      <c r="A165" s="42">
        <v>31602</v>
      </c>
      <c r="B165" s="42" t="s">
        <v>220</v>
      </c>
      <c r="C165" s="43">
        <v>18611</v>
      </c>
      <c r="D165" s="44">
        <v>27.9</v>
      </c>
      <c r="E165" s="45">
        <v>30.5</v>
      </c>
      <c r="F165" s="46">
        <f t="shared" si="0"/>
        <v>32.629400000000004</v>
      </c>
      <c r="G165" s="46">
        <f t="shared" si="17"/>
        <v>1.318639678442411</v>
      </c>
      <c r="H165" s="47">
        <f t="shared" si="2"/>
        <v>40.21851019249354</v>
      </c>
      <c r="I165" s="48">
        <f t="shared" si="3"/>
        <v>7485.0669319249728</v>
      </c>
      <c r="J165" s="42"/>
      <c r="K165" s="42"/>
      <c r="L165" s="42"/>
      <c r="M165" s="49">
        <v>2450</v>
      </c>
      <c r="N165" s="43">
        <f t="shared" si="4"/>
        <v>985.35349971609173</v>
      </c>
    </row>
    <row r="166" spans="1:14">
      <c r="A166" s="42">
        <v>40101</v>
      </c>
      <c r="B166" s="42" t="s">
        <v>57</v>
      </c>
      <c r="C166" s="43">
        <v>241874</v>
      </c>
      <c r="D166" s="44">
        <v>100</v>
      </c>
      <c r="E166" s="42">
        <v>33.4</v>
      </c>
      <c r="F166" s="46">
        <f t="shared" si="0"/>
        <v>17.2</v>
      </c>
      <c r="G166" s="46">
        <f t="shared" ref="G166:G200" si="18">1.345*F166/F$345</f>
        <v>0.68241288108598697</v>
      </c>
      <c r="H166" s="47">
        <f t="shared" si="2"/>
        <v>22.792590228271965</v>
      </c>
      <c r="I166" s="48">
        <f t="shared" si="3"/>
        <v>55129.349688730537</v>
      </c>
      <c r="J166" s="49">
        <f>SUM(C166:C200)</f>
        <v>457447</v>
      </c>
      <c r="K166" s="49">
        <f>SUM(I166:I200)</f>
        <v>152562.40751086466</v>
      </c>
      <c r="L166" s="50">
        <f>K166/J166</f>
        <v>0.3335083791365222</v>
      </c>
      <c r="M166" s="49">
        <v>26933</v>
      </c>
      <c r="N166" s="43">
        <f t="shared" si="4"/>
        <v>6138.7283261804887</v>
      </c>
    </row>
    <row r="167" spans="1:14">
      <c r="A167" s="42">
        <v>40102</v>
      </c>
      <c r="B167" s="42" t="s">
        <v>221</v>
      </c>
      <c r="C167" s="43">
        <v>22207</v>
      </c>
      <c r="D167" s="44">
        <v>22.5</v>
      </c>
      <c r="E167" s="42">
        <v>33.4</v>
      </c>
      <c r="F167" s="46">
        <f t="shared" si="0"/>
        <v>33.785000000000004</v>
      </c>
      <c r="G167" s="46">
        <f t="shared" si="18"/>
        <v>1.3404255341563995</v>
      </c>
      <c r="H167" s="47">
        <f t="shared" si="2"/>
        <v>44.770212840823746</v>
      </c>
      <c r="I167" s="48">
        <f t="shared" si="3"/>
        <v>9942.1211655617299</v>
      </c>
      <c r="J167" s="55"/>
      <c r="K167" s="55"/>
      <c r="L167" s="56"/>
      <c r="M167" s="49">
        <v>2573</v>
      </c>
      <c r="N167" s="43">
        <f t="shared" si="4"/>
        <v>1151.9375763943949</v>
      </c>
    </row>
    <row r="168" spans="1:14">
      <c r="A168" s="42">
        <v>40103</v>
      </c>
      <c r="B168" s="42" t="s">
        <v>222</v>
      </c>
      <c r="C168" s="43">
        <v>7629</v>
      </c>
      <c r="D168" s="44">
        <v>0</v>
      </c>
      <c r="E168" s="42">
        <v>33.4</v>
      </c>
      <c r="F168" s="46">
        <f t="shared" si="0"/>
        <v>38.6</v>
      </c>
      <c r="G168" s="46">
        <f t="shared" si="18"/>
        <v>1.5314614656929708</v>
      </c>
      <c r="H168" s="47">
        <f t="shared" si="2"/>
        <v>51.150812954145223</v>
      </c>
      <c r="I168" s="48">
        <f t="shared" si="3"/>
        <v>3902.2955202717394</v>
      </c>
      <c r="J168" s="55"/>
      <c r="K168" s="55"/>
      <c r="L168" s="56"/>
      <c r="M168" s="49">
        <v>786</v>
      </c>
      <c r="N168" s="43">
        <f t="shared" si="4"/>
        <v>402.04538981958149</v>
      </c>
    </row>
    <row r="169" spans="1:14">
      <c r="A169" s="42">
        <v>40104</v>
      </c>
      <c r="B169" s="42" t="s">
        <v>223</v>
      </c>
      <c r="C169" s="43">
        <v>13258</v>
      </c>
      <c r="D169" s="44">
        <v>0</v>
      </c>
      <c r="E169" s="42">
        <v>33.4</v>
      </c>
      <c r="F169" s="46">
        <f t="shared" si="0"/>
        <v>38.6</v>
      </c>
      <c r="G169" s="46">
        <f t="shared" si="18"/>
        <v>1.5314614656929708</v>
      </c>
      <c r="H169" s="47">
        <f t="shared" si="2"/>
        <v>51.150812954145223</v>
      </c>
      <c r="I169" s="48">
        <f t="shared" si="3"/>
        <v>6781.5747814605738</v>
      </c>
      <c r="J169" s="55"/>
      <c r="K169" s="55"/>
      <c r="L169" s="56"/>
      <c r="M169" s="49">
        <v>1556</v>
      </c>
      <c r="N169" s="43">
        <f t="shared" si="4"/>
        <v>795.90664956649971</v>
      </c>
    </row>
    <row r="170" spans="1:14">
      <c r="A170" s="42">
        <v>40201</v>
      </c>
      <c r="B170" s="42" t="s">
        <v>224</v>
      </c>
      <c r="C170" s="43">
        <v>27264</v>
      </c>
      <c r="D170" s="44">
        <v>39.4</v>
      </c>
      <c r="E170" s="42">
        <v>33.4</v>
      </c>
      <c r="F170" s="46">
        <f t="shared" si="0"/>
        <v>30.168399999999998</v>
      </c>
      <c r="G170" s="46">
        <f t="shared" si="18"/>
        <v>1.196936323357819</v>
      </c>
      <c r="H170" s="47">
        <f t="shared" si="2"/>
        <v>39.977673200151152</v>
      </c>
      <c r="I170" s="48">
        <f t="shared" si="3"/>
        <v>10899.51282128921</v>
      </c>
      <c r="J170" s="55"/>
      <c r="K170" s="55"/>
      <c r="L170" s="56"/>
      <c r="M170" s="49">
        <v>3282</v>
      </c>
      <c r="N170" s="43">
        <f t="shared" si="4"/>
        <v>1312.067234428961</v>
      </c>
    </row>
    <row r="171" spans="1:14">
      <c r="A171" s="42">
        <v>40202</v>
      </c>
      <c r="B171" s="42" t="s">
        <v>225</v>
      </c>
      <c r="C171" s="43">
        <v>3780</v>
      </c>
      <c r="D171" s="44">
        <v>0</v>
      </c>
      <c r="E171" s="42">
        <v>33.4</v>
      </c>
      <c r="F171" s="46">
        <f t="shared" si="0"/>
        <v>38.6</v>
      </c>
      <c r="G171" s="46">
        <f t="shared" si="18"/>
        <v>1.5314614656929708</v>
      </c>
      <c r="H171" s="47">
        <f t="shared" si="2"/>
        <v>51.150812954145223</v>
      </c>
      <c r="I171" s="48">
        <f t="shared" si="3"/>
        <v>1933.5007296666895</v>
      </c>
      <c r="J171" s="55"/>
      <c r="K171" s="55"/>
      <c r="L171" s="56"/>
      <c r="M171" s="49">
        <v>422</v>
      </c>
      <c r="N171" s="43">
        <f t="shared" si="4"/>
        <v>215.85643066649286</v>
      </c>
    </row>
    <row r="172" spans="1:14">
      <c r="A172" s="42">
        <v>40301</v>
      </c>
      <c r="B172" s="42" t="s">
        <v>226</v>
      </c>
      <c r="C172" s="43">
        <v>8976</v>
      </c>
      <c r="D172" s="44">
        <v>0</v>
      </c>
      <c r="E172" s="42">
        <v>33.4</v>
      </c>
      <c r="F172" s="46">
        <f t="shared" si="0"/>
        <v>38.6</v>
      </c>
      <c r="G172" s="46">
        <f t="shared" si="18"/>
        <v>1.5314614656929708</v>
      </c>
      <c r="H172" s="47">
        <f t="shared" si="2"/>
        <v>51.150812954145223</v>
      </c>
      <c r="I172" s="48">
        <f t="shared" si="3"/>
        <v>4591.2969707640759</v>
      </c>
      <c r="J172" s="55"/>
      <c r="K172" s="55"/>
      <c r="L172" s="56"/>
      <c r="M172" s="49">
        <v>930</v>
      </c>
      <c r="N172" s="43">
        <f t="shared" si="4"/>
        <v>475.70256047355053</v>
      </c>
    </row>
    <row r="173" spans="1:14">
      <c r="A173" s="42">
        <v>40302</v>
      </c>
      <c r="B173" s="42" t="s">
        <v>227</v>
      </c>
      <c r="C173" s="43">
        <v>1765</v>
      </c>
      <c r="D173" s="44">
        <v>0</v>
      </c>
      <c r="E173" s="42">
        <v>33.4</v>
      </c>
      <c r="F173" s="46">
        <f t="shared" si="0"/>
        <v>38.6</v>
      </c>
      <c r="G173" s="46">
        <f t="shared" si="18"/>
        <v>1.5314614656929708</v>
      </c>
      <c r="H173" s="47">
        <f t="shared" si="2"/>
        <v>51.150812954145223</v>
      </c>
      <c r="I173" s="48">
        <f t="shared" si="3"/>
        <v>902.81184864066324</v>
      </c>
      <c r="J173" s="55"/>
      <c r="K173" s="55"/>
      <c r="L173" s="56"/>
      <c r="M173" s="49">
        <v>189</v>
      </c>
      <c r="N173" s="43">
        <f t="shared" si="4"/>
        <v>96.67503648333448</v>
      </c>
    </row>
    <row r="174" spans="1:14">
      <c r="A174" s="42">
        <v>40401</v>
      </c>
      <c r="B174" s="42" t="s">
        <v>228</v>
      </c>
      <c r="C174" s="43">
        <v>4582</v>
      </c>
      <c r="D174" s="44">
        <v>0</v>
      </c>
      <c r="E174" s="42">
        <v>33.4</v>
      </c>
      <c r="F174" s="46">
        <f t="shared" si="0"/>
        <v>38.6</v>
      </c>
      <c r="G174" s="46">
        <f t="shared" si="18"/>
        <v>1.5314614656929708</v>
      </c>
      <c r="H174" s="47">
        <f t="shared" si="2"/>
        <v>51.150812954145223</v>
      </c>
      <c r="I174" s="48">
        <f t="shared" si="3"/>
        <v>2343.7302495589338</v>
      </c>
      <c r="J174" s="55"/>
      <c r="K174" s="55"/>
      <c r="L174" s="56"/>
      <c r="M174" s="49">
        <v>481</v>
      </c>
      <c r="N174" s="43">
        <f t="shared" si="4"/>
        <v>246.03541030943853</v>
      </c>
    </row>
    <row r="175" spans="1:14">
      <c r="A175" s="42">
        <v>40402</v>
      </c>
      <c r="B175" s="42" t="s">
        <v>229</v>
      </c>
      <c r="C175" s="43">
        <v>4826</v>
      </c>
      <c r="D175" s="44">
        <v>0</v>
      </c>
      <c r="E175" s="42">
        <v>33.4</v>
      </c>
      <c r="F175" s="46">
        <f t="shared" si="0"/>
        <v>38.6</v>
      </c>
      <c r="G175" s="46">
        <f t="shared" si="18"/>
        <v>1.5314614656929708</v>
      </c>
      <c r="H175" s="47">
        <f t="shared" si="2"/>
        <v>51.150812954145223</v>
      </c>
      <c r="I175" s="48">
        <f t="shared" si="3"/>
        <v>2468.5382331670485</v>
      </c>
      <c r="J175" s="55"/>
      <c r="K175" s="55"/>
      <c r="L175" s="56"/>
      <c r="M175" s="49">
        <v>495</v>
      </c>
      <c r="N175" s="43">
        <f t="shared" si="4"/>
        <v>253.19652412301886</v>
      </c>
    </row>
    <row r="176" spans="1:14">
      <c r="A176" s="42">
        <v>40501</v>
      </c>
      <c r="B176" s="42" t="s">
        <v>230</v>
      </c>
      <c r="C176" s="43">
        <v>1238</v>
      </c>
      <c r="D176" s="44">
        <v>0</v>
      </c>
      <c r="E176" s="42">
        <v>33.4</v>
      </c>
      <c r="F176" s="46">
        <f t="shared" si="0"/>
        <v>38.6</v>
      </c>
      <c r="G176" s="46">
        <f t="shared" si="18"/>
        <v>1.5314614656929708</v>
      </c>
      <c r="H176" s="47">
        <f t="shared" si="2"/>
        <v>51.150812954145223</v>
      </c>
      <c r="I176" s="48">
        <f t="shared" si="3"/>
        <v>633.24706437231782</v>
      </c>
      <c r="J176" s="55"/>
      <c r="K176" s="55"/>
      <c r="L176" s="56"/>
      <c r="M176" s="49">
        <v>117</v>
      </c>
      <c r="N176" s="43">
        <f t="shared" si="4"/>
        <v>59.846451156349914</v>
      </c>
    </row>
    <row r="177" spans="1:14">
      <c r="A177" s="42">
        <v>40502</v>
      </c>
      <c r="B177" s="42" t="s">
        <v>231</v>
      </c>
      <c r="C177" s="43">
        <v>3001</v>
      </c>
      <c r="D177" s="44">
        <v>0</v>
      </c>
      <c r="E177" s="42">
        <v>33.4</v>
      </c>
      <c r="F177" s="46">
        <f t="shared" si="0"/>
        <v>38.6</v>
      </c>
      <c r="G177" s="46">
        <f t="shared" si="18"/>
        <v>1.5314614656929708</v>
      </c>
      <c r="H177" s="47">
        <f t="shared" si="2"/>
        <v>51.150812954145223</v>
      </c>
      <c r="I177" s="48">
        <f t="shared" si="3"/>
        <v>1535.0358967538982</v>
      </c>
      <c r="J177" s="55"/>
      <c r="K177" s="55"/>
      <c r="L177" s="56"/>
      <c r="M177" s="49">
        <v>324</v>
      </c>
      <c r="N177" s="43">
        <f t="shared" si="4"/>
        <v>165.72863397143053</v>
      </c>
    </row>
    <row r="178" spans="1:14">
      <c r="A178" s="42">
        <v>40503</v>
      </c>
      <c r="B178" s="42" t="s">
        <v>232</v>
      </c>
      <c r="C178" s="43">
        <v>1568</v>
      </c>
      <c r="D178" s="44">
        <v>0</v>
      </c>
      <c r="E178" s="42">
        <v>33.4</v>
      </c>
      <c r="F178" s="46">
        <f t="shared" si="0"/>
        <v>38.6</v>
      </c>
      <c r="G178" s="46">
        <f t="shared" si="18"/>
        <v>1.5314614656929708</v>
      </c>
      <c r="H178" s="47">
        <f t="shared" si="2"/>
        <v>51.150812954145223</v>
      </c>
      <c r="I178" s="48">
        <f t="shared" si="3"/>
        <v>802.04474712099704</v>
      </c>
      <c r="J178" s="55"/>
      <c r="K178" s="55"/>
      <c r="L178" s="56"/>
      <c r="M178" s="49">
        <v>200</v>
      </c>
      <c r="N178" s="43">
        <f t="shared" si="4"/>
        <v>102.30162590829045</v>
      </c>
    </row>
    <row r="179" spans="1:14">
      <c r="A179" s="42">
        <v>40504</v>
      </c>
      <c r="B179" s="42" t="s">
        <v>233</v>
      </c>
      <c r="C179" s="43">
        <v>407</v>
      </c>
      <c r="D179" s="44">
        <v>0</v>
      </c>
      <c r="E179" s="42">
        <v>33.4</v>
      </c>
      <c r="F179" s="46">
        <f t="shared" si="0"/>
        <v>38.6</v>
      </c>
      <c r="G179" s="46">
        <f t="shared" si="18"/>
        <v>1.5314614656929708</v>
      </c>
      <c r="H179" s="47">
        <f t="shared" si="2"/>
        <v>51.150812954145223</v>
      </c>
      <c r="I179" s="48">
        <f t="shared" si="3"/>
        <v>208.18380872337107</v>
      </c>
      <c r="J179" s="55"/>
      <c r="K179" s="55"/>
      <c r="L179" s="56"/>
      <c r="M179" s="49">
        <v>42</v>
      </c>
      <c r="N179" s="43">
        <f t="shared" si="4"/>
        <v>21.483341440740993</v>
      </c>
    </row>
    <row r="180" spans="1:14">
      <c r="A180" s="42">
        <v>40505</v>
      </c>
      <c r="B180" s="42" t="s">
        <v>234</v>
      </c>
      <c r="C180" s="43">
        <v>2066</v>
      </c>
      <c r="D180" s="44">
        <v>0</v>
      </c>
      <c r="E180" s="42">
        <v>33.4</v>
      </c>
      <c r="F180" s="46">
        <f t="shared" si="0"/>
        <v>38.6</v>
      </c>
      <c r="G180" s="46">
        <f t="shared" si="18"/>
        <v>1.5314614656929708</v>
      </c>
      <c r="H180" s="47">
        <f t="shared" si="2"/>
        <v>51.150812954145223</v>
      </c>
      <c r="I180" s="48">
        <f t="shared" si="3"/>
        <v>1056.7757956326404</v>
      </c>
      <c r="J180" s="55"/>
      <c r="K180" s="55"/>
      <c r="L180" s="56"/>
      <c r="M180" s="49">
        <v>275</v>
      </c>
      <c r="N180" s="43">
        <f t="shared" si="4"/>
        <v>140.66473562389936</v>
      </c>
    </row>
    <row r="181" spans="1:14">
      <c r="A181" s="42">
        <v>40601</v>
      </c>
      <c r="B181" s="42" t="s">
        <v>235</v>
      </c>
      <c r="C181" s="43">
        <v>7069</v>
      </c>
      <c r="D181" s="44">
        <v>30.7</v>
      </c>
      <c r="E181" s="42">
        <v>33.4</v>
      </c>
      <c r="F181" s="46">
        <f t="shared" si="0"/>
        <v>32.030200000000001</v>
      </c>
      <c r="G181" s="46">
        <f t="shared" si="18"/>
        <v>1.2708035502186268</v>
      </c>
      <c r="H181" s="47">
        <f t="shared" si="2"/>
        <v>42.444838577302136</v>
      </c>
      <c r="I181" s="48">
        <f t="shared" si="3"/>
        <v>3000.4256390294881</v>
      </c>
      <c r="J181" s="55"/>
      <c r="K181" s="55"/>
      <c r="L181" s="56"/>
      <c r="M181" s="49">
        <v>685</v>
      </c>
      <c r="N181" s="43">
        <f t="shared" si="4"/>
        <v>290.74714425451964</v>
      </c>
    </row>
    <row r="182" spans="1:14">
      <c r="A182" s="42">
        <v>40602</v>
      </c>
      <c r="B182" s="42" t="s">
        <v>236</v>
      </c>
      <c r="C182" s="43">
        <v>5778</v>
      </c>
      <c r="D182" s="44">
        <v>0</v>
      </c>
      <c r="E182" s="42">
        <v>33.4</v>
      </c>
      <c r="F182" s="46">
        <f t="shared" si="0"/>
        <v>38.6</v>
      </c>
      <c r="G182" s="46">
        <f t="shared" si="18"/>
        <v>1.5314614656929708</v>
      </c>
      <c r="H182" s="47">
        <f t="shared" si="2"/>
        <v>51.150812954145223</v>
      </c>
      <c r="I182" s="48">
        <f t="shared" si="3"/>
        <v>2955.4939724905107</v>
      </c>
      <c r="J182" s="55"/>
      <c r="K182" s="55"/>
      <c r="L182" s="56"/>
      <c r="M182" s="49">
        <v>664</v>
      </c>
      <c r="N182" s="43">
        <f t="shared" si="4"/>
        <v>339.64139801552432</v>
      </c>
    </row>
    <row r="183" spans="1:14">
      <c r="A183" s="42">
        <v>40603</v>
      </c>
      <c r="B183" s="42" t="s">
        <v>237</v>
      </c>
      <c r="C183" s="43">
        <v>3296</v>
      </c>
      <c r="D183" s="44">
        <v>0</v>
      </c>
      <c r="E183" s="42">
        <v>33.4</v>
      </c>
      <c r="F183" s="46">
        <f t="shared" si="0"/>
        <v>38.6</v>
      </c>
      <c r="G183" s="46">
        <f t="shared" si="18"/>
        <v>1.5314614656929708</v>
      </c>
      <c r="H183" s="47">
        <f t="shared" si="2"/>
        <v>51.150812954145223</v>
      </c>
      <c r="I183" s="48">
        <f t="shared" si="3"/>
        <v>1685.9307949686265</v>
      </c>
      <c r="J183" s="55"/>
      <c r="K183" s="55"/>
      <c r="L183" s="56"/>
      <c r="M183" s="49">
        <v>414</v>
      </c>
      <c r="N183" s="43">
        <f t="shared" si="4"/>
        <v>211.76436563016122</v>
      </c>
    </row>
    <row r="184" spans="1:14">
      <c r="A184" s="42">
        <v>40701</v>
      </c>
      <c r="B184" s="42" t="s">
        <v>238</v>
      </c>
      <c r="C184" s="43">
        <v>22768</v>
      </c>
      <c r="D184" s="44">
        <v>80.7</v>
      </c>
      <c r="E184" s="42">
        <v>33.4</v>
      </c>
      <c r="F184" s="46">
        <f t="shared" si="0"/>
        <v>21.330199999999998</v>
      </c>
      <c r="G184" s="46">
        <f t="shared" si="18"/>
        <v>0.84627925791513481</v>
      </c>
      <c r="H184" s="47">
        <f t="shared" si="2"/>
        <v>28.265727214365501</v>
      </c>
      <c r="I184" s="48">
        <f t="shared" si="3"/>
        <v>6435.540772166738</v>
      </c>
      <c r="J184" s="55"/>
      <c r="K184" s="55"/>
      <c r="L184" s="56"/>
      <c r="M184" s="49">
        <v>2925</v>
      </c>
      <c r="N184" s="43">
        <f t="shared" si="4"/>
        <v>826.77252102019088</v>
      </c>
    </row>
    <row r="185" spans="1:14">
      <c r="A185" s="42">
        <v>40702</v>
      </c>
      <c r="B185" s="42" t="s">
        <v>239</v>
      </c>
      <c r="C185" s="43">
        <v>4587</v>
      </c>
      <c r="D185" s="44">
        <v>55.5</v>
      </c>
      <c r="E185" s="42">
        <v>33.4</v>
      </c>
      <c r="F185" s="46">
        <f t="shared" si="0"/>
        <v>26.722999999999999</v>
      </c>
      <c r="G185" s="46">
        <f t="shared" si="18"/>
        <v>1.0602395012360948</v>
      </c>
      <c r="H185" s="47">
        <f t="shared" si="2"/>
        <v>35.411999341285565</v>
      </c>
      <c r="I185" s="48">
        <f t="shared" si="3"/>
        <v>1624.3484097847688</v>
      </c>
      <c r="J185" s="55"/>
      <c r="K185" s="55"/>
      <c r="L185" s="56"/>
      <c r="M185" s="49">
        <v>503</v>
      </c>
      <c r="N185" s="43">
        <f t="shared" si="4"/>
        <v>178.12235668666639</v>
      </c>
    </row>
    <row r="186" spans="1:14">
      <c r="A186" s="42">
        <v>40801</v>
      </c>
      <c r="B186" s="42" t="s">
        <v>240</v>
      </c>
      <c r="C186" s="43">
        <v>10731</v>
      </c>
      <c r="D186" s="44">
        <v>0</v>
      </c>
      <c r="E186" s="42">
        <v>33.4</v>
      </c>
      <c r="F186" s="46">
        <f t="shared" si="0"/>
        <v>38.6</v>
      </c>
      <c r="G186" s="46">
        <f t="shared" si="18"/>
        <v>1.5314614656929708</v>
      </c>
      <c r="H186" s="47">
        <f t="shared" si="2"/>
        <v>51.150812954145223</v>
      </c>
      <c r="I186" s="48">
        <f t="shared" si="3"/>
        <v>5488.9937381093241</v>
      </c>
      <c r="J186" s="55"/>
      <c r="K186" s="55"/>
      <c r="L186" s="56"/>
      <c r="M186" s="49">
        <v>1244</v>
      </c>
      <c r="N186" s="43">
        <f t="shared" si="4"/>
        <v>636.3161131495666</v>
      </c>
    </row>
    <row r="187" spans="1:14">
      <c r="A187" s="42">
        <v>40802</v>
      </c>
      <c r="B187" s="42" t="s">
        <v>241</v>
      </c>
      <c r="C187" s="43">
        <v>2974</v>
      </c>
      <c r="D187" s="44">
        <v>0</v>
      </c>
      <c r="E187" s="42">
        <v>33.4</v>
      </c>
      <c r="F187" s="46">
        <f t="shared" si="0"/>
        <v>38.6</v>
      </c>
      <c r="G187" s="46">
        <f t="shared" si="18"/>
        <v>1.5314614656929708</v>
      </c>
      <c r="H187" s="47">
        <f t="shared" si="2"/>
        <v>51.150812954145223</v>
      </c>
      <c r="I187" s="48">
        <f t="shared" si="3"/>
        <v>1521.225177256279</v>
      </c>
      <c r="J187" s="55"/>
      <c r="K187" s="55"/>
      <c r="L187" s="56"/>
      <c r="M187" s="49">
        <v>386</v>
      </c>
      <c r="N187" s="43">
        <f t="shared" si="4"/>
        <v>197.44213800300054</v>
      </c>
    </row>
    <row r="188" spans="1:14">
      <c r="A188" s="42">
        <v>40901</v>
      </c>
      <c r="B188" s="42" t="s">
        <v>242</v>
      </c>
      <c r="C188" s="43">
        <v>6806</v>
      </c>
      <c r="D188" s="44">
        <v>0</v>
      </c>
      <c r="E188" s="42">
        <v>33.4</v>
      </c>
      <c r="F188" s="46">
        <f t="shared" si="0"/>
        <v>38.6</v>
      </c>
      <c r="G188" s="46">
        <f t="shared" si="18"/>
        <v>1.5314614656929708</v>
      </c>
      <c r="H188" s="47">
        <f t="shared" si="2"/>
        <v>51.150812954145223</v>
      </c>
      <c r="I188" s="48">
        <f t="shared" si="3"/>
        <v>3481.324329659124</v>
      </c>
      <c r="J188" s="55"/>
      <c r="K188" s="55"/>
      <c r="L188" s="56"/>
      <c r="M188" s="49">
        <v>897</v>
      </c>
      <c r="N188" s="43">
        <f t="shared" si="4"/>
        <v>458.82279219868263</v>
      </c>
    </row>
    <row r="189" spans="1:14">
      <c r="A189" s="42">
        <v>40902</v>
      </c>
      <c r="B189" s="42" t="s">
        <v>243</v>
      </c>
      <c r="C189" s="43">
        <v>799</v>
      </c>
      <c r="D189" s="44">
        <v>0</v>
      </c>
      <c r="E189" s="42">
        <v>33.4</v>
      </c>
      <c r="F189" s="46">
        <f t="shared" si="0"/>
        <v>38.6</v>
      </c>
      <c r="G189" s="46">
        <f t="shared" si="18"/>
        <v>1.5314614656929708</v>
      </c>
      <c r="H189" s="47">
        <f t="shared" si="2"/>
        <v>51.150812954145223</v>
      </c>
      <c r="I189" s="48">
        <f t="shared" si="3"/>
        <v>408.69499550362031</v>
      </c>
      <c r="J189" s="55"/>
      <c r="K189" s="55"/>
      <c r="L189" s="56"/>
      <c r="M189" s="49">
        <v>104</v>
      </c>
      <c r="N189" s="43">
        <f t="shared" si="4"/>
        <v>53.196845472311033</v>
      </c>
    </row>
    <row r="190" spans="1:14">
      <c r="A190" s="42">
        <v>40903</v>
      </c>
      <c r="B190" s="42" t="s">
        <v>244</v>
      </c>
      <c r="C190" s="43">
        <v>1934</v>
      </c>
      <c r="D190" s="44">
        <v>0</v>
      </c>
      <c r="E190" s="42">
        <v>33.4</v>
      </c>
      <c r="F190" s="46">
        <f t="shared" si="0"/>
        <v>38.6</v>
      </c>
      <c r="G190" s="46">
        <f t="shared" si="18"/>
        <v>1.5314614656929708</v>
      </c>
      <c r="H190" s="47">
        <f t="shared" si="2"/>
        <v>51.150812954145223</v>
      </c>
      <c r="I190" s="48">
        <f t="shared" si="3"/>
        <v>989.25672253316861</v>
      </c>
      <c r="J190" s="55"/>
      <c r="K190" s="55"/>
      <c r="L190" s="56"/>
      <c r="M190" s="49">
        <v>277</v>
      </c>
      <c r="N190" s="43">
        <f t="shared" si="4"/>
        <v>141.68775188298227</v>
      </c>
    </row>
    <row r="191" spans="1:14">
      <c r="A191" s="42">
        <v>41001</v>
      </c>
      <c r="B191" s="42" t="s">
        <v>245</v>
      </c>
      <c r="C191" s="43">
        <v>9281</v>
      </c>
      <c r="D191" s="44">
        <v>0</v>
      </c>
      <c r="E191" s="42">
        <v>33.4</v>
      </c>
      <c r="F191" s="46">
        <f t="shared" si="0"/>
        <v>38.6</v>
      </c>
      <c r="G191" s="46">
        <f t="shared" si="18"/>
        <v>1.5314614656929708</v>
      </c>
      <c r="H191" s="47">
        <f t="shared" si="2"/>
        <v>51.150812954145223</v>
      </c>
      <c r="I191" s="48">
        <f t="shared" si="3"/>
        <v>4747.3069502742183</v>
      </c>
      <c r="J191" s="55"/>
      <c r="K191" s="55"/>
      <c r="L191" s="56"/>
      <c r="M191" s="49">
        <v>924</v>
      </c>
      <c r="N191" s="43">
        <f t="shared" si="4"/>
        <v>472.63351169630187</v>
      </c>
    </row>
    <row r="192" spans="1:14">
      <c r="A192" s="42">
        <v>41101</v>
      </c>
      <c r="B192" s="42" t="s">
        <v>246</v>
      </c>
      <c r="C192" s="43">
        <v>5324</v>
      </c>
      <c r="D192" s="44">
        <v>48.3</v>
      </c>
      <c r="E192" s="42">
        <v>33.4</v>
      </c>
      <c r="F192" s="46">
        <f t="shared" si="0"/>
        <v>28.263800000000003</v>
      </c>
      <c r="G192" s="46">
        <f t="shared" si="18"/>
        <v>1.1213709993277976</v>
      </c>
      <c r="H192" s="47">
        <f t="shared" si="2"/>
        <v>37.453791377548441</v>
      </c>
      <c r="I192" s="48">
        <f t="shared" si="3"/>
        <v>1994.0398529406791</v>
      </c>
      <c r="J192" s="55"/>
      <c r="K192" s="55"/>
      <c r="L192" s="56"/>
      <c r="M192" s="49">
        <v>600</v>
      </c>
      <c r="N192" s="43">
        <f t="shared" si="4"/>
        <v>224.72274826529065</v>
      </c>
    </row>
    <row r="193" spans="1:14">
      <c r="A193" s="42">
        <v>41201</v>
      </c>
      <c r="B193" s="42" t="s">
        <v>247</v>
      </c>
      <c r="C193" s="43">
        <v>4988</v>
      </c>
      <c r="D193" s="44">
        <v>0</v>
      </c>
      <c r="E193" s="42">
        <v>33.4</v>
      </c>
      <c r="F193" s="46">
        <f t="shared" si="0"/>
        <v>38.6</v>
      </c>
      <c r="G193" s="46">
        <f t="shared" si="18"/>
        <v>1.5314614656929708</v>
      </c>
      <c r="H193" s="47">
        <f t="shared" si="2"/>
        <v>51.150812954145223</v>
      </c>
      <c r="I193" s="48">
        <f t="shared" si="3"/>
        <v>2551.4025501527635</v>
      </c>
      <c r="J193" s="55"/>
      <c r="K193" s="55"/>
      <c r="L193" s="56"/>
      <c r="M193" s="49">
        <v>487</v>
      </c>
      <c r="N193" s="43">
        <f t="shared" si="4"/>
        <v>249.10445908668723</v>
      </c>
    </row>
    <row r="194" spans="1:14">
      <c r="A194" s="42">
        <v>41202</v>
      </c>
      <c r="B194" s="42" t="s">
        <v>248</v>
      </c>
      <c r="C194" s="43">
        <v>1846</v>
      </c>
      <c r="D194" s="44">
        <v>0</v>
      </c>
      <c r="E194" s="42">
        <v>33.4</v>
      </c>
      <c r="F194" s="46">
        <f t="shared" si="0"/>
        <v>38.6</v>
      </c>
      <c r="G194" s="46">
        <f t="shared" si="18"/>
        <v>1.5314614656929708</v>
      </c>
      <c r="H194" s="47">
        <f t="shared" si="2"/>
        <v>51.150812954145223</v>
      </c>
      <c r="I194" s="48">
        <f t="shared" si="3"/>
        <v>944.24400713352077</v>
      </c>
      <c r="J194" s="55"/>
      <c r="K194" s="55"/>
      <c r="L194" s="56"/>
      <c r="M194" s="49">
        <v>203</v>
      </c>
      <c r="N194" s="43">
        <f t="shared" si="4"/>
        <v>103.83615029691481</v>
      </c>
    </row>
    <row r="195" spans="1:14">
      <c r="A195" s="42">
        <v>41301</v>
      </c>
      <c r="B195" s="42" t="s">
        <v>203</v>
      </c>
      <c r="C195" s="43">
        <v>5316</v>
      </c>
      <c r="D195" s="44">
        <v>0</v>
      </c>
      <c r="E195" s="42">
        <v>33.4</v>
      </c>
      <c r="F195" s="46">
        <f t="shared" si="0"/>
        <v>38.6</v>
      </c>
      <c r="G195" s="46">
        <f t="shared" si="18"/>
        <v>1.5314614656929708</v>
      </c>
      <c r="H195" s="47">
        <f t="shared" si="2"/>
        <v>51.150812954145223</v>
      </c>
      <c r="I195" s="48">
        <f t="shared" si="3"/>
        <v>2719.1772166423598</v>
      </c>
      <c r="J195" s="55"/>
      <c r="K195" s="55"/>
      <c r="L195" s="56"/>
      <c r="M195" s="49">
        <v>597</v>
      </c>
      <c r="N195" s="43">
        <f t="shared" si="4"/>
        <v>305.37035333624698</v>
      </c>
    </row>
    <row r="196" spans="1:14">
      <c r="A196" s="42">
        <v>41401</v>
      </c>
      <c r="B196" s="42" t="s">
        <v>249</v>
      </c>
      <c r="C196" s="43">
        <v>12170</v>
      </c>
      <c r="D196" s="44">
        <v>31.7</v>
      </c>
      <c r="E196" s="42">
        <v>33.4</v>
      </c>
      <c r="F196" s="46">
        <f t="shared" si="0"/>
        <v>31.816200000000002</v>
      </c>
      <c r="G196" s="46">
        <f t="shared" si="18"/>
        <v>1.2623130643725569</v>
      </c>
      <c r="H196" s="47">
        <f t="shared" si="2"/>
        <v>42.161256350043395</v>
      </c>
      <c r="I196" s="48">
        <f t="shared" si="3"/>
        <v>5131.024897800281</v>
      </c>
      <c r="J196" s="55"/>
      <c r="K196" s="55"/>
      <c r="L196" s="56"/>
      <c r="M196" s="49">
        <v>1303</v>
      </c>
      <c r="N196" s="43">
        <f t="shared" si="4"/>
        <v>549.36117024106545</v>
      </c>
    </row>
    <row r="197" spans="1:14">
      <c r="A197" s="42">
        <v>41501</v>
      </c>
      <c r="B197" s="42" t="s">
        <v>250</v>
      </c>
      <c r="C197" s="43">
        <v>466</v>
      </c>
      <c r="D197" s="44">
        <v>0</v>
      </c>
      <c r="E197" s="42">
        <v>33.4</v>
      </c>
      <c r="F197" s="46">
        <f t="shared" si="0"/>
        <v>38.6</v>
      </c>
      <c r="G197" s="46">
        <f t="shared" si="18"/>
        <v>1.5314614656929708</v>
      </c>
      <c r="H197" s="47">
        <f t="shared" si="2"/>
        <v>51.150812954145223</v>
      </c>
      <c r="I197" s="48">
        <f t="shared" si="3"/>
        <v>238.36278836631675</v>
      </c>
      <c r="J197" s="55"/>
      <c r="K197" s="55"/>
      <c r="L197" s="56"/>
      <c r="M197" s="49">
        <v>62</v>
      </c>
      <c r="N197" s="43">
        <f t="shared" si="4"/>
        <v>31.713504031570036</v>
      </c>
    </row>
    <row r="198" spans="1:14">
      <c r="A198" s="42">
        <v>41502</v>
      </c>
      <c r="B198" s="42" t="s">
        <v>251</v>
      </c>
      <c r="C198" s="43">
        <v>603</v>
      </c>
      <c r="D198" s="44">
        <v>0</v>
      </c>
      <c r="E198" s="42">
        <v>33.4</v>
      </c>
      <c r="F198" s="46">
        <f t="shared" si="0"/>
        <v>38.6</v>
      </c>
      <c r="G198" s="46">
        <f t="shared" si="18"/>
        <v>1.5314614656929708</v>
      </c>
      <c r="H198" s="47">
        <f t="shared" si="2"/>
        <v>51.150812954145223</v>
      </c>
      <c r="I198" s="48">
        <f t="shared" si="3"/>
        <v>308.4394021134957</v>
      </c>
      <c r="J198" s="55"/>
      <c r="K198" s="55"/>
      <c r="L198" s="56"/>
      <c r="M198" s="49">
        <v>73</v>
      </c>
      <c r="N198" s="43">
        <f t="shared" si="4"/>
        <v>37.340093456526013</v>
      </c>
    </row>
    <row r="199" spans="1:14">
      <c r="A199" s="42">
        <v>41503</v>
      </c>
      <c r="B199" s="42" t="s">
        <v>252</v>
      </c>
      <c r="C199" s="43">
        <v>663</v>
      </c>
      <c r="D199" s="44">
        <v>0</v>
      </c>
      <c r="E199" s="42">
        <v>33.4</v>
      </c>
      <c r="F199" s="46">
        <f t="shared" si="0"/>
        <v>38.6</v>
      </c>
      <c r="G199" s="46">
        <f t="shared" si="18"/>
        <v>1.5314614656929708</v>
      </c>
      <c r="H199" s="47">
        <f t="shared" si="2"/>
        <v>51.150812954145223</v>
      </c>
      <c r="I199" s="48">
        <f t="shared" si="3"/>
        <v>339.12988988598283</v>
      </c>
      <c r="J199" s="55"/>
      <c r="K199" s="55"/>
      <c r="L199" s="56"/>
      <c r="M199" s="49">
        <v>92</v>
      </c>
      <c r="N199" s="43">
        <f t="shared" si="4"/>
        <v>47.058747917813605</v>
      </c>
    </row>
    <row r="200" spans="1:14">
      <c r="A200" s="42">
        <v>41601</v>
      </c>
      <c r="B200" s="42" t="s">
        <v>253</v>
      </c>
      <c r="C200" s="43">
        <v>5607</v>
      </c>
      <c r="D200" s="44">
        <v>0</v>
      </c>
      <c r="E200" s="42">
        <v>33.4</v>
      </c>
      <c r="F200" s="46">
        <f t="shared" si="0"/>
        <v>38.6</v>
      </c>
      <c r="G200" s="46">
        <f t="shared" si="18"/>
        <v>1.5314614656929708</v>
      </c>
      <c r="H200" s="47">
        <f t="shared" si="2"/>
        <v>51.150812954145223</v>
      </c>
      <c r="I200" s="48">
        <f t="shared" si="3"/>
        <v>2868.0260823389226</v>
      </c>
      <c r="J200" s="42"/>
      <c r="K200" s="42"/>
      <c r="L200" s="42"/>
      <c r="M200" s="49">
        <v>499</v>
      </c>
      <c r="N200" s="43">
        <f t="shared" si="4"/>
        <v>255.24255664118468</v>
      </c>
    </row>
    <row r="201" spans="1:14">
      <c r="A201" s="42">
        <v>50101</v>
      </c>
      <c r="B201" s="42" t="s">
        <v>59</v>
      </c>
      <c r="C201" s="43">
        <v>174486</v>
      </c>
      <c r="D201" s="44">
        <v>91.9</v>
      </c>
      <c r="E201" s="45">
        <v>43.7</v>
      </c>
      <c r="F201" s="46">
        <f t="shared" si="0"/>
        <v>18.933399999999999</v>
      </c>
      <c r="G201" s="46">
        <f t="shared" ref="G201:G242" si="19">1.114*F201/F$345</f>
        <v>0.62217174684997478</v>
      </c>
      <c r="H201" s="47">
        <f t="shared" si="2"/>
        <v>27.1889053373439</v>
      </c>
      <c r="I201" s="48">
        <f t="shared" si="3"/>
        <v>47440.833366917876</v>
      </c>
      <c r="J201" s="49">
        <f>SUM(C201:C242)</f>
        <v>785064</v>
      </c>
      <c r="K201" s="49">
        <f>SUM(I201:I242)</f>
        <v>343187.52224501298</v>
      </c>
      <c r="L201" s="50">
        <f>K201/J201</f>
        <v>0.43714591707811462</v>
      </c>
      <c r="M201" s="49">
        <v>21392</v>
      </c>
      <c r="N201" s="43">
        <f t="shared" si="4"/>
        <v>5816.2506297646069</v>
      </c>
    </row>
    <row r="202" spans="1:14">
      <c r="A202" s="42">
        <v>50102</v>
      </c>
      <c r="B202" s="42" t="s">
        <v>254</v>
      </c>
      <c r="C202" s="43">
        <v>25234</v>
      </c>
      <c r="D202" s="44">
        <v>0</v>
      </c>
      <c r="E202" s="45">
        <v>43.7</v>
      </c>
      <c r="F202" s="46">
        <f t="shared" si="0"/>
        <v>38.6</v>
      </c>
      <c r="G202" s="46">
        <f t="shared" si="19"/>
        <v>1.2684372288341783</v>
      </c>
      <c r="H202" s="47">
        <f t="shared" si="2"/>
        <v>55.430706900053593</v>
      </c>
      <c r="I202" s="48">
        <f t="shared" si="3"/>
        <v>13987.384579159525</v>
      </c>
      <c r="J202" s="55"/>
      <c r="K202" s="55"/>
      <c r="L202" s="56"/>
      <c r="M202" s="49">
        <v>3605</v>
      </c>
      <c r="N202" s="43">
        <f t="shared" si="4"/>
        <v>1998.276983746932</v>
      </c>
    </row>
    <row r="203" spans="1:14">
      <c r="A203" s="42">
        <v>50103</v>
      </c>
      <c r="B203" s="42" t="s">
        <v>255</v>
      </c>
      <c r="C203" s="43">
        <v>8640</v>
      </c>
      <c r="D203" s="44">
        <v>0</v>
      </c>
      <c r="E203" s="45">
        <v>43.7</v>
      </c>
      <c r="F203" s="46">
        <f t="shared" si="0"/>
        <v>38.6</v>
      </c>
      <c r="G203" s="46">
        <f t="shared" si="19"/>
        <v>1.2684372288341783</v>
      </c>
      <c r="H203" s="47">
        <f t="shared" si="2"/>
        <v>55.430706900053593</v>
      </c>
      <c r="I203" s="48">
        <f t="shared" si="3"/>
        <v>4789.2130761646304</v>
      </c>
      <c r="J203" s="55"/>
      <c r="K203" s="55"/>
      <c r="L203" s="56"/>
      <c r="M203" s="49">
        <v>847</v>
      </c>
      <c r="N203" s="43">
        <f t="shared" si="4"/>
        <v>469.49808744345393</v>
      </c>
    </row>
    <row r="204" spans="1:14">
      <c r="A204" s="42">
        <v>50104</v>
      </c>
      <c r="B204" s="42" t="s">
        <v>256</v>
      </c>
      <c r="C204" s="43">
        <v>2492</v>
      </c>
      <c r="D204" s="44">
        <v>0</v>
      </c>
      <c r="E204" s="45">
        <v>43.7</v>
      </c>
      <c r="F204" s="46">
        <f t="shared" si="0"/>
        <v>38.6</v>
      </c>
      <c r="G204" s="46">
        <f t="shared" si="19"/>
        <v>1.2684372288341783</v>
      </c>
      <c r="H204" s="47">
        <f t="shared" si="2"/>
        <v>55.430706900053593</v>
      </c>
      <c r="I204" s="48">
        <f t="shared" si="3"/>
        <v>1381.3332159493355</v>
      </c>
      <c r="J204" s="55"/>
      <c r="K204" s="55"/>
      <c r="L204" s="56"/>
      <c r="M204" s="49">
        <v>271</v>
      </c>
      <c r="N204" s="43">
        <f t="shared" si="4"/>
        <v>150.21721569914524</v>
      </c>
    </row>
    <row r="205" spans="1:14">
      <c r="A205" s="42">
        <v>50201</v>
      </c>
      <c r="B205" s="42" t="s">
        <v>257</v>
      </c>
      <c r="C205" s="43">
        <v>20814</v>
      </c>
      <c r="D205" s="44">
        <v>36.799999999999997</v>
      </c>
      <c r="E205" s="45">
        <v>43.7</v>
      </c>
      <c r="F205" s="46">
        <f t="shared" si="0"/>
        <v>30.724800000000002</v>
      </c>
      <c r="G205" s="46">
        <f t="shared" si="19"/>
        <v>1.0096497452975224</v>
      </c>
      <c r="H205" s="47">
        <f t="shared" si="2"/>
        <v>44.121693869501733</v>
      </c>
      <c r="I205" s="48">
        <f t="shared" si="3"/>
        <v>9183.4893619980903</v>
      </c>
      <c r="J205" s="55"/>
      <c r="K205" s="55"/>
      <c r="L205" s="56"/>
      <c r="M205" s="49">
        <v>2512</v>
      </c>
      <c r="N205" s="43">
        <f t="shared" si="4"/>
        <v>1108.3369500018835</v>
      </c>
    </row>
    <row r="206" spans="1:14">
      <c r="A206" s="42">
        <v>50202</v>
      </c>
      <c r="B206" s="42" t="s">
        <v>258</v>
      </c>
      <c r="C206" s="43">
        <v>15415</v>
      </c>
      <c r="D206" s="44">
        <v>14.9</v>
      </c>
      <c r="E206" s="45">
        <v>43.7</v>
      </c>
      <c r="F206" s="46">
        <f t="shared" si="0"/>
        <v>35.4114</v>
      </c>
      <c r="G206" s="46">
        <f t="shared" si="19"/>
        <v>1.16365642707613</v>
      </c>
      <c r="H206" s="47">
        <f t="shared" si="2"/>
        <v>50.851785863226887</v>
      </c>
      <c r="I206" s="48">
        <f t="shared" si="3"/>
        <v>7838.8027908164249</v>
      </c>
      <c r="J206" s="55"/>
      <c r="K206" s="55"/>
      <c r="L206" s="56"/>
      <c r="M206" s="49">
        <v>2034</v>
      </c>
      <c r="N206" s="43">
        <f t="shared" si="4"/>
        <v>1034.3253244580349</v>
      </c>
    </row>
    <row r="207" spans="1:14">
      <c r="A207" s="42">
        <v>50203</v>
      </c>
      <c r="B207" s="42" t="s">
        <v>259</v>
      </c>
      <c r="C207" s="43">
        <v>39579</v>
      </c>
      <c r="D207" s="44">
        <v>83.2</v>
      </c>
      <c r="E207" s="45">
        <v>43.7</v>
      </c>
      <c r="F207" s="46">
        <f t="shared" si="0"/>
        <v>20.795199999999998</v>
      </c>
      <c r="G207" s="46">
        <f t="shared" si="19"/>
        <v>0.68335248344695598</v>
      </c>
      <c r="H207" s="47">
        <f t="shared" si="2"/>
        <v>29.862503526631979</v>
      </c>
      <c r="I207" s="48">
        <f t="shared" si="3"/>
        <v>11819.280270805672</v>
      </c>
      <c r="J207" s="55"/>
      <c r="K207" s="55"/>
      <c r="L207" s="56"/>
      <c r="M207" s="49">
        <v>4818</v>
      </c>
      <c r="N207" s="43">
        <f t="shared" si="4"/>
        <v>1438.7754199131286</v>
      </c>
    </row>
    <row r="208" spans="1:14">
      <c r="A208" s="42">
        <v>50204</v>
      </c>
      <c r="B208" s="42" t="s">
        <v>260</v>
      </c>
      <c r="C208" s="43">
        <v>7458</v>
      </c>
      <c r="D208" s="44">
        <v>0</v>
      </c>
      <c r="E208" s="45">
        <v>43.7</v>
      </c>
      <c r="F208" s="46">
        <f t="shared" si="0"/>
        <v>38.6</v>
      </c>
      <c r="G208" s="46">
        <f t="shared" si="19"/>
        <v>1.2684372288341783</v>
      </c>
      <c r="H208" s="47">
        <f t="shared" si="2"/>
        <v>55.430706900053593</v>
      </c>
      <c r="I208" s="48">
        <f t="shared" si="3"/>
        <v>4134.0221206059969</v>
      </c>
      <c r="J208" s="55"/>
      <c r="K208" s="55"/>
      <c r="L208" s="56"/>
      <c r="M208" s="49">
        <v>1136</v>
      </c>
      <c r="N208" s="43">
        <f t="shared" si="4"/>
        <v>629.69283038460878</v>
      </c>
    </row>
    <row r="209" spans="1:14">
      <c r="A209" s="42">
        <v>50301</v>
      </c>
      <c r="B209" s="42" t="s">
        <v>261</v>
      </c>
      <c r="C209" s="43">
        <v>34790</v>
      </c>
      <c r="D209" s="44">
        <v>13</v>
      </c>
      <c r="E209" s="45">
        <v>43.7</v>
      </c>
      <c r="F209" s="46">
        <f t="shared" si="0"/>
        <v>35.817999999999998</v>
      </c>
      <c r="G209" s="46">
        <f t="shared" si="19"/>
        <v>1.1770177373674247</v>
      </c>
      <c r="H209" s="47">
        <f t="shared" si="2"/>
        <v>51.435675122956461</v>
      </c>
      <c r="I209" s="48">
        <f t="shared" si="3"/>
        <v>17894.471375276553</v>
      </c>
      <c r="J209" s="55"/>
      <c r="K209" s="55"/>
      <c r="L209" s="56"/>
      <c r="M209" s="49">
        <v>4273</v>
      </c>
      <c r="N209" s="43">
        <f t="shared" si="4"/>
        <v>2197.8463980039296</v>
      </c>
    </row>
    <row r="210" spans="1:14">
      <c r="A210" s="42">
        <v>50302</v>
      </c>
      <c r="B210" s="42" t="s">
        <v>262</v>
      </c>
      <c r="C210" s="43">
        <v>9813</v>
      </c>
      <c r="D210" s="44">
        <v>0</v>
      </c>
      <c r="E210" s="45">
        <v>43.7</v>
      </c>
      <c r="F210" s="46">
        <f t="shared" si="0"/>
        <v>38.6</v>
      </c>
      <c r="G210" s="46">
        <f t="shared" si="19"/>
        <v>1.2684372288341783</v>
      </c>
      <c r="H210" s="47">
        <f t="shared" si="2"/>
        <v>55.430706900053593</v>
      </c>
      <c r="I210" s="48">
        <f t="shared" si="3"/>
        <v>5439.4152681022588</v>
      </c>
      <c r="J210" s="55"/>
      <c r="K210" s="55"/>
      <c r="L210" s="56"/>
      <c r="M210" s="49">
        <v>1037</v>
      </c>
      <c r="N210" s="43">
        <f t="shared" si="4"/>
        <v>574.81643055355573</v>
      </c>
    </row>
    <row r="211" spans="1:14">
      <c r="A211" s="42">
        <v>50303</v>
      </c>
      <c r="B211" s="42" t="s">
        <v>263</v>
      </c>
      <c r="C211" s="43">
        <v>12169</v>
      </c>
      <c r="D211" s="44">
        <v>0</v>
      </c>
      <c r="E211" s="45">
        <v>43.7</v>
      </c>
      <c r="F211" s="46">
        <f t="shared" si="0"/>
        <v>38.6</v>
      </c>
      <c r="G211" s="46">
        <f t="shared" si="19"/>
        <v>1.2684372288341783</v>
      </c>
      <c r="H211" s="47">
        <f t="shared" si="2"/>
        <v>55.430706900053593</v>
      </c>
      <c r="I211" s="48">
        <f t="shared" si="3"/>
        <v>6745.3627226675217</v>
      </c>
      <c r="J211" s="55"/>
      <c r="K211" s="55"/>
      <c r="L211" s="56"/>
      <c r="M211" s="49">
        <v>1615</v>
      </c>
      <c r="N211" s="43">
        <f t="shared" si="4"/>
        <v>895.20591643586556</v>
      </c>
    </row>
    <row r="212" spans="1:14">
      <c r="A212" s="42">
        <v>50401</v>
      </c>
      <c r="B212" s="42" t="s">
        <v>264</v>
      </c>
      <c r="C212" s="43">
        <v>14735</v>
      </c>
      <c r="D212" s="44">
        <v>17.8</v>
      </c>
      <c r="E212" s="45">
        <v>43.7</v>
      </c>
      <c r="F212" s="46">
        <f t="shared" si="0"/>
        <v>34.790800000000004</v>
      </c>
      <c r="G212" s="46">
        <f t="shared" si="19"/>
        <v>1.1432628482104699</v>
      </c>
      <c r="H212" s="47">
        <f t="shared" si="2"/>
        <v>49.960586466797537</v>
      </c>
      <c r="I212" s="48">
        <f t="shared" si="3"/>
        <v>7361.6924158826168</v>
      </c>
      <c r="J212" s="55"/>
      <c r="K212" s="55"/>
      <c r="L212" s="56"/>
      <c r="M212" s="49">
        <v>2046</v>
      </c>
      <c r="N212" s="43">
        <f t="shared" si="4"/>
        <v>1022.1935991106776</v>
      </c>
    </row>
    <row r="213" spans="1:14">
      <c r="A213" s="42">
        <v>50402</v>
      </c>
      <c r="B213" s="42" t="s">
        <v>265</v>
      </c>
      <c r="C213" s="43">
        <v>20967</v>
      </c>
      <c r="D213" s="44">
        <v>0</v>
      </c>
      <c r="E213" s="45">
        <v>43.7</v>
      </c>
      <c r="F213" s="46">
        <f t="shared" si="0"/>
        <v>38.6</v>
      </c>
      <c r="G213" s="46">
        <f t="shared" si="19"/>
        <v>1.2684372288341783</v>
      </c>
      <c r="H213" s="47">
        <f t="shared" si="2"/>
        <v>55.430706900053593</v>
      </c>
      <c r="I213" s="48">
        <f t="shared" si="3"/>
        <v>11622.156315734237</v>
      </c>
      <c r="J213" s="55"/>
      <c r="K213" s="55"/>
      <c r="L213" s="56"/>
      <c r="M213" s="49">
        <v>2777</v>
      </c>
      <c r="N213" s="43">
        <f t="shared" si="4"/>
        <v>1539.3107306144884</v>
      </c>
    </row>
    <row r="214" spans="1:14">
      <c r="A214" s="42">
        <v>50403</v>
      </c>
      <c r="B214" s="42" t="s">
        <v>266</v>
      </c>
      <c r="C214" s="43">
        <v>24070</v>
      </c>
      <c r="D214" s="44">
        <v>0</v>
      </c>
      <c r="E214" s="45">
        <v>43.7</v>
      </c>
      <c r="F214" s="46">
        <f t="shared" si="0"/>
        <v>38.6</v>
      </c>
      <c r="G214" s="46">
        <f t="shared" si="19"/>
        <v>1.2684372288341783</v>
      </c>
      <c r="H214" s="47">
        <f t="shared" si="2"/>
        <v>55.430706900053593</v>
      </c>
      <c r="I214" s="48">
        <f t="shared" si="3"/>
        <v>13342.1711508429</v>
      </c>
      <c r="J214" s="55"/>
      <c r="K214" s="55"/>
      <c r="L214" s="56"/>
      <c r="M214" s="49">
        <v>3025</v>
      </c>
      <c r="N214" s="43">
        <f t="shared" si="4"/>
        <v>1676.7788837266212</v>
      </c>
    </row>
    <row r="215" spans="1:14">
      <c r="A215" s="42">
        <v>50404</v>
      </c>
      <c r="B215" s="42" t="s">
        <v>267</v>
      </c>
      <c r="C215" s="43">
        <v>16990</v>
      </c>
      <c r="D215" s="44">
        <v>0</v>
      </c>
      <c r="E215" s="45">
        <v>43.7</v>
      </c>
      <c r="F215" s="46">
        <f t="shared" si="0"/>
        <v>38.6</v>
      </c>
      <c r="G215" s="46">
        <f t="shared" si="19"/>
        <v>1.2684372288341783</v>
      </c>
      <c r="H215" s="47">
        <f t="shared" si="2"/>
        <v>55.430706900053593</v>
      </c>
      <c r="I215" s="48">
        <f t="shared" si="3"/>
        <v>9417.677102319105</v>
      </c>
      <c r="J215" s="55"/>
      <c r="K215" s="55"/>
      <c r="L215" s="56"/>
      <c r="M215" s="49">
        <v>2504</v>
      </c>
      <c r="N215" s="43">
        <f t="shared" si="4"/>
        <v>1387.9849007773419</v>
      </c>
    </row>
    <row r="216" spans="1:14">
      <c r="A216" s="42">
        <v>50405</v>
      </c>
      <c r="B216" s="42" t="s">
        <v>268</v>
      </c>
      <c r="C216" s="43">
        <v>18951</v>
      </c>
      <c r="D216" s="44">
        <v>0</v>
      </c>
      <c r="E216" s="45">
        <v>43.7</v>
      </c>
      <c r="F216" s="46">
        <f t="shared" si="0"/>
        <v>38.6</v>
      </c>
      <c r="G216" s="46">
        <f t="shared" si="19"/>
        <v>1.2684372288341783</v>
      </c>
      <c r="H216" s="47">
        <f t="shared" si="2"/>
        <v>55.430706900053593</v>
      </c>
      <c r="I216" s="48">
        <f t="shared" si="3"/>
        <v>10504.673264629157</v>
      </c>
      <c r="J216" s="55"/>
      <c r="K216" s="55"/>
      <c r="L216" s="56"/>
      <c r="M216" s="49">
        <v>2756</v>
      </c>
      <c r="N216" s="43">
        <f t="shared" si="4"/>
        <v>1527.6702821654771</v>
      </c>
    </row>
    <row r="217" spans="1:14">
      <c r="A217" s="42">
        <v>50501</v>
      </c>
      <c r="B217" s="42" t="s">
        <v>269</v>
      </c>
      <c r="C217" s="43">
        <v>29149</v>
      </c>
      <c r="D217" s="44">
        <v>0</v>
      </c>
      <c r="E217" s="45">
        <v>43.7</v>
      </c>
      <c r="F217" s="46">
        <f t="shared" si="0"/>
        <v>38.6</v>
      </c>
      <c r="G217" s="46">
        <f t="shared" si="19"/>
        <v>1.2684372288341783</v>
      </c>
      <c r="H217" s="47">
        <f t="shared" si="2"/>
        <v>55.430706900053593</v>
      </c>
      <c r="I217" s="48">
        <f t="shared" si="3"/>
        <v>16157.496754296622</v>
      </c>
      <c r="J217" s="55"/>
      <c r="K217" s="55"/>
      <c r="L217" s="56"/>
      <c r="M217" s="49">
        <v>3979</v>
      </c>
      <c r="N217" s="43">
        <f t="shared" si="4"/>
        <v>2205.5878275531322</v>
      </c>
    </row>
    <row r="218" spans="1:14">
      <c r="A218" s="42">
        <v>50502</v>
      </c>
      <c r="B218" s="42" t="s">
        <v>270</v>
      </c>
      <c r="C218" s="43">
        <v>10748</v>
      </c>
      <c r="D218" s="44">
        <v>0</v>
      </c>
      <c r="E218" s="45">
        <v>43.7</v>
      </c>
      <c r="F218" s="46">
        <f t="shared" si="0"/>
        <v>38.6</v>
      </c>
      <c r="G218" s="46">
        <f t="shared" si="19"/>
        <v>1.2684372288341783</v>
      </c>
      <c r="H218" s="47">
        <f t="shared" si="2"/>
        <v>55.430706900053593</v>
      </c>
      <c r="I218" s="48">
        <f t="shared" si="3"/>
        <v>5957.69237761776</v>
      </c>
      <c r="J218" s="55"/>
      <c r="K218" s="55"/>
      <c r="L218" s="56"/>
      <c r="M218" s="49">
        <v>1459</v>
      </c>
      <c r="N218" s="43">
        <f t="shared" si="4"/>
        <v>808.7340136717819</v>
      </c>
    </row>
    <row r="219" spans="1:14">
      <c r="A219" s="42">
        <v>50601</v>
      </c>
      <c r="B219" s="42" t="s">
        <v>271</v>
      </c>
      <c r="C219" s="43">
        <v>28973</v>
      </c>
      <c r="D219" s="44">
        <v>12.9</v>
      </c>
      <c r="E219" s="45">
        <v>43.7</v>
      </c>
      <c r="F219" s="46">
        <f t="shared" si="0"/>
        <v>35.839399999999998</v>
      </c>
      <c r="G219" s="46">
        <f t="shared" si="19"/>
        <v>1.1777209642248612</v>
      </c>
      <c r="H219" s="47">
        <f t="shared" si="2"/>
        <v>51.466406136626439</v>
      </c>
      <c r="I219" s="48">
        <f t="shared" si="3"/>
        <v>14911.361849964778</v>
      </c>
      <c r="J219" s="55"/>
      <c r="K219" s="55"/>
      <c r="L219" s="56"/>
      <c r="M219" s="49">
        <v>3212</v>
      </c>
      <c r="N219" s="43">
        <f t="shared" si="4"/>
        <v>1653.1009651084414</v>
      </c>
    </row>
    <row r="220" spans="1:14">
      <c r="A220" s="42">
        <v>50602</v>
      </c>
      <c r="B220" s="42" t="s">
        <v>272</v>
      </c>
      <c r="C220" s="43">
        <v>10883</v>
      </c>
      <c r="D220" s="44">
        <v>0</v>
      </c>
      <c r="E220" s="45">
        <v>43.7</v>
      </c>
      <c r="F220" s="46">
        <f t="shared" si="0"/>
        <v>38.6</v>
      </c>
      <c r="G220" s="46">
        <f t="shared" si="19"/>
        <v>1.2684372288341783</v>
      </c>
      <c r="H220" s="47">
        <f t="shared" si="2"/>
        <v>55.430706900053593</v>
      </c>
      <c r="I220" s="48">
        <f t="shared" si="3"/>
        <v>6032.5238319328319</v>
      </c>
      <c r="J220" s="55"/>
      <c r="K220" s="55"/>
      <c r="L220" s="56"/>
      <c r="M220" s="49">
        <v>1183</v>
      </c>
      <c r="N220" s="43">
        <f t="shared" si="4"/>
        <v>655.74526262763402</v>
      </c>
    </row>
    <row r="221" spans="1:14">
      <c r="A221" s="42">
        <v>50701</v>
      </c>
      <c r="B221" s="42" t="s">
        <v>273</v>
      </c>
      <c r="C221" s="43">
        <v>19289</v>
      </c>
      <c r="D221" s="44">
        <v>7.8</v>
      </c>
      <c r="E221" s="45">
        <v>43.7</v>
      </c>
      <c r="F221" s="46">
        <f t="shared" si="0"/>
        <v>36.930799999999998</v>
      </c>
      <c r="G221" s="46">
        <f t="shared" si="19"/>
        <v>1.2135855339541259</v>
      </c>
      <c r="H221" s="47">
        <f t="shared" si="2"/>
        <v>53.033687833795305</v>
      </c>
      <c r="I221" s="48">
        <f t="shared" si="3"/>
        <v>10229.668046260776</v>
      </c>
      <c r="J221" s="55"/>
      <c r="K221" s="55"/>
      <c r="L221" s="56"/>
      <c r="M221" s="49">
        <v>2737</v>
      </c>
      <c r="N221" s="43">
        <f t="shared" si="4"/>
        <v>1451.5320360109774</v>
      </c>
    </row>
    <row r="222" spans="1:14">
      <c r="A222" s="42">
        <v>50702</v>
      </c>
      <c r="B222" s="42" t="s">
        <v>274</v>
      </c>
      <c r="C222" s="43">
        <v>8823</v>
      </c>
      <c r="D222" s="44">
        <v>0</v>
      </c>
      <c r="E222" s="45">
        <v>43.7</v>
      </c>
      <c r="F222" s="46">
        <f t="shared" si="0"/>
        <v>38.6</v>
      </c>
      <c r="G222" s="46">
        <f t="shared" si="19"/>
        <v>1.2684372288341783</v>
      </c>
      <c r="H222" s="47">
        <f t="shared" si="2"/>
        <v>55.430706900053593</v>
      </c>
      <c r="I222" s="48">
        <f t="shared" si="3"/>
        <v>4890.6512697917287</v>
      </c>
      <c r="J222" s="55"/>
      <c r="K222" s="55"/>
      <c r="L222" s="56"/>
      <c r="M222" s="49">
        <v>1166</v>
      </c>
      <c r="N222" s="43">
        <f t="shared" si="4"/>
        <v>646.32204245462492</v>
      </c>
    </row>
    <row r="223" spans="1:14">
      <c r="A223" s="42">
        <v>50801</v>
      </c>
      <c r="B223" s="42" t="s">
        <v>275</v>
      </c>
      <c r="C223" s="43">
        <v>42459</v>
      </c>
      <c r="D223" s="44">
        <v>59.6</v>
      </c>
      <c r="E223" s="45">
        <v>43.7</v>
      </c>
      <c r="F223" s="46">
        <f t="shared" si="0"/>
        <v>25.845599999999997</v>
      </c>
      <c r="G223" s="46">
        <f t="shared" si="19"/>
        <v>0.84931402180198534</v>
      </c>
      <c r="H223" s="47">
        <f t="shared" si="2"/>
        <v>37.115022752746761</v>
      </c>
      <c r="I223" s="48">
        <f t="shared" si="3"/>
        <v>15758.667510588746</v>
      </c>
      <c r="J223" s="55"/>
      <c r="K223" s="55"/>
      <c r="L223" s="56"/>
      <c r="M223" s="49">
        <v>4766</v>
      </c>
      <c r="N223" s="43">
        <f t="shared" si="4"/>
        <v>1768.9019843959106</v>
      </c>
    </row>
    <row r="224" spans="1:14">
      <c r="A224" s="42">
        <v>50802</v>
      </c>
      <c r="B224" s="42" t="s">
        <v>276</v>
      </c>
      <c r="C224" s="43">
        <v>10617</v>
      </c>
      <c r="D224" s="44">
        <v>42.6</v>
      </c>
      <c r="E224" s="45">
        <v>43.7</v>
      </c>
      <c r="F224" s="46">
        <f t="shared" si="0"/>
        <v>29.483600000000003</v>
      </c>
      <c r="G224" s="46">
        <f t="shared" si="19"/>
        <v>0.96886258756620147</v>
      </c>
      <c r="H224" s="47">
        <f t="shared" si="2"/>
        <v>42.339295076643005</v>
      </c>
      <c r="I224" s="48">
        <f t="shared" si="3"/>
        <v>4495.1629582871883</v>
      </c>
      <c r="J224" s="55"/>
      <c r="K224" s="55"/>
      <c r="L224" s="56"/>
      <c r="M224" s="49">
        <v>1418</v>
      </c>
      <c r="N224" s="43">
        <f t="shared" si="4"/>
        <v>600.37120418679785</v>
      </c>
    </row>
    <row r="225" spans="1:14">
      <c r="A225" s="42">
        <v>50901</v>
      </c>
      <c r="B225" s="42" t="s">
        <v>277</v>
      </c>
      <c r="C225" s="43">
        <v>11778</v>
      </c>
      <c r="D225" s="44">
        <v>0</v>
      </c>
      <c r="E225" s="45">
        <v>43.7</v>
      </c>
      <c r="F225" s="46">
        <f t="shared" si="0"/>
        <v>38.6</v>
      </c>
      <c r="G225" s="46">
        <f t="shared" si="19"/>
        <v>1.2684372288341783</v>
      </c>
      <c r="H225" s="47">
        <f t="shared" si="2"/>
        <v>55.430706900053593</v>
      </c>
      <c r="I225" s="48">
        <f t="shared" si="3"/>
        <v>6528.6286586883116</v>
      </c>
      <c r="J225" s="55"/>
      <c r="K225" s="55"/>
      <c r="L225" s="56"/>
      <c r="M225" s="49">
        <v>1382</v>
      </c>
      <c r="N225" s="43">
        <f t="shared" si="4"/>
        <v>766.05236935874063</v>
      </c>
    </row>
    <row r="226" spans="1:14">
      <c r="A226" s="42">
        <v>50902</v>
      </c>
      <c r="B226" s="42" t="s">
        <v>278</v>
      </c>
      <c r="C226" s="43">
        <v>971</v>
      </c>
      <c r="D226" s="44">
        <v>0</v>
      </c>
      <c r="E226" s="45">
        <v>43.7</v>
      </c>
      <c r="F226" s="46">
        <f t="shared" si="0"/>
        <v>38.6</v>
      </c>
      <c r="G226" s="46">
        <f t="shared" si="19"/>
        <v>1.2684372288341783</v>
      </c>
      <c r="H226" s="47">
        <f t="shared" si="2"/>
        <v>55.430706900053593</v>
      </c>
      <c r="I226" s="48">
        <f t="shared" si="3"/>
        <v>538.23216399952037</v>
      </c>
      <c r="J226" s="55"/>
      <c r="K226" s="55"/>
      <c r="L226" s="56"/>
      <c r="M226" s="49">
        <v>87</v>
      </c>
      <c r="N226" s="43">
        <f t="shared" si="4"/>
        <v>48.224715003046619</v>
      </c>
    </row>
    <row r="227" spans="1:14">
      <c r="A227" s="42">
        <v>51001</v>
      </c>
      <c r="B227" s="42" t="s">
        <v>279</v>
      </c>
      <c r="C227" s="43">
        <v>3063</v>
      </c>
      <c r="D227" s="44">
        <v>0</v>
      </c>
      <c r="E227" s="45">
        <v>43.7</v>
      </c>
      <c r="F227" s="46">
        <f t="shared" si="0"/>
        <v>38.6</v>
      </c>
      <c r="G227" s="46">
        <f t="shared" si="19"/>
        <v>1.2684372288341783</v>
      </c>
      <c r="H227" s="47">
        <f t="shared" si="2"/>
        <v>55.430706900053593</v>
      </c>
      <c r="I227" s="48">
        <f t="shared" si="3"/>
        <v>1697.8425523486417</v>
      </c>
      <c r="J227" s="55"/>
      <c r="K227" s="55"/>
      <c r="L227" s="56"/>
      <c r="M227" s="49">
        <v>425</v>
      </c>
      <c r="N227" s="43">
        <f t="shared" si="4"/>
        <v>235.58050432522776</v>
      </c>
    </row>
    <row r="228" spans="1:14">
      <c r="A228" s="42">
        <v>51002</v>
      </c>
      <c r="B228" s="42" t="s">
        <v>280</v>
      </c>
      <c r="C228" s="43">
        <v>1011</v>
      </c>
      <c r="D228" s="44">
        <v>0</v>
      </c>
      <c r="E228" s="45">
        <v>43.7</v>
      </c>
      <c r="F228" s="46">
        <f t="shared" si="0"/>
        <v>38.6</v>
      </c>
      <c r="G228" s="46">
        <f t="shared" si="19"/>
        <v>1.2684372288341783</v>
      </c>
      <c r="H228" s="47">
        <f t="shared" si="2"/>
        <v>55.430706900053593</v>
      </c>
      <c r="I228" s="48">
        <f t="shared" si="3"/>
        <v>560.40444675954177</v>
      </c>
      <c r="J228" s="55"/>
      <c r="K228" s="55"/>
      <c r="L228" s="56"/>
      <c r="M228" s="49">
        <v>136</v>
      </c>
      <c r="N228" s="43">
        <f t="shared" si="4"/>
        <v>75.385761384072879</v>
      </c>
    </row>
    <row r="229" spans="1:14">
      <c r="A229" s="42">
        <v>51003</v>
      </c>
      <c r="B229" s="42" t="s">
        <v>281</v>
      </c>
      <c r="C229" s="43">
        <v>2059</v>
      </c>
      <c r="D229" s="44">
        <v>0</v>
      </c>
      <c r="E229" s="45">
        <v>43.7</v>
      </c>
      <c r="F229" s="46">
        <f t="shared" si="0"/>
        <v>38.6</v>
      </c>
      <c r="G229" s="46">
        <f t="shared" si="19"/>
        <v>1.2684372288341783</v>
      </c>
      <c r="H229" s="47">
        <f t="shared" si="2"/>
        <v>55.430706900053593</v>
      </c>
      <c r="I229" s="48">
        <f t="shared" si="3"/>
        <v>1141.3182550721035</v>
      </c>
      <c r="J229" s="55"/>
      <c r="K229" s="55"/>
      <c r="L229" s="56"/>
      <c r="M229" s="49">
        <v>275</v>
      </c>
      <c r="N229" s="43">
        <f t="shared" si="4"/>
        <v>152.43444397514739</v>
      </c>
    </row>
    <row r="230" spans="1:14">
      <c r="A230" s="42">
        <v>51101</v>
      </c>
      <c r="B230" s="42" t="s">
        <v>282</v>
      </c>
      <c r="C230" s="43">
        <v>22533</v>
      </c>
      <c r="D230" s="44">
        <v>0</v>
      </c>
      <c r="E230" s="45">
        <v>43.7</v>
      </c>
      <c r="F230" s="46">
        <f t="shared" si="0"/>
        <v>38.6</v>
      </c>
      <c r="G230" s="46">
        <f t="shared" si="19"/>
        <v>1.2684372288341783</v>
      </c>
      <c r="H230" s="47">
        <f t="shared" si="2"/>
        <v>55.430706900053593</v>
      </c>
      <c r="I230" s="48">
        <f t="shared" si="3"/>
        <v>12490.201185789076</v>
      </c>
      <c r="J230" s="55"/>
      <c r="K230" s="55"/>
      <c r="L230" s="56"/>
      <c r="M230" s="49">
        <v>2538</v>
      </c>
      <c r="N230" s="43">
        <f t="shared" si="4"/>
        <v>1406.8313411233603</v>
      </c>
    </row>
    <row r="231" spans="1:14">
      <c r="A231" s="42">
        <v>51102</v>
      </c>
      <c r="B231" s="42" t="s">
        <v>283</v>
      </c>
      <c r="C231" s="43">
        <v>11648</v>
      </c>
      <c r="D231" s="44">
        <v>13.9</v>
      </c>
      <c r="E231" s="45">
        <v>43.7</v>
      </c>
      <c r="F231" s="46">
        <f t="shared" si="0"/>
        <v>35.625399999999999</v>
      </c>
      <c r="G231" s="46">
        <f t="shared" si="19"/>
        <v>1.1706886956504956</v>
      </c>
      <c r="H231" s="47">
        <f t="shared" si="2"/>
        <v>51.159095999926663</v>
      </c>
      <c r="I231" s="48">
        <f t="shared" si="3"/>
        <v>5959.0115020714575</v>
      </c>
      <c r="J231" s="55"/>
      <c r="K231" s="55"/>
      <c r="L231" s="56"/>
      <c r="M231" s="49">
        <v>1209</v>
      </c>
      <c r="N231" s="43">
        <f t="shared" si="4"/>
        <v>618.51347063911339</v>
      </c>
    </row>
    <row r="232" spans="1:14">
      <c r="A232" s="42">
        <v>51103</v>
      </c>
      <c r="B232" s="42" t="s">
        <v>284</v>
      </c>
      <c r="C232" s="43">
        <v>16203</v>
      </c>
      <c r="D232" s="44">
        <v>0</v>
      </c>
      <c r="E232" s="45">
        <v>43.7</v>
      </c>
      <c r="F232" s="46">
        <f t="shared" si="0"/>
        <v>38.6</v>
      </c>
      <c r="G232" s="46">
        <f t="shared" si="19"/>
        <v>1.2684372288341783</v>
      </c>
      <c r="H232" s="47">
        <f t="shared" si="2"/>
        <v>55.430706900053593</v>
      </c>
      <c r="I232" s="48">
        <f t="shared" si="3"/>
        <v>8981.4374390156827</v>
      </c>
      <c r="J232" s="55"/>
      <c r="K232" s="55"/>
      <c r="L232" s="56"/>
      <c r="M232" s="49">
        <v>2413</v>
      </c>
      <c r="N232" s="43">
        <f t="shared" si="4"/>
        <v>1337.5429574982932</v>
      </c>
    </row>
    <row r="233" spans="1:14">
      <c r="A233" s="42">
        <v>51201</v>
      </c>
      <c r="B233" s="42" t="s">
        <v>285</v>
      </c>
      <c r="C233" s="43">
        <v>25684</v>
      </c>
      <c r="D233" s="44">
        <v>59.4</v>
      </c>
      <c r="E233" s="45">
        <v>43.7</v>
      </c>
      <c r="F233" s="46">
        <f t="shared" si="0"/>
        <v>25.888400000000001</v>
      </c>
      <c r="G233" s="46">
        <f t="shared" si="19"/>
        <v>0.85072047551685848</v>
      </c>
      <c r="H233" s="47">
        <f t="shared" si="2"/>
        <v>37.176484780086717</v>
      </c>
      <c r="I233" s="48">
        <f t="shared" si="3"/>
        <v>9548.4083509174725</v>
      </c>
      <c r="J233" s="55"/>
      <c r="K233" s="55"/>
      <c r="L233" s="56"/>
      <c r="M233" s="49">
        <v>3136</v>
      </c>
      <c r="N233" s="43">
        <f t="shared" si="4"/>
        <v>1165.8545627035194</v>
      </c>
    </row>
    <row r="234" spans="1:14">
      <c r="A234" s="42">
        <v>51202</v>
      </c>
      <c r="B234" s="42" t="s">
        <v>286</v>
      </c>
      <c r="C234" s="43">
        <v>8533</v>
      </c>
      <c r="D234" s="44">
        <v>0</v>
      </c>
      <c r="E234" s="45">
        <v>43.7</v>
      </c>
      <c r="F234" s="46">
        <f t="shared" si="0"/>
        <v>38.6</v>
      </c>
      <c r="G234" s="46">
        <f t="shared" si="19"/>
        <v>1.2684372288341783</v>
      </c>
      <c r="H234" s="47">
        <f t="shared" si="2"/>
        <v>55.430706900053593</v>
      </c>
      <c r="I234" s="48">
        <f t="shared" si="3"/>
        <v>4729.902219781573</v>
      </c>
      <c r="J234" s="55"/>
      <c r="K234" s="55"/>
      <c r="L234" s="56"/>
      <c r="M234" s="49">
        <v>978</v>
      </c>
      <c r="N234" s="43">
        <f t="shared" si="4"/>
        <v>542.11231348252409</v>
      </c>
    </row>
    <row r="235" spans="1:14">
      <c r="A235" s="42">
        <v>51203</v>
      </c>
      <c r="B235" s="42" t="s">
        <v>287</v>
      </c>
      <c r="C235" s="43">
        <v>9082</v>
      </c>
      <c r="D235" s="44">
        <v>47.5</v>
      </c>
      <c r="E235" s="45">
        <v>43.7</v>
      </c>
      <c r="F235" s="46">
        <f t="shared" si="0"/>
        <v>28.435000000000002</v>
      </c>
      <c r="G235" s="46">
        <f t="shared" si="19"/>
        <v>0.93440447155180983</v>
      </c>
      <c r="H235" s="47">
        <f t="shared" si="2"/>
        <v>40.833475406814095</v>
      </c>
      <c r="I235" s="48">
        <f t="shared" si="3"/>
        <v>3708.4962364468561</v>
      </c>
      <c r="J235" s="55"/>
      <c r="K235" s="55"/>
      <c r="L235" s="56"/>
      <c r="M235" s="49">
        <v>1380</v>
      </c>
      <c r="N235" s="43">
        <f t="shared" si="4"/>
        <v>563.50196061403449</v>
      </c>
    </row>
    <row r="236" spans="1:14">
      <c r="A236" s="42">
        <v>51204</v>
      </c>
      <c r="B236" s="42" t="s">
        <v>288</v>
      </c>
      <c r="C236" s="43">
        <v>5520</v>
      </c>
      <c r="D236" s="44">
        <v>0</v>
      </c>
      <c r="E236" s="45">
        <v>43.7</v>
      </c>
      <c r="F236" s="46">
        <f t="shared" si="0"/>
        <v>38.6</v>
      </c>
      <c r="G236" s="46">
        <f t="shared" si="19"/>
        <v>1.2684372288341783</v>
      </c>
      <c r="H236" s="47">
        <f t="shared" si="2"/>
        <v>55.430706900053593</v>
      </c>
      <c r="I236" s="48">
        <f t="shared" si="3"/>
        <v>3059.7750208829584</v>
      </c>
      <c r="J236" s="55"/>
      <c r="K236" s="55"/>
      <c r="L236" s="56"/>
      <c r="M236" s="49">
        <v>715</v>
      </c>
      <c r="N236" s="43">
        <f t="shared" si="4"/>
        <v>396.32955433538319</v>
      </c>
    </row>
    <row r="237" spans="1:14">
      <c r="A237" s="42">
        <v>51301</v>
      </c>
      <c r="B237" s="42" t="s">
        <v>289</v>
      </c>
      <c r="C237" s="43">
        <v>4421</v>
      </c>
      <c r="D237" s="44">
        <v>0</v>
      </c>
      <c r="E237" s="45">
        <v>43.7</v>
      </c>
      <c r="F237" s="46">
        <f t="shared" si="0"/>
        <v>38.6</v>
      </c>
      <c r="G237" s="46">
        <f t="shared" si="19"/>
        <v>1.2684372288341783</v>
      </c>
      <c r="H237" s="47">
        <f t="shared" si="2"/>
        <v>55.430706900053593</v>
      </c>
      <c r="I237" s="48">
        <f t="shared" si="3"/>
        <v>2450.591552051369</v>
      </c>
      <c r="J237" s="55"/>
      <c r="K237" s="55"/>
      <c r="L237" s="56"/>
      <c r="M237" s="49">
        <v>642</v>
      </c>
      <c r="N237" s="43">
        <f t="shared" si="4"/>
        <v>355.86513829834411</v>
      </c>
    </row>
    <row r="238" spans="1:14">
      <c r="A238" s="42">
        <v>51302</v>
      </c>
      <c r="B238" s="42" t="s">
        <v>290</v>
      </c>
      <c r="C238" s="43">
        <v>6017</v>
      </c>
      <c r="D238" s="44">
        <v>0</v>
      </c>
      <c r="E238" s="45">
        <v>43.7</v>
      </c>
      <c r="F238" s="46">
        <f t="shared" si="0"/>
        <v>38.6</v>
      </c>
      <c r="G238" s="46">
        <f t="shared" si="19"/>
        <v>1.2684372288341783</v>
      </c>
      <c r="H238" s="47">
        <f t="shared" si="2"/>
        <v>55.430706900053593</v>
      </c>
      <c r="I238" s="48">
        <f t="shared" si="3"/>
        <v>3335.2656341762249</v>
      </c>
      <c r="J238" s="55"/>
      <c r="K238" s="55"/>
      <c r="L238" s="56"/>
      <c r="M238" s="49">
        <v>830</v>
      </c>
      <c r="N238" s="43">
        <f t="shared" si="4"/>
        <v>460.07486727044483</v>
      </c>
    </row>
    <row r="239" spans="1:14">
      <c r="A239" s="42">
        <v>51401</v>
      </c>
      <c r="B239" s="42" t="s">
        <v>291</v>
      </c>
      <c r="C239" s="43">
        <v>3696</v>
      </c>
      <c r="D239" s="44">
        <v>0</v>
      </c>
      <c r="E239" s="45">
        <v>43.7</v>
      </c>
      <c r="F239" s="46">
        <f t="shared" si="0"/>
        <v>38.6</v>
      </c>
      <c r="G239" s="46">
        <f t="shared" si="19"/>
        <v>1.2684372288341783</v>
      </c>
      <c r="H239" s="47">
        <f t="shared" si="2"/>
        <v>55.430706900053593</v>
      </c>
      <c r="I239" s="48">
        <f t="shared" si="3"/>
        <v>2048.7189270259805</v>
      </c>
      <c r="J239" s="55"/>
      <c r="K239" s="55"/>
      <c r="L239" s="56"/>
      <c r="M239" s="49">
        <v>379</v>
      </c>
      <c r="N239" s="43">
        <f t="shared" si="4"/>
        <v>210.08237915120313</v>
      </c>
    </row>
    <row r="240" spans="1:14">
      <c r="A240" s="42">
        <v>51402</v>
      </c>
      <c r="B240" s="42" t="s">
        <v>292</v>
      </c>
      <c r="C240" s="43">
        <v>1869</v>
      </c>
      <c r="D240" s="44">
        <v>0</v>
      </c>
      <c r="E240" s="45">
        <v>43.7</v>
      </c>
      <c r="F240" s="46">
        <f t="shared" si="0"/>
        <v>38.6</v>
      </c>
      <c r="G240" s="46">
        <f t="shared" si="19"/>
        <v>1.2684372288341783</v>
      </c>
      <c r="H240" s="47">
        <f t="shared" si="2"/>
        <v>55.430706900053593</v>
      </c>
      <c r="I240" s="48">
        <f t="shared" si="3"/>
        <v>1035.9999119620015</v>
      </c>
      <c r="J240" s="42"/>
      <c r="K240" s="42"/>
      <c r="L240" s="42"/>
      <c r="M240" s="49">
        <v>201</v>
      </c>
      <c r="N240" s="43">
        <f t="shared" si="4"/>
        <v>111.41572086910772</v>
      </c>
    </row>
    <row r="241" spans="1:14">
      <c r="A241" s="42">
        <v>51501</v>
      </c>
      <c r="B241" s="42" t="s">
        <v>293</v>
      </c>
      <c r="C241" s="43">
        <v>41764</v>
      </c>
      <c r="D241" s="44">
        <v>78.2</v>
      </c>
      <c r="E241" s="45">
        <v>43.7</v>
      </c>
      <c r="F241" s="46">
        <f t="shared" si="0"/>
        <v>21.865199999999998</v>
      </c>
      <c r="G241" s="46">
        <f t="shared" si="19"/>
        <v>0.71851382631878424</v>
      </c>
      <c r="H241" s="47">
        <f t="shared" si="2"/>
        <v>31.399054210130874</v>
      </c>
      <c r="I241" s="48">
        <f t="shared" si="3"/>
        <v>13113.501000319058</v>
      </c>
      <c r="J241" s="55"/>
      <c r="K241" s="55"/>
      <c r="L241" s="56"/>
      <c r="M241" s="49">
        <v>4807</v>
      </c>
      <c r="N241" s="43">
        <f t="shared" si="4"/>
        <v>1509.3525358809911</v>
      </c>
    </row>
    <row r="242" spans="1:14">
      <c r="A242" s="42">
        <v>51601</v>
      </c>
      <c r="B242" s="42" t="s">
        <v>294</v>
      </c>
      <c r="C242" s="43">
        <v>1668</v>
      </c>
      <c r="D242" s="44">
        <v>0</v>
      </c>
      <c r="E242" s="45">
        <v>43.7</v>
      </c>
      <c r="F242" s="46">
        <f t="shared" si="0"/>
        <v>38.6</v>
      </c>
      <c r="G242" s="46">
        <f t="shared" si="19"/>
        <v>1.2684372288341783</v>
      </c>
      <c r="H242" s="47">
        <f t="shared" si="2"/>
        <v>55.430706900053593</v>
      </c>
      <c r="I242" s="48">
        <f t="shared" si="3"/>
        <v>924.58419109289389</v>
      </c>
      <c r="J242" s="55"/>
      <c r="K242" s="55"/>
      <c r="L242" s="56"/>
      <c r="M242" s="49">
        <v>175</v>
      </c>
      <c r="N242" s="43">
        <f t="shared" si="4"/>
        <v>97.003737075093795</v>
      </c>
    </row>
    <row r="243" spans="1:14">
      <c r="A243" s="42">
        <v>60101</v>
      </c>
      <c r="B243" s="42" t="s">
        <v>61</v>
      </c>
      <c r="C243" s="43">
        <v>186496</v>
      </c>
      <c r="D243" s="44">
        <v>87.8</v>
      </c>
      <c r="E243" s="45">
        <v>14.9</v>
      </c>
      <c r="F243" s="46">
        <f t="shared" si="0"/>
        <v>19.8108</v>
      </c>
      <c r="G243" s="46">
        <f t="shared" ref="G243:G253" si="20">1.37*F243/F$345</f>
        <v>0.80060641451227776</v>
      </c>
      <c r="H243" s="47">
        <f t="shared" si="2"/>
        <v>11.929035576232939</v>
      </c>
      <c r="I243" s="48">
        <f t="shared" si="3"/>
        <v>22247.174188251385</v>
      </c>
      <c r="J243" s="49">
        <f>SUM(C243:C253)</f>
        <v>449959</v>
      </c>
      <c r="K243" s="49">
        <f>SUM(I243:I253)</f>
        <v>67237.41754860575</v>
      </c>
      <c r="L243" s="50">
        <f>K243/J243</f>
        <v>0.14943009818362507</v>
      </c>
      <c r="M243" s="49">
        <v>18847</v>
      </c>
      <c r="N243" s="43">
        <f t="shared" si="4"/>
        <v>2248.265335052622</v>
      </c>
    </row>
    <row r="244" spans="1:14">
      <c r="A244" s="42">
        <v>60201</v>
      </c>
      <c r="B244" s="42" t="s">
        <v>295</v>
      </c>
      <c r="C244" s="43">
        <v>18892</v>
      </c>
      <c r="D244" s="44">
        <v>0</v>
      </c>
      <c r="E244" s="45">
        <v>14.9</v>
      </c>
      <c r="F244" s="46">
        <f t="shared" si="0"/>
        <v>38.6</v>
      </c>
      <c r="G244" s="46">
        <f t="shared" si="20"/>
        <v>1.5599272921928404</v>
      </c>
      <c r="H244" s="47">
        <f t="shared" si="2"/>
        <v>23.242916653673323</v>
      </c>
      <c r="I244" s="48">
        <f t="shared" si="3"/>
        <v>4391.0518142119645</v>
      </c>
      <c r="J244" s="55"/>
      <c r="K244" s="55"/>
      <c r="L244" s="56"/>
      <c r="M244" s="49">
        <v>2237</v>
      </c>
      <c r="N244" s="43">
        <f t="shared" si="4"/>
        <v>519.94404554267226</v>
      </c>
    </row>
    <row r="245" spans="1:14">
      <c r="A245" s="42">
        <v>60202</v>
      </c>
      <c r="B245" s="42" t="s">
        <v>296</v>
      </c>
      <c r="C245" s="43">
        <v>34070</v>
      </c>
      <c r="D245" s="44">
        <v>83</v>
      </c>
      <c r="E245" s="45">
        <v>14.9</v>
      </c>
      <c r="F245" s="46">
        <f t="shared" si="0"/>
        <v>20.838000000000001</v>
      </c>
      <c r="G245" s="46">
        <f t="shared" si="20"/>
        <v>0.84211826203923335</v>
      </c>
      <c r="H245" s="47">
        <f t="shared" si="2"/>
        <v>12.547562104384577</v>
      </c>
      <c r="I245" s="48">
        <f t="shared" si="3"/>
        <v>4274.9544089638248</v>
      </c>
      <c r="J245" s="55"/>
      <c r="K245" s="55"/>
      <c r="L245" s="56"/>
      <c r="M245" s="49">
        <v>3760</v>
      </c>
      <c r="N245" s="43">
        <f t="shared" si="4"/>
        <v>471.78833512486011</v>
      </c>
    </row>
    <row r="246" spans="1:14">
      <c r="A246" s="42">
        <v>60301</v>
      </c>
      <c r="B246" s="42" t="s">
        <v>297</v>
      </c>
      <c r="C246" s="43">
        <v>89072</v>
      </c>
      <c r="D246" s="44">
        <v>72.400000000000006</v>
      </c>
      <c r="E246" s="45">
        <v>14.9</v>
      </c>
      <c r="F246" s="46">
        <f t="shared" si="0"/>
        <v>23.106400000000001</v>
      </c>
      <c r="G246" s="46">
        <f t="shared" si="20"/>
        <v>0.9337902586612602</v>
      </c>
      <c r="H246" s="47">
        <f t="shared" si="2"/>
        <v>13.913474854052778</v>
      </c>
      <c r="I246" s="48">
        <f t="shared" si="3"/>
        <v>12393.01032200189</v>
      </c>
      <c r="J246" s="55"/>
      <c r="K246" s="55"/>
      <c r="L246" s="56"/>
      <c r="M246" s="49">
        <v>10696</v>
      </c>
      <c r="N246" s="43">
        <f t="shared" si="4"/>
        <v>1488.1852703894851</v>
      </c>
    </row>
    <row r="247" spans="1:14">
      <c r="A247" s="42">
        <v>60302</v>
      </c>
      <c r="B247" s="42" t="s">
        <v>298</v>
      </c>
      <c r="C247" s="43">
        <v>13064</v>
      </c>
      <c r="D247" s="44">
        <v>14.7</v>
      </c>
      <c r="E247" s="45">
        <v>14.9</v>
      </c>
      <c r="F247" s="46">
        <f t="shared" si="0"/>
        <v>35.4542</v>
      </c>
      <c r="G247" s="46">
        <f t="shared" si="20"/>
        <v>1.4327972591415388</v>
      </c>
      <c r="H247" s="47">
        <f t="shared" si="2"/>
        <v>21.348679161208928</v>
      </c>
      <c r="I247" s="48">
        <f t="shared" si="3"/>
        <v>2788.9914456203342</v>
      </c>
      <c r="J247" s="55"/>
      <c r="K247" s="55"/>
      <c r="L247" s="56"/>
      <c r="M247" s="49">
        <v>1495</v>
      </c>
      <c r="N247" s="43">
        <f t="shared" si="4"/>
        <v>319.16275346007347</v>
      </c>
    </row>
    <row r="248" spans="1:14">
      <c r="A248" s="42">
        <v>60303</v>
      </c>
      <c r="B248" s="42" t="s">
        <v>299</v>
      </c>
      <c r="C248" s="43">
        <v>34012</v>
      </c>
      <c r="D248" s="44">
        <v>72.900000000000006</v>
      </c>
      <c r="E248" s="45">
        <v>14.9</v>
      </c>
      <c r="F248" s="46">
        <f t="shared" si="0"/>
        <v>22.999399999999998</v>
      </c>
      <c r="G248" s="46">
        <f t="shared" si="20"/>
        <v>0.9294661078772023</v>
      </c>
      <c r="H248" s="47">
        <f t="shared" si="2"/>
        <v>13.849045007370314</v>
      </c>
      <c r="I248" s="48">
        <f t="shared" si="3"/>
        <v>4710.3371879067909</v>
      </c>
      <c r="J248" s="55"/>
      <c r="K248" s="55"/>
      <c r="L248" s="56"/>
      <c r="M248" s="49">
        <v>4017</v>
      </c>
      <c r="N248" s="43">
        <f t="shared" si="4"/>
        <v>556.31613794606551</v>
      </c>
    </row>
    <row r="249" spans="1:14">
      <c r="A249" s="42">
        <v>60401</v>
      </c>
      <c r="B249" s="42" t="s">
        <v>300</v>
      </c>
      <c r="C249" s="43">
        <v>13890</v>
      </c>
      <c r="D249" s="44">
        <v>0</v>
      </c>
      <c r="E249" s="45">
        <v>14.9</v>
      </c>
      <c r="F249" s="46">
        <f t="shared" si="0"/>
        <v>38.6</v>
      </c>
      <c r="G249" s="46">
        <f t="shared" si="20"/>
        <v>1.5599272921928404</v>
      </c>
      <c r="H249" s="47">
        <f t="shared" si="2"/>
        <v>23.242916653673323</v>
      </c>
      <c r="I249" s="48">
        <f t="shared" si="3"/>
        <v>3228.4411231952249</v>
      </c>
      <c r="J249" s="55"/>
      <c r="K249" s="55"/>
      <c r="L249" s="56"/>
      <c r="M249" s="49">
        <v>1459</v>
      </c>
      <c r="N249" s="43">
        <f t="shared" si="4"/>
        <v>339.11415397709379</v>
      </c>
    </row>
    <row r="250" spans="1:14">
      <c r="A250" s="42">
        <v>60402</v>
      </c>
      <c r="B250" s="42" t="s">
        <v>301</v>
      </c>
      <c r="C250" s="43">
        <v>5375</v>
      </c>
      <c r="D250" s="44">
        <v>0</v>
      </c>
      <c r="E250" s="45">
        <v>14.9</v>
      </c>
      <c r="F250" s="46">
        <f t="shared" si="0"/>
        <v>38.6</v>
      </c>
      <c r="G250" s="46">
        <f t="shared" si="20"/>
        <v>1.5599272921928404</v>
      </c>
      <c r="H250" s="47">
        <f t="shared" si="2"/>
        <v>23.242916653673323</v>
      </c>
      <c r="I250" s="48">
        <f t="shared" si="3"/>
        <v>1249.306770134941</v>
      </c>
      <c r="J250" s="55"/>
      <c r="K250" s="55"/>
      <c r="L250" s="56"/>
      <c r="M250" s="49">
        <v>683</v>
      </c>
      <c r="N250" s="43">
        <f t="shared" si="4"/>
        <v>158.74912074458879</v>
      </c>
    </row>
    <row r="251" spans="1:14">
      <c r="A251" s="42">
        <v>60501</v>
      </c>
      <c r="B251" s="42" t="s">
        <v>302</v>
      </c>
      <c r="C251" s="43">
        <v>22958</v>
      </c>
      <c r="D251" s="44">
        <v>13.8</v>
      </c>
      <c r="E251" s="45">
        <v>14.9</v>
      </c>
      <c r="F251" s="46">
        <f t="shared" si="0"/>
        <v>35.646799999999999</v>
      </c>
      <c r="G251" s="46">
        <f t="shared" si="20"/>
        <v>1.4405807305528431</v>
      </c>
      <c r="H251" s="47">
        <f t="shared" si="2"/>
        <v>21.464652885237363</v>
      </c>
      <c r="I251" s="48">
        <f t="shared" si="3"/>
        <v>4927.8550093927943</v>
      </c>
      <c r="J251" s="42"/>
      <c r="K251" s="42"/>
      <c r="L251" s="42"/>
      <c r="M251" s="49">
        <v>2615</v>
      </c>
      <c r="N251" s="43">
        <f t="shared" si="4"/>
        <v>561.30067294895707</v>
      </c>
    </row>
    <row r="252" spans="1:14">
      <c r="A252" s="42">
        <v>60502</v>
      </c>
      <c r="B252" s="42" t="s">
        <v>303</v>
      </c>
      <c r="C252" s="43">
        <v>11103</v>
      </c>
      <c r="D252" s="44">
        <v>0</v>
      </c>
      <c r="E252" s="45">
        <v>14.9</v>
      </c>
      <c r="F252" s="46">
        <f t="shared" si="0"/>
        <v>38.6</v>
      </c>
      <c r="G252" s="46">
        <f t="shared" si="20"/>
        <v>1.5599272921928404</v>
      </c>
      <c r="H252" s="47">
        <f t="shared" si="2"/>
        <v>23.242916653673323</v>
      </c>
      <c r="I252" s="48">
        <f t="shared" si="3"/>
        <v>2580.6610360573491</v>
      </c>
      <c r="J252" s="55"/>
      <c r="K252" s="55"/>
      <c r="L252" s="56"/>
      <c r="M252" s="49">
        <v>1327</v>
      </c>
      <c r="N252" s="43">
        <f t="shared" si="4"/>
        <v>308.43350399424503</v>
      </c>
    </row>
    <row r="253" spans="1:14">
      <c r="A253" s="42">
        <v>60601</v>
      </c>
      <c r="B253" s="42" t="s">
        <v>208</v>
      </c>
      <c r="C253" s="43">
        <v>21027</v>
      </c>
      <c r="D253" s="44">
        <v>16.3</v>
      </c>
      <c r="E253" s="45">
        <v>14.9</v>
      </c>
      <c r="F253" s="46">
        <f t="shared" si="0"/>
        <v>35.111800000000002</v>
      </c>
      <c r="G253" s="46">
        <f t="shared" si="20"/>
        <v>1.4189599766325538</v>
      </c>
      <c r="H253" s="47">
        <f t="shared" si="2"/>
        <v>21.142503651825052</v>
      </c>
      <c r="I253" s="48">
        <f t="shared" si="3"/>
        <v>4445.6342428692533</v>
      </c>
      <c r="J253" s="55"/>
      <c r="K253" s="55"/>
      <c r="L253" s="56"/>
      <c r="M253" s="49">
        <v>2587</v>
      </c>
      <c r="N253" s="43">
        <f t="shared" si="4"/>
        <v>546.95656947271414</v>
      </c>
    </row>
    <row r="254" spans="1:14">
      <c r="A254" s="42">
        <v>70101</v>
      </c>
      <c r="B254" s="42" t="s">
        <v>304</v>
      </c>
      <c r="C254" s="43">
        <v>1330735</v>
      </c>
      <c r="D254" s="44">
        <v>98.9</v>
      </c>
      <c r="E254" s="45">
        <v>12</v>
      </c>
      <c r="F254" s="46">
        <f t="shared" si="0"/>
        <v>17.435399999999998</v>
      </c>
      <c r="G254" s="46">
        <f t="shared" ref="G254:G309" si="21">1.57*F254/F$345</f>
        <v>0.80747307982242533</v>
      </c>
      <c r="H254" s="47">
        <f t="shared" si="2"/>
        <v>9.6896769578691035</v>
      </c>
      <c r="I254" s="48">
        <f t="shared" si="3"/>
        <v>128943.92266529943</v>
      </c>
      <c r="J254" s="49">
        <f>SUM(C254:C309)</f>
        <v>2429288</v>
      </c>
      <c r="K254" s="49">
        <f>SUM(I254:I309)</f>
        <v>291358.65523293044</v>
      </c>
      <c r="L254" s="50">
        <f>K254/J254</f>
        <v>0.1199358228554747</v>
      </c>
      <c r="M254" s="49">
        <v>148561</v>
      </c>
      <c r="N254" s="43">
        <f t="shared" si="4"/>
        <v>14395.08098537992</v>
      </c>
    </row>
    <row r="255" spans="1:14">
      <c r="A255" s="42">
        <v>70102</v>
      </c>
      <c r="B255" s="42" t="s">
        <v>305</v>
      </c>
      <c r="C255" s="43">
        <v>48648</v>
      </c>
      <c r="D255" s="44">
        <v>56.8</v>
      </c>
      <c r="E255" s="45">
        <v>12</v>
      </c>
      <c r="F255" s="46">
        <f t="shared" si="0"/>
        <v>26.444800000000001</v>
      </c>
      <c r="G255" s="46">
        <f t="shared" si="21"/>
        <v>1.2247189110251602</v>
      </c>
      <c r="H255" s="47">
        <f t="shared" si="2"/>
        <v>14.696626932301921</v>
      </c>
      <c r="I255" s="48">
        <f t="shared" si="3"/>
        <v>7149.6150700262388</v>
      </c>
      <c r="J255" s="55"/>
      <c r="K255" s="55"/>
      <c r="L255" s="56"/>
      <c r="M255" s="49">
        <v>6703</v>
      </c>
      <c r="N255" s="43">
        <f t="shared" si="4"/>
        <v>985.11490327219781</v>
      </c>
    </row>
    <row r="256" spans="1:14">
      <c r="A256" s="42">
        <v>70103</v>
      </c>
      <c r="B256" s="42" t="s">
        <v>306</v>
      </c>
      <c r="C256" s="43">
        <v>13778</v>
      </c>
      <c r="D256" s="44">
        <v>16.899999999999999</v>
      </c>
      <c r="E256" s="45">
        <v>12</v>
      </c>
      <c r="F256" s="46">
        <f t="shared" si="0"/>
        <v>34.983400000000003</v>
      </c>
      <c r="G256" s="46">
        <f t="shared" si="21"/>
        <v>1.6201609220700324</v>
      </c>
      <c r="H256" s="47">
        <f t="shared" si="2"/>
        <v>19.441931064840389</v>
      </c>
      <c r="I256" s="48">
        <f t="shared" si="3"/>
        <v>2678.709262113709</v>
      </c>
      <c r="J256" s="55"/>
      <c r="K256" s="55"/>
      <c r="L256" s="56"/>
      <c r="M256" s="49">
        <v>1665</v>
      </c>
      <c r="N256" s="43">
        <f t="shared" si="4"/>
        <v>323.70815222959249</v>
      </c>
    </row>
    <row r="257" spans="1:14">
      <c r="A257" s="42">
        <v>70104</v>
      </c>
      <c r="B257" s="42" t="s">
        <v>307</v>
      </c>
      <c r="C257" s="43">
        <v>71200</v>
      </c>
      <c r="D257" s="44">
        <v>79.8</v>
      </c>
      <c r="E257" s="45">
        <v>12</v>
      </c>
      <c r="F257" s="46">
        <f t="shared" ref="F257:F344" si="22">$P$3+$P$4*D257</f>
        <v>21.5228</v>
      </c>
      <c r="G257" s="46">
        <f t="shared" si="21"/>
        <v>0.99676988210205086</v>
      </c>
      <c r="H257" s="47">
        <f t="shared" ref="H257:H344" si="23">E257*G257</f>
        <v>11.96123858522461</v>
      </c>
      <c r="I257" s="48">
        <f t="shared" ref="I257:I344" si="24">C257*H257/100</f>
        <v>8516.4018726799222</v>
      </c>
      <c r="J257" s="55"/>
      <c r="K257" s="55"/>
      <c r="L257" s="56"/>
      <c r="M257" s="49">
        <v>8666</v>
      </c>
      <c r="N257" s="43">
        <f t="shared" ref="N257:N344" si="25">+(H257*M257)/100</f>
        <v>1036.5609357955648</v>
      </c>
    </row>
    <row r="258" spans="1:14">
      <c r="A258" s="42">
        <v>70105</v>
      </c>
      <c r="B258" s="42" t="s">
        <v>308</v>
      </c>
      <c r="C258" s="43">
        <v>45401</v>
      </c>
      <c r="D258" s="44">
        <v>58.9</v>
      </c>
      <c r="E258" s="45">
        <v>12</v>
      </c>
      <c r="F258" s="46">
        <f t="shared" si="22"/>
        <v>25.9954</v>
      </c>
      <c r="G258" s="46">
        <f t="shared" si="21"/>
        <v>1.2039061736017458</v>
      </c>
      <c r="H258" s="47">
        <f t="shared" si="23"/>
        <v>14.446874083220949</v>
      </c>
      <c r="I258" s="48">
        <f t="shared" si="24"/>
        <v>6559.0253025231432</v>
      </c>
      <c r="J258" s="55"/>
      <c r="K258" s="55"/>
      <c r="L258" s="56"/>
      <c r="M258" s="49">
        <v>5468</v>
      </c>
      <c r="N258" s="43">
        <f t="shared" si="25"/>
        <v>789.95507487052146</v>
      </c>
    </row>
    <row r="259" spans="1:14">
      <c r="A259" s="42">
        <v>70201</v>
      </c>
      <c r="B259" s="42" t="s">
        <v>309</v>
      </c>
      <c r="C259" s="43">
        <v>77829</v>
      </c>
      <c r="D259" s="44">
        <v>69.7</v>
      </c>
      <c r="E259" s="45">
        <v>12</v>
      </c>
      <c r="F259" s="46">
        <f t="shared" si="22"/>
        <v>23.684199999999997</v>
      </c>
      <c r="G259" s="46">
        <f t="shared" si="21"/>
        <v>1.0968692382813292</v>
      </c>
      <c r="H259" s="47">
        <f t="shared" si="23"/>
        <v>13.16243085937595</v>
      </c>
      <c r="I259" s="48">
        <f t="shared" si="24"/>
        <v>10244.188313543707</v>
      </c>
      <c r="J259" s="55"/>
      <c r="K259" s="55"/>
      <c r="L259" s="56"/>
      <c r="M259" s="49">
        <v>10257</v>
      </c>
      <c r="N259" s="43">
        <f t="shared" si="25"/>
        <v>1350.0705332461914</v>
      </c>
    </row>
    <row r="260" spans="1:14">
      <c r="A260" s="42">
        <v>70202</v>
      </c>
      <c r="B260" s="42" t="s">
        <v>310</v>
      </c>
      <c r="C260" s="43">
        <v>12183</v>
      </c>
      <c r="D260" s="44">
        <v>45.4</v>
      </c>
      <c r="E260" s="45">
        <v>12</v>
      </c>
      <c r="F260" s="46">
        <f t="shared" si="22"/>
        <v>28.884399999999999</v>
      </c>
      <c r="G260" s="46">
        <f t="shared" si="21"/>
        <v>1.3377023427522665</v>
      </c>
      <c r="H260" s="47">
        <f t="shared" si="23"/>
        <v>16.052428113027197</v>
      </c>
      <c r="I260" s="48">
        <f t="shared" si="24"/>
        <v>1955.6673170101035</v>
      </c>
      <c r="J260" s="55"/>
      <c r="K260" s="55"/>
      <c r="L260" s="56"/>
      <c r="M260" s="49">
        <v>1702</v>
      </c>
      <c r="N260" s="43">
        <f t="shared" si="25"/>
        <v>273.2123264837229</v>
      </c>
    </row>
    <row r="261" spans="1:14">
      <c r="A261" s="42">
        <v>70301</v>
      </c>
      <c r="B261" s="42" t="s">
        <v>311</v>
      </c>
      <c r="C261" s="43">
        <v>48380</v>
      </c>
      <c r="D261" s="44">
        <v>45.1</v>
      </c>
      <c r="E261" s="45">
        <v>12</v>
      </c>
      <c r="F261" s="46">
        <f t="shared" si="22"/>
        <v>28.948599999999999</v>
      </c>
      <c r="G261" s="46">
        <f t="shared" si="21"/>
        <v>1.3406755909556114</v>
      </c>
      <c r="H261" s="47">
        <f t="shared" si="23"/>
        <v>16.088107091467336</v>
      </c>
      <c r="I261" s="48">
        <f t="shared" si="24"/>
        <v>7783.4262108518978</v>
      </c>
      <c r="J261" s="55"/>
      <c r="K261" s="55"/>
      <c r="L261" s="56"/>
      <c r="M261" s="49">
        <v>7126</v>
      </c>
      <c r="N261" s="43">
        <f t="shared" si="25"/>
        <v>1146.4385113379624</v>
      </c>
    </row>
    <row r="262" spans="1:14">
      <c r="A262" s="42">
        <v>70302</v>
      </c>
      <c r="B262" s="42" t="s">
        <v>312</v>
      </c>
      <c r="C262" s="43">
        <v>10944</v>
      </c>
      <c r="D262" s="44">
        <v>40.4</v>
      </c>
      <c r="E262" s="45">
        <v>12</v>
      </c>
      <c r="F262" s="46">
        <f t="shared" si="22"/>
        <v>29.9544</v>
      </c>
      <c r="G262" s="46">
        <f t="shared" si="21"/>
        <v>1.3872564794746813</v>
      </c>
      <c r="H262" s="47">
        <f t="shared" si="23"/>
        <v>16.647077753696177</v>
      </c>
      <c r="I262" s="48">
        <f t="shared" si="24"/>
        <v>1821.8561893645094</v>
      </c>
      <c r="J262" s="55"/>
      <c r="K262" s="55"/>
      <c r="L262" s="56"/>
      <c r="M262" s="49">
        <v>1532</v>
      </c>
      <c r="N262" s="43">
        <f t="shared" si="25"/>
        <v>255.03323118662541</v>
      </c>
    </row>
    <row r="263" spans="1:14">
      <c r="A263" s="42">
        <v>70303</v>
      </c>
      <c r="B263" s="42" t="s">
        <v>313</v>
      </c>
      <c r="C263" s="43">
        <v>5731</v>
      </c>
      <c r="D263" s="44">
        <v>47.8</v>
      </c>
      <c r="E263" s="45">
        <v>12</v>
      </c>
      <c r="F263" s="46">
        <f t="shared" si="22"/>
        <v>28.370800000000003</v>
      </c>
      <c r="G263" s="46">
        <f t="shared" si="21"/>
        <v>1.3139163571255073</v>
      </c>
      <c r="H263" s="47">
        <f t="shared" si="23"/>
        <v>15.766996285506087</v>
      </c>
      <c r="I263" s="48">
        <f t="shared" si="24"/>
        <v>903.60655712235382</v>
      </c>
      <c r="J263" s="55"/>
      <c r="K263" s="55"/>
      <c r="L263" s="56"/>
      <c r="M263" s="49">
        <v>904</v>
      </c>
      <c r="N263" s="43">
        <f t="shared" si="25"/>
        <v>142.53364642097503</v>
      </c>
    </row>
    <row r="264" spans="1:14">
      <c r="A264" s="42">
        <v>70401</v>
      </c>
      <c r="B264" s="42" t="s">
        <v>314</v>
      </c>
      <c r="C264" s="43">
        <v>13022</v>
      </c>
      <c r="D264" s="44">
        <v>32.200000000000003</v>
      </c>
      <c r="E264" s="45">
        <v>12</v>
      </c>
      <c r="F264" s="46">
        <f t="shared" si="22"/>
        <v>31.709199999999999</v>
      </c>
      <c r="G264" s="46">
        <f t="shared" si="21"/>
        <v>1.4685252636994421</v>
      </c>
      <c r="H264" s="47">
        <f t="shared" si="23"/>
        <v>17.622303164393305</v>
      </c>
      <c r="I264" s="48">
        <f t="shared" si="24"/>
        <v>2294.7763180672964</v>
      </c>
      <c r="J264" s="55"/>
      <c r="K264" s="55"/>
      <c r="L264" s="56"/>
      <c r="M264" s="49">
        <v>1637</v>
      </c>
      <c r="N264" s="43">
        <f t="shared" si="25"/>
        <v>288.47710280111841</v>
      </c>
    </row>
    <row r="265" spans="1:14">
      <c r="A265" s="42">
        <v>70402</v>
      </c>
      <c r="B265" s="42" t="s">
        <v>315</v>
      </c>
      <c r="C265" s="43">
        <v>18787</v>
      </c>
      <c r="D265" s="44">
        <v>62.9</v>
      </c>
      <c r="E265" s="45">
        <v>12</v>
      </c>
      <c r="F265" s="46">
        <f t="shared" si="22"/>
        <v>25.139400000000002</v>
      </c>
      <c r="G265" s="46">
        <f t="shared" si="21"/>
        <v>1.1642628642238138</v>
      </c>
      <c r="H265" s="47">
        <f t="shared" si="23"/>
        <v>13.971154370685765</v>
      </c>
      <c r="I265" s="48">
        <f t="shared" si="24"/>
        <v>2624.7607716207344</v>
      </c>
      <c r="J265" s="55"/>
      <c r="K265" s="55"/>
      <c r="L265" s="56"/>
      <c r="M265" s="49">
        <v>2431</v>
      </c>
      <c r="N265" s="43">
        <f t="shared" si="25"/>
        <v>339.63876275137096</v>
      </c>
    </row>
    <row r="266" spans="1:14">
      <c r="A266" s="42">
        <v>70403</v>
      </c>
      <c r="B266" s="42" t="s">
        <v>316</v>
      </c>
      <c r="C266" s="43">
        <v>43642</v>
      </c>
      <c r="D266" s="44">
        <v>58.7</v>
      </c>
      <c r="E266" s="45">
        <v>12</v>
      </c>
      <c r="F266" s="46">
        <f t="shared" si="22"/>
        <v>26.0382</v>
      </c>
      <c r="G266" s="46">
        <f t="shared" si="21"/>
        <v>1.2058883390706425</v>
      </c>
      <c r="H266" s="47">
        <f t="shared" si="23"/>
        <v>14.47066006884771</v>
      </c>
      <c r="I266" s="48">
        <f t="shared" si="24"/>
        <v>6315.2854672465182</v>
      </c>
      <c r="J266" s="55"/>
      <c r="K266" s="55"/>
      <c r="L266" s="56"/>
      <c r="M266" s="49">
        <v>5515</v>
      </c>
      <c r="N266" s="43">
        <f t="shared" si="25"/>
        <v>798.05690279695114</v>
      </c>
    </row>
    <row r="267" spans="1:14">
      <c r="A267" s="42">
        <v>70404</v>
      </c>
      <c r="B267" s="42" t="s">
        <v>317</v>
      </c>
      <c r="C267" s="43">
        <v>9169</v>
      </c>
      <c r="D267" s="44">
        <v>50.4</v>
      </c>
      <c r="E267" s="45">
        <v>12</v>
      </c>
      <c r="F267" s="46">
        <f t="shared" si="22"/>
        <v>27.814399999999999</v>
      </c>
      <c r="G267" s="46">
        <f t="shared" si="21"/>
        <v>1.2881482060298513</v>
      </c>
      <c r="H267" s="47">
        <f t="shared" si="23"/>
        <v>15.457778472358214</v>
      </c>
      <c r="I267" s="48">
        <f t="shared" si="24"/>
        <v>1417.3237081305247</v>
      </c>
      <c r="J267" s="55"/>
      <c r="K267" s="55"/>
      <c r="L267" s="56"/>
      <c r="M267" s="49">
        <v>1233</v>
      </c>
      <c r="N267" s="43">
        <f t="shared" si="25"/>
        <v>190.59440856417677</v>
      </c>
    </row>
    <row r="268" spans="1:14">
      <c r="A268" s="42">
        <v>70501</v>
      </c>
      <c r="B268" s="42" t="s">
        <v>318</v>
      </c>
      <c r="C268" s="43">
        <v>24441</v>
      </c>
      <c r="D268" s="44">
        <v>47.7</v>
      </c>
      <c r="E268" s="45">
        <v>12</v>
      </c>
      <c r="F268" s="46">
        <f t="shared" si="22"/>
        <v>28.392199999999999</v>
      </c>
      <c r="G268" s="46">
        <f t="shared" si="21"/>
        <v>1.3149074398599556</v>
      </c>
      <c r="H268" s="47">
        <f t="shared" si="23"/>
        <v>15.778889278319468</v>
      </c>
      <c r="I268" s="48">
        <f t="shared" si="24"/>
        <v>3856.5183285140611</v>
      </c>
      <c r="J268" s="55"/>
      <c r="K268" s="55"/>
      <c r="L268" s="56"/>
      <c r="M268" s="49">
        <v>3401</v>
      </c>
      <c r="N268" s="43">
        <f t="shared" si="25"/>
        <v>536.6400243556451</v>
      </c>
    </row>
    <row r="269" spans="1:14">
      <c r="A269" s="42">
        <v>70502</v>
      </c>
      <c r="B269" s="42" t="s">
        <v>319</v>
      </c>
      <c r="C269" s="43">
        <v>34467</v>
      </c>
      <c r="D269" s="44">
        <v>25.6</v>
      </c>
      <c r="E269" s="45">
        <v>12</v>
      </c>
      <c r="F269" s="46">
        <f t="shared" si="22"/>
        <v>33.121600000000001</v>
      </c>
      <c r="G269" s="46">
        <f t="shared" si="21"/>
        <v>1.5339367241730302</v>
      </c>
      <c r="H269" s="47">
        <f t="shared" si="23"/>
        <v>18.407240690076364</v>
      </c>
      <c r="I269" s="48">
        <f t="shared" si="24"/>
        <v>6344.4236486486207</v>
      </c>
      <c r="J269" s="55"/>
      <c r="K269" s="55"/>
      <c r="L269" s="56"/>
      <c r="M269" s="49">
        <v>5781</v>
      </c>
      <c r="N269" s="43">
        <f t="shared" si="25"/>
        <v>1064.1225842933145</v>
      </c>
    </row>
    <row r="270" spans="1:14">
      <c r="A270" s="42">
        <v>70503</v>
      </c>
      <c r="B270" s="42" t="s">
        <v>320</v>
      </c>
      <c r="C270" s="43">
        <v>15495</v>
      </c>
      <c r="D270" s="44">
        <v>66.8</v>
      </c>
      <c r="E270" s="45">
        <v>12</v>
      </c>
      <c r="F270" s="46">
        <f t="shared" si="22"/>
        <v>24.3048</v>
      </c>
      <c r="G270" s="46">
        <f t="shared" si="21"/>
        <v>1.1256106375803301</v>
      </c>
      <c r="H270" s="47">
        <f t="shared" si="23"/>
        <v>13.507327650963962</v>
      </c>
      <c r="I270" s="48">
        <f t="shared" si="24"/>
        <v>2092.9604195168658</v>
      </c>
      <c r="J270" s="55"/>
      <c r="K270" s="55"/>
      <c r="L270" s="56"/>
      <c r="M270" s="49">
        <v>1693</v>
      </c>
      <c r="N270" s="43">
        <f t="shared" si="25"/>
        <v>228.6790571308199</v>
      </c>
    </row>
    <row r="271" spans="1:14">
      <c r="A271" s="42">
        <v>70601</v>
      </c>
      <c r="B271" s="42" t="s">
        <v>321</v>
      </c>
      <c r="C271" s="43">
        <v>17348</v>
      </c>
      <c r="D271" s="44">
        <v>75.3</v>
      </c>
      <c r="E271" s="45">
        <v>12</v>
      </c>
      <c r="F271" s="46">
        <f t="shared" si="22"/>
        <v>22.485800000000001</v>
      </c>
      <c r="G271" s="46">
        <f t="shared" si="21"/>
        <v>1.0413686051522244</v>
      </c>
      <c r="H271" s="47">
        <f t="shared" si="23"/>
        <v>12.496423261826692</v>
      </c>
      <c r="I271" s="48">
        <f t="shared" si="24"/>
        <v>2167.8795074616946</v>
      </c>
      <c r="J271" s="55"/>
      <c r="K271" s="55"/>
      <c r="L271" s="56"/>
      <c r="M271" s="49">
        <v>2147</v>
      </c>
      <c r="N271" s="43">
        <f t="shared" si="25"/>
        <v>268.29820743141909</v>
      </c>
    </row>
    <row r="272" spans="1:14">
      <c r="A272" s="42">
        <v>70602</v>
      </c>
      <c r="B272" s="42" t="s">
        <v>322</v>
      </c>
      <c r="C272" s="43">
        <v>17702</v>
      </c>
      <c r="D272" s="44">
        <v>27.3</v>
      </c>
      <c r="E272" s="45">
        <v>12</v>
      </c>
      <c r="F272" s="46">
        <f t="shared" si="22"/>
        <v>32.757800000000003</v>
      </c>
      <c r="G272" s="46">
        <f t="shared" si="21"/>
        <v>1.517088317687409</v>
      </c>
      <c r="H272" s="47">
        <f t="shared" si="23"/>
        <v>18.205059812248908</v>
      </c>
      <c r="I272" s="48">
        <f t="shared" si="24"/>
        <v>3222.6596879643016</v>
      </c>
      <c r="J272" s="55"/>
      <c r="K272" s="55"/>
      <c r="L272" s="56"/>
      <c r="M272" s="49">
        <v>2301</v>
      </c>
      <c r="N272" s="43">
        <f t="shared" si="25"/>
        <v>418.8984262798474</v>
      </c>
    </row>
    <row r="273" spans="1:14">
      <c r="A273" s="42">
        <v>70603</v>
      </c>
      <c r="B273" s="42" t="s">
        <v>323</v>
      </c>
      <c r="C273" s="43">
        <v>6143</v>
      </c>
      <c r="D273" s="44">
        <v>77.099999999999994</v>
      </c>
      <c r="E273" s="45">
        <v>12</v>
      </c>
      <c r="F273" s="46">
        <f t="shared" si="22"/>
        <v>22.1006</v>
      </c>
      <c r="G273" s="46">
        <f t="shared" si="21"/>
        <v>1.0235291159321551</v>
      </c>
      <c r="H273" s="47">
        <f t="shared" si="23"/>
        <v>12.282349391185861</v>
      </c>
      <c r="I273" s="48">
        <f t="shared" si="24"/>
        <v>754.50472310054738</v>
      </c>
      <c r="J273" s="55"/>
      <c r="K273" s="55"/>
      <c r="L273" s="56"/>
      <c r="M273" s="49">
        <v>849</v>
      </c>
      <c r="N273" s="43">
        <f t="shared" si="25"/>
        <v>104.27714633116796</v>
      </c>
    </row>
    <row r="274" spans="1:14">
      <c r="A274" s="42">
        <v>70701</v>
      </c>
      <c r="B274" s="42" t="s">
        <v>324</v>
      </c>
      <c r="C274" s="43">
        <v>5336</v>
      </c>
      <c r="D274" s="44">
        <v>0</v>
      </c>
      <c r="E274" s="45">
        <v>12</v>
      </c>
      <c r="F274" s="46">
        <f t="shared" si="22"/>
        <v>38.6</v>
      </c>
      <c r="G274" s="46">
        <f t="shared" si="21"/>
        <v>1.7876539041917952</v>
      </c>
      <c r="H274" s="47">
        <f t="shared" si="23"/>
        <v>21.451846850301543</v>
      </c>
      <c r="I274" s="48">
        <f t="shared" si="24"/>
        <v>1144.6705479320904</v>
      </c>
      <c r="J274" s="55"/>
      <c r="K274" s="55"/>
      <c r="L274" s="56"/>
      <c r="M274" s="49">
        <v>732</v>
      </c>
      <c r="N274" s="43">
        <f t="shared" si="25"/>
        <v>157.02751894420729</v>
      </c>
    </row>
    <row r="275" spans="1:14">
      <c r="A275" s="42">
        <v>70702</v>
      </c>
      <c r="B275" s="42" t="s">
        <v>325</v>
      </c>
      <c r="C275" s="43">
        <v>29365</v>
      </c>
      <c r="D275" s="44">
        <v>11</v>
      </c>
      <c r="E275" s="45">
        <v>12</v>
      </c>
      <c r="F275" s="46">
        <f t="shared" si="22"/>
        <v>36.246000000000002</v>
      </c>
      <c r="G275" s="46">
        <f t="shared" si="21"/>
        <v>1.6786348034024821</v>
      </c>
      <c r="H275" s="47">
        <f t="shared" si="23"/>
        <v>20.143617640829785</v>
      </c>
      <c r="I275" s="48">
        <f t="shared" si="24"/>
        <v>5915.1733202296655</v>
      </c>
      <c r="J275" s="55"/>
      <c r="K275" s="55"/>
      <c r="L275" s="56"/>
      <c r="M275" s="49">
        <v>4594</v>
      </c>
      <c r="N275" s="43">
        <f t="shared" si="25"/>
        <v>925.3977944197203</v>
      </c>
    </row>
    <row r="276" spans="1:14">
      <c r="A276" s="42">
        <v>70703</v>
      </c>
      <c r="B276" s="42" t="s">
        <v>326</v>
      </c>
      <c r="C276" s="43">
        <v>24929</v>
      </c>
      <c r="D276" s="44">
        <v>14.9</v>
      </c>
      <c r="E276" s="45">
        <v>12</v>
      </c>
      <c r="F276" s="46">
        <f t="shared" si="22"/>
        <v>35.4114</v>
      </c>
      <c r="G276" s="46">
        <f t="shared" si="21"/>
        <v>1.6399825767589984</v>
      </c>
      <c r="H276" s="47">
        <f t="shared" si="23"/>
        <v>19.67979092110798</v>
      </c>
      <c r="I276" s="48">
        <f t="shared" si="24"/>
        <v>4905.9750787230078</v>
      </c>
      <c r="J276" s="55"/>
      <c r="K276" s="55"/>
      <c r="L276" s="56"/>
      <c r="M276" s="49">
        <v>3727</v>
      </c>
      <c r="N276" s="43">
        <f t="shared" si="25"/>
        <v>733.4658076296945</v>
      </c>
    </row>
    <row r="277" spans="1:14">
      <c r="A277" s="42">
        <v>70704</v>
      </c>
      <c r="B277" s="42" t="s">
        <v>327</v>
      </c>
      <c r="C277" s="43">
        <v>4453</v>
      </c>
      <c r="D277" s="44">
        <v>31.2</v>
      </c>
      <c r="E277" s="45">
        <v>12</v>
      </c>
      <c r="F277" s="46">
        <f t="shared" si="22"/>
        <v>31.923200000000001</v>
      </c>
      <c r="G277" s="46">
        <f t="shared" si="21"/>
        <v>1.4784360910439251</v>
      </c>
      <c r="H277" s="47">
        <f t="shared" si="23"/>
        <v>17.741233092527104</v>
      </c>
      <c r="I277" s="48">
        <f t="shared" si="24"/>
        <v>790.01710961023184</v>
      </c>
      <c r="J277" s="55"/>
      <c r="K277" s="55"/>
      <c r="L277" s="56"/>
      <c r="M277" s="49">
        <v>575</v>
      </c>
      <c r="N277" s="43">
        <f t="shared" si="25"/>
        <v>102.01209028203084</v>
      </c>
    </row>
    <row r="278" spans="1:14">
      <c r="A278" s="42">
        <v>70705</v>
      </c>
      <c r="B278" s="42" t="s">
        <v>328</v>
      </c>
      <c r="C278" s="43">
        <v>11953</v>
      </c>
      <c r="D278" s="44">
        <v>0</v>
      </c>
      <c r="E278" s="45">
        <v>12</v>
      </c>
      <c r="F278" s="46">
        <f t="shared" si="22"/>
        <v>38.6</v>
      </c>
      <c r="G278" s="46">
        <f t="shared" si="21"/>
        <v>1.7876539041917952</v>
      </c>
      <c r="H278" s="47">
        <f t="shared" si="23"/>
        <v>21.451846850301543</v>
      </c>
      <c r="I278" s="48">
        <f t="shared" si="24"/>
        <v>2564.1392540165434</v>
      </c>
      <c r="J278" s="55"/>
      <c r="K278" s="55"/>
      <c r="L278" s="56"/>
      <c r="M278" s="49">
        <v>1881</v>
      </c>
      <c r="N278" s="43">
        <f t="shared" si="25"/>
        <v>403.50923925417197</v>
      </c>
    </row>
    <row r="279" spans="1:14">
      <c r="A279" s="42">
        <v>70706</v>
      </c>
      <c r="B279" s="42" t="s">
        <v>329</v>
      </c>
      <c r="C279" s="43">
        <v>32769</v>
      </c>
      <c r="D279" s="44">
        <v>85.5</v>
      </c>
      <c r="E279" s="45">
        <v>12</v>
      </c>
      <c r="F279" s="46">
        <f t="shared" si="22"/>
        <v>20.303000000000001</v>
      </c>
      <c r="G279" s="46">
        <f t="shared" si="21"/>
        <v>0.9402781662384978</v>
      </c>
      <c r="H279" s="47">
        <f t="shared" si="23"/>
        <v>11.283337994861974</v>
      </c>
      <c r="I279" s="48">
        <f t="shared" si="24"/>
        <v>3697.4370275363203</v>
      </c>
      <c r="J279" s="55"/>
      <c r="K279" s="55"/>
      <c r="L279" s="56"/>
      <c r="M279" s="49">
        <v>3484</v>
      </c>
      <c r="N279" s="43">
        <f t="shared" si="25"/>
        <v>393.11149574099113</v>
      </c>
    </row>
    <row r="280" spans="1:14">
      <c r="A280" s="42">
        <v>70707</v>
      </c>
      <c r="B280" s="42" t="s">
        <v>330</v>
      </c>
      <c r="C280" s="43">
        <v>4703</v>
      </c>
      <c r="D280" s="44">
        <v>68.8</v>
      </c>
      <c r="E280" s="45">
        <v>12</v>
      </c>
      <c r="F280" s="46">
        <f t="shared" si="22"/>
        <v>23.876800000000003</v>
      </c>
      <c r="G280" s="46">
        <f t="shared" si="21"/>
        <v>1.1057889828913641</v>
      </c>
      <c r="H280" s="47">
        <f t="shared" si="23"/>
        <v>13.269467794696368</v>
      </c>
      <c r="I280" s="48">
        <f t="shared" si="24"/>
        <v>624.06307038457021</v>
      </c>
      <c r="J280" s="55"/>
      <c r="K280" s="55"/>
      <c r="L280" s="56"/>
      <c r="M280" s="49">
        <v>550</v>
      </c>
      <c r="N280" s="43">
        <f t="shared" si="25"/>
        <v>72.982072870830024</v>
      </c>
    </row>
    <row r="281" spans="1:14">
      <c r="A281" s="42">
        <v>70801</v>
      </c>
      <c r="B281" s="42" t="s">
        <v>331</v>
      </c>
      <c r="C281" s="43">
        <v>17073</v>
      </c>
      <c r="D281" s="44">
        <v>54.4</v>
      </c>
      <c r="E281" s="45">
        <v>12</v>
      </c>
      <c r="F281" s="46">
        <f t="shared" si="22"/>
        <v>26.958400000000001</v>
      </c>
      <c r="G281" s="46">
        <f t="shared" si="21"/>
        <v>1.2485048966519194</v>
      </c>
      <c r="H281" s="47">
        <f t="shared" si="23"/>
        <v>14.982058759823033</v>
      </c>
      <c r="I281" s="48">
        <f t="shared" si="24"/>
        <v>2557.8868920645864</v>
      </c>
      <c r="J281" s="55"/>
      <c r="K281" s="55"/>
      <c r="L281" s="56"/>
      <c r="M281" s="49">
        <v>1718</v>
      </c>
      <c r="N281" s="43">
        <f t="shared" si="25"/>
        <v>257.39176949375974</v>
      </c>
    </row>
    <row r="282" spans="1:14">
      <c r="A282" s="42">
        <v>70802</v>
      </c>
      <c r="B282" s="42" t="s">
        <v>332</v>
      </c>
      <c r="C282" s="43">
        <v>2134</v>
      </c>
      <c r="D282" s="44">
        <v>0</v>
      </c>
      <c r="E282" s="45">
        <v>12</v>
      </c>
      <c r="F282" s="46">
        <f t="shared" si="22"/>
        <v>38.6</v>
      </c>
      <c r="G282" s="46">
        <f t="shared" si="21"/>
        <v>1.7876539041917952</v>
      </c>
      <c r="H282" s="47">
        <f t="shared" si="23"/>
        <v>21.451846850301543</v>
      </c>
      <c r="I282" s="48">
        <f t="shared" si="24"/>
        <v>457.78241178543487</v>
      </c>
      <c r="J282" s="55"/>
      <c r="K282" s="55"/>
      <c r="L282" s="56"/>
      <c r="M282" s="49">
        <v>212</v>
      </c>
      <c r="N282" s="43">
        <f t="shared" si="25"/>
        <v>45.477915322639276</v>
      </c>
    </row>
    <row r="283" spans="1:14">
      <c r="A283" s="42">
        <v>70803</v>
      </c>
      <c r="B283" s="42" t="s">
        <v>333</v>
      </c>
      <c r="C283" s="43">
        <v>2985</v>
      </c>
      <c r="D283" s="44">
        <v>0</v>
      </c>
      <c r="E283" s="45">
        <v>12</v>
      </c>
      <c r="F283" s="46">
        <f t="shared" si="22"/>
        <v>38.6</v>
      </c>
      <c r="G283" s="46">
        <f t="shared" si="21"/>
        <v>1.7876539041917952</v>
      </c>
      <c r="H283" s="47">
        <f t="shared" si="23"/>
        <v>21.451846850301543</v>
      </c>
      <c r="I283" s="48">
        <f t="shared" si="24"/>
        <v>640.33762848150104</v>
      </c>
      <c r="J283" s="55"/>
      <c r="K283" s="55"/>
      <c r="L283" s="56"/>
      <c r="M283" s="49">
        <v>324</v>
      </c>
      <c r="N283" s="43">
        <f t="shared" si="25"/>
        <v>69.503983794977003</v>
      </c>
    </row>
    <row r="284" spans="1:14">
      <c r="A284" s="42">
        <v>70804</v>
      </c>
      <c r="B284" s="42" t="s">
        <v>334</v>
      </c>
      <c r="C284" s="43">
        <v>2446</v>
      </c>
      <c r="D284" s="44">
        <v>0</v>
      </c>
      <c r="E284" s="45">
        <v>12</v>
      </c>
      <c r="F284" s="46">
        <f t="shared" si="22"/>
        <v>38.6</v>
      </c>
      <c r="G284" s="46">
        <f t="shared" si="21"/>
        <v>1.7876539041917952</v>
      </c>
      <c r="H284" s="47">
        <f t="shared" si="23"/>
        <v>21.451846850301543</v>
      </c>
      <c r="I284" s="48">
        <f t="shared" si="24"/>
        <v>524.71217395837573</v>
      </c>
      <c r="J284" s="55"/>
      <c r="K284" s="55"/>
      <c r="L284" s="56"/>
      <c r="M284" s="49">
        <v>271</v>
      </c>
      <c r="N284" s="43">
        <f t="shared" si="25"/>
        <v>58.134504964317188</v>
      </c>
    </row>
    <row r="285" spans="1:14">
      <c r="A285" s="42">
        <v>70805</v>
      </c>
      <c r="B285" s="42" t="s">
        <v>335</v>
      </c>
      <c r="C285" s="43">
        <v>2248</v>
      </c>
      <c r="D285" s="44">
        <v>0</v>
      </c>
      <c r="E285" s="45">
        <v>12</v>
      </c>
      <c r="F285" s="46">
        <f t="shared" si="22"/>
        <v>38.6</v>
      </c>
      <c r="G285" s="46">
        <f t="shared" si="21"/>
        <v>1.7876539041917952</v>
      </c>
      <c r="H285" s="47">
        <f t="shared" si="23"/>
        <v>21.451846850301543</v>
      </c>
      <c r="I285" s="48">
        <f t="shared" si="24"/>
        <v>482.23751719477872</v>
      </c>
      <c r="J285" s="55"/>
      <c r="K285" s="55"/>
      <c r="L285" s="56"/>
      <c r="M285" s="49">
        <v>252</v>
      </c>
      <c r="N285" s="43">
        <f t="shared" si="25"/>
        <v>54.058654062759885</v>
      </c>
    </row>
    <row r="286" spans="1:14">
      <c r="A286" s="42">
        <v>70901</v>
      </c>
      <c r="B286" s="42" t="s">
        <v>336</v>
      </c>
      <c r="C286" s="43">
        <v>10205</v>
      </c>
      <c r="D286" s="44">
        <v>37.6</v>
      </c>
      <c r="E286" s="45">
        <v>12</v>
      </c>
      <c r="F286" s="46">
        <f t="shared" si="22"/>
        <v>30.553599999999999</v>
      </c>
      <c r="G286" s="46">
        <f t="shared" si="21"/>
        <v>1.4150067960392338</v>
      </c>
      <c r="H286" s="47">
        <f t="shared" si="23"/>
        <v>16.980081552470807</v>
      </c>
      <c r="I286" s="48">
        <f t="shared" si="24"/>
        <v>1732.8173224296459</v>
      </c>
      <c r="J286" s="55"/>
      <c r="K286" s="55"/>
      <c r="L286" s="56"/>
      <c r="M286" s="49">
        <v>1108</v>
      </c>
      <c r="N286" s="43">
        <f t="shared" si="25"/>
        <v>188.13930360137655</v>
      </c>
    </row>
    <row r="287" spans="1:14">
      <c r="A287" s="42">
        <v>70902</v>
      </c>
      <c r="B287" s="42" t="s">
        <v>337</v>
      </c>
      <c r="C287" s="43">
        <v>8738</v>
      </c>
      <c r="D287" s="44">
        <v>36.700000000000003</v>
      </c>
      <c r="E287" s="45">
        <v>12</v>
      </c>
      <c r="F287" s="46">
        <f t="shared" si="22"/>
        <v>30.746200000000002</v>
      </c>
      <c r="G287" s="46">
        <f t="shared" si="21"/>
        <v>1.4239265406492687</v>
      </c>
      <c r="H287" s="47">
        <f t="shared" si="23"/>
        <v>17.087118487791223</v>
      </c>
      <c r="I287" s="48">
        <f t="shared" si="24"/>
        <v>1493.0724134631971</v>
      </c>
      <c r="J287" s="55"/>
      <c r="K287" s="55"/>
      <c r="L287" s="56"/>
      <c r="M287" s="49">
        <v>1044</v>
      </c>
      <c r="N287" s="43">
        <f t="shared" si="25"/>
        <v>178.38951701254038</v>
      </c>
    </row>
    <row r="288" spans="1:14">
      <c r="A288" s="42">
        <v>70903</v>
      </c>
      <c r="B288" s="42" t="s">
        <v>338</v>
      </c>
      <c r="C288" s="43">
        <v>9293</v>
      </c>
      <c r="D288" s="44">
        <v>60.5</v>
      </c>
      <c r="E288" s="45">
        <v>12</v>
      </c>
      <c r="F288" s="46">
        <f t="shared" si="22"/>
        <v>25.652999999999999</v>
      </c>
      <c r="G288" s="46">
        <f t="shared" si="21"/>
        <v>1.188048849850573</v>
      </c>
      <c r="H288" s="47">
        <f t="shared" si="23"/>
        <v>14.256586198206875</v>
      </c>
      <c r="I288" s="48">
        <f t="shared" si="24"/>
        <v>1324.8645553993649</v>
      </c>
      <c r="J288" s="55"/>
      <c r="K288" s="55"/>
      <c r="L288" s="56"/>
      <c r="M288" s="49">
        <v>1126</v>
      </c>
      <c r="N288" s="43">
        <f t="shared" si="25"/>
        <v>160.52916059180941</v>
      </c>
    </row>
    <row r="289" spans="1:14">
      <c r="A289" s="42">
        <v>70904</v>
      </c>
      <c r="B289" s="42" t="s">
        <v>339</v>
      </c>
      <c r="C289" s="43">
        <v>2643</v>
      </c>
      <c r="D289" s="44">
        <v>0</v>
      </c>
      <c r="E289" s="45">
        <v>12</v>
      </c>
      <c r="F289" s="46">
        <f t="shared" si="22"/>
        <v>38.6</v>
      </c>
      <c r="G289" s="46">
        <f t="shared" si="21"/>
        <v>1.7876539041917952</v>
      </c>
      <c r="H289" s="47">
        <f t="shared" si="23"/>
        <v>21.451846850301543</v>
      </c>
      <c r="I289" s="48">
        <f t="shared" si="24"/>
        <v>566.97231225346979</v>
      </c>
      <c r="J289" s="55"/>
      <c r="K289" s="55"/>
      <c r="L289" s="56"/>
      <c r="M289" s="49">
        <v>314</v>
      </c>
      <c r="N289" s="43">
        <f t="shared" si="25"/>
        <v>67.358799109946844</v>
      </c>
    </row>
    <row r="290" spans="1:14">
      <c r="A290" s="42">
        <v>71001</v>
      </c>
      <c r="B290" s="42" t="s">
        <v>340</v>
      </c>
      <c r="C290" s="43">
        <v>98908</v>
      </c>
      <c r="D290" s="44">
        <v>97.8</v>
      </c>
      <c r="E290" s="45">
        <v>12</v>
      </c>
      <c r="F290" s="46">
        <f t="shared" si="22"/>
        <v>17.6708</v>
      </c>
      <c r="G290" s="46">
        <f t="shared" si="21"/>
        <v>0.81837498990135682</v>
      </c>
      <c r="H290" s="47">
        <f t="shared" si="23"/>
        <v>9.8204998788162818</v>
      </c>
      <c r="I290" s="48">
        <f t="shared" si="24"/>
        <v>9713.260020139609</v>
      </c>
      <c r="J290" s="55"/>
      <c r="K290" s="55"/>
      <c r="L290" s="56"/>
      <c r="M290" s="49">
        <v>11612</v>
      </c>
      <c r="N290" s="43">
        <f t="shared" si="25"/>
        <v>1140.3564459281467</v>
      </c>
    </row>
    <row r="291" spans="1:14">
      <c r="A291" s="42">
        <v>71002</v>
      </c>
      <c r="B291" s="42" t="s">
        <v>341</v>
      </c>
      <c r="C291" s="43">
        <v>15076</v>
      </c>
      <c r="D291" s="44">
        <v>31.6</v>
      </c>
      <c r="E291" s="45">
        <v>12</v>
      </c>
      <c r="F291" s="46">
        <f t="shared" si="22"/>
        <v>31.837600000000002</v>
      </c>
      <c r="G291" s="46">
        <f t="shared" si="21"/>
        <v>1.4744717601061319</v>
      </c>
      <c r="H291" s="47">
        <f t="shared" si="23"/>
        <v>17.693661121273582</v>
      </c>
      <c r="I291" s="48">
        <f t="shared" si="24"/>
        <v>2667.496350643205</v>
      </c>
      <c r="J291" s="55"/>
      <c r="K291" s="55"/>
      <c r="L291" s="56"/>
      <c r="M291" s="49">
        <v>2180</v>
      </c>
      <c r="N291" s="43">
        <f t="shared" si="25"/>
        <v>385.72181244376407</v>
      </c>
    </row>
    <row r="292" spans="1:14">
      <c r="A292" s="42">
        <v>71003</v>
      </c>
      <c r="B292" s="42" t="s">
        <v>342</v>
      </c>
      <c r="C292" s="43">
        <v>22013</v>
      </c>
      <c r="D292" s="44">
        <v>74.5</v>
      </c>
      <c r="E292" s="45">
        <v>12</v>
      </c>
      <c r="F292" s="46">
        <f t="shared" si="22"/>
        <v>22.657</v>
      </c>
      <c r="G292" s="46">
        <f t="shared" si="21"/>
        <v>1.0492972670278109</v>
      </c>
      <c r="H292" s="47">
        <f t="shared" si="23"/>
        <v>12.591567204333732</v>
      </c>
      <c r="I292" s="48">
        <f t="shared" si="24"/>
        <v>2771.7816886899841</v>
      </c>
      <c r="J292" s="55"/>
      <c r="K292" s="55"/>
      <c r="L292" s="56"/>
      <c r="M292" s="49">
        <v>2984</v>
      </c>
      <c r="N292" s="43">
        <f t="shared" si="25"/>
        <v>375.73236537731856</v>
      </c>
    </row>
    <row r="293" spans="1:14">
      <c r="A293" s="42">
        <v>71004</v>
      </c>
      <c r="B293" s="42" t="s">
        <v>343</v>
      </c>
      <c r="C293" s="43">
        <v>13752</v>
      </c>
      <c r="D293" s="44">
        <v>63.1</v>
      </c>
      <c r="E293" s="45">
        <v>12</v>
      </c>
      <c r="F293" s="46">
        <f t="shared" si="22"/>
        <v>25.096600000000002</v>
      </c>
      <c r="G293" s="46">
        <f t="shared" si="21"/>
        <v>1.1622806987549172</v>
      </c>
      <c r="H293" s="47">
        <f t="shared" si="23"/>
        <v>13.947368385059008</v>
      </c>
      <c r="I293" s="48">
        <f t="shared" si="24"/>
        <v>1918.0421003133149</v>
      </c>
      <c r="J293" s="55"/>
      <c r="K293" s="55"/>
      <c r="L293" s="56"/>
      <c r="M293" s="49">
        <v>1711</v>
      </c>
      <c r="N293" s="43">
        <f t="shared" si="25"/>
        <v>238.63947306835962</v>
      </c>
    </row>
    <row r="294" spans="1:14">
      <c r="A294" s="42">
        <v>71005</v>
      </c>
      <c r="B294" s="42" t="s">
        <v>269</v>
      </c>
      <c r="C294" s="43">
        <v>17482</v>
      </c>
      <c r="D294" s="44">
        <v>38.700000000000003</v>
      </c>
      <c r="E294" s="45">
        <v>12</v>
      </c>
      <c r="F294" s="46">
        <f t="shared" si="22"/>
        <v>30.318199999999997</v>
      </c>
      <c r="G294" s="46">
        <f t="shared" si="21"/>
        <v>1.4041048859603025</v>
      </c>
      <c r="H294" s="47">
        <f t="shared" si="23"/>
        <v>16.849258631523629</v>
      </c>
      <c r="I294" s="48">
        <f t="shared" si="24"/>
        <v>2945.587393962961</v>
      </c>
      <c r="J294" s="55"/>
      <c r="K294" s="55"/>
      <c r="L294" s="56"/>
      <c r="M294" s="49">
        <v>2209</v>
      </c>
      <c r="N294" s="43">
        <f t="shared" si="25"/>
        <v>372.20012317035696</v>
      </c>
    </row>
    <row r="295" spans="1:14">
      <c r="A295" s="42">
        <v>71101</v>
      </c>
      <c r="B295" s="42" t="s">
        <v>344</v>
      </c>
      <c r="C295" s="43">
        <v>17244</v>
      </c>
      <c r="D295" s="44">
        <v>47.5</v>
      </c>
      <c r="E295" s="45">
        <v>12</v>
      </c>
      <c r="F295" s="46">
        <f t="shared" si="22"/>
        <v>28.435000000000002</v>
      </c>
      <c r="G295" s="46">
        <f t="shared" si="21"/>
        <v>1.3168896053288521</v>
      </c>
      <c r="H295" s="47">
        <f t="shared" si="23"/>
        <v>15.802675263946226</v>
      </c>
      <c r="I295" s="48">
        <f t="shared" si="24"/>
        <v>2725.013322514887</v>
      </c>
      <c r="J295" s="55"/>
      <c r="K295" s="55"/>
      <c r="L295" s="56"/>
      <c r="M295" s="49">
        <v>2485</v>
      </c>
      <c r="N295" s="43">
        <f t="shared" si="25"/>
        <v>392.6964803090637</v>
      </c>
    </row>
    <row r="296" spans="1:14">
      <c r="A296" s="42">
        <v>71102</v>
      </c>
      <c r="B296" s="42" t="s">
        <v>345</v>
      </c>
      <c r="C296" s="43">
        <v>12782</v>
      </c>
      <c r="D296" s="44">
        <v>51.1</v>
      </c>
      <c r="E296" s="45">
        <v>12</v>
      </c>
      <c r="F296" s="46">
        <f t="shared" si="22"/>
        <v>27.6646</v>
      </c>
      <c r="G296" s="46">
        <f t="shared" si="21"/>
        <v>1.2812106268887131</v>
      </c>
      <c r="H296" s="47">
        <f t="shared" si="23"/>
        <v>15.374527522664557</v>
      </c>
      <c r="I296" s="48">
        <f t="shared" si="24"/>
        <v>1965.1721079469835</v>
      </c>
      <c r="J296" s="55"/>
      <c r="K296" s="55"/>
      <c r="L296" s="56"/>
      <c r="M296" s="49">
        <v>1876</v>
      </c>
      <c r="N296" s="43">
        <f t="shared" si="25"/>
        <v>288.42613632518709</v>
      </c>
    </row>
    <row r="297" spans="1:14">
      <c r="A297" s="42">
        <v>71103</v>
      </c>
      <c r="B297" s="42" t="s">
        <v>346</v>
      </c>
      <c r="C297" s="43">
        <v>18594</v>
      </c>
      <c r="D297" s="44">
        <v>84.9</v>
      </c>
      <c r="E297" s="45">
        <v>12</v>
      </c>
      <c r="F297" s="46">
        <f t="shared" si="22"/>
        <v>20.431399999999996</v>
      </c>
      <c r="G297" s="46">
        <f t="shared" si="21"/>
        <v>0.94622466264518756</v>
      </c>
      <c r="H297" s="47">
        <f t="shared" si="23"/>
        <v>11.354695951742251</v>
      </c>
      <c r="I297" s="48">
        <f t="shared" si="24"/>
        <v>2111.2921652669543</v>
      </c>
      <c r="J297" s="55"/>
      <c r="K297" s="55"/>
      <c r="L297" s="56"/>
      <c r="M297" s="49">
        <v>913</v>
      </c>
      <c r="N297" s="43">
        <f t="shared" si="25"/>
        <v>103.66837403940676</v>
      </c>
    </row>
    <row r="298" spans="1:14">
      <c r="A298" s="42">
        <v>71104</v>
      </c>
      <c r="B298" s="42" t="s">
        <v>347</v>
      </c>
      <c r="C298" s="43">
        <v>32462</v>
      </c>
      <c r="D298" s="44">
        <v>32.299999999999997</v>
      </c>
      <c r="E298" s="45">
        <v>12</v>
      </c>
      <c r="F298" s="46">
        <f t="shared" si="22"/>
        <v>31.687800000000003</v>
      </c>
      <c r="G298" s="46">
        <f t="shared" si="21"/>
        <v>1.467534180964994</v>
      </c>
      <c r="H298" s="47">
        <f t="shared" si="23"/>
        <v>17.610410171579929</v>
      </c>
      <c r="I298" s="48">
        <f t="shared" si="24"/>
        <v>5716.6913498982767</v>
      </c>
      <c r="J298" s="55"/>
      <c r="K298" s="55"/>
      <c r="L298" s="56"/>
      <c r="M298" s="49">
        <v>6204</v>
      </c>
      <c r="N298" s="43">
        <f t="shared" si="25"/>
        <v>1092.5498470448188</v>
      </c>
    </row>
    <row r="299" spans="1:14">
      <c r="A299" s="42">
        <v>71105</v>
      </c>
      <c r="B299" s="42" t="s">
        <v>348</v>
      </c>
      <c r="C299" s="43">
        <v>6182</v>
      </c>
      <c r="D299" s="44">
        <v>0</v>
      </c>
      <c r="E299" s="45">
        <v>12</v>
      </c>
      <c r="F299" s="46">
        <f t="shared" si="22"/>
        <v>38.6</v>
      </c>
      <c r="G299" s="46">
        <f t="shared" si="21"/>
        <v>1.7876539041917952</v>
      </c>
      <c r="H299" s="47">
        <f t="shared" si="23"/>
        <v>21.451846850301543</v>
      </c>
      <c r="I299" s="48">
        <f t="shared" si="24"/>
        <v>1326.1531722856414</v>
      </c>
      <c r="J299" s="55"/>
      <c r="K299" s="55"/>
      <c r="L299" s="56"/>
      <c r="M299" s="49">
        <v>919</v>
      </c>
      <c r="N299" s="43">
        <f t="shared" si="25"/>
        <v>197.14247255427119</v>
      </c>
    </row>
    <row r="300" spans="1:14">
      <c r="A300" s="42">
        <v>71106</v>
      </c>
      <c r="B300" s="42" t="s">
        <v>349</v>
      </c>
      <c r="C300" s="43">
        <v>20928</v>
      </c>
      <c r="D300" s="44">
        <v>32.299999999999997</v>
      </c>
      <c r="E300" s="45">
        <v>12</v>
      </c>
      <c r="F300" s="46">
        <f t="shared" si="22"/>
        <v>31.687800000000003</v>
      </c>
      <c r="G300" s="46">
        <f t="shared" si="21"/>
        <v>1.467534180964994</v>
      </c>
      <c r="H300" s="47">
        <f t="shared" si="23"/>
        <v>17.610410171579929</v>
      </c>
      <c r="I300" s="48">
        <f t="shared" si="24"/>
        <v>3685.5066407082472</v>
      </c>
      <c r="J300" s="55"/>
      <c r="K300" s="55"/>
      <c r="L300" s="56"/>
      <c r="M300" s="49">
        <v>3123</v>
      </c>
      <c r="N300" s="43">
        <f t="shared" si="25"/>
        <v>549.97310965844122</v>
      </c>
    </row>
    <row r="301" spans="1:14">
      <c r="A301" s="42">
        <v>71201</v>
      </c>
      <c r="B301" s="42" t="s">
        <v>350</v>
      </c>
      <c r="C301" s="43">
        <v>13962</v>
      </c>
      <c r="D301" s="44">
        <v>42.8</v>
      </c>
      <c r="E301" s="45">
        <v>12</v>
      </c>
      <c r="F301" s="46">
        <f t="shared" si="22"/>
        <v>29.440800000000003</v>
      </c>
      <c r="G301" s="46">
        <f t="shared" si="21"/>
        <v>1.3634704938479225</v>
      </c>
      <c r="H301" s="47">
        <f t="shared" si="23"/>
        <v>16.361645926175072</v>
      </c>
      <c r="I301" s="48">
        <f t="shared" si="24"/>
        <v>2284.4130042125635</v>
      </c>
      <c r="J301" s="55"/>
      <c r="K301" s="55"/>
      <c r="L301" s="56"/>
      <c r="M301" s="49">
        <v>1818</v>
      </c>
      <c r="N301" s="43">
        <f t="shared" si="25"/>
        <v>297.45472293786281</v>
      </c>
    </row>
    <row r="302" spans="1:14">
      <c r="A302" s="42">
        <v>71301</v>
      </c>
      <c r="B302" s="42" t="s">
        <v>351</v>
      </c>
      <c r="C302" s="43">
        <v>15461</v>
      </c>
      <c r="D302" s="44">
        <v>31.4</v>
      </c>
      <c r="E302" s="45">
        <v>12</v>
      </c>
      <c r="F302" s="46">
        <f t="shared" si="22"/>
        <v>31.880400000000002</v>
      </c>
      <c r="G302" s="46">
        <f t="shared" si="21"/>
        <v>1.4764539255750286</v>
      </c>
      <c r="H302" s="47">
        <f t="shared" si="23"/>
        <v>17.717447106900345</v>
      </c>
      <c r="I302" s="48">
        <f t="shared" si="24"/>
        <v>2739.2944971978623</v>
      </c>
      <c r="J302" s="55"/>
      <c r="K302" s="55"/>
      <c r="L302" s="56"/>
      <c r="M302" s="49">
        <v>2045</v>
      </c>
      <c r="N302" s="43">
        <f t="shared" si="25"/>
        <v>362.32179333611202</v>
      </c>
    </row>
    <row r="303" spans="1:14">
      <c r="A303" s="42">
        <v>71302</v>
      </c>
      <c r="B303" s="42" t="s">
        <v>352</v>
      </c>
      <c r="C303" s="43">
        <v>6648</v>
      </c>
      <c r="D303" s="44">
        <v>51.4</v>
      </c>
      <c r="E303" s="45">
        <v>12</v>
      </c>
      <c r="F303" s="46">
        <f t="shared" si="22"/>
        <v>27.6004</v>
      </c>
      <c r="G303" s="46">
        <f t="shared" si="21"/>
        <v>1.2782373786853682</v>
      </c>
      <c r="H303" s="47">
        <f t="shared" si="23"/>
        <v>15.338848544224419</v>
      </c>
      <c r="I303" s="48">
        <f t="shared" si="24"/>
        <v>1019.7266512200393</v>
      </c>
      <c r="J303" s="55"/>
      <c r="K303" s="55"/>
      <c r="L303" s="56"/>
      <c r="M303" s="49">
        <v>878</v>
      </c>
      <c r="N303" s="43">
        <f t="shared" si="25"/>
        <v>134.67509021829039</v>
      </c>
    </row>
    <row r="304" spans="1:14">
      <c r="A304" s="42">
        <v>71401</v>
      </c>
      <c r="B304" s="42" t="s">
        <v>353</v>
      </c>
      <c r="C304" s="43">
        <v>18149</v>
      </c>
      <c r="D304" s="44">
        <v>80.099999999999994</v>
      </c>
      <c r="E304" s="45">
        <v>12</v>
      </c>
      <c r="F304" s="46">
        <f t="shared" si="22"/>
        <v>21.458600000000001</v>
      </c>
      <c r="G304" s="46">
        <f t="shared" si="21"/>
        <v>0.99379663389870598</v>
      </c>
      <c r="H304" s="47">
        <f t="shared" si="23"/>
        <v>11.925559606784471</v>
      </c>
      <c r="I304" s="48">
        <f t="shared" si="24"/>
        <v>2164.3698130353137</v>
      </c>
      <c r="J304" s="55"/>
      <c r="K304" s="55"/>
      <c r="L304" s="56"/>
      <c r="M304" s="49">
        <v>1989</v>
      </c>
      <c r="N304" s="43">
        <f t="shared" si="25"/>
        <v>237.19938057894313</v>
      </c>
    </row>
    <row r="305" spans="1:14">
      <c r="A305" s="42">
        <v>71402</v>
      </c>
      <c r="B305" s="42" t="s">
        <v>354</v>
      </c>
      <c r="C305" s="43">
        <v>15293</v>
      </c>
      <c r="D305" s="44">
        <v>97.9</v>
      </c>
      <c r="E305" s="45">
        <v>12</v>
      </c>
      <c r="F305" s="46">
        <f t="shared" si="22"/>
        <v>17.649399999999996</v>
      </c>
      <c r="G305" s="46">
        <f t="shared" si="21"/>
        <v>0.81738390716690823</v>
      </c>
      <c r="H305" s="47">
        <f t="shared" si="23"/>
        <v>9.8086068860028988</v>
      </c>
      <c r="I305" s="48">
        <f t="shared" si="24"/>
        <v>1500.0302510764234</v>
      </c>
      <c r="J305" s="55"/>
      <c r="K305" s="55"/>
      <c r="L305" s="56"/>
      <c r="M305" s="49">
        <v>1778</v>
      </c>
      <c r="N305" s="43">
        <f t="shared" si="25"/>
        <v>174.39703043313156</v>
      </c>
    </row>
    <row r="306" spans="1:14">
      <c r="A306" s="42">
        <v>71403</v>
      </c>
      <c r="B306" s="42" t="s">
        <v>355</v>
      </c>
      <c r="C306" s="43">
        <v>5815</v>
      </c>
      <c r="D306" s="44">
        <v>49</v>
      </c>
      <c r="E306" s="45">
        <v>12</v>
      </c>
      <c r="F306" s="46">
        <f t="shared" si="22"/>
        <v>28.114000000000001</v>
      </c>
      <c r="G306" s="46">
        <f t="shared" si="21"/>
        <v>1.3020233643121277</v>
      </c>
      <c r="H306" s="47">
        <f t="shared" si="23"/>
        <v>15.624280371745533</v>
      </c>
      <c r="I306" s="48">
        <f t="shared" si="24"/>
        <v>908.55190361700272</v>
      </c>
      <c r="J306" s="55"/>
      <c r="K306" s="55"/>
      <c r="L306" s="56"/>
      <c r="M306" s="49">
        <v>769</v>
      </c>
      <c r="N306" s="43">
        <f t="shared" si="25"/>
        <v>120.15071605872316</v>
      </c>
    </row>
    <row r="307" spans="1:14">
      <c r="A307" s="42">
        <v>71501</v>
      </c>
      <c r="B307" s="42" t="s">
        <v>356</v>
      </c>
      <c r="C307" s="43">
        <v>23402</v>
      </c>
      <c r="D307" s="44">
        <v>73.3</v>
      </c>
      <c r="E307" s="45">
        <v>12</v>
      </c>
      <c r="F307" s="46">
        <f t="shared" si="22"/>
        <v>22.913800000000002</v>
      </c>
      <c r="G307" s="46">
        <f t="shared" si="21"/>
        <v>1.0611902598411906</v>
      </c>
      <c r="H307" s="47">
        <f t="shared" si="23"/>
        <v>12.734283118094288</v>
      </c>
      <c r="I307" s="48">
        <f t="shared" si="24"/>
        <v>2980.0769352964253</v>
      </c>
      <c r="J307" s="42"/>
      <c r="K307" s="42"/>
      <c r="L307" s="42"/>
      <c r="M307" s="49">
        <v>3312</v>
      </c>
      <c r="N307" s="43">
        <f t="shared" si="25"/>
        <v>421.75945687128279</v>
      </c>
    </row>
    <row r="308" spans="1:14">
      <c r="A308" s="42">
        <v>71502</v>
      </c>
      <c r="B308" s="42" t="s">
        <v>357</v>
      </c>
      <c r="C308" s="43">
        <v>6638</v>
      </c>
      <c r="D308" s="44">
        <v>76.599999999999994</v>
      </c>
      <c r="E308" s="45">
        <v>12</v>
      </c>
      <c r="F308" s="46">
        <f t="shared" si="22"/>
        <v>22.207599999999999</v>
      </c>
      <c r="G308" s="46">
        <f t="shared" si="21"/>
        <v>1.0284845296043965</v>
      </c>
      <c r="H308" s="47">
        <f t="shared" si="23"/>
        <v>12.341814355252758</v>
      </c>
      <c r="I308" s="48">
        <f t="shared" si="24"/>
        <v>819.24963690167806</v>
      </c>
      <c r="J308" s="55"/>
      <c r="K308" s="55"/>
      <c r="L308" s="56"/>
      <c r="M308" s="49">
        <v>1002</v>
      </c>
      <c r="N308" s="43">
        <f t="shared" si="25"/>
        <v>123.66497983963264</v>
      </c>
    </row>
    <row r="309" spans="1:14">
      <c r="A309" s="42">
        <v>71503</v>
      </c>
      <c r="B309" s="42" t="s">
        <v>303</v>
      </c>
      <c r="C309" s="43">
        <v>12179</v>
      </c>
      <c r="D309" s="44">
        <v>19.7</v>
      </c>
      <c r="E309" s="45">
        <v>12</v>
      </c>
      <c r="F309" s="46">
        <f t="shared" si="22"/>
        <v>34.3842</v>
      </c>
      <c r="G309" s="46">
        <f t="shared" si="21"/>
        <v>1.5924106055054799</v>
      </c>
      <c r="H309" s="47">
        <f t="shared" si="23"/>
        <v>19.108927266065759</v>
      </c>
      <c r="I309" s="48">
        <f t="shared" si="24"/>
        <v>2327.2762517341489</v>
      </c>
      <c r="J309" s="55"/>
      <c r="K309" s="55"/>
      <c r="L309" s="56"/>
      <c r="M309" s="49">
        <v>1719</v>
      </c>
      <c r="N309" s="43">
        <f t="shared" si="25"/>
        <v>328.48245970367037</v>
      </c>
    </row>
    <row r="310" spans="1:14">
      <c r="A310" s="42">
        <v>80101</v>
      </c>
      <c r="B310" s="42" t="s">
        <v>358</v>
      </c>
      <c r="C310" s="43">
        <v>96911</v>
      </c>
      <c r="D310" s="44">
        <v>95</v>
      </c>
      <c r="E310" s="42">
        <v>17.8</v>
      </c>
      <c r="F310" s="46">
        <f t="shared" si="22"/>
        <v>18.27</v>
      </c>
      <c r="G310" s="46">
        <f t="shared" ref="G310:G329" si="26">1.46*F310/F$345</f>
        <v>0.7868426416816735</v>
      </c>
      <c r="H310" s="47">
        <f t="shared" si="23"/>
        <v>14.00579902193379</v>
      </c>
      <c r="I310" s="48">
        <f t="shared" si="24"/>
        <v>13573.159890146255</v>
      </c>
      <c r="J310" s="49">
        <f>SUM(C310:C329)</f>
        <v>400375</v>
      </c>
      <c r="K310" s="49">
        <f>SUM(I310:I329)</f>
        <v>71435.409528760472</v>
      </c>
      <c r="L310" s="50">
        <f>K310/J310</f>
        <v>0.17842125389637334</v>
      </c>
      <c r="M310" s="49">
        <v>11424</v>
      </c>
      <c r="N310" s="43">
        <f t="shared" si="25"/>
        <v>1600.0224802657162</v>
      </c>
    </row>
    <row r="311" spans="1:14">
      <c r="A311" s="42">
        <v>80102</v>
      </c>
      <c r="B311" s="42" t="s">
        <v>345</v>
      </c>
      <c r="C311" s="43">
        <v>4336</v>
      </c>
      <c r="D311" s="44">
        <v>0</v>
      </c>
      <c r="E311" s="42">
        <v>17.8</v>
      </c>
      <c r="F311" s="46">
        <f t="shared" si="22"/>
        <v>38.6</v>
      </c>
      <c r="G311" s="46">
        <f t="shared" si="26"/>
        <v>1.6624042675923698</v>
      </c>
      <c r="H311" s="47">
        <f t="shared" si="23"/>
        <v>29.590795963144185</v>
      </c>
      <c r="I311" s="48">
        <f t="shared" si="24"/>
        <v>1283.0569129619319</v>
      </c>
      <c r="J311" s="55"/>
      <c r="K311" s="55"/>
      <c r="L311" s="56"/>
      <c r="M311" s="49">
        <v>646</v>
      </c>
      <c r="N311" s="43">
        <f t="shared" si="25"/>
        <v>191.15654192191144</v>
      </c>
    </row>
    <row r="312" spans="1:14">
      <c r="A312" s="42">
        <v>80201</v>
      </c>
      <c r="B312" s="42" t="s">
        <v>359</v>
      </c>
      <c r="C312" s="43">
        <v>84278</v>
      </c>
      <c r="D312" s="44">
        <v>87.2</v>
      </c>
      <c r="E312" s="42">
        <v>17.8</v>
      </c>
      <c r="F312" s="46">
        <f t="shared" si="22"/>
        <v>19.9392</v>
      </c>
      <c r="G312" s="46">
        <f t="shared" si="26"/>
        <v>0.85873085938802529</v>
      </c>
      <c r="H312" s="47">
        <f t="shared" si="23"/>
        <v>15.285409297106851</v>
      </c>
      <c r="I312" s="48">
        <f t="shared" si="24"/>
        <v>12882.237247415711</v>
      </c>
      <c r="J312" s="55"/>
      <c r="K312" s="55"/>
      <c r="L312" s="56"/>
      <c r="M312" s="49">
        <v>12131</v>
      </c>
      <c r="N312" s="43">
        <f t="shared" si="25"/>
        <v>1854.2730018320322</v>
      </c>
    </row>
    <row r="313" spans="1:14">
      <c r="A313" s="42">
        <v>80202</v>
      </c>
      <c r="B313" s="42" t="s">
        <v>360</v>
      </c>
      <c r="C313" s="43">
        <v>41316</v>
      </c>
      <c r="D313" s="44">
        <v>84.2</v>
      </c>
      <c r="E313" s="42">
        <v>17.8</v>
      </c>
      <c r="F313" s="46">
        <f t="shared" si="22"/>
        <v>20.581199999999999</v>
      </c>
      <c r="G313" s="46">
        <f t="shared" si="26"/>
        <v>0.88638017389046841</v>
      </c>
      <c r="H313" s="47">
        <f t="shared" si="23"/>
        <v>15.777567095250339</v>
      </c>
      <c r="I313" s="48">
        <f t="shared" si="24"/>
        <v>6518.6596210736307</v>
      </c>
      <c r="J313" s="55"/>
      <c r="K313" s="55"/>
      <c r="L313" s="56"/>
      <c r="M313" s="49">
        <v>5395</v>
      </c>
      <c r="N313" s="43">
        <f t="shared" si="25"/>
        <v>851.19974478875577</v>
      </c>
    </row>
    <row r="314" spans="1:14">
      <c r="A314" s="42">
        <v>80301</v>
      </c>
      <c r="B314" s="42" t="s">
        <v>361</v>
      </c>
      <c r="C314" s="43">
        <v>12475</v>
      </c>
      <c r="D314" s="44">
        <v>54.9</v>
      </c>
      <c r="E314" s="42">
        <v>17.8</v>
      </c>
      <c r="F314" s="46">
        <f t="shared" si="22"/>
        <v>26.851399999999998</v>
      </c>
      <c r="G314" s="46">
        <f t="shared" si="26"/>
        <v>1.1564218121976622</v>
      </c>
      <c r="H314" s="47">
        <f t="shared" si="23"/>
        <v>20.584308257118387</v>
      </c>
      <c r="I314" s="48">
        <f t="shared" si="24"/>
        <v>2567.8924550755187</v>
      </c>
      <c r="J314" s="55"/>
      <c r="K314" s="55"/>
      <c r="L314" s="56"/>
      <c r="M314" s="49">
        <v>1719</v>
      </c>
      <c r="N314" s="43">
        <f t="shared" si="25"/>
        <v>353.84425893986509</v>
      </c>
    </row>
    <row r="315" spans="1:14">
      <c r="A315" s="42">
        <v>80302</v>
      </c>
      <c r="B315" s="42" t="s">
        <v>362</v>
      </c>
      <c r="C315" s="43">
        <v>38500</v>
      </c>
      <c r="D315" s="44">
        <v>55</v>
      </c>
      <c r="E315" s="42">
        <v>17.8</v>
      </c>
      <c r="F315" s="46">
        <f t="shared" si="22"/>
        <v>26.83</v>
      </c>
      <c r="G315" s="46">
        <f t="shared" si="26"/>
        <v>1.1555001683809141</v>
      </c>
      <c r="H315" s="47">
        <f t="shared" si="23"/>
        <v>20.567902997180273</v>
      </c>
      <c r="I315" s="48">
        <f t="shared" si="24"/>
        <v>7918.6426539144049</v>
      </c>
      <c r="J315" s="55"/>
      <c r="K315" s="55"/>
      <c r="L315" s="56"/>
      <c r="M315" s="49">
        <v>5915</v>
      </c>
      <c r="N315" s="43">
        <f t="shared" si="25"/>
        <v>1216.5914622832131</v>
      </c>
    </row>
    <row r="316" spans="1:14">
      <c r="A316" s="42">
        <v>80303</v>
      </c>
      <c r="B316" s="42" t="s">
        <v>322</v>
      </c>
      <c r="C316" s="43">
        <v>9310</v>
      </c>
      <c r="D316" s="44">
        <v>48</v>
      </c>
      <c r="E316" s="42">
        <v>17.8</v>
      </c>
      <c r="F316" s="46">
        <f t="shared" si="22"/>
        <v>28.327999999999999</v>
      </c>
      <c r="G316" s="46">
        <f t="shared" si="26"/>
        <v>1.2200152355532812</v>
      </c>
      <c r="H316" s="47">
        <f t="shared" si="23"/>
        <v>21.716271192848406</v>
      </c>
      <c r="I316" s="48">
        <f t="shared" si="24"/>
        <v>2021.7848480541868</v>
      </c>
      <c r="J316" s="55"/>
      <c r="K316" s="55"/>
      <c r="L316" s="56"/>
      <c r="M316" s="49">
        <v>1334</v>
      </c>
      <c r="N316" s="43">
        <f t="shared" si="25"/>
        <v>289.69505771259776</v>
      </c>
    </row>
    <row r="317" spans="1:14">
      <c r="A317" s="42">
        <v>80304</v>
      </c>
      <c r="B317" s="42" t="s">
        <v>363</v>
      </c>
      <c r="C317" s="43">
        <v>17185</v>
      </c>
      <c r="D317" s="44">
        <v>67.099999999999994</v>
      </c>
      <c r="E317" s="42">
        <v>17.8</v>
      </c>
      <c r="F317" s="46">
        <f t="shared" si="22"/>
        <v>24.240600000000001</v>
      </c>
      <c r="G317" s="46">
        <f t="shared" si="26"/>
        <v>1.0439812665543937</v>
      </c>
      <c r="H317" s="47">
        <f t="shared" si="23"/>
        <v>18.58286654466821</v>
      </c>
      <c r="I317" s="48">
        <f t="shared" si="24"/>
        <v>3193.4656157012319</v>
      </c>
      <c r="J317" s="55"/>
      <c r="K317" s="55"/>
      <c r="L317" s="56"/>
      <c r="M317" s="49">
        <v>2291</v>
      </c>
      <c r="N317" s="43">
        <f t="shared" si="25"/>
        <v>425.73347253834874</v>
      </c>
    </row>
    <row r="318" spans="1:14">
      <c r="A318" s="42">
        <v>80401</v>
      </c>
      <c r="B318" s="42" t="s">
        <v>364</v>
      </c>
      <c r="C318" s="43">
        <v>18740</v>
      </c>
      <c r="D318" s="44">
        <v>67</v>
      </c>
      <c r="E318" s="42">
        <v>17.8</v>
      </c>
      <c r="F318" s="46">
        <f t="shared" si="22"/>
        <v>24.262</v>
      </c>
      <c r="G318" s="46">
        <f t="shared" si="26"/>
        <v>1.0449029103711418</v>
      </c>
      <c r="H318" s="47">
        <f t="shared" si="23"/>
        <v>18.599271804606325</v>
      </c>
      <c r="I318" s="48">
        <f t="shared" si="24"/>
        <v>3485.5035361832252</v>
      </c>
      <c r="J318" s="55"/>
      <c r="K318" s="55"/>
      <c r="L318" s="56"/>
      <c r="M318" s="49">
        <v>2601</v>
      </c>
      <c r="N318" s="43">
        <f t="shared" si="25"/>
        <v>483.76705963781052</v>
      </c>
    </row>
    <row r="319" spans="1:14">
      <c r="A319" s="42">
        <v>80402</v>
      </c>
      <c r="B319" s="42" t="s">
        <v>365</v>
      </c>
      <c r="C319" s="43">
        <v>6455</v>
      </c>
      <c r="D319" s="44">
        <v>0</v>
      </c>
      <c r="E319" s="42">
        <v>17.8</v>
      </c>
      <c r="F319" s="46">
        <f t="shared" si="22"/>
        <v>38.6</v>
      </c>
      <c r="G319" s="46">
        <f t="shared" si="26"/>
        <v>1.6624042675923698</v>
      </c>
      <c r="H319" s="47">
        <f t="shared" si="23"/>
        <v>29.590795963144185</v>
      </c>
      <c r="I319" s="48">
        <f t="shared" si="24"/>
        <v>1910.0858794209571</v>
      </c>
      <c r="J319" s="55"/>
      <c r="K319" s="55"/>
      <c r="L319" s="56"/>
      <c r="M319" s="49">
        <v>1024</v>
      </c>
      <c r="N319" s="43">
        <f t="shared" si="25"/>
        <v>303.00975066259645</v>
      </c>
    </row>
    <row r="320" spans="1:14">
      <c r="A320" s="42">
        <v>80501</v>
      </c>
      <c r="B320" s="42" t="s">
        <v>311</v>
      </c>
      <c r="C320" s="43">
        <v>19251</v>
      </c>
      <c r="D320" s="44">
        <v>50</v>
      </c>
      <c r="E320" s="42">
        <v>17.8</v>
      </c>
      <c r="F320" s="46">
        <f t="shared" si="22"/>
        <v>27.9</v>
      </c>
      <c r="G320" s="46">
        <f t="shared" si="26"/>
        <v>1.201582359218319</v>
      </c>
      <c r="H320" s="47">
        <f t="shared" si="23"/>
        <v>21.38816599408608</v>
      </c>
      <c r="I320" s="48">
        <f t="shared" si="24"/>
        <v>4117.4358355215109</v>
      </c>
      <c r="J320" s="55"/>
      <c r="K320" s="55"/>
      <c r="L320" s="56"/>
      <c r="M320" s="49">
        <v>2949</v>
      </c>
      <c r="N320" s="43">
        <f t="shared" si="25"/>
        <v>630.73701516559845</v>
      </c>
    </row>
    <row r="321" spans="1:14">
      <c r="A321" s="42">
        <v>80601</v>
      </c>
      <c r="B321" s="42" t="s">
        <v>366</v>
      </c>
      <c r="C321" s="43">
        <v>3839</v>
      </c>
      <c r="D321" s="44">
        <v>0</v>
      </c>
      <c r="E321" s="42">
        <v>17.8</v>
      </c>
      <c r="F321" s="46">
        <f t="shared" si="22"/>
        <v>38.6</v>
      </c>
      <c r="G321" s="46">
        <f t="shared" si="26"/>
        <v>1.6624042675923698</v>
      </c>
      <c r="H321" s="47">
        <f t="shared" si="23"/>
        <v>29.590795963144185</v>
      </c>
      <c r="I321" s="48">
        <f t="shared" si="24"/>
        <v>1135.9906570251053</v>
      </c>
      <c r="J321" s="55"/>
      <c r="K321" s="55"/>
      <c r="L321" s="56"/>
      <c r="M321" s="49">
        <v>647</v>
      </c>
      <c r="N321" s="43">
        <f t="shared" si="25"/>
        <v>191.45244988154289</v>
      </c>
    </row>
    <row r="322" spans="1:14">
      <c r="A322" s="42">
        <v>80602</v>
      </c>
      <c r="B322" s="42" t="s">
        <v>367</v>
      </c>
      <c r="C322" s="43">
        <v>11809</v>
      </c>
      <c r="D322" s="44">
        <v>11.9</v>
      </c>
      <c r="E322" s="42">
        <v>17.8</v>
      </c>
      <c r="F322" s="46">
        <f t="shared" si="22"/>
        <v>36.053400000000003</v>
      </c>
      <c r="G322" s="46">
        <f t="shared" si="26"/>
        <v>1.5527286533993458</v>
      </c>
      <c r="H322" s="47">
        <f t="shared" si="23"/>
        <v>27.638570030508358</v>
      </c>
      <c r="I322" s="48">
        <f t="shared" si="24"/>
        <v>3263.8387349027321</v>
      </c>
      <c r="J322" s="55"/>
      <c r="K322" s="55"/>
      <c r="L322" s="56"/>
      <c r="M322" s="49">
        <v>1658</v>
      </c>
      <c r="N322" s="43">
        <f t="shared" si="25"/>
        <v>458.2474911058286</v>
      </c>
    </row>
    <row r="323" spans="1:14">
      <c r="A323" s="42">
        <v>80701</v>
      </c>
      <c r="B323" s="42" t="s">
        <v>368</v>
      </c>
      <c r="C323" s="43">
        <v>6384</v>
      </c>
      <c r="D323" s="44">
        <v>65.400000000000006</v>
      </c>
      <c r="E323" s="42">
        <v>17.8</v>
      </c>
      <c r="F323" s="46">
        <f t="shared" si="22"/>
        <v>24.604399999999998</v>
      </c>
      <c r="G323" s="46">
        <f t="shared" si="26"/>
        <v>1.0596492114391114</v>
      </c>
      <c r="H323" s="47">
        <f t="shared" si="23"/>
        <v>18.861755963616183</v>
      </c>
      <c r="I323" s="48">
        <f t="shared" si="24"/>
        <v>1204.1345007172572</v>
      </c>
      <c r="J323" s="55"/>
      <c r="K323" s="55"/>
      <c r="L323" s="56"/>
      <c r="M323" s="49">
        <v>827</v>
      </c>
      <c r="N323" s="43">
        <f t="shared" si="25"/>
        <v>155.98672181910581</v>
      </c>
    </row>
    <row r="324" spans="1:14">
      <c r="A324" s="42">
        <v>80702</v>
      </c>
      <c r="B324" s="42" t="s">
        <v>346</v>
      </c>
      <c r="C324" s="43">
        <v>5308</v>
      </c>
      <c r="D324" s="44">
        <v>69</v>
      </c>
      <c r="E324" s="42">
        <v>17.8</v>
      </c>
      <c r="F324" s="46">
        <f t="shared" si="22"/>
        <v>23.834</v>
      </c>
      <c r="G324" s="46">
        <f t="shared" si="26"/>
        <v>1.0264700340361799</v>
      </c>
      <c r="H324" s="47">
        <f t="shared" si="23"/>
        <v>18.271166605844002</v>
      </c>
      <c r="I324" s="48">
        <f t="shared" si="24"/>
        <v>969.83352343819968</v>
      </c>
      <c r="J324" s="55"/>
      <c r="K324" s="55"/>
      <c r="L324" s="56"/>
      <c r="M324" s="49">
        <v>759</v>
      </c>
      <c r="N324" s="43">
        <f t="shared" si="25"/>
        <v>138.67815453835598</v>
      </c>
    </row>
    <row r="325" spans="1:14">
      <c r="A325" s="42">
        <v>80703</v>
      </c>
      <c r="B325" s="42" t="s">
        <v>369</v>
      </c>
      <c r="C325" s="43">
        <v>972</v>
      </c>
      <c r="D325" s="44">
        <v>0</v>
      </c>
      <c r="E325" s="42">
        <v>17.8</v>
      </c>
      <c r="F325" s="46">
        <f t="shared" si="22"/>
        <v>38.6</v>
      </c>
      <c r="G325" s="46">
        <f t="shared" si="26"/>
        <v>1.6624042675923698</v>
      </c>
      <c r="H325" s="47">
        <f t="shared" si="23"/>
        <v>29.590795963144185</v>
      </c>
      <c r="I325" s="48">
        <f t="shared" si="24"/>
        <v>287.62253676176147</v>
      </c>
      <c r="J325" s="55"/>
      <c r="K325" s="55"/>
      <c r="L325" s="56"/>
      <c r="M325" s="49">
        <v>166</v>
      </c>
      <c r="N325" s="43">
        <f t="shared" si="25"/>
        <v>49.120721298819348</v>
      </c>
    </row>
    <row r="326" spans="1:14">
      <c r="A326" s="42">
        <v>80801</v>
      </c>
      <c r="B326" s="42" t="s">
        <v>370</v>
      </c>
      <c r="C326" s="43">
        <v>10843</v>
      </c>
      <c r="D326" s="44">
        <v>68.5</v>
      </c>
      <c r="E326" s="42">
        <v>17.8</v>
      </c>
      <c r="F326" s="46">
        <f t="shared" si="22"/>
        <v>23.940999999999999</v>
      </c>
      <c r="G326" s="46">
        <f t="shared" si="26"/>
        <v>1.0310782531199203</v>
      </c>
      <c r="H326" s="47">
        <f t="shared" si="23"/>
        <v>18.353192905534581</v>
      </c>
      <c r="I326" s="48">
        <f t="shared" si="24"/>
        <v>1990.0367067471147</v>
      </c>
      <c r="J326" s="42"/>
      <c r="K326" s="42"/>
      <c r="L326" s="42"/>
      <c r="M326" s="49">
        <v>1460</v>
      </c>
      <c r="N326" s="43">
        <f t="shared" si="25"/>
        <v>267.95661642080489</v>
      </c>
    </row>
    <row r="327" spans="1:14">
      <c r="A327" s="42">
        <v>80802</v>
      </c>
      <c r="B327" s="42" t="s">
        <v>371</v>
      </c>
      <c r="C327" s="43">
        <v>5710</v>
      </c>
      <c r="D327" s="44">
        <v>39.4</v>
      </c>
      <c r="E327" s="42">
        <v>17.8</v>
      </c>
      <c r="F327" s="46">
        <f t="shared" si="22"/>
        <v>30.168399999999998</v>
      </c>
      <c r="G327" s="46">
        <f t="shared" si="26"/>
        <v>1.2992766037936176</v>
      </c>
      <c r="H327" s="47">
        <f t="shared" si="23"/>
        <v>23.127123547526395</v>
      </c>
      <c r="I327" s="48">
        <f t="shared" si="24"/>
        <v>1320.558754563757</v>
      </c>
      <c r="J327" s="55"/>
      <c r="K327" s="55"/>
      <c r="L327" s="56"/>
      <c r="M327" s="49">
        <v>725</v>
      </c>
      <c r="N327" s="43">
        <f t="shared" si="25"/>
        <v>167.67164571956636</v>
      </c>
    </row>
    <row r="328" spans="1:14">
      <c r="A328" s="42">
        <v>80803</v>
      </c>
      <c r="B328" s="42" t="s">
        <v>372</v>
      </c>
      <c r="C328" s="43">
        <v>3964</v>
      </c>
      <c r="D328" s="44">
        <v>31.8</v>
      </c>
      <c r="E328" s="42">
        <v>17.8</v>
      </c>
      <c r="F328" s="46">
        <f t="shared" si="22"/>
        <v>31.794800000000002</v>
      </c>
      <c r="G328" s="46">
        <f t="shared" si="26"/>
        <v>1.3693215338664737</v>
      </c>
      <c r="H328" s="47">
        <f t="shared" si="23"/>
        <v>24.373923302823233</v>
      </c>
      <c r="I328" s="48">
        <f t="shared" si="24"/>
        <v>966.182319723913</v>
      </c>
      <c r="J328" s="55"/>
      <c r="K328" s="55"/>
      <c r="L328" s="56"/>
      <c r="M328" s="49">
        <v>504</v>
      </c>
      <c r="N328" s="43">
        <f t="shared" si="25"/>
        <v>122.84457344622909</v>
      </c>
    </row>
    <row r="329" spans="1:14">
      <c r="A329" s="42">
        <v>80901</v>
      </c>
      <c r="B329" s="42" t="s">
        <v>373</v>
      </c>
      <c r="C329" s="43">
        <v>2789</v>
      </c>
      <c r="D329" s="44">
        <v>0</v>
      </c>
      <c r="E329" s="42">
        <v>17.8</v>
      </c>
      <c r="F329" s="46">
        <f t="shared" si="22"/>
        <v>38.6</v>
      </c>
      <c r="G329" s="46">
        <f t="shared" si="26"/>
        <v>1.6624042675923698</v>
      </c>
      <c r="H329" s="47">
        <f t="shared" si="23"/>
        <v>29.590795963144185</v>
      </c>
      <c r="I329" s="48">
        <f t="shared" si="24"/>
        <v>825.28729941209133</v>
      </c>
      <c r="J329" s="55"/>
      <c r="K329" s="55"/>
      <c r="L329" s="56"/>
      <c r="M329" s="49">
        <v>476</v>
      </c>
      <c r="N329" s="43">
        <f t="shared" si="25"/>
        <v>140.85218878456632</v>
      </c>
    </row>
    <row r="330" spans="1:14">
      <c r="A330" s="42">
        <v>90101</v>
      </c>
      <c r="B330" s="42" t="s">
        <v>374</v>
      </c>
      <c r="C330" s="43">
        <v>37560</v>
      </c>
      <c r="D330" s="44">
        <v>94.6</v>
      </c>
      <c r="E330" s="42">
        <v>15</v>
      </c>
      <c r="F330" s="46">
        <f t="shared" si="22"/>
        <v>18.355599999999999</v>
      </c>
      <c r="G330" s="46">
        <f t="shared" ref="G330:G344" si="27">1.17*F330/F$345</f>
        <v>0.6335062902944788</v>
      </c>
      <c r="H330" s="47">
        <f t="shared" si="23"/>
        <v>9.502594354417182</v>
      </c>
      <c r="I330" s="48">
        <f t="shared" si="24"/>
        <v>3569.1744395190935</v>
      </c>
      <c r="J330" s="49">
        <f>SUM(C330:C344)</f>
        <v>89379</v>
      </c>
      <c r="K330" s="49">
        <f>SUM(I330:I344)</f>
        <v>13373.451010945504</v>
      </c>
      <c r="L330" s="50">
        <f>K330/J330</f>
        <v>0.14962632174163398</v>
      </c>
      <c r="M330" s="49">
        <v>4837</v>
      </c>
      <c r="N330" s="43">
        <f t="shared" si="25"/>
        <v>459.64048892315907</v>
      </c>
    </row>
    <row r="331" spans="1:14">
      <c r="A331" s="42">
        <v>90102</v>
      </c>
      <c r="B331" s="42" t="s">
        <v>375</v>
      </c>
      <c r="C331" s="43">
        <v>6408</v>
      </c>
      <c r="D331" s="44">
        <v>35.1</v>
      </c>
      <c r="E331" s="42">
        <v>15</v>
      </c>
      <c r="F331" s="46">
        <f t="shared" si="22"/>
        <v>31.0886</v>
      </c>
      <c r="G331" s="46">
        <f t="shared" si="27"/>
        <v>1.0729599499035134</v>
      </c>
      <c r="H331" s="47">
        <f t="shared" si="23"/>
        <v>16.094399248552701</v>
      </c>
      <c r="I331" s="48">
        <f t="shared" si="24"/>
        <v>1031.3291038472571</v>
      </c>
      <c r="J331" s="55"/>
      <c r="K331" s="55"/>
      <c r="L331" s="56"/>
      <c r="M331" s="49">
        <v>851</v>
      </c>
      <c r="N331" s="43">
        <f t="shared" si="25"/>
        <v>136.96333760518348</v>
      </c>
    </row>
    <row r="332" spans="1:14">
      <c r="A332" s="42">
        <v>90103</v>
      </c>
      <c r="B332" s="42" t="s">
        <v>376</v>
      </c>
      <c r="C332" s="43">
        <v>1817</v>
      </c>
      <c r="D332" s="44">
        <v>0</v>
      </c>
      <c r="E332" s="42">
        <v>15</v>
      </c>
      <c r="F332" s="46">
        <f t="shared" si="22"/>
        <v>38.6</v>
      </c>
      <c r="G332" s="46">
        <f t="shared" si="27"/>
        <v>1.3322006801938855</v>
      </c>
      <c r="H332" s="47">
        <f t="shared" si="23"/>
        <v>19.983010202908282</v>
      </c>
      <c r="I332" s="48">
        <f t="shared" si="24"/>
        <v>363.09129538684351</v>
      </c>
      <c r="J332" s="55"/>
      <c r="K332" s="55"/>
      <c r="L332" s="56"/>
      <c r="M332" s="49">
        <v>266</v>
      </c>
      <c r="N332" s="43">
        <f t="shared" si="25"/>
        <v>53.154807139736029</v>
      </c>
    </row>
    <row r="333" spans="1:14">
      <c r="A333" s="42">
        <v>90104</v>
      </c>
      <c r="B333" s="42" t="s">
        <v>377</v>
      </c>
      <c r="C333" s="43">
        <v>3326</v>
      </c>
      <c r="D333" s="44">
        <v>0</v>
      </c>
      <c r="E333" s="42">
        <v>15</v>
      </c>
      <c r="F333" s="46">
        <f t="shared" si="22"/>
        <v>38.6</v>
      </c>
      <c r="G333" s="46">
        <f t="shared" si="27"/>
        <v>1.3322006801938855</v>
      </c>
      <c r="H333" s="47">
        <f t="shared" si="23"/>
        <v>19.983010202908282</v>
      </c>
      <c r="I333" s="48">
        <f t="shared" si="24"/>
        <v>664.63491934872945</v>
      </c>
      <c r="J333" s="55"/>
      <c r="K333" s="55"/>
      <c r="L333" s="56"/>
      <c r="M333" s="49">
        <v>436</v>
      </c>
      <c r="N333" s="43">
        <f t="shared" si="25"/>
        <v>87.125924484680112</v>
      </c>
    </row>
    <row r="334" spans="1:14">
      <c r="A334" s="42">
        <v>90201</v>
      </c>
      <c r="B334" s="42" t="s">
        <v>378</v>
      </c>
      <c r="C334" s="43">
        <v>5426</v>
      </c>
      <c r="D334" s="44">
        <v>27.9</v>
      </c>
      <c r="E334" s="42">
        <v>15</v>
      </c>
      <c r="F334" s="46">
        <f t="shared" si="22"/>
        <v>32.629400000000004</v>
      </c>
      <c r="G334" s="46">
        <f t="shared" si="27"/>
        <v>1.1261375356041026</v>
      </c>
      <c r="H334" s="47">
        <f t="shared" si="23"/>
        <v>16.89206303406154</v>
      </c>
      <c r="I334" s="48">
        <f t="shared" si="24"/>
        <v>916.56334022817919</v>
      </c>
      <c r="J334" s="55"/>
      <c r="K334" s="55"/>
      <c r="L334" s="56"/>
      <c r="M334" s="49">
        <v>833</v>
      </c>
      <c r="N334" s="43">
        <f t="shared" si="25"/>
        <v>140.71088507373261</v>
      </c>
    </row>
    <row r="335" spans="1:14">
      <c r="A335" s="42">
        <v>90202</v>
      </c>
      <c r="B335" s="42" t="s">
        <v>269</v>
      </c>
      <c r="C335" s="43">
        <v>2297</v>
      </c>
      <c r="D335" s="44">
        <v>0</v>
      </c>
      <c r="E335" s="42">
        <v>15</v>
      </c>
      <c r="F335" s="46">
        <f t="shared" si="22"/>
        <v>38.6</v>
      </c>
      <c r="G335" s="46">
        <f t="shared" si="27"/>
        <v>1.3322006801938855</v>
      </c>
      <c r="H335" s="47">
        <f t="shared" si="23"/>
        <v>19.983010202908282</v>
      </c>
      <c r="I335" s="48">
        <f t="shared" si="24"/>
        <v>459.00974436080321</v>
      </c>
      <c r="J335" s="55"/>
      <c r="K335" s="55"/>
      <c r="L335" s="56"/>
      <c r="M335" s="49">
        <v>301</v>
      </c>
      <c r="N335" s="43">
        <f t="shared" si="25"/>
        <v>60.148860710753937</v>
      </c>
    </row>
    <row r="336" spans="1:14">
      <c r="A336" s="42">
        <v>90203</v>
      </c>
      <c r="B336" s="42" t="s">
        <v>379</v>
      </c>
      <c r="C336" s="43">
        <v>4807</v>
      </c>
      <c r="D336" s="44">
        <v>0</v>
      </c>
      <c r="E336" s="42">
        <v>15</v>
      </c>
      <c r="F336" s="46">
        <f t="shared" si="22"/>
        <v>38.6</v>
      </c>
      <c r="G336" s="46">
        <f t="shared" si="27"/>
        <v>1.3322006801938855</v>
      </c>
      <c r="H336" s="47">
        <f t="shared" si="23"/>
        <v>19.983010202908282</v>
      </c>
      <c r="I336" s="48">
        <f t="shared" si="24"/>
        <v>960.58330045380126</v>
      </c>
      <c r="J336" s="55"/>
      <c r="K336" s="55"/>
      <c r="L336" s="56"/>
      <c r="M336" s="49">
        <v>735</v>
      </c>
      <c r="N336" s="43">
        <f t="shared" si="25"/>
        <v>146.87512499137586</v>
      </c>
    </row>
    <row r="337" spans="1:14">
      <c r="A337" s="42">
        <v>90301</v>
      </c>
      <c r="B337" s="42" t="s">
        <v>380</v>
      </c>
      <c r="C337" s="43">
        <v>6578</v>
      </c>
      <c r="D337" s="44">
        <v>0</v>
      </c>
      <c r="E337" s="42">
        <v>15</v>
      </c>
      <c r="F337" s="46">
        <f t="shared" si="22"/>
        <v>38.6</v>
      </c>
      <c r="G337" s="46">
        <f t="shared" si="27"/>
        <v>1.3322006801938855</v>
      </c>
      <c r="H337" s="47">
        <f t="shared" si="23"/>
        <v>19.983010202908282</v>
      </c>
      <c r="I337" s="48">
        <f t="shared" si="24"/>
        <v>1314.4824111473069</v>
      </c>
      <c r="J337" s="55"/>
      <c r="K337" s="55"/>
      <c r="L337" s="56"/>
      <c r="M337" s="49">
        <v>1011</v>
      </c>
      <c r="N337" s="43">
        <f t="shared" si="25"/>
        <v>202.02823315140276</v>
      </c>
    </row>
    <row r="338" spans="1:14">
      <c r="A338" s="42">
        <v>90302</v>
      </c>
      <c r="B338" s="42" t="s">
        <v>302</v>
      </c>
      <c r="C338" s="43">
        <v>6132</v>
      </c>
      <c r="D338" s="44">
        <v>0</v>
      </c>
      <c r="E338" s="42">
        <v>15</v>
      </c>
      <c r="F338" s="46">
        <f t="shared" si="22"/>
        <v>38.6</v>
      </c>
      <c r="G338" s="46">
        <f t="shared" si="27"/>
        <v>1.3322006801938855</v>
      </c>
      <c r="H338" s="47">
        <f t="shared" si="23"/>
        <v>19.983010202908282</v>
      </c>
      <c r="I338" s="48">
        <f t="shared" si="24"/>
        <v>1225.3581856423359</v>
      </c>
      <c r="J338" s="55"/>
      <c r="K338" s="55"/>
      <c r="L338" s="56"/>
      <c r="M338" s="49">
        <v>993</v>
      </c>
      <c r="N338" s="43">
        <f t="shared" si="25"/>
        <v>198.43129131487925</v>
      </c>
    </row>
    <row r="339" spans="1:14">
      <c r="A339" s="42">
        <v>90303</v>
      </c>
      <c r="B339" s="42" t="s">
        <v>381</v>
      </c>
      <c r="C339" s="43">
        <v>6070</v>
      </c>
      <c r="D339" s="44">
        <v>19.899999999999999</v>
      </c>
      <c r="E339" s="42">
        <v>15</v>
      </c>
      <c r="F339" s="46">
        <f t="shared" si="22"/>
        <v>34.3414</v>
      </c>
      <c r="G339" s="46">
        <f t="shared" si="27"/>
        <v>1.1852237419380904</v>
      </c>
      <c r="H339" s="47">
        <f t="shared" si="23"/>
        <v>17.778356129071355</v>
      </c>
      <c r="I339" s="48">
        <f t="shared" si="24"/>
        <v>1079.1462170346313</v>
      </c>
      <c r="J339" s="55"/>
      <c r="K339" s="55"/>
      <c r="L339" s="56"/>
      <c r="M339" s="49">
        <v>1021</v>
      </c>
      <c r="N339" s="43">
        <f t="shared" si="25"/>
        <v>181.51701607781851</v>
      </c>
    </row>
    <row r="340" spans="1:14">
      <c r="A340" s="42">
        <v>90401</v>
      </c>
      <c r="B340" s="42" t="s">
        <v>322</v>
      </c>
      <c r="C340" s="43">
        <v>2287</v>
      </c>
      <c r="D340" s="44">
        <v>0</v>
      </c>
      <c r="E340" s="42">
        <v>15</v>
      </c>
      <c r="F340" s="46">
        <f t="shared" si="22"/>
        <v>38.6</v>
      </c>
      <c r="G340" s="46">
        <f t="shared" si="27"/>
        <v>1.3322006801938855</v>
      </c>
      <c r="H340" s="47">
        <f t="shared" si="23"/>
        <v>19.983010202908282</v>
      </c>
      <c r="I340" s="48">
        <f t="shared" si="24"/>
        <v>457.01144334051241</v>
      </c>
      <c r="J340" s="55"/>
      <c r="K340" s="55"/>
      <c r="L340" s="56"/>
      <c r="M340" s="49">
        <v>316</v>
      </c>
      <c r="N340" s="43">
        <f t="shared" si="25"/>
        <v>63.146312241190174</v>
      </c>
    </row>
    <row r="341" spans="1:14">
      <c r="A341" s="42">
        <v>90402</v>
      </c>
      <c r="B341" s="42" t="s">
        <v>382</v>
      </c>
      <c r="C341" s="43">
        <v>1379</v>
      </c>
      <c r="D341" s="44">
        <v>0</v>
      </c>
      <c r="E341" s="42">
        <v>15</v>
      </c>
      <c r="F341" s="46">
        <f t="shared" si="22"/>
        <v>38.6</v>
      </c>
      <c r="G341" s="46">
        <f t="shared" si="27"/>
        <v>1.3322006801938855</v>
      </c>
      <c r="H341" s="47">
        <f t="shared" si="23"/>
        <v>19.983010202908282</v>
      </c>
      <c r="I341" s="48">
        <f t="shared" si="24"/>
        <v>275.56571069810519</v>
      </c>
      <c r="J341" s="55"/>
      <c r="K341" s="55"/>
      <c r="L341" s="56"/>
      <c r="M341" s="49">
        <v>242</v>
      </c>
      <c r="N341" s="43">
        <f t="shared" si="25"/>
        <v>48.35888469103805</v>
      </c>
    </row>
    <row r="342" spans="1:14">
      <c r="A342" s="42">
        <v>90501</v>
      </c>
      <c r="B342" s="42" t="s">
        <v>383</v>
      </c>
      <c r="C342" s="61">
        <v>1585</v>
      </c>
      <c r="D342" s="62">
        <v>0</v>
      </c>
      <c r="E342" s="42">
        <v>15</v>
      </c>
      <c r="F342" s="46">
        <f t="shared" si="22"/>
        <v>38.6</v>
      </c>
      <c r="G342" s="46">
        <f t="shared" si="27"/>
        <v>1.3322006801938855</v>
      </c>
      <c r="H342" s="47">
        <f t="shared" si="23"/>
        <v>19.983010202908282</v>
      </c>
      <c r="I342" s="48">
        <f t="shared" si="24"/>
        <v>316.73071171609627</v>
      </c>
      <c r="J342" s="55"/>
      <c r="K342" s="55"/>
      <c r="L342" s="56"/>
      <c r="M342" s="61">
        <v>196</v>
      </c>
      <c r="N342" s="43">
        <f t="shared" si="25"/>
        <v>39.166699997700235</v>
      </c>
    </row>
    <row r="343" spans="1:14">
      <c r="A343" s="42">
        <v>90502</v>
      </c>
      <c r="B343" s="42" t="s">
        <v>384</v>
      </c>
      <c r="C343" s="61">
        <v>2144</v>
      </c>
      <c r="D343" s="62">
        <v>0</v>
      </c>
      <c r="E343" s="42">
        <v>15</v>
      </c>
      <c r="F343" s="46">
        <f t="shared" si="22"/>
        <v>38.6</v>
      </c>
      <c r="G343" s="46">
        <f t="shared" si="27"/>
        <v>1.3322006801938855</v>
      </c>
      <c r="H343" s="47">
        <f t="shared" si="23"/>
        <v>19.983010202908282</v>
      </c>
      <c r="I343" s="48">
        <f t="shared" si="24"/>
        <v>428.43573875035355</v>
      </c>
      <c r="J343" s="55"/>
      <c r="K343" s="55"/>
      <c r="L343" s="56"/>
      <c r="M343" s="61">
        <v>358</v>
      </c>
      <c r="N343" s="43">
        <f t="shared" si="25"/>
        <v>71.539176526411651</v>
      </c>
    </row>
    <row r="344" spans="1:14">
      <c r="A344" s="42">
        <v>90503</v>
      </c>
      <c r="B344" s="63" t="s">
        <v>385</v>
      </c>
      <c r="C344" s="64">
        <v>1563</v>
      </c>
      <c r="D344" s="65">
        <v>0</v>
      </c>
      <c r="E344" s="42">
        <v>15</v>
      </c>
      <c r="F344" s="46">
        <f t="shared" si="22"/>
        <v>38.6</v>
      </c>
      <c r="G344" s="46">
        <f t="shared" si="27"/>
        <v>1.3322006801938855</v>
      </c>
      <c r="H344" s="66">
        <f t="shared" si="23"/>
        <v>19.983010202908282</v>
      </c>
      <c r="I344" s="67">
        <f t="shared" si="24"/>
        <v>312.33444947145648</v>
      </c>
      <c r="J344" s="68"/>
      <c r="K344" s="69"/>
      <c r="L344" s="70"/>
      <c r="M344" s="64">
        <v>218</v>
      </c>
      <c r="N344" s="71">
        <f t="shared" si="25"/>
        <v>43.562962242340056</v>
      </c>
    </row>
    <row r="345" spans="1:14">
      <c r="B345" s="72" t="s">
        <v>67</v>
      </c>
      <c r="C345" s="73">
        <f>SUM(C2:C344)</f>
        <v>9410575</v>
      </c>
      <c r="D345" s="74"/>
      <c r="E345" s="75">
        <v>27.1</v>
      </c>
      <c r="F345" s="76">
        <f>AVERAGE(F2:F344)</f>
        <v>33.900297959183767</v>
      </c>
      <c r="G345" s="77"/>
      <c r="H345" s="78">
        <f>AVERAGE(H2:H344)</f>
        <v>37.21847153357993</v>
      </c>
      <c r="I345" s="79">
        <f>SUM(I2:I344)</f>
        <v>2415444.2751152287</v>
      </c>
      <c r="J345" s="80"/>
      <c r="K345" s="81"/>
      <c r="L345" s="82"/>
      <c r="M345" s="83">
        <f t="shared" ref="M345:N345" si="28">SUM(M2:M344)</f>
        <v>1089068</v>
      </c>
      <c r="N345" s="84">
        <f t="shared" si="28"/>
        <v>282454.81434964878</v>
      </c>
    </row>
    <row r="346" spans="1:14">
      <c r="C346" s="40"/>
      <c r="D346" s="85"/>
      <c r="J346" s="86"/>
      <c r="K346" s="86"/>
      <c r="L346" s="87"/>
      <c r="M346" s="40"/>
    </row>
    <row r="347" spans="1:14">
      <c r="C347" s="40"/>
      <c r="D347" s="85"/>
      <c r="J347" s="86"/>
      <c r="K347" s="86"/>
      <c r="L347" s="87"/>
      <c r="M347" s="40"/>
    </row>
    <row r="348" spans="1:14">
      <c r="C348" s="40"/>
      <c r="D348" s="85"/>
      <c r="J348" s="86"/>
      <c r="K348" s="86"/>
      <c r="L348" s="87"/>
      <c r="M348" s="40"/>
    </row>
    <row r="349" spans="1:14">
      <c r="C349" s="40"/>
      <c r="D349" s="85"/>
      <c r="J349" s="86"/>
      <c r="K349" s="86"/>
      <c r="L349" s="87"/>
      <c r="M349" s="40"/>
    </row>
    <row r="350" spans="1:14">
      <c r="C350" s="40"/>
      <c r="D350" s="85"/>
      <c r="J350" s="86"/>
      <c r="K350" s="86"/>
      <c r="L350" s="87"/>
      <c r="M350" s="40"/>
    </row>
    <row r="351" spans="1:14">
      <c r="C351" s="40"/>
      <c r="D351" s="85"/>
      <c r="J351" s="86"/>
      <c r="K351" s="86"/>
      <c r="L351" s="87"/>
      <c r="M351" s="40"/>
    </row>
    <row r="352" spans="1:14">
      <c r="C352" s="40"/>
      <c r="D352" s="85"/>
      <c r="J352" s="86"/>
      <c r="K352" s="86"/>
      <c r="L352" s="87"/>
      <c r="M352" s="40"/>
    </row>
    <row r="353" spans="3:13">
      <c r="C353" s="40"/>
      <c r="D353" s="85"/>
      <c r="J353" s="86"/>
      <c r="K353" s="86"/>
      <c r="L353" s="87"/>
      <c r="M353" s="40"/>
    </row>
    <row r="354" spans="3:13">
      <c r="C354" s="40"/>
      <c r="D354" s="85"/>
      <c r="J354" s="86"/>
      <c r="K354" s="86"/>
      <c r="L354" s="87"/>
      <c r="M354" s="40"/>
    </row>
    <row r="355" spans="3:13">
      <c r="C355" s="40"/>
      <c r="D355" s="85"/>
      <c r="J355" s="86"/>
      <c r="K355" s="86"/>
      <c r="L355" s="87"/>
      <c r="M355" s="40"/>
    </row>
    <row r="356" spans="3:13">
      <c r="C356" s="40"/>
      <c r="D356" s="85"/>
      <c r="J356" s="86"/>
      <c r="K356" s="86"/>
      <c r="L356" s="87"/>
      <c r="M356" s="40"/>
    </row>
    <row r="357" spans="3:13">
      <c r="C357" s="40"/>
      <c r="D357" s="85"/>
      <c r="J357" s="86"/>
      <c r="K357" s="86"/>
      <c r="L357" s="87"/>
      <c r="M357" s="40"/>
    </row>
    <row r="358" spans="3:13">
      <c r="C358" s="40"/>
      <c r="D358" s="85"/>
      <c r="J358" s="86"/>
      <c r="K358" s="86"/>
      <c r="L358" s="87"/>
      <c r="M358" s="40"/>
    </row>
    <row r="359" spans="3:13">
      <c r="C359" s="40"/>
      <c r="D359" s="85"/>
      <c r="J359" s="86"/>
      <c r="K359" s="86"/>
      <c r="L359" s="87"/>
      <c r="M359" s="40"/>
    </row>
    <row r="360" spans="3:13">
      <c r="C360" s="40"/>
      <c r="D360" s="85"/>
      <c r="J360" s="86"/>
      <c r="K360" s="86"/>
      <c r="L360" s="87"/>
      <c r="M360" s="40"/>
    </row>
    <row r="361" spans="3:13">
      <c r="C361" s="40"/>
      <c r="D361" s="85"/>
      <c r="J361" s="86"/>
      <c r="K361" s="86"/>
      <c r="L361" s="87"/>
      <c r="M361" s="40"/>
    </row>
    <row r="362" spans="3:13">
      <c r="C362" s="40"/>
      <c r="D362" s="85"/>
      <c r="J362" s="86"/>
      <c r="K362" s="86"/>
      <c r="L362" s="87"/>
      <c r="M362" s="40"/>
    </row>
    <row r="363" spans="3:13">
      <c r="C363" s="40"/>
      <c r="D363" s="85"/>
      <c r="J363" s="86"/>
      <c r="K363" s="86"/>
      <c r="L363" s="87"/>
      <c r="M363" s="40"/>
    </row>
    <row r="364" spans="3:13">
      <c r="C364" s="40"/>
      <c r="D364" s="85"/>
      <c r="J364" s="86"/>
      <c r="K364" s="86"/>
      <c r="L364" s="87"/>
      <c r="M364" s="40"/>
    </row>
    <row r="365" spans="3:13">
      <c r="C365" s="40"/>
      <c r="D365" s="85"/>
      <c r="J365" s="86"/>
      <c r="K365" s="86"/>
      <c r="L365" s="87"/>
      <c r="M365" s="40"/>
    </row>
    <row r="366" spans="3:13">
      <c r="C366" s="40"/>
      <c r="D366" s="85"/>
      <c r="J366" s="86"/>
      <c r="K366" s="86"/>
      <c r="L366" s="87"/>
      <c r="M366" s="40"/>
    </row>
    <row r="367" spans="3:13">
      <c r="C367" s="40"/>
      <c r="D367" s="85"/>
      <c r="J367" s="86"/>
      <c r="K367" s="86"/>
      <c r="L367" s="87"/>
      <c r="M367" s="40"/>
    </row>
    <row r="368" spans="3:13">
      <c r="C368" s="40"/>
      <c r="D368" s="85"/>
      <c r="J368" s="86"/>
      <c r="K368" s="86"/>
      <c r="L368" s="87"/>
      <c r="M368" s="40"/>
    </row>
    <row r="369" spans="3:13">
      <c r="C369" s="40"/>
      <c r="D369" s="85"/>
      <c r="J369" s="86"/>
      <c r="K369" s="86"/>
      <c r="L369" s="87"/>
      <c r="M369" s="40"/>
    </row>
    <row r="370" spans="3:13">
      <c r="C370" s="40"/>
      <c r="D370" s="85"/>
      <c r="J370" s="86"/>
      <c r="K370" s="86"/>
      <c r="L370" s="87"/>
      <c r="M370" s="40"/>
    </row>
    <row r="371" spans="3:13">
      <c r="C371" s="40"/>
      <c r="D371" s="85"/>
      <c r="J371" s="86"/>
      <c r="K371" s="86"/>
      <c r="L371" s="87"/>
      <c r="M371" s="40"/>
    </row>
    <row r="372" spans="3:13">
      <c r="C372" s="40"/>
      <c r="D372" s="85"/>
      <c r="J372" s="86"/>
      <c r="K372" s="86"/>
      <c r="L372" s="87"/>
      <c r="M372" s="40"/>
    </row>
    <row r="373" spans="3:13">
      <c r="C373" s="40"/>
      <c r="D373" s="85"/>
      <c r="J373" s="86"/>
      <c r="K373" s="86"/>
      <c r="L373" s="87"/>
      <c r="M373" s="40"/>
    </row>
    <row r="374" spans="3:13">
      <c r="C374" s="40"/>
      <c r="D374" s="85"/>
      <c r="J374" s="86"/>
      <c r="K374" s="86"/>
      <c r="L374" s="87"/>
      <c r="M374" s="40"/>
    </row>
    <row r="375" spans="3:13">
      <c r="C375" s="40"/>
      <c r="D375" s="85"/>
      <c r="J375" s="86"/>
      <c r="K375" s="86"/>
      <c r="L375" s="87"/>
      <c r="M375" s="40"/>
    </row>
    <row r="376" spans="3:13">
      <c r="C376" s="40"/>
      <c r="D376" s="85"/>
      <c r="J376" s="86"/>
      <c r="K376" s="86"/>
      <c r="L376" s="87"/>
      <c r="M376" s="40"/>
    </row>
    <row r="377" spans="3:13">
      <c r="C377" s="40"/>
      <c r="D377" s="85"/>
      <c r="J377" s="86"/>
      <c r="K377" s="86"/>
      <c r="L377" s="87"/>
      <c r="M377" s="40"/>
    </row>
    <row r="378" spans="3:13">
      <c r="C378" s="40"/>
      <c r="D378" s="85"/>
      <c r="J378" s="86"/>
      <c r="K378" s="86"/>
      <c r="L378" s="87"/>
      <c r="M378" s="40"/>
    </row>
    <row r="379" spans="3:13">
      <c r="C379" s="40"/>
      <c r="D379" s="85"/>
      <c r="J379" s="86"/>
      <c r="K379" s="86"/>
      <c r="L379" s="87"/>
      <c r="M379" s="40"/>
    </row>
    <row r="380" spans="3:13">
      <c r="C380" s="40"/>
      <c r="D380" s="85"/>
      <c r="J380" s="86"/>
      <c r="K380" s="86"/>
      <c r="L380" s="87"/>
      <c r="M380" s="40"/>
    </row>
    <row r="381" spans="3:13">
      <c r="C381" s="40"/>
      <c r="D381" s="85"/>
      <c r="J381" s="86"/>
      <c r="K381" s="86"/>
      <c r="L381" s="87"/>
      <c r="M381" s="40"/>
    </row>
    <row r="382" spans="3:13">
      <c r="C382" s="40"/>
      <c r="D382" s="85"/>
      <c r="J382" s="86"/>
      <c r="K382" s="86"/>
      <c r="L382" s="87"/>
      <c r="M382" s="40"/>
    </row>
    <row r="383" spans="3:13">
      <c r="C383" s="40"/>
      <c r="D383" s="85"/>
      <c r="J383" s="86"/>
      <c r="K383" s="86"/>
      <c r="L383" s="87"/>
      <c r="M383" s="40"/>
    </row>
    <row r="384" spans="3:13">
      <c r="C384" s="40"/>
      <c r="D384" s="85"/>
      <c r="J384" s="86"/>
      <c r="K384" s="86"/>
      <c r="L384" s="87"/>
      <c r="M384" s="40"/>
    </row>
    <row r="385" spans="3:13">
      <c r="C385" s="40"/>
      <c r="D385" s="85"/>
      <c r="J385" s="86"/>
      <c r="K385" s="86"/>
      <c r="L385" s="87"/>
      <c r="M385" s="40"/>
    </row>
    <row r="386" spans="3:13">
      <c r="C386" s="40"/>
      <c r="D386" s="85"/>
      <c r="J386" s="86"/>
      <c r="K386" s="86"/>
      <c r="L386" s="87"/>
      <c r="M386" s="40"/>
    </row>
    <row r="387" spans="3:13">
      <c r="C387" s="40"/>
      <c r="D387" s="85"/>
      <c r="J387" s="86"/>
      <c r="K387" s="86"/>
      <c r="L387" s="87"/>
      <c r="M387" s="40"/>
    </row>
    <row r="388" spans="3:13">
      <c r="C388" s="40"/>
      <c r="D388" s="85"/>
      <c r="J388" s="86"/>
      <c r="K388" s="86"/>
      <c r="L388" s="87"/>
      <c r="M388" s="40"/>
    </row>
    <row r="389" spans="3:13">
      <c r="C389" s="40"/>
      <c r="D389" s="85"/>
      <c r="J389" s="86"/>
      <c r="K389" s="86"/>
      <c r="L389" s="87"/>
      <c r="M389" s="40"/>
    </row>
    <row r="390" spans="3:13">
      <c r="C390" s="40"/>
      <c r="D390" s="85"/>
      <c r="J390" s="86"/>
      <c r="K390" s="86"/>
      <c r="L390" s="87"/>
      <c r="M390" s="40"/>
    </row>
    <row r="391" spans="3:13">
      <c r="C391" s="40"/>
      <c r="D391" s="85"/>
      <c r="J391" s="86"/>
      <c r="K391" s="86"/>
      <c r="L391" s="87"/>
      <c r="M391" s="40"/>
    </row>
    <row r="392" spans="3:13">
      <c r="C392" s="40"/>
      <c r="D392" s="85"/>
      <c r="J392" s="86"/>
      <c r="K392" s="86"/>
      <c r="L392" s="87"/>
      <c r="M392" s="40"/>
    </row>
    <row r="393" spans="3:13">
      <c r="C393" s="40"/>
      <c r="D393" s="85"/>
      <c r="J393" s="86"/>
      <c r="K393" s="86"/>
      <c r="L393" s="87"/>
      <c r="M393" s="40"/>
    </row>
    <row r="394" spans="3:13">
      <c r="C394" s="40"/>
      <c r="D394" s="85"/>
      <c r="J394" s="86"/>
      <c r="K394" s="86"/>
      <c r="L394" s="87"/>
      <c r="M394" s="40"/>
    </row>
    <row r="395" spans="3:13">
      <c r="C395" s="40"/>
      <c r="D395" s="85"/>
      <c r="J395" s="86"/>
      <c r="K395" s="86"/>
      <c r="L395" s="87"/>
      <c r="M395" s="40"/>
    </row>
    <row r="396" spans="3:13">
      <c r="C396" s="40"/>
      <c r="D396" s="85"/>
      <c r="J396" s="86"/>
      <c r="K396" s="86"/>
      <c r="L396" s="87"/>
      <c r="M396" s="40"/>
    </row>
    <row r="397" spans="3:13">
      <c r="C397" s="40"/>
      <c r="D397" s="85"/>
      <c r="J397" s="86"/>
      <c r="K397" s="86"/>
      <c r="L397" s="87"/>
      <c r="M397" s="40"/>
    </row>
    <row r="398" spans="3:13">
      <c r="C398" s="40"/>
      <c r="D398" s="85"/>
      <c r="J398" s="86"/>
      <c r="K398" s="86"/>
      <c r="L398" s="87"/>
      <c r="M398" s="40"/>
    </row>
    <row r="399" spans="3:13">
      <c r="C399" s="40"/>
      <c r="D399" s="85"/>
      <c r="J399" s="86"/>
      <c r="K399" s="86"/>
      <c r="L399" s="87"/>
      <c r="M399" s="40"/>
    </row>
    <row r="400" spans="3:13">
      <c r="C400" s="40"/>
      <c r="D400" s="85"/>
      <c r="J400" s="86"/>
      <c r="K400" s="86"/>
      <c r="L400" s="87"/>
      <c r="M400" s="40"/>
    </row>
    <row r="401" spans="3:13">
      <c r="C401" s="40"/>
      <c r="D401" s="85"/>
      <c r="J401" s="86"/>
      <c r="K401" s="86"/>
      <c r="L401" s="87"/>
      <c r="M401" s="40"/>
    </row>
    <row r="402" spans="3:13">
      <c r="C402" s="40"/>
      <c r="D402" s="85"/>
      <c r="J402" s="86"/>
      <c r="K402" s="86"/>
      <c r="L402" s="87"/>
      <c r="M402" s="40"/>
    </row>
    <row r="403" spans="3:13">
      <c r="C403" s="40"/>
      <c r="D403" s="85"/>
      <c r="J403" s="86"/>
      <c r="K403" s="86"/>
      <c r="L403" s="87"/>
      <c r="M403" s="40"/>
    </row>
    <row r="404" spans="3:13">
      <c r="C404" s="40"/>
      <c r="D404" s="85"/>
      <c r="J404" s="86"/>
      <c r="K404" s="86"/>
      <c r="L404" s="87"/>
      <c r="M404" s="40"/>
    </row>
    <row r="405" spans="3:13">
      <c r="C405" s="40"/>
      <c r="D405" s="85"/>
      <c r="J405" s="86"/>
      <c r="K405" s="86"/>
      <c r="L405" s="87"/>
      <c r="M405" s="40"/>
    </row>
    <row r="406" spans="3:13">
      <c r="C406" s="40"/>
      <c r="D406" s="85"/>
      <c r="J406" s="86"/>
      <c r="K406" s="86"/>
      <c r="L406" s="87"/>
      <c r="M406" s="40"/>
    </row>
    <row r="407" spans="3:13">
      <c r="C407" s="40"/>
      <c r="D407" s="85"/>
      <c r="J407" s="86"/>
      <c r="K407" s="86"/>
      <c r="L407" s="87"/>
      <c r="M407" s="40"/>
    </row>
    <row r="408" spans="3:13">
      <c r="C408" s="40"/>
      <c r="D408" s="85"/>
      <c r="J408" s="86"/>
      <c r="K408" s="86"/>
      <c r="L408" s="87"/>
      <c r="M408" s="40"/>
    </row>
    <row r="409" spans="3:13">
      <c r="C409" s="40"/>
      <c r="D409" s="85"/>
      <c r="J409" s="86"/>
      <c r="K409" s="86"/>
      <c r="L409" s="87"/>
      <c r="M409" s="40"/>
    </row>
    <row r="410" spans="3:13">
      <c r="C410" s="40"/>
      <c r="D410" s="85"/>
      <c r="J410" s="86"/>
      <c r="K410" s="86"/>
      <c r="L410" s="87"/>
      <c r="M410" s="40"/>
    </row>
    <row r="411" spans="3:13">
      <c r="C411" s="40"/>
      <c r="D411" s="85"/>
      <c r="J411" s="86"/>
      <c r="K411" s="86"/>
      <c r="L411" s="87"/>
      <c r="M411" s="40"/>
    </row>
    <row r="412" spans="3:13">
      <c r="C412" s="40"/>
      <c r="D412" s="85"/>
      <c r="J412" s="86"/>
      <c r="K412" s="86"/>
      <c r="L412" s="87"/>
      <c r="M412" s="40"/>
    </row>
    <row r="413" spans="3:13">
      <c r="C413" s="40"/>
      <c r="D413" s="85"/>
      <c r="J413" s="86"/>
      <c r="K413" s="86"/>
      <c r="L413" s="87"/>
      <c r="M413" s="40"/>
    </row>
    <row r="414" spans="3:13">
      <c r="C414" s="40"/>
      <c r="D414" s="85"/>
      <c r="J414" s="86"/>
      <c r="K414" s="86"/>
      <c r="L414" s="87"/>
      <c r="M414" s="40"/>
    </row>
    <row r="415" spans="3:13">
      <c r="C415" s="40"/>
      <c r="D415" s="85"/>
      <c r="J415" s="86"/>
      <c r="K415" s="86"/>
      <c r="L415" s="87"/>
      <c r="M415" s="40"/>
    </row>
    <row r="416" spans="3:13">
      <c r="C416" s="40"/>
      <c r="D416" s="85"/>
      <c r="J416" s="86"/>
      <c r="K416" s="86"/>
      <c r="L416" s="87"/>
      <c r="M416" s="40"/>
    </row>
    <row r="417" spans="3:13">
      <c r="C417" s="40"/>
      <c r="D417" s="85"/>
      <c r="J417" s="86"/>
      <c r="K417" s="86"/>
      <c r="L417" s="87"/>
      <c r="M417" s="40"/>
    </row>
    <row r="418" spans="3:13">
      <c r="C418" s="40"/>
      <c r="D418" s="85"/>
      <c r="J418" s="86"/>
      <c r="K418" s="86"/>
      <c r="L418" s="87"/>
      <c r="M418" s="40"/>
    </row>
    <row r="419" spans="3:13">
      <c r="C419" s="40"/>
      <c r="D419" s="85"/>
      <c r="J419" s="86"/>
      <c r="K419" s="86"/>
      <c r="L419" s="87"/>
      <c r="M419" s="40"/>
    </row>
    <row r="420" spans="3:13">
      <c r="C420" s="40"/>
      <c r="D420" s="85"/>
      <c r="J420" s="86"/>
      <c r="K420" s="86"/>
      <c r="L420" s="87"/>
      <c r="M420" s="40"/>
    </row>
    <row r="421" spans="3:13">
      <c r="C421" s="40"/>
      <c r="D421" s="85"/>
      <c r="J421" s="86"/>
      <c r="K421" s="86"/>
      <c r="L421" s="87"/>
      <c r="M421" s="40"/>
    </row>
    <row r="422" spans="3:13">
      <c r="C422" s="40"/>
      <c r="D422" s="85"/>
      <c r="J422" s="86"/>
      <c r="K422" s="86"/>
      <c r="L422" s="87"/>
      <c r="M422" s="40"/>
    </row>
    <row r="423" spans="3:13">
      <c r="C423" s="40"/>
      <c r="D423" s="85"/>
      <c r="J423" s="86"/>
      <c r="K423" s="86"/>
      <c r="L423" s="87"/>
      <c r="M423" s="40"/>
    </row>
    <row r="424" spans="3:13">
      <c r="C424" s="40"/>
      <c r="D424" s="85"/>
      <c r="J424" s="86"/>
      <c r="K424" s="86"/>
      <c r="L424" s="87"/>
      <c r="M424" s="40"/>
    </row>
    <row r="425" spans="3:13">
      <c r="C425" s="40"/>
      <c r="D425" s="85"/>
      <c r="J425" s="86"/>
      <c r="K425" s="86"/>
      <c r="L425" s="87"/>
      <c r="M425" s="40"/>
    </row>
    <row r="426" spans="3:13">
      <c r="C426" s="40"/>
      <c r="D426" s="85"/>
      <c r="J426" s="86"/>
      <c r="K426" s="86"/>
      <c r="L426" s="87"/>
      <c r="M426" s="40"/>
    </row>
    <row r="427" spans="3:13">
      <c r="C427" s="40"/>
      <c r="D427" s="85"/>
      <c r="J427" s="86"/>
      <c r="K427" s="86"/>
      <c r="L427" s="87"/>
      <c r="M427" s="40"/>
    </row>
    <row r="428" spans="3:13">
      <c r="C428" s="40"/>
      <c r="D428" s="85"/>
      <c r="J428" s="86"/>
      <c r="K428" s="86"/>
      <c r="L428" s="87"/>
      <c r="M428" s="40"/>
    </row>
    <row r="429" spans="3:13">
      <c r="C429" s="40"/>
      <c r="D429" s="85"/>
      <c r="J429" s="86"/>
      <c r="K429" s="86"/>
      <c r="L429" s="87"/>
      <c r="M429" s="40"/>
    </row>
    <row r="430" spans="3:13">
      <c r="C430" s="40"/>
      <c r="D430" s="85"/>
      <c r="J430" s="86"/>
      <c r="K430" s="86"/>
      <c r="L430" s="87"/>
      <c r="M430" s="40"/>
    </row>
    <row r="431" spans="3:13">
      <c r="C431" s="40"/>
      <c r="D431" s="85"/>
      <c r="J431" s="86"/>
      <c r="K431" s="86"/>
      <c r="L431" s="87"/>
      <c r="M431" s="40"/>
    </row>
    <row r="432" spans="3:13">
      <c r="C432" s="40"/>
      <c r="D432" s="85"/>
      <c r="J432" s="86"/>
      <c r="K432" s="86"/>
      <c r="L432" s="87"/>
      <c r="M432" s="40"/>
    </row>
    <row r="433" spans="3:13">
      <c r="C433" s="40"/>
      <c r="D433" s="85"/>
      <c r="J433" s="86"/>
      <c r="K433" s="86"/>
      <c r="L433" s="87"/>
      <c r="M433" s="40"/>
    </row>
    <row r="434" spans="3:13">
      <c r="C434" s="40"/>
      <c r="D434" s="85"/>
      <c r="J434" s="86"/>
      <c r="K434" s="86"/>
      <c r="L434" s="87"/>
      <c r="M434" s="40"/>
    </row>
    <row r="435" spans="3:13">
      <c r="C435" s="40"/>
      <c r="D435" s="85"/>
      <c r="J435" s="86"/>
      <c r="K435" s="86"/>
      <c r="L435" s="87"/>
      <c r="M435" s="40"/>
    </row>
    <row r="436" spans="3:13">
      <c r="C436" s="40"/>
      <c r="D436" s="85"/>
      <c r="J436" s="86"/>
      <c r="K436" s="86"/>
      <c r="L436" s="87"/>
      <c r="M436" s="40"/>
    </row>
    <row r="437" spans="3:13">
      <c r="C437" s="40"/>
      <c r="D437" s="85"/>
      <c r="J437" s="86"/>
      <c r="K437" s="86"/>
      <c r="L437" s="87"/>
      <c r="M437" s="40"/>
    </row>
    <row r="438" spans="3:13">
      <c r="C438" s="40"/>
      <c r="D438" s="85"/>
      <c r="J438" s="86"/>
      <c r="K438" s="86"/>
      <c r="L438" s="87"/>
      <c r="M438" s="40"/>
    </row>
    <row r="439" spans="3:13">
      <c r="C439" s="40"/>
      <c r="D439" s="85"/>
      <c r="J439" s="86"/>
      <c r="K439" s="86"/>
      <c r="L439" s="87"/>
      <c r="M439" s="40"/>
    </row>
    <row r="440" spans="3:13">
      <c r="C440" s="40"/>
      <c r="D440" s="85"/>
      <c r="J440" s="86"/>
      <c r="K440" s="86"/>
      <c r="L440" s="87"/>
      <c r="M440" s="40"/>
    </row>
    <row r="441" spans="3:13">
      <c r="C441" s="40"/>
      <c r="D441" s="85"/>
      <c r="J441" s="86"/>
      <c r="K441" s="86"/>
      <c r="L441" s="87"/>
      <c r="M441" s="40"/>
    </row>
    <row r="442" spans="3:13">
      <c r="C442" s="40"/>
      <c r="D442" s="85"/>
      <c r="J442" s="86"/>
      <c r="K442" s="86"/>
      <c r="L442" s="87"/>
      <c r="M442" s="40"/>
    </row>
    <row r="443" spans="3:13">
      <c r="C443" s="40"/>
      <c r="D443" s="85"/>
      <c r="J443" s="86"/>
      <c r="K443" s="86"/>
      <c r="L443" s="87"/>
      <c r="M443" s="40"/>
    </row>
    <row r="444" spans="3:13">
      <c r="C444" s="40"/>
      <c r="D444" s="85"/>
      <c r="J444" s="86"/>
      <c r="K444" s="86"/>
      <c r="L444" s="87"/>
      <c r="M444" s="40"/>
    </row>
    <row r="445" spans="3:13">
      <c r="C445" s="40"/>
      <c r="D445" s="85"/>
      <c r="J445" s="86"/>
      <c r="K445" s="86"/>
      <c r="L445" s="87"/>
      <c r="M445" s="40"/>
    </row>
    <row r="446" spans="3:13">
      <c r="C446" s="40"/>
      <c r="D446" s="85"/>
      <c r="J446" s="86"/>
      <c r="K446" s="86"/>
      <c r="L446" s="87"/>
      <c r="M446" s="40"/>
    </row>
    <row r="447" spans="3:13">
      <c r="C447" s="40"/>
      <c r="D447" s="85"/>
      <c r="J447" s="86"/>
      <c r="K447" s="86"/>
      <c r="L447" s="87"/>
      <c r="M447" s="40"/>
    </row>
    <row r="448" spans="3:13">
      <c r="C448" s="40"/>
      <c r="D448" s="85"/>
      <c r="J448" s="86"/>
      <c r="K448" s="86"/>
      <c r="L448" s="87"/>
      <c r="M448" s="40"/>
    </row>
    <row r="449" spans="3:13">
      <c r="C449" s="40"/>
      <c r="D449" s="85"/>
      <c r="J449" s="86"/>
      <c r="K449" s="86"/>
      <c r="L449" s="87"/>
      <c r="M449" s="40"/>
    </row>
    <row r="450" spans="3:13">
      <c r="C450" s="40"/>
      <c r="D450" s="85"/>
      <c r="J450" s="86"/>
      <c r="K450" s="86"/>
      <c r="L450" s="87"/>
      <c r="M450" s="40"/>
    </row>
    <row r="451" spans="3:13">
      <c r="C451" s="40"/>
      <c r="D451" s="85"/>
      <c r="J451" s="86"/>
      <c r="K451" s="86"/>
      <c r="L451" s="87"/>
      <c r="M451" s="40"/>
    </row>
    <row r="452" spans="3:13">
      <c r="C452" s="40"/>
      <c r="D452" s="85"/>
      <c r="J452" s="86"/>
      <c r="K452" s="86"/>
      <c r="L452" s="87"/>
      <c r="M452" s="40"/>
    </row>
    <row r="453" spans="3:13">
      <c r="C453" s="40"/>
      <c r="D453" s="85"/>
      <c r="J453" s="86"/>
      <c r="K453" s="86"/>
      <c r="L453" s="87"/>
      <c r="M453" s="40"/>
    </row>
    <row r="454" spans="3:13">
      <c r="C454" s="40"/>
      <c r="D454" s="85"/>
      <c r="J454" s="86"/>
      <c r="K454" s="86"/>
      <c r="L454" s="87"/>
      <c r="M454" s="40"/>
    </row>
    <row r="455" spans="3:13">
      <c r="C455" s="40"/>
      <c r="D455" s="85"/>
      <c r="J455" s="86"/>
      <c r="K455" s="86"/>
      <c r="L455" s="87"/>
      <c r="M455" s="40"/>
    </row>
    <row r="456" spans="3:13">
      <c r="C456" s="40"/>
      <c r="D456" s="85"/>
      <c r="J456" s="86"/>
      <c r="K456" s="86"/>
      <c r="L456" s="87"/>
      <c r="M456" s="40"/>
    </row>
    <row r="457" spans="3:13">
      <c r="C457" s="40"/>
      <c r="D457" s="85"/>
      <c r="J457" s="86"/>
      <c r="K457" s="86"/>
      <c r="L457" s="87"/>
      <c r="M457" s="40"/>
    </row>
    <row r="458" spans="3:13">
      <c r="C458" s="40"/>
      <c r="D458" s="85"/>
      <c r="J458" s="86"/>
      <c r="K458" s="86"/>
      <c r="L458" s="87"/>
      <c r="M458" s="40"/>
    </row>
    <row r="459" spans="3:13">
      <c r="C459" s="40"/>
      <c r="D459" s="85"/>
      <c r="J459" s="86"/>
      <c r="K459" s="86"/>
      <c r="L459" s="87"/>
      <c r="M459" s="40"/>
    </row>
    <row r="460" spans="3:13">
      <c r="C460" s="40"/>
      <c r="D460" s="85"/>
      <c r="J460" s="86"/>
      <c r="K460" s="86"/>
      <c r="L460" s="87"/>
      <c r="M460" s="40"/>
    </row>
    <row r="461" spans="3:13">
      <c r="C461" s="40"/>
      <c r="D461" s="85"/>
      <c r="J461" s="86"/>
      <c r="K461" s="86"/>
      <c r="L461" s="87"/>
      <c r="M461" s="40"/>
    </row>
    <row r="462" spans="3:13">
      <c r="C462" s="40"/>
      <c r="D462" s="85"/>
      <c r="J462" s="86"/>
      <c r="K462" s="86"/>
      <c r="L462" s="87"/>
      <c r="M462" s="40"/>
    </row>
    <row r="463" spans="3:13">
      <c r="C463" s="40"/>
      <c r="D463" s="85"/>
      <c r="J463" s="86"/>
      <c r="K463" s="86"/>
      <c r="L463" s="87"/>
      <c r="M463" s="40"/>
    </row>
    <row r="464" spans="3:13">
      <c r="C464" s="40"/>
      <c r="D464" s="85"/>
      <c r="J464" s="86"/>
      <c r="K464" s="86"/>
      <c r="L464" s="87"/>
      <c r="M464" s="40"/>
    </row>
    <row r="465" spans="3:13">
      <c r="C465" s="40"/>
      <c r="D465" s="85"/>
      <c r="J465" s="86"/>
      <c r="K465" s="86"/>
      <c r="L465" s="87"/>
      <c r="M465" s="40"/>
    </row>
    <row r="466" spans="3:13">
      <c r="C466" s="40"/>
      <c r="D466" s="85"/>
      <c r="J466" s="86"/>
      <c r="K466" s="86"/>
      <c r="L466" s="87"/>
      <c r="M466" s="40"/>
    </row>
    <row r="467" spans="3:13">
      <c r="C467" s="40"/>
      <c r="D467" s="85"/>
      <c r="J467" s="86"/>
      <c r="K467" s="86"/>
      <c r="L467" s="87"/>
      <c r="M467" s="40"/>
    </row>
    <row r="468" spans="3:13">
      <c r="C468" s="40"/>
      <c r="D468" s="85"/>
      <c r="J468" s="86"/>
      <c r="K468" s="86"/>
      <c r="L468" s="87"/>
      <c r="M468" s="40"/>
    </row>
    <row r="469" spans="3:13">
      <c r="C469" s="40"/>
      <c r="D469" s="85"/>
      <c r="J469" s="86"/>
      <c r="K469" s="86"/>
      <c r="L469" s="87"/>
      <c r="M469" s="40"/>
    </row>
    <row r="470" spans="3:13">
      <c r="C470" s="40"/>
      <c r="D470" s="85"/>
      <c r="J470" s="86"/>
      <c r="K470" s="86"/>
      <c r="L470" s="87"/>
      <c r="M470" s="40"/>
    </row>
    <row r="471" spans="3:13">
      <c r="C471" s="40"/>
      <c r="D471" s="85"/>
      <c r="J471" s="86"/>
      <c r="K471" s="86"/>
      <c r="L471" s="87"/>
      <c r="M471" s="40"/>
    </row>
    <row r="472" spans="3:13">
      <c r="C472" s="40"/>
      <c r="D472" s="85"/>
      <c r="J472" s="86"/>
      <c r="K472" s="86"/>
      <c r="L472" s="87"/>
      <c r="M472" s="40"/>
    </row>
    <row r="473" spans="3:13">
      <c r="C473" s="40"/>
      <c r="D473" s="85"/>
      <c r="J473" s="86"/>
      <c r="K473" s="86"/>
      <c r="L473" s="87"/>
      <c r="M473" s="40"/>
    </row>
    <row r="474" spans="3:13">
      <c r="C474" s="40"/>
      <c r="D474" s="85"/>
      <c r="J474" s="86"/>
      <c r="K474" s="86"/>
      <c r="L474" s="87"/>
      <c r="M474" s="40"/>
    </row>
    <row r="475" spans="3:13">
      <c r="C475" s="40"/>
      <c r="D475" s="85"/>
      <c r="J475" s="86"/>
      <c r="K475" s="86"/>
      <c r="L475" s="87"/>
      <c r="M475" s="40"/>
    </row>
    <row r="476" spans="3:13">
      <c r="C476" s="40"/>
      <c r="D476" s="85"/>
      <c r="J476" s="86"/>
      <c r="K476" s="86"/>
      <c r="L476" s="87"/>
      <c r="M476" s="40"/>
    </row>
    <row r="477" spans="3:13">
      <c r="C477" s="40"/>
      <c r="D477" s="85"/>
      <c r="J477" s="86"/>
      <c r="K477" s="86"/>
      <c r="L477" s="87"/>
      <c r="M477" s="40"/>
    </row>
    <row r="478" spans="3:13">
      <c r="C478" s="40"/>
      <c r="D478" s="85"/>
      <c r="J478" s="86"/>
      <c r="K478" s="86"/>
      <c r="L478" s="87"/>
      <c r="M478" s="40"/>
    </row>
    <row r="479" spans="3:13">
      <c r="C479" s="40"/>
      <c r="D479" s="85"/>
      <c r="J479" s="86"/>
      <c r="K479" s="86"/>
      <c r="L479" s="87"/>
      <c r="M479" s="40"/>
    </row>
    <row r="480" spans="3:13">
      <c r="C480" s="40"/>
      <c r="D480" s="85"/>
      <c r="J480" s="86"/>
      <c r="K480" s="86"/>
      <c r="L480" s="87"/>
      <c r="M480" s="40"/>
    </row>
    <row r="481" spans="3:13">
      <c r="C481" s="40"/>
      <c r="D481" s="85"/>
      <c r="J481" s="86"/>
      <c r="K481" s="86"/>
      <c r="L481" s="87"/>
      <c r="M481" s="40"/>
    </row>
    <row r="482" spans="3:13">
      <c r="C482" s="40"/>
      <c r="D482" s="85"/>
      <c r="J482" s="86"/>
      <c r="K482" s="86"/>
      <c r="L482" s="87"/>
      <c r="M482" s="40"/>
    </row>
    <row r="483" spans="3:13">
      <c r="C483" s="40"/>
      <c r="D483" s="85"/>
      <c r="J483" s="86"/>
      <c r="K483" s="86"/>
      <c r="L483" s="87"/>
      <c r="M483" s="40"/>
    </row>
    <row r="484" spans="3:13">
      <c r="C484" s="40"/>
      <c r="D484" s="85"/>
      <c r="J484" s="86"/>
      <c r="K484" s="86"/>
      <c r="L484" s="87"/>
      <c r="M484" s="40"/>
    </row>
    <row r="485" spans="3:13">
      <c r="C485" s="40"/>
      <c r="D485" s="85"/>
      <c r="J485" s="86"/>
      <c r="K485" s="86"/>
      <c r="L485" s="87"/>
      <c r="M485" s="40"/>
    </row>
    <row r="486" spans="3:13">
      <c r="C486" s="40"/>
      <c r="D486" s="85"/>
      <c r="J486" s="86"/>
      <c r="K486" s="86"/>
      <c r="L486" s="87"/>
      <c r="M486" s="40"/>
    </row>
    <row r="487" spans="3:13">
      <c r="C487" s="40"/>
      <c r="D487" s="85"/>
      <c r="J487" s="86"/>
      <c r="K487" s="86"/>
      <c r="L487" s="87"/>
      <c r="M487" s="40"/>
    </row>
    <row r="488" spans="3:13">
      <c r="C488" s="40"/>
      <c r="D488" s="85"/>
      <c r="J488" s="86"/>
      <c r="K488" s="86"/>
      <c r="L488" s="87"/>
      <c r="M488" s="40"/>
    </row>
    <row r="489" spans="3:13">
      <c r="C489" s="40"/>
      <c r="D489" s="85"/>
      <c r="J489" s="86"/>
      <c r="K489" s="86"/>
      <c r="L489" s="87"/>
      <c r="M489" s="40"/>
    </row>
    <row r="490" spans="3:13">
      <c r="C490" s="40"/>
      <c r="D490" s="85"/>
      <c r="J490" s="86"/>
      <c r="K490" s="86"/>
      <c r="L490" s="87"/>
      <c r="M490" s="40"/>
    </row>
    <row r="491" spans="3:13">
      <c r="C491" s="40"/>
      <c r="D491" s="85"/>
      <c r="J491" s="86"/>
      <c r="K491" s="86"/>
      <c r="L491" s="87"/>
      <c r="M491" s="40"/>
    </row>
    <row r="492" spans="3:13">
      <c r="C492" s="40"/>
      <c r="D492" s="85"/>
      <c r="J492" s="86"/>
      <c r="K492" s="86"/>
      <c r="L492" s="87"/>
      <c r="M492" s="40"/>
    </row>
    <row r="493" spans="3:13">
      <c r="C493" s="40"/>
      <c r="D493" s="85"/>
      <c r="J493" s="86"/>
      <c r="K493" s="86"/>
      <c r="L493" s="87"/>
      <c r="M493" s="40"/>
    </row>
    <row r="494" spans="3:13">
      <c r="C494" s="40"/>
      <c r="D494" s="85"/>
      <c r="J494" s="86"/>
      <c r="K494" s="86"/>
      <c r="L494" s="87"/>
      <c r="M494" s="40"/>
    </row>
    <row r="495" spans="3:13">
      <c r="C495" s="40"/>
      <c r="D495" s="85"/>
      <c r="J495" s="86"/>
      <c r="K495" s="86"/>
      <c r="L495" s="87"/>
      <c r="M495" s="40"/>
    </row>
    <row r="496" spans="3:13">
      <c r="C496" s="40"/>
      <c r="D496" s="85"/>
      <c r="J496" s="86"/>
      <c r="K496" s="86"/>
      <c r="L496" s="87"/>
      <c r="M496" s="40"/>
    </row>
    <row r="497" spans="3:13">
      <c r="C497" s="40"/>
      <c r="D497" s="85"/>
      <c r="J497" s="86"/>
      <c r="K497" s="86"/>
      <c r="L497" s="87"/>
      <c r="M497" s="40"/>
    </row>
    <row r="498" spans="3:13">
      <c r="C498" s="40"/>
      <c r="D498" s="85"/>
      <c r="J498" s="86"/>
      <c r="K498" s="86"/>
      <c r="L498" s="87"/>
      <c r="M498" s="40"/>
    </row>
    <row r="499" spans="3:13">
      <c r="C499" s="40"/>
      <c r="D499" s="85"/>
      <c r="J499" s="86"/>
      <c r="K499" s="86"/>
      <c r="L499" s="87"/>
      <c r="M499" s="40"/>
    </row>
    <row r="500" spans="3:13">
      <c r="C500" s="40"/>
      <c r="D500" s="85"/>
      <c r="J500" s="86"/>
      <c r="K500" s="86"/>
      <c r="L500" s="87"/>
      <c r="M500" s="40"/>
    </row>
    <row r="501" spans="3:13">
      <c r="C501" s="40"/>
      <c r="D501" s="85"/>
      <c r="J501" s="86"/>
      <c r="K501" s="86"/>
      <c r="L501" s="87"/>
      <c r="M501" s="40"/>
    </row>
    <row r="502" spans="3:13">
      <c r="C502" s="40"/>
      <c r="D502" s="85"/>
      <c r="J502" s="86"/>
      <c r="K502" s="86"/>
      <c r="L502" s="87"/>
      <c r="M502" s="40"/>
    </row>
    <row r="503" spans="3:13">
      <c r="C503" s="40"/>
      <c r="D503" s="85"/>
      <c r="J503" s="86"/>
      <c r="K503" s="86"/>
      <c r="L503" s="87"/>
      <c r="M503" s="40"/>
    </row>
    <row r="504" spans="3:13">
      <c r="C504" s="40"/>
      <c r="D504" s="85"/>
      <c r="J504" s="86"/>
      <c r="K504" s="86"/>
      <c r="L504" s="87"/>
      <c r="M504" s="40"/>
    </row>
    <row r="505" spans="3:13">
      <c r="C505" s="40"/>
      <c r="D505" s="85"/>
      <c r="J505" s="86"/>
      <c r="K505" s="86"/>
      <c r="L505" s="87"/>
      <c r="M505" s="40"/>
    </row>
    <row r="506" spans="3:13">
      <c r="C506" s="40"/>
      <c r="D506" s="85"/>
      <c r="J506" s="86"/>
      <c r="K506" s="86"/>
      <c r="L506" s="87"/>
      <c r="M506" s="40"/>
    </row>
    <row r="507" spans="3:13">
      <c r="C507" s="40"/>
      <c r="D507" s="85"/>
      <c r="J507" s="86"/>
      <c r="K507" s="86"/>
      <c r="L507" s="87"/>
      <c r="M507" s="40"/>
    </row>
    <row r="508" spans="3:13">
      <c r="C508" s="40"/>
      <c r="D508" s="85"/>
      <c r="J508" s="86"/>
      <c r="K508" s="86"/>
      <c r="L508" s="87"/>
      <c r="M508" s="40"/>
    </row>
    <row r="509" spans="3:13">
      <c r="C509" s="40"/>
      <c r="D509" s="85"/>
      <c r="J509" s="86"/>
      <c r="K509" s="86"/>
      <c r="L509" s="87"/>
      <c r="M509" s="40"/>
    </row>
    <row r="510" spans="3:13">
      <c r="C510" s="40"/>
      <c r="D510" s="85"/>
      <c r="J510" s="86"/>
      <c r="K510" s="86"/>
      <c r="L510" s="87"/>
      <c r="M510" s="40"/>
    </row>
    <row r="511" spans="3:13">
      <c r="C511" s="40"/>
      <c r="D511" s="85"/>
      <c r="J511" s="86"/>
      <c r="K511" s="86"/>
      <c r="L511" s="87"/>
      <c r="M511" s="40"/>
    </row>
    <row r="512" spans="3:13">
      <c r="C512" s="40"/>
      <c r="D512" s="85"/>
      <c r="J512" s="86"/>
      <c r="K512" s="86"/>
      <c r="L512" s="87"/>
      <c r="M512" s="40"/>
    </row>
    <row r="513" spans="3:13">
      <c r="C513" s="40"/>
      <c r="D513" s="85"/>
      <c r="J513" s="86"/>
      <c r="K513" s="86"/>
      <c r="L513" s="87"/>
      <c r="M513" s="40"/>
    </row>
    <row r="514" spans="3:13">
      <c r="C514" s="40"/>
      <c r="D514" s="85"/>
      <c r="J514" s="86"/>
      <c r="K514" s="86"/>
      <c r="L514" s="87"/>
      <c r="M514" s="40"/>
    </row>
    <row r="515" spans="3:13">
      <c r="C515" s="40"/>
      <c r="D515" s="85"/>
      <c r="J515" s="86"/>
      <c r="K515" s="86"/>
      <c r="L515" s="87"/>
      <c r="M515" s="40"/>
    </row>
    <row r="516" spans="3:13">
      <c r="C516" s="40"/>
      <c r="D516" s="85"/>
      <c r="J516" s="86"/>
      <c r="K516" s="86"/>
      <c r="L516" s="87"/>
      <c r="M516" s="40"/>
    </row>
    <row r="517" spans="3:13">
      <c r="C517" s="40"/>
      <c r="D517" s="85"/>
      <c r="J517" s="86"/>
      <c r="K517" s="86"/>
      <c r="L517" s="87"/>
      <c r="M517" s="40"/>
    </row>
    <row r="518" spans="3:13">
      <c r="C518" s="40"/>
      <c r="D518" s="85"/>
      <c r="J518" s="86"/>
      <c r="K518" s="86"/>
      <c r="L518" s="87"/>
      <c r="M518" s="40"/>
    </row>
    <row r="519" spans="3:13">
      <c r="C519" s="40"/>
      <c r="D519" s="85"/>
      <c r="J519" s="86"/>
      <c r="K519" s="86"/>
      <c r="L519" s="87"/>
      <c r="M519" s="40"/>
    </row>
    <row r="520" spans="3:13">
      <c r="C520" s="40"/>
      <c r="D520" s="85"/>
      <c r="J520" s="86"/>
      <c r="K520" s="86"/>
      <c r="L520" s="87"/>
      <c r="M520" s="40"/>
    </row>
    <row r="521" spans="3:13">
      <c r="C521" s="40"/>
      <c r="D521" s="85"/>
      <c r="J521" s="86"/>
      <c r="K521" s="86"/>
      <c r="L521" s="87"/>
      <c r="M521" s="40"/>
    </row>
    <row r="522" spans="3:13">
      <c r="C522" s="40"/>
      <c r="D522" s="85"/>
      <c r="J522" s="86"/>
      <c r="K522" s="86"/>
      <c r="L522" s="87"/>
      <c r="M522" s="40"/>
    </row>
    <row r="523" spans="3:13">
      <c r="C523" s="40"/>
      <c r="D523" s="85"/>
      <c r="J523" s="86"/>
      <c r="K523" s="86"/>
      <c r="L523" s="87"/>
      <c r="M523" s="40"/>
    </row>
    <row r="524" spans="3:13">
      <c r="C524" s="40"/>
      <c r="D524" s="85"/>
      <c r="J524" s="86"/>
      <c r="K524" s="86"/>
      <c r="L524" s="87"/>
      <c r="M524" s="40"/>
    </row>
    <row r="525" spans="3:13">
      <c r="C525" s="40"/>
      <c r="D525" s="85"/>
      <c r="J525" s="86"/>
      <c r="K525" s="86"/>
      <c r="L525" s="87"/>
      <c r="M525" s="40"/>
    </row>
    <row r="526" spans="3:13">
      <c r="C526" s="40"/>
      <c r="D526" s="85"/>
      <c r="J526" s="86"/>
      <c r="K526" s="86"/>
      <c r="L526" s="87"/>
      <c r="M526" s="40"/>
    </row>
    <row r="527" spans="3:13">
      <c r="C527" s="40"/>
      <c r="D527" s="85"/>
      <c r="J527" s="86"/>
      <c r="K527" s="86"/>
      <c r="L527" s="87"/>
      <c r="M527" s="40"/>
    </row>
    <row r="528" spans="3:13">
      <c r="C528" s="40"/>
      <c r="D528" s="85"/>
      <c r="J528" s="86"/>
      <c r="K528" s="86"/>
      <c r="L528" s="87"/>
      <c r="M528" s="40"/>
    </row>
    <row r="529" spans="3:13">
      <c r="C529" s="40"/>
      <c r="D529" s="85"/>
      <c r="J529" s="86"/>
      <c r="K529" s="86"/>
      <c r="L529" s="87"/>
      <c r="M529" s="40"/>
    </row>
    <row r="530" spans="3:13">
      <c r="C530" s="40"/>
      <c r="D530" s="85"/>
      <c r="J530" s="86"/>
      <c r="K530" s="86"/>
      <c r="L530" s="87"/>
      <c r="M530" s="40"/>
    </row>
    <row r="531" spans="3:13">
      <c r="C531" s="40"/>
      <c r="D531" s="85"/>
      <c r="J531" s="86"/>
      <c r="K531" s="86"/>
      <c r="L531" s="87"/>
      <c r="M531" s="40"/>
    </row>
    <row r="532" spans="3:13">
      <c r="C532" s="40"/>
      <c r="D532" s="85"/>
      <c r="J532" s="86"/>
      <c r="K532" s="86"/>
      <c r="L532" s="87"/>
      <c r="M532" s="40"/>
    </row>
    <row r="533" spans="3:13">
      <c r="C533" s="40"/>
      <c r="D533" s="85"/>
      <c r="J533" s="86"/>
      <c r="K533" s="86"/>
      <c r="L533" s="87"/>
      <c r="M533" s="40"/>
    </row>
    <row r="534" spans="3:13">
      <c r="C534" s="40"/>
      <c r="D534" s="85"/>
      <c r="J534" s="86"/>
      <c r="K534" s="86"/>
      <c r="L534" s="87"/>
      <c r="M534" s="40"/>
    </row>
    <row r="535" spans="3:13">
      <c r="C535" s="40"/>
      <c r="D535" s="85"/>
      <c r="J535" s="86"/>
      <c r="K535" s="86"/>
      <c r="L535" s="87"/>
      <c r="M535" s="40"/>
    </row>
    <row r="536" spans="3:13">
      <c r="C536" s="40"/>
      <c r="D536" s="85"/>
      <c r="J536" s="86"/>
      <c r="K536" s="86"/>
      <c r="L536" s="87"/>
      <c r="M536" s="40"/>
    </row>
    <row r="537" spans="3:13">
      <c r="C537" s="40"/>
      <c r="D537" s="85"/>
      <c r="J537" s="86"/>
      <c r="K537" s="86"/>
      <c r="L537" s="87"/>
      <c r="M537" s="40"/>
    </row>
    <row r="538" spans="3:13">
      <c r="C538" s="40"/>
      <c r="D538" s="85"/>
      <c r="J538" s="86"/>
      <c r="K538" s="86"/>
      <c r="L538" s="87"/>
      <c r="M538" s="40"/>
    </row>
    <row r="539" spans="3:13">
      <c r="C539" s="40"/>
      <c r="D539" s="85"/>
      <c r="J539" s="86"/>
      <c r="K539" s="86"/>
      <c r="L539" s="87"/>
      <c r="M539" s="40"/>
    </row>
    <row r="540" spans="3:13">
      <c r="C540" s="40"/>
      <c r="D540" s="85"/>
      <c r="J540" s="86"/>
      <c r="K540" s="86"/>
      <c r="L540" s="87"/>
      <c r="M540" s="40"/>
    </row>
    <row r="541" spans="3:13">
      <c r="C541" s="40"/>
      <c r="D541" s="85"/>
      <c r="J541" s="86"/>
      <c r="K541" s="86"/>
      <c r="L541" s="87"/>
      <c r="M541" s="40"/>
    </row>
    <row r="542" spans="3:13">
      <c r="C542" s="40"/>
      <c r="D542" s="85"/>
      <c r="J542" s="86"/>
      <c r="K542" s="86"/>
      <c r="L542" s="87"/>
      <c r="M542" s="40"/>
    </row>
    <row r="543" spans="3:13">
      <c r="C543" s="40"/>
      <c r="D543" s="85"/>
      <c r="J543" s="86"/>
      <c r="K543" s="86"/>
      <c r="L543" s="87"/>
      <c r="M543" s="40"/>
    </row>
    <row r="544" spans="3:13">
      <c r="C544" s="40"/>
      <c r="D544" s="85"/>
      <c r="J544" s="86"/>
      <c r="K544" s="86"/>
      <c r="L544" s="87"/>
      <c r="M544" s="40"/>
    </row>
    <row r="545" spans="3:13">
      <c r="C545" s="40"/>
      <c r="D545" s="85"/>
      <c r="J545" s="86"/>
      <c r="K545" s="86"/>
      <c r="L545" s="87"/>
      <c r="M545" s="40"/>
    </row>
    <row r="546" spans="3:13">
      <c r="C546" s="40"/>
      <c r="D546" s="85"/>
      <c r="J546" s="86"/>
      <c r="K546" s="86"/>
      <c r="L546" s="87"/>
      <c r="M546" s="40"/>
    </row>
    <row r="547" spans="3:13">
      <c r="C547" s="40"/>
      <c r="D547" s="85"/>
      <c r="J547" s="86"/>
      <c r="K547" s="86"/>
      <c r="L547" s="87"/>
      <c r="M547" s="40"/>
    </row>
    <row r="548" spans="3:13">
      <c r="C548" s="40"/>
      <c r="D548" s="85"/>
      <c r="J548" s="86"/>
      <c r="K548" s="86"/>
      <c r="L548" s="87"/>
      <c r="M548" s="40"/>
    </row>
    <row r="549" spans="3:13">
      <c r="C549" s="40"/>
      <c r="D549" s="85"/>
      <c r="J549" s="86"/>
      <c r="K549" s="86"/>
      <c r="L549" s="87"/>
      <c r="M549" s="40"/>
    </row>
    <row r="550" spans="3:13">
      <c r="C550" s="40"/>
      <c r="D550" s="85"/>
      <c r="J550" s="86"/>
      <c r="K550" s="86"/>
      <c r="L550" s="87"/>
      <c r="M550" s="40"/>
    </row>
    <row r="551" spans="3:13">
      <c r="C551" s="40"/>
      <c r="D551" s="85"/>
      <c r="J551" s="86"/>
      <c r="K551" s="86"/>
      <c r="L551" s="87"/>
      <c r="M551" s="40"/>
    </row>
    <row r="552" spans="3:13">
      <c r="C552" s="40"/>
      <c r="D552" s="85"/>
      <c r="J552" s="86"/>
      <c r="K552" s="86"/>
      <c r="L552" s="87"/>
      <c r="M552" s="40"/>
    </row>
    <row r="553" spans="3:13">
      <c r="C553" s="40"/>
      <c r="D553" s="85"/>
      <c r="J553" s="86"/>
      <c r="K553" s="86"/>
      <c r="L553" s="87"/>
      <c r="M553" s="40"/>
    </row>
    <row r="554" spans="3:13">
      <c r="C554" s="40"/>
      <c r="D554" s="85"/>
      <c r="J554" s="86"/>
      <c r="K554" s="86"/>
      <c r="L554" s="87"/>
      <c r="M554" s="40"/>
    </row>
    <row r="555" spans="3:13">
      <c r="C555" s="40"/>
      <c r="D555" s="85"/>
      <c r="J555" s="86"/>
      <c r="K555" s="86"/>
      <c r="L555" s="87"/>
      <c r="M555" s="40"/>
    </row>
    <row r="556" spans="3:13">
      <c r="C556" s="40"/>
      <c r="D556" s="85"/>
      <c r="J556" s="86"/>
      <c r="K556" s="86"/>
      <c r="L556" s="87"/>
      <c r="M556" s="40"/>
    </row>
    <row r="557" spans="3:13">
      <c r="C557" s="40"/>
      <c r="D557" s="85"/>
      <c r="J557" s="86"/>
      <c r="K557" s="86"/>
      <c r="L557" s="87"/>
      <c r="M557" s="40"/>
    </row>
    <row r="558" spans="3:13">
      <c r="C558" s="40"/>
      <c r="D558" s="85"/>
      <c r="J558" s="86"/>
      <c r="K558" s="86"/>
      <c r="L558" s="87"/>
      <c r="M558" s="40"/>
    </row>
    <row r="559" spans="3:13">
      <c r="C559" s="40"/>
      <c r="D559" s="85"/>
      <c r="J559" s="86"/>
      <c r="K559" s="86"/>
      <c r="L559" s="87"/>
      <c r="M559" s="40"/>
    </row>
    <row r="560" spans="3:13">
      <c r="C560" s="40"/>
      <c r="D560" s="85"/>
      <c r="J560" s="86"/>
      <c r="K560" s="86"/>
      <c r="L560" s="87"/>
      <c r="M560" s="40"/>
    </row>
    <row r="561" spans="3:13">
      <c r="C561" s="40"/>
      <c r="D561" s="85"/>
      <c r="J561" s="86"/>
      <c r="K561" s="86"/>
      <c r="L561" s="87"/>
      <c r="M561" s="40"/>
    </row>
    <row r="562" spans="3:13">
      <c r="C562" s="40"/>
      <c r="D562" s="85"/>
      <c r="J562" s="86"/>
      <c r="K562" s="86"/>
      <c r="L562" s="87"/>
      <c r="M562" s="40"/>
    </row>
    <row r="563" spans="3:13">
      <c r="C563" s="40"/>
      <c r="D563" s="85"/>
      <c r="J563" s="86"/>
      <c r="K563" s="86"/>
      <c r="L563" s="87"/>
      <c r="M563" s="40"/>
    </row>
    <row r="564" spans="3:13">
      <c r="C564" s="40"/>
      <c r="D564" s="85"/>
      <c r="J564" s="86"/>
      <c r="K564" s="86"/>
      <c r="L564" s="87"/>
      <c r="M564" s="40"/>
    </row>
    <row r="565" spans="3:13">
      <c r="C565" s="40"/>
      <c r="D565" s="85"/>
      <c r="J565" s="86"/>
      <c r="K565" s="86"/>
      <c r="L565" s="87"/>
      <c r="M565" s="40"/>
    </row>
    <row r="566" spans="3:13">
      <c r="C566" s="40"/>
      <c r="D566" s="85"/>
      <c r="J566" s="86"/>
      <c r="K566" s="86"/>
      <c r="L566" s="87"/>
      <c r="M566" s="40"/>
    </row>
    <row r="567" spans="3:13">
      <c r="C567" s="40"/>
      <c r="D567" s="85"/>
      <c r="J567" s="86"/>
      <c r="K567" s="86"/>
      <c r="L567" s="87"/>
      <c r="M567" s="40"/>
    </row>
    <row r="568" spans="3:13">
      <c r="C568" s="40"/>
      <c r="D568" s="85"/>
      <c r="J568" s="86"/>
      <c r="K568" s="86"/>
      <c r="L568" s="87"/>
      <c r="M568" s="40"/>
    </row>
    <row r="569" spans="3:13">
      <c r="C569" s="40"/>
      <c r="D569" s="85"/>
      <c r="J569" s="86"/>
      <c r="K569" s="86"/>
      <c r="L569" s="87"/>
      <c r="M569" s="40"/>
    </row>
    <row r="570" spans="3:13">
      <c r="C570" s="40"/>
      <c r="D570" s="85"/>
      <c r="J570" s="86"/>
      <c r="K570" s="86"/>
      <c r="L570" s="87"/>
      <c r="M570" s="40"/>
    </row>
    <row r="571" spans="3:13">
      <c r="C571" s="40"/>
      <c r="D571" s="85"/>
      <c r="J571" s="86"/>
      <c r="K571" s="86"/>
      <c r="L571" s="87"/>
      <c r="M571" s="40"/>
    </row>
    <row r="572" spans="3:13">
      <c r="C572" s="40"/>
      <c r="D572" s="85"/>
      <c r="J572" s="86"/>
      <c r="K572" s="86"/>
      <c r="L572" s="87"/>
      <c r="M572" s="40"/>
    </row>
    <row r="573" spans="3:13">
      <c r="C573" s="40"/>
      <c r="D573" s="85"/>
      <c r="J573" s="86"/>
      <c r="K573" s="86"/>
      <c r="L573" s="87"/>
      <c r="M573" s="40"/>
    </row>
    <row r="574" spans="3:13">
      <c r="C574" s="40"/>
      <c r="D574" s="85"/>
      <c r="J574" s="86"/>
      <c r="K574" s="86"/>
      <c r="L574" s="87"/>
      <c r="M574" s="40"/>
    </row>
    <row r="575" spans="3:13">
      <c r="C575" s="40"/>
      <c r="D575" s="85"/>
      <c r="J575" s="86"/>
      <c r="K575" s="86"/>
      <c r="L575" s="87"/>
      <c r="M575" s="40"/>
    </row>
    <row r="576" spans="3:13">
      <c r="C576" s="40"/>
      <c r="D576" s="85"/>
      <c r="J576" s="86"/>
      <c r="K576" s="86"/>
      <c r="L576" s="87"/>
      <c r="M576" s="40"/>
    </row>
    <row r="577" spans="3:13">
      <c r="C577" s="40"/>
      <c r="D577" s="85"/>
      <c r="J577" s="86"/>
      <c r="K577" s="86"/>
      <c r="L577" s="87"/>
      <c r="M577" s="40"/>
    </row>
    <row r="578" spans="3:13">
      <c r="C578" s="40"/>
      <c r="D578" s="85"/>
      <c r="J578" s="86"/>
      <c r="K578" s="86"/>
      <c r="L578" s="87"/>
      <c r="M578" s="40"/>
    </row>
    <row r="579" spans="3:13">
      <c r="C579" s="40"/>
      <c r="D579" s="85"/>
      <c r="J579" s="86"/>
      <c r="K579" s="86"/>
      <c r="L579" s="87"/>
      <c r="M579" s="40"/>
    </row>
    <row r="580" spans="3:13">
      <c r="C580" s="40"/>
      <c r="D580" s="85"/>
      <c r="J580" s="86"/>
      <c r="K580" s="86"/>
      <c r="L580" s="87"/>
      <c r="M580" s="40"/>
    </row>
    <row r="581" spans="3:13">
      <c r="C581" s="40"/>
      <c r="D581" s="85"/>
      <c r="J581" s="86"/>
      <c r="K581" s="86"/>
      <c r="L581" s="87"/>
      <c r="M581" s="40"/>
    </row>
    <row r="582" spans="3:13">
      <c r="C582" s="40"/>
      <c r="D582" s="85"/>
      <c r="J582" s="86"/>
      <c r="K582" s="86"/>
      <c r="L582" s="87"/>
      <c r="M582" s="40"/>
    </row>
    <row r="583" spans="3:13">
      <c r="C583" s="40"/>
      <c r="D583" s="85"/>
      <c r="J583" s="86"/>
      <c r="K583" s="86"/>
      <c r="L583" s="87"/>
      <c r="M583" s="40"/>
    </row>
    <row r="584" spans="3:13">
      <c r="C584" s="40"/>
      <c r="D584" s="85"/>
      <c r="J584" s="86"/>
      <c r="K584" s="86"/>
      <c r="L584" s="87"/>
      <c r="M584" s="40"/>
    </row>
    <row r="585" spans="3:13">
      <c r="C585" s="40"/>
      <c r="D585" s="85"/>
      <c r="J585" s="86"/>
      <c r="K585" s="86"/>
      <c r="L585" s="87"/>
      <c r="M585" s="40"/>
    </row>
    <row r="586" spans="3:13">
      <c r="C586" s="40"/>
      <c r="D586" s="85"/>
      <c r="J586" s="86"/>
      <c r="K586" s="86"/>
      <c r="L586" s="87"/>
      <c r="M586" s="40"/>
    </row>
    <row r="587" spans="3:13">
      <c r="C587" s="40"/>
      <c r="D587" s="85"/>
      <c r="J587" s="86"/>
      <c r="K587" s="86"/>
      <c r="L587" s="87"/>
      <c r="M587" s="40"/>
    </row>
    <row r="588" spans="3:13">
      <c r="C588" s="40"/>
      <c r="D588" s="85"/>
      <c r="J588" s="86"/>
      <c r="K588" s="86"/>
      <c r="L588" s="87"/>
      <c r="M588" s="40"/>
    </row>
    <row r="589" spans="3:13">
      <c r="C589" s="40"/>
      <c r="D589" s="85"/>
      <c r="J589" s="86"/>
      <c r="K589" s="86"/>
      <c r="L589" s="87"/>
      <c r="M589" s="40"/>
    </row>
    <row r="590" spans="3:13">
      <c r="C590" s="40"/>
      <c r="D590" s="85"/>
      <c r="J590" s="86"/>
      <c r="K590" s="86"/>
      <c r="L590" s="87"/>
      <c r="M590" s="40"/>
    </row>
    <row r="591" spans="3:13">
      <c r="C591" s="40"/>
      <c r="D591" s="85"/>
      <c r="J591" s="86"/>
      <c r="K591" s="86"/>
      <c r="L591" s="87"/>
      <c r="M591" s="40"/>
    </row>
    <row r="592" spans="3:13">
      <c r="C592" s="40"/>
      <c r="D592" s="85"/>
      <c r="J592" s="86"/>
      <c r="K592" s="86"/>
      <c r="L592" s="87"/>
      <c r="M592" s="40"/>
    </row>
    <row r="593" spans="3:13">
      <c r="C593" s="40"/>
      <c r="D593" s="85"/>
      <c r="J593" s="86"/>
      <c r="K593" s="86"/>
      <c r="L593" s="87"/>
      <c r="M593" s="40"/>
    </row>
    <row r="594" spans="3:13">
      <c r="C594" s="40"/>
      <c r="D594" s="85"/>
      <c r="J594" s="86"/>
      <c r="K594" s="86"/>
      <c r="L594" s="87"/>
      <c r="M594" s="40"/>
    </row>
    <row r="595" spans="3:13">
      <c r="C595" s="40"/>
      <c r="D595" s="85"/>
      <c r="J595" s="86"/>
      <c r="K595" s="86"/>
      <c r="L595" s="87"/>
      <c r="M595" s="40"/>
    </row>
    <row r="596" spans="3:13">
      <c r="C596" s="40"/>
      <c r="D596" s="85"/>
      <c r="J596" s="86"/>
      <c r="K596" s="86"/>
      <c r="L596" s="87"/>
      <c r="M596" s="40"/>
    </row>
    <row r="597" spans="3:13">
      <c r="C597" s="40"/>
      <c r="D597" s="85"/>
      <c r="J597" s="86"/>
      <c r="K597" s="86"/>
      <c r="L597" s="87"/>
      <c r="M597" s="40"/>
    </row>
    <row r="598" spans="3:13">
      <c r="C598" s="40"/>
      <c r="D598" s="85"/>
      <c r="J598" s="86"/>
      <c r="K598" s="86"/>
      <c r="L598" s="87"/>
      <c r="M598" s="40"/>
    </row>
    <row r="599" spans="3:13">
      <c r="C599" s="40"/>
      <c r="D599" s="85"/>
      <c r="J599" s="86"/>
      <c r="K599" s="86"/>
      <c r="L599" s="87"/>
      <c r="M599" s="40"/>
    </row>
    <row r="600" spans="3:13">
      <c r="C600" s="40"/>
      <c r="D600" s="85"/>
      <c r="J600" s="86"/>
      <c r="K600" s="86"/>
      <c r="L600" s="87"/>
      <c r="M600" s="40"/>
    </row>
    <row r="601" spans="3:13">
      <c r="C601" s="40"/>
      <c r="D601" s="85"/>
      <c r="J601" s="86"/>
      <c r="K601" s="86"/>
      <c r="L601" s="87"/>
      <c r="M601" s="40"/>
    </row>
    <row r="602" spans="3:13">
      <c r="C602" s="40"/>
      <c r="D602" s="85"/>
      <c r="J602" s="86"/>
      <c r="K602" s="86"/>
      <c r="L602" s="87"/>
      <c r="M602" s="40"/>
    </row>
    <row r="603" spans="3:13">
      <c r="C603" s="40"/>
      <c r="D603" s="85"/>
      <c r="J603" s="86"/>
      <c r="K603" s="86"/>
      <c r="L603" s="87"/>
      <c r="M603" s="40"/>
    </row>
    <row r="604" spans="3:13">
      <c r="C604" s="40"/>
      <c r="D604" s="85"/>
      <c r="J604" s="86"/>
      <c r="K604" s="86"/>
      <c r="L604" s="87"/>
      <c r="M604" s="40"/>
    </row>
    <row r="605" spans="3:13">
      <c r="C605" s="40"/>
      <c r="D605" s="85"/>
      <c r="J605" s="86"/>
      <c r="K605" s="86"/>
      <c r="L605" s="87"/>
      <c r="M605" s="40"/>
    </row>
    <row r="606" spans="3:13">
      <c r="C606" s="40"/>
      <c r="D606" s="85"/>
      <c r="J606" s="86"/>
      <c r="K606" s="86"/>
      <c r="L606" s="87"/>
      <c r="M606" s="40"/>
    </row>
    <row r="607" spans="3:13">
      <c r="C607" s="40"/>
      <c r="D607" s="85"/>
      <c r="J607" s="86"/>
      <c r="K607" s="86"/>
      <c r="L607" s="87"/>
      <c r="M607" s="40"/>
    </row>
    <row r="608" spans="3:13">
      <c r="C608" s="40"/>
      <c r="D608" s="85"/>
      <c r="J608" s="86"/>
      <c r="K608" s="86"/>
      <c r="L608" s="87"/>
      <c r="M608" s="40"/>
    </row>
    <row r="609" spans="3:13">
      <c r="C609" s="40"/>
      <c r="D609" s="85"/>
      <c r="J609" s="86"/>
      <c r="K609" s="86"/>
      <c r="L609" s="87"/>
      <c r="M609" s="40"/>
    </row>
    <row r="610" spans="3:13">
      <c r="C610" s="40"/>
      <c r="D610" s="85"/>
      <c r="J610" s="86"/>
      <c r="K610" s="86"/>
      <c r="L610" s="87"/>
      <c r="M610" s="40"/>
    </row>
    <row r="611" spans="3:13">
      <c r="C611" s="40"/>
      <c r="D611" s="85"/>
      <c r="J611" s="86"/>
      <c r="K611" s="86"/>
      <c r="L611" s="87"/>
      <c r="M611" s="40"/>
    </row>
    <row r="612" spans="3:13">
      <c r="C612" s="40"/>
      <c r="D612" s="85"/>
      <c r="J612" s="86"/>
      <c r="K612" s="86"/>
      <c r="L612" s="87"/>
      <c r="M612" s="40"/>
    </row>
    <row r="613" spans="3:13">
      <c r="C613" s="40"/>
      <c r="D613" s="85"/>
      <c r="J613" s="86"/>
      <c r="K613" s="86"/>
      <c r="L613" s="87"/>
      <c r="M613" s="40"/>
    </row>
    <row r="614" spans="3:13">
      <c r="C614" s="40"/>
      <c r="D614" s="85"/>
      <c r="J614" s="86"/>
      <c r="K614" s="86"/>
      <c r="L614" s="87"/>
      <c r="M614" s="40"/>
    </row>
    <row r="615" spans="3:13">
      <c r="C615" s="40"/>
      <c r="D615" s="85"/>
      <c r="J615" s="86"/>
      <c r="K615" s="86"/>
      <c r="L615" s="87"/>
      <c r="M615" s="40"/>
    </row>
    <row r="616" spans="3:13">
      <c r="C616" s="40"/>
      <c r="D616" s="85"/>
      <c r="J616" s="86"/>
      <c r="K616" s="86"/>
      <c r="L616" s="87"/>
      <c r="M616" s="40"/>
    </row>
    <row r="617" spans="3:13">
      <c r="C617" s="40"/>
      <c r="D617" s="85"/>
      <c r="J617" s="86"/>
      <c r="K617" s="86"/>
      <c r="L617" s="87"/>
      <c r="M617" s="40"/>
    </row>
    <row r="618" spans="3:13">
      <c r="C618" s="40"/>
      <c r="D618" s="85"/>
      <c r="J618" s="86"/>
      <c r="K618" s="86"/>
      <c r="L618" s="87"/>
      <c r="M618" s="40"/>
    </row>
    <row r="619" spans="3:13">
      <c r="C619" s="40"/>
      <c r="D619" s="85"/>
      <c r="J619" s="86"/>
      <c r="K619" s="86"/>
      <c r="L619" s="87"/>
      <c r="M619" s="40"/>
    </row>
    <row r="620" spans="3:13">
      <c r="C620" s="40"/>
      <c r="D620" s="85"/>
      <c r="J620" s="86"/>
      <c r="K620" s="86"/>
      <c r="L620" s="87"/>
      <c r="M620" s="40"/>
    </row>
    <row r="621" spans="3:13">
      <c r="C621" s="40"/>
      <c r="D621" s="85"/>
      <c r="J621" s="86"/>
      <c r="K621" s="86"/>
      <c r="L621" s="87"/>
      <c r="M621" s="40"/>
    </row>
    <row r="622" spans="3:13">
      <c r="C622" s="40"/>
      <c r="D622" s="85"/>
      <c r="J622" s="86"/>
      <c r="K622" s="86"/>
      <c r="L622" s="87"/>
      <c r="M622" s="40"/>
    </row>
    <row r="623" spans="3:13">
      <c r="C623" s="40"/>
      <c r="D623" s="85"/>
      <c r="J623" s="86"/>
      <c r="K623" s="86"/>
      <c r="L623" s="87"/>
      <c r="M623" s="40"/>
    </row>
    <row r="624" spans="3:13">
      <c r="C624" s="40"/>
      <c r="D624" s="85"/>
      <c r="J624" s="86"/>
      <c r="K624" s="86"/>
      <c r="L624" s="87"/>
      <c r="M624" s="40"/>
    </row>
    <row r="625" spans="3:13">
      <c r="C625" s="40"/>
      <c r="D625" s="85"/>
      <c r="J625" s="86"/>
      <c r="K625" s="86"/>
      <c r="L625" s="87"/>
      <c r="M625" s="40"/>
    </row>
    <row r="626" spans="3:13">
      <c r="C626" s="40"/>
      <c r="D626" s="85"/>
      <c r="J626" s="86"/>
      <c r="K626" s="86"/>
      <c r="L626" s="87"/>
      <c r="M626" s="40"/>
    </row>
    <row r="627" spans="3:13">
      <c r="C627" s="40"/>
      <c r="D627" s="85"/>
      <c r="J627" s="86"/>
      <c r="K627" s="86"/>
      <c r="L627" s="87"/>
      <c r="M627" s="40"/>
    </row>
    <row r="628" spans="3:13">
      <c r="C628" s="40"/>
      <c r="D628" s="85"/>
      <c r="J628" s="86"/>
      <c r="K628" s="86"/>
      <c r="L628" s="87"/>
      <c r="M628" s="40"/>
    </row>
    <row r="629" spans="3:13">
      <c r="C629" s="40"/>
      <c r="D629" s="85"/>
      <c r="J629" s="86"/>
      <c r="K629" s="86"/>
      <c r="L629" s="87"/>
      <c r="M629" s="40"/>
    </row>
    <row r="630" spans="3:13">
      <c r="C630" s="40"/>
      <c r="D630" s="85"/>
      <c r="J630" s="86"/>
      <c r="K630" s="86"/>
      <c r="L630" s="87"/>
      <c r="M630" s="40"/>
    </row>
    <row r="631" spans="3:13">
      <c r="C631" s="40"/>
      <c r="D631" s="85"/>
      <c r="J631" s="86"/>
      <c r="K631" s="86"/>
      <c r="L631" s="87"/>
      <c r="M631" s="40"/>
    </row>
    <row r="632" spans="3:13">
      <c r="C632" s="40"/>
      <c r="D632" s="85"/>
      <c r="J632" s="86"/>
      <c r="K632" s="86"/>
      <c r="L632" s="87"/>
      <c r="M632" s="40"/>
    </row>
    <row r="633" spans="3:13">
      <c r="C633" s="40"/>
      <c r="D633" s="85"/>
      <c r="J633" s="86"/>
      <c r="K633" s="86"/>
      <c r="L633" s="87"/>
      <c r="M633" s="40"/>
    </row>
    <row r="634" spans="3:13">
      <c r="C634" s="40"/>
      <c r="D634" s="85"/>
      <c r="J634" s="86"/>
      <c r="K634" s="86"/>
      <c r="L634" s="87"/>
      <c r="M634" s="40"/>
    </row>
    <row r="635" spans="3:13">
      <c r="C635" s="40"/>
      <c r="D635" s="85"/>
      <c r="J635" s="86"/>
      <c r="K635" s="86"/>
      <c r="L635" s="87"/>
      <c r="M635" s="40"/>
    </row>
    <row r="636" spans="3:13">
      <c r="C636" s="40"/>
      <c r="D636" s="85"/>
      <c r="J636" s="86"/>
      <c r="K636" s="86"/>
      <c r="L636" s="87"/>
      <c r="M636" s="40"/>
    </row>
    <row r="637" spans="3:13">
      <c r="C637" s="40"/>
      <c r="D637" s="85"/>
      <c r="J637" s="86"/>
      <c r="K637" s="86"/>
      <c r="L637" s="87"/>
      <c r="M637" s="40"/>
    </row>
    <row r="638" spans="3:13">
      <c r="C638" s="40"/>
      <c r="D638" s="85"/>
      <c r="J638" s="86"/>
      <c r="K638" s="86"/>
      <c r="L638" s="87"/>
      <c r="M638" s="40"/>
    </row>
    <row r="639" spans="3:13">
      <c r="C639" s="40"/>
      <c r="D639" s="85"/>
      <c r="J639" s="86"/>
      <c r="K639" s="86"/>
      <c r="L639" s="87"/>
      <c r="M639" s="40"/>
    </row>
    <row r="640" spans="3:13">
      <c r="C640" s="40"/>
      <c r="D640" s="85"/>
      <c r="J640" s="86"/>
      <c r="K640" s="86"/>
      <c r="L640" s="87"/>
      <c r="M640" s="40"/>
    </row>
    <row r="641" spans="3:13">
      <c r="C641" s="40"/>
      <c r="D641" s="85"/>
      <c r="J641" s="86"/>
      <c r="K641" s="86"/>
      <c r="L641" s="87"/>
      <c r="M641" s="40"/>
    </row>
    <row r="642" spans="3:13">
      <c r="C642" s="40"/>
      <c r="D642" s="85"/>
      <c r="J642" s="86"/>
      <c r="K642" s="86"/>
      <c r="L642" s="87"/>
      <c r="M642" s="40"/>
    </row>
    <row r="643" spans="3:13">
      <c r="C643" s="40"/>
      <c r="D643" s="85"/>
      <c r="J643" s="86"/>
      <c r="K643" s="86"/>
      <c r="L643" s="87"/>
      <c r="M643" s="40"/>
    </row>
    <row r="644" spans="3:13">
      <c r="C644" s="40"/>
      <c r="D644" s="85"/>
      <c r="J644" s="86"/>
      <c r="K644" s="86"/>
      <c r="L644" s="87"/>
      <c r="M644" s="40"/>
    </row>
    <row r="645" spans="3:13">
      <c r="C645" s="40"/>
      <c r="D645" s="85"/>
      <c r="J645" s="86"/>
      <c r="K645" s="86"/>
      <c r="L645" s="87"/>
      <c r="M645" s="40"/>
    </row>
    <row r="646" spans="3:13">
      <c r="C646" s="40"/>
      <c r="D646" s="85"/>
      <c r="J646" s="86"/>
      <c r="K646" s="86"/>
      <c r="L646" s="87"/>
      <c r="M646" s="40"/>
    </row>
    <row r="647" spans="3:13">
      <c r="C647" s="40"/>
      <c r="D647" s="85"/>
      <c r="J647" s="86"/>
      <c r="K647" s="86"/>
      <c r="L647" s="87"/>
      <c r="M647" s="40"/>
    </row>
    <row r="648" spans="3:13">
      <c r="C648" s="40"/>
      <c r="D648" s="85"/>
      <c r="J648" s="86"/>
      <c r="K648" s="86"/>
      <c r="L648" s="87"/>
      <c r="M648" s="40"/>
    </row>
    <row r="649" spans="3:13">
      <c r="C649" s="40"/>
      <c r="D649" s="85"/>
      <c r="J649" s="86"/>
      <c r="K649" s="86"/>
      <c r="L649" s="87"/>
      <c r="M649" s="40"/>
    </row>
    <row r="650" spans="3:13">
      <c r="C650" s="40"/>
      <c r="D650" s="85"/>
      <c r="J650" s="86"/>
      <c r="K650" s="86"/>
      <c r="L650" s="87"/>
      <c r="M650" s="40"/>
    </row>
    <row r="651" spans="3:13">
      <c r="C651" s="40"/>
      <c r="D651" s="85"/>
      <c r="J651" s="86"/>
      <c r="K651" s="86"/>
      <c r="L651" s="87"/>
      <c r="M651" s="40"/>
    </row>
    <row r="652" spans="3:13">
      <c r="C652" s="40"/>
      <c r="D652" s="85"/>
      <c r="J652" s="86"/>
      <c r="K652" s="86"/>
      <c r="L652" s="87"/>
      <c r="M652" s="40"/>
    </row>
    <row r="653" spans="3:13">
      <c r="C653" s="40"/>
      <c r="D653" s="85"/>
      <c r="J653" s="86"/>
      <c r="K653" s="86"/>
      <c r="L653" s="87"/>
      <c r="M653" s="40"/>
    </row>
    <row r="654" spans="3:13">
      <c r="C654" s="40"/>
      <c r="D654" s="85"/>
      <c r="J654" s="86"/>
      <c r="K654" s="86"/>
      <c r="L654" s="87"/>
      <c r="M654" s="40"/>
    </row>
    <row r="655" spans="3:13">
      <c r="C655" s="40"/>
      <c r="D655" s="85"/>
      <c r="J655" s="86"/>
      <c r="K655" s="86"/>
      <c r="L655" s="87"/>
      <c r="M655" s="40"/>
    </row>
    <row r="656" spans="3:13">
      <c r="C656" s="40"/>
      <c r="D656" s="85"/>
      <c r="J656" s="86"/>
      <c r="K656" s="86"/>
      <c r="L656" s="87"/>
      <c r="M656" s="40"/>
    </row>
    <row r="657" spans="3:13">
      <c r="C657" s="40"/>
      <c r="D657" s="85"/>
      <c r="J657" s="86"/>
      <c r="K657" s="86"/>
      <c r="L657" s="87"/>
      <c r="M657" s="40"/>
    </row>
    <row r="658" spans="3:13">
      <c r="C658" s="40"/>
      <c r="D658" s="85"/>
      <c r="J658" s="86"/>
      <c r="K658" s="86"/>
      <c r="L658" s="87"/>
      <c r="M658" s="40"/>
    </row>
    <row r="659" spans="3:13">
      <c r="C659" s="40"/>
      <c r="D659" s="85"/>
      <c r="J659" s="86"/>
      <c r="K659" s="86"/>
      <c r="L659" s="87"/>
      <c r="M659" s="40"/>
    </row>
    <row r="660" spans="3:13">
      <c r="C660" s="40"/>
      <c r="D660" s="85"/>
      <c r="J660" s="86"/>
      <c r="K660" s="86"/>
      <c r="L660" s="87"/>
      <c r="M660" s="40"/>
    </row>
    <row r="661" spans="3:13">
      <c r="C661" s="40"/>
      <c r="D661" s="85"/>
      <c r="J661" s="86"/>
      <c r="K661" s="86"/>
      <c r="L661" s="87"/>
      <c r="M661" s="40"/>
    </row>
    <row r="662" spans="3:13">
      <c r="C662" s="40"/>
      <c r="D662" s="85"/>
      <c r="J662" s="86"/>
      <c r="K662" s="86"/>
      <c r="L662" s="87"/>
      <c r="M662" s="40"/>
    </row>
    <row r="663" spans="3:13">
      <c r="C663" s="40"/>
      <c r="D663" s="85"/>
      <c r="J663" s="86"/>
      <c r="K663" s="86"/>
      <c r="L663" s="87"/>
      <c r="M663" s="40"/>
    </row>
    <row r="664" spans="3:13">
      <c r="C664" s="40"/>
      <c r="D664" s="85"/>
      <c r="J664" s="86"/>
      <c r="K664" s="86"/>
      <c r="L664" s="87"/>
      <c r="M664" s="40"/>
    </row>
    <row r="665" spans="3:13">
      <c r="C665" s="40"/>
      <c r="D665" s="85"/>
      <c r="J665" s="86"/>
      <c r="K665" s="86"/>
      <c r="L665" s="87"/>
      <c r="M665" s="40"/>
    </row>
    <row r="666" spans="3:13">
      <c r="C666" s="40"/>
      <c r="D666" s="85"/>
      <c r="J666" s="86"/>
      <c r="K666" s="86"/>
      <c r="L666" s="87"/>
      <c r="M666" s="40"/>
    </row>
    <row r="667" spans="3:13">
      <c r="C667" s="40"/>
      <c r="D667" s="85"/>
      <c r="J667" s="86"/>
      <c r="K667" s="86"/>
      <c r="L667" s="87"/>
      <c r="M667" s="40"/>
    </row>
    <row r="668" spans="3:13">
      <c r="C668" s="40"/>
      <c r="D668" s="85"/>
      <c r="J668" s="86"/>
      <c r="K668" s="86"/>
      <c r="L668" s="87"/>
      <c r="M668" s="40"/>
    </row>
    <row r="669" spans="3:13">
      <c r="C669" s="40"/>
      <c r="D669" s="85"/>
      <c r="J669" s="86"/>
      <c r="K669" s="86"/>
      <c r="L669" s="87"/>
      <c r="M669" s="40"/>
    </row>
    <row r="670" spans="3:13">
      <c r="C670" s="40"/>
      <c r="D670" s="85"/>
      <c r="J670" s="86"/>
      <c r="K670" s="86"/>
      <c r="L670" s="87"/>
      <c r="M670" s="40"/>
    </row>
    <row r="671" spans="3:13">
      <c r="C671" s="40"/>
      <c r="D671" s="85"/>
      <c r="J671" s="86"/>
      <c r="K671" s="86"/>
      <c r="L671" s="87"/>
      <c r="M671" s="40"/>
    </row>
    <row r="672" spans="3:13">
      <c r="C672" s="40"/>
      <c r="D672" s="85"/>
      <c r="J672" s="86"/>
      <c r="K672" s="86"/>
      <c r="L672" s="87"/>
      <c r="M672" s="40"/>
    </row>
    <row r="673" spans="3:13">
      <c r="C673" s="40"/>
      <c r="D673" s="85"/>
      <c r="J673" s="86"/>
      <c r="K673" s="86"/>
      <c r="L673" s="87"/>
      <c r="M673" s="40"/>
    </row>
    <row r="674" spans="3:13">
      <c r="C674" s="40"/>
      <c r="D674" s="85"/>
      <c r="J674" s="86"/>
      <c r="K674" s="86"/>
      <c r="L674" s="87"/>
      <c r="M674" s="40"/>
    </row>
    <row r="675" spans="3:13">
      <c r="C675" s="40"/>
      <c r="D675" s="85"/>
      <c r="J675" s="86"/>
      <c r="K675" s="86"/>
      <c r="L675" s="87"/>
      <c r="M675" s="40"/>
    </row>
    <row r="676" spans="3:13">
      <c r="C676" s="40"/>
      <c r="D676" s="85"/>
      <c r="J676" s="86"/>
      <c r="K676" s="86"/>
      <c r="L676" s="87"/>
      <c r="M676" s="40"/>
    </row>
    <row r="677" spans="3:13">
      <c r="C677" s="40"/>
      <c r="D677" s="85"/>
      <c r="J677" s="86"/>
      <c r="K677" s="86"/>
      <c r="L677" s="87"/>
      <c r="M677" s="40"/>
    </row>
    <row r="678" spans="3:13">
      <c r="C678" s="40"/>
      <c r="D678" s="85"/>
      <c r="J678" s="86"/>
      <c r="K678" s="86"/>
      <c r="L678" s="87"/>
      <c r="M678" s="40"/>
    </row>
    <row r="679" spans="3:13">
      <c r="C679" s="40"/>
      <c r="D679" s="85"/>
      <c r="J679" s="86"/>
      <c r="K679" s="86"/>
      <c r="L679" s="87"/>
      <c r="M679" s="40"/>
    </row>
    <row r="680" spans="3:13">
      <c r="C680" s="40"/>
      <c r="D680" s="85"/>
      <c r="J680" s="86"/>
      <c r="K680" s="86"/>
      <c r="L680" s="87"/>
      <c r="M680" s="40"/>
    </row>
    <row r="681" spans="3:13">
      <c r="C681" s="40"/>
      <c r="D681" s="85"/>
      <c r="J681" s="86"/>
      <c r="K681" s="86"/>
      <c r="L681" s="87"/>
      <c r="M681" s="40"/>
    </row>
    <row r="682" spans="3:13">
      <c r="C682" s="40"/>
      <c r="D682" s="85"/>
      <c r="J682" s="86"/>
      <c r="K682" s="86"/>
      <c r="L682" s="87"/>
      <c r="M682" s="40"/>
    </row>
    <row r="683" spans="3:13">
      <c r="C683" s="40"/>
      <c r="D683" s="85"/>
      <c r="J683" s="86"/>
      <c r="K683" s="86"/>
      <c r="L683" s="87"/>
      <c r="M683" s="40"/>
    </row>
    <row r="684" spans="3:13">
      <c r="C684" s="40"/>
      <c r="D684" s="85"/>
      <c r="J684" s="86"/>
      <c r="K684" s="86"/>
      <c r="L684" s="87"/>
      <c r="M684" s="40"/>
    </row>
    <row r="685" spans="3:13">
      <c r="C685" s="40"/>
      <c r="D685" s="85"/>
      <c r="J685" s="86"/>
      <c r="K685" s="86"/>
      <c r="L685" s="87"/>
      <c r="M685" s="40"/>
    </row>
    <row r="686" spans="3:13">
      <c r="C686" s="40"/>
      <c r="D686" s="85"/>
      <c r="J686" s="86"/>
      <c r="K686" s="86"/>
      <c r="L686" s="87"/>
      <c r="M686" s="40"/>
    </row>
    <row r="687" spans="3:13">
      <c r="C687" s="40"/>
      <c r="D687" s="85"/>
      <c r="J687" s="86"/>
      <c r="K687" s="86"/>
      <c r="L687" s="87"/>
      <c r="M687" s="40"/>
    </row>
    <row r="688" spans="3:13">
      <c r="C688" s="40"/>
      <c r="D688" s="85"/>
      <c r="J688" s="86"/>
      <c r="K688" s="86"/>
      <c r="L688" s="87"/>
      <c r="M688" s="40"/>
    </row>
    <row r="689" spans="3:13">
      <c r="C689" s="40"/>
      <c r="D689" s="85"/>
      <c r="J689" s="86"/>
      <c r="K689" s="86"/>
      <c r="L689" s="87"/>
      <c r="M689" s="40"/>
    </row>
    <row r="690" spans="3:13">
      <c r="C690" s="40"/>
      <c r="D690" s="85"/>
      <c r="J690" s="86"/>
      <c r="K690" s="86"/>
      <c r="L690" s="87"/>
      <c r="M690" s="40"/>
    </row>
    <row r="691" spans="3:13">
      <c r="C691" s="40"/>
      <c r="D691" s="85"/>
      <c r="J691" s="86"/>
      <c r="K691" s="86"/>
      <c r="L691" s="87"/>
      <c r="M691" s="40"/>
    </row>
    <row r="692" spans="3:13">
      <c r="C692" s="40"/>
      <c r="D692" s="85"/>
      <c r="J692" s="86"/>
      <c r="K692" s="86"/>
      <c r="L692" s="87"/>
      <c r="M692" s="40"/>
    </row>
    <row r="693" spans="3:13">
      <c r="C693" s="40"/>
      <c r="D693" s="85"/>
      <c r="J693" s="86"/>
      <c r="K693" s="86"/>
      <c r="L693" s="87"/>
      <c r="M693" s="40"/>
    </row>
    <row r="694" spans="3:13">
      <c r="C694" s="40"/>
      <c r="D694" s="85"/>
      <c r="J694" s="86"/>
      <c r="K694" s="86"/>
      <c r="L694" s="87"/>
      <c r="M694" s="40"/>
    </row>
    <row r="695" spans="3:13">
      <c r="C695" s="40"/>
      <c r="D695" s="85"/>
      <c r="J695" s="86"/>
      <c r="K695" s="86"/>
      <c r="L695" s="87"/>
      <c r="M695" s="40"/>
    </row>
    <row r="696" spans="3:13">
      <c r="C696" s="40"/>
      <c r="D696" s="85"/>
      <c r="J696" s="86"/>
      <c r="K696" s="86"/>
      <c r="L696" s="87"/>
      <c r="M696" s="40"/>
    </row>
    <row r="697" spans="3:13">
      <c r="C697" s="40"/>
      <c r="D697" s="85"/>
      <c r="J697" s="86"/>
      <c r="K697" s="86"/>
      <c r="L697" s="87"/>
      <c r="M697" s="40"/>
    </row>
    <row r="698" spans="3:13">
      <c r="C698" s="40"/>
      <c r="D698" s="85"/>
      <c r="J698" s="86"/>
      <c r="K698" s="86"/>
      <c r="L698" s="87"/>
      <c r="M698" s="40"/>
    </row>
    <row r="699" spans="3:13">
      <c r="C699" s="40"/>
      <c r="D699" s="85"/>
      <c r="J699" s="86"/>
      <c r="K699" s="86"/>
      <c r="L699" s="87"/>
      <c r="M699" s="40"/>
    </row>
    <row r="700" spans="3:13">
      <c r="C700" s="40"/>
      <c r="D700" s="85"/>
      <c r="J700" s="86"/>
      <c r="K700" s="86"/>
      <c r="L700" s="87"/>
      <c r="M700" s="40"/>
    </row>
    <row r="701" spans="3:13">
      <c r="C701" s="40"/>
      <c r="D701" s="85"/>
      <c r="J701" s="86"/>
      <c r="K701" s="86"/>
      <c r="L701" s="87"/>
      <c r="M701" s="40"/>
    </row>
    <row r="702" spans="3:13">
      <c r="C702" s="40"/>
      <c r="D702" s="85"/>
      <c r="J702" s="86"/>
      <c r="K702" s="86"/>
      <c r="L702" s="87"/>
      <c r="M702" s="40"/>
    </row>
    <row r="703" spans="3:13">
      <c r="C703" s="40"/>
      <c r="D703" s="85"/>
      <c r="J703" s="86"/>
      <c r="K703" s="86"/>
      <c r="L703" s="87"/>
      <c r="M703" s="40"/>
    </row>
    <row r="704" spans="3:13">
      <c r="C704" s="40"/>
      <c r="D704" s="85"/>
      <c r="J704" s="86"/>
      <c r="K704" s="86"/>
      <c r="L704" s="87"/>
      <c r="M704" s="40"/>
    </row>
    <row r="705" spans="3:13">
      <c r="C705" s="40"/>
      <c r="D705" s="85"/>
      <c r="J705" s="86"/>
      <c r="K705" s="86"/>
      <c r="L705" s="87"/>
      <c r="M705" s="40"/>
    </row>
    <row r="706" spans="3:13">
      <c r="C706" s="40"/>
      <c r="D706" s="85"/>
      <c r="J706" s="86"/>
      <c r="K706" s="86"/>
      <c r="L706" s="87"/>
      <c r="M706" s="40"/>
    </row>
    <row r="707" spans="3:13">
      <c r="C707" s="40"/>
      <c r="D707" s="85"/>
      <c r="J707" s="86"/>
      <c r="K707" s="86"/>
      <c r="L707" s="87"/>
      <c r="M707" s="40"/>
    </row>
    <row r="708" spans="3:13">
      <c r="C708" s="40"/>
      <c r="D708" s="85"/>
      <c r="J708" s="86"/>
      <c r="K708" s="86"/>
      <c r="L708" s="87"/>
      <c r="M708" s="40"/>
    </row>
    <row r="709" spans="3:13">
      <c r="C709" s="40"/>
      <c r="D709" s="85"/>
      <c r="J709" s="86"/>
      <c r="K709" s="86"/>
      <c r="L709" s="87"/>
      <c r="M709" s="40"/>
    </row>
    <row r="710" spans="3:13">
      <c r="C710" s="40"/>
      <c r="D710" s="85"/>
      <c r="J710" s="86"/>
      <c r="K710" s="86"/>
      <c r="L710" s="87"/>
      <c r="M710" s="40"/>
    </row>
    <row r="711" spans="3:13">
      <c r="C711" s="40"/>
      <c r="D711" s="85"/>
      <c r="J711" s="86"/>
      <c r="K711" s="86"/>
      <c r="L711" s="87"/>
      <c r="M711" s="40"/>
    </row>
    <row r="712" spans="3:13">
      <c r="C712" s="40"/>
      <c r="D712" s="85"/>
      <c r="J712" s="86"/>
      <c r="K712" s="86"/>
      <c r="L712" s="87"/>
      <c r="M712" s="40"/>
    </row>
    <row r="713" spans="3:13">
      <c r="C713" s="40"/>
      <c r="D713" s="85"/>
      <c r="J713" s="86"/>
      <c r="K713" s="86"/>
      <c r="L713" s="87"/>
      <c r="M713" s="40"/>
    </row>
    <row r="714" spans="3:13">
      <c r="C714" s="40"/>
      <c r="D714" s="85"/>
      <c r="J714" s="86"/>
      <c r="K714" s="86"/>
      <c r="L714" s="87"/>
      <c r="M714" s="40"/>
    </row>
    <row r="715" spans="3:13">
      <c r="C715" s="40"/>
      <c r="D715" s="85"/>
      <c r="J715" s="86"/>
      <c r="K715" s="86"/>
      <c r="L715" s="87"/>
      <c r="M715" s="40"/>
    </row>
    <row r="716" spans="3:13">
      <c r="C716" s="40"/>
      <c r="D716" s="85"/>
      <c r="J716" s="86"/>
      <c r="K716" s="86"/>
      <c r="L716" s="87"/>
      <c r="M716" s="40"/>
    </row>
    <row r="717" spans="3:13">
      <c r="C717" s="40"/>
      <c r="D717" s="85"/>
      <c r="J717" s="86"/>
      <c r="K717" s="86"/>
      <c r="L717" s="87"/>
      <c r="M717" s="40"/>
    </row>
    <row r="718" spans="3:13">
      <c r="C718" s="40"/>
      <c r="D718" s="85"/>
      <c r="J718" s="86"/>
      <c r="K718" s="86"/>
      <c r="L718" s="87"/>
      <c r="M718" s="40"/>
    </row>
    <row r="719" spans="3:13">
      <c r="C719" s="40"/>
      <c r="D719" s="85"/>
      <c r="J719" s="86"/>
      <c r="K719" s="86"/>
      <c r="L719" s="87"/>
      <c r="M719" s="40"/>
    </row>
    <row r="720" spans="3:13">
      <c r="C720" s="40"/>
      <c r="D720" s="85"/>
      <c r="J720" s="86"/>
      <c r="K720" s="86"/>
      <c r="L720" s="87"/>
      <c r="M720" s="40"/>
    </row>
    <row r="721" spans="3:13">
      <c r="C721" s="40"/>
      <c r="D721" s="85"/>
      <c r="J721" s="86"/>
      <c r="K721" s="86"/>
      <c r="L721" s="87"/>
      <c r="M721" s="40"/>
    </row>
    <row r="722" spans="3:13">
      <c r="C722" s="40"/>
      <c r="D722" s="85"/>
      <c r="J722" s="86"/>
      <c r="K722" s="86"/>
      <c r="L722" s="87"/>
      <c r="M722" s="40"/>
    </row>
    <row r="723" spans="3:13">
      <c r="C723" s="40"/>
      <c r="D723" s="85"/>
      <c r="J723" s="86"/>
      <c r="K723" s="86"/>
      <c r="L723" s="87"/>
      <c r="M723" s="40"/>
    </row>
    <row r="724" spans="3:13">
      <c r="C724" s="40"/>
      <c r="D724" s="85"/>
      <c r="J724" s="86"/>
      <c r="K724" s="86"/>
      <c r="L724" s="87"/>
      <c r="M724" s="40"/>
    </row>
    <row r="725" spans="3:13">
      <c r="C725" s="40"/>
      <c r="D725" s="85"/>
      <c r="J725" s="86"/>
      <c r="K725" s="86"/>
      <c r="L725" s="87"/>
      <c r="M725" s="40"/>
    </row>
    <row r="726" spans="3:13">
      <c r="C726" s="40"/>
      <c r="D726" s="85"/>
      <c r="J726" s="86"/>
      <c r="K726" s="86"/>
      <c r="L726" s="87"/>
      <c r="M726" s="40"/>
    </row>
    <row r="727" spans="3:13">
      <c r="C727" s="40"/>
      <c r="D727" s="85"/>
      <c r="J727" s="86"/>
      <c r="K727" s="86"/>
      <c r="L727" s="87"/>
      <c r="M727" s="40"/>
    </row>
    <row r="728" spans="3:13">
      <c r="C728" s="40"/>
      <c r="D728" s="85"/>
      <c r="J728" s="86"/>
      <c r="K728" s="86"/>
      <c r="L728" s="87"/>
      <c r="M728" s="40"/>
    </row>
    <row r="729" spans="3:13">
      <c r="C729" s="40"/>
      <c r="D729" s="85"/>
      <c r="J729" s="86"/>
      <c r="K729" s="86"/>
      <c r="L729" s="87"/>
      <c r="M729" s="40"/>
    </row>
    <row r="730" spans="3:13">
      <c r="C730" s="40"/>
      <c r="D730" s="85"/>
      <c r="J730" s="86"/>
      <c r="K730" s="86"/>
      <c r="L730" s="87"/>
      <c r="M730" s="40"/>
    </row>
    <row r="731" spans="3:13">
      <c r="C731" s="40"/>
      <c r="D731" s="85"/>
      <c r="J731" s="86"/>
      <c r="K731" s="86"/>
      <c r="L731" s="87"/>
      <c r="M731" s="40"/>
    </row>
    <row r="732" spans="3:13">
      <c r="C732" s="40"/>
      <c r="D732" s="85"/>
      <c r="J732" s="86"/>
      <c r="K732" s="86"/>
      <c r="L732" s="87"/>
      <c r="M732" s="40"/>
    </row>
    <row r="733" spans="3:13">
      <c r="C733" s="40"/>
      <c r="D733" s="85"/>
      <c r="J733" s="86"/>
      <c r="K733" s="86"/>
      <c r="L733" s="87"/>
      <c r="M733" s="40"/>
    </row>
    <row r="734" spans="3:13">
      <c r="C734" s="40"/>
      <c r="D734" s="85"/>
      <c r="J734" s="86"/>
      <c r="K734" s="86"/>
      <c r="L734" s="87"/>
      <c r="M734" s="40"/>
    </row>
    <row r="735" spans="3:13">
      <c r="C735" s="40"/>
      <c r="D735" s="85"/>
      <c r="J735" s="86"/>
      <c r="K735" s="86"/>
      <c r="L735" s="87"/>
      <c r="M735" s="40"/>
    </row>
    <row r="736" spans="3:13">
      <c r="C736" s="40"/>
      <c r="D736" s="85"/>
      <c r="J736" s="86"/>
      <c r="K736" s="86"/>
      <c r="L736" s="87"/>
      <c r="M736" s="40"/>
    </row>
    <row r="737" spans="3:13">
      <c r="C737" s="40"/>
      <c r="D737" s="85"/>
      <c r="J737" s="86"/>
      <c r="K737" s="86"/>
      <c r="L737" s="87"/>
      <c r="M737" s="40"/>
    </row>
    <row r="738" spans="3:13">
      <c r="C738" s="40"/>
      <c r="D738" s="85"/>
      <c r="J738" s="86"/>
      <c r="K738" s="86"/>
      <c r="L738" s="87"/>
      <c r="M738" s="40"/>
    </row>
    <row r="739" spans="3:13">
      <c r="C739" s="40"/>
      <c r="D739" s="85"/>
      <c r="J739" s="86"/>
      <c r="K739" s="86"/>
      <c r="L739" s="87"/>
      <c r="M739" s="40"/>
    </row>
    <row r="740" spans="3:13">
      <c r="C740" s="40"/>
      <c r="D740" s="85"/>
      <c r="J740" s="86"/>
      <c r="K740" s="86"/>
      <c r="L740" s="87"/>
      <c r="M740" s="40"/>
    </row>
    <row r="741" spans="3:13">
      <c r="C741" s="40"/>
      <c r="D741" s="85"/>
      <c r="J741" s="86"/>
      <c r="K741" s="86"/>
      <c r="L741" s="87"/>
      <c r="M741" s="40"/>
    </row>
    <row r="742" spans="3:13">
      <c r="C742" s="40"/>
      <c r="D742" s="85"/>
      <c r="J742" s="86"/>
      <c r="K742" s="86"/>
      <c r="L742" s="87"/>
      <c r="M742" s="40"/>
    </row>
    <row r="743" spans="3:13">
      <c r="C743" s="40"/>
      <c r="D743" s="85"/>
      <c r="J743" s="86"/>
      <c r="K743" s="86"/>
      <c r="L743" s="87"/>
      <c r="M743" s="40"/>
    </row>
    <row r="744" spans="3:13">
      <c r="C744" s="40"/>
      <c r="D744" s="85"/>
      <c r="J744" s="86"/>
      <c r="K744" s="86"/>
      <c r="L744" s="87"/>
      <c r="M744" s="40"/>
    </row>
    <row r="745" spans="3:13">
      <c r="C745" s="40"/>
      <c r="D745" s="85"/>
      <c r="J745" s="86"/>
      <c r="K745" s="86"/>
      <c r="L745" s="87"/>
      <c r="M745" s="40"/>
    </row>
    <row r="746" spans="3:13">
      <c r="C746" s="40"/>
      <c r="D746" s="85"/>
      <c r="J746" s="86"/>
      <c r="K746" s="86"/>
      <c r="L746" s="87"/>
      <c r="M746" s="40"/>
    </row>
    <row r="747" spans="3:13">
      <c r="C747" s="40"/>
      <c r="D747" s="85"/>
      <c r="J747" s="86"/>
      <c r="K747" s="86"/>
      <c r="L747" s="87"/>
      <c r="M747" s="40"/>
    </row>
    <row r="748" spans="3:13">
      <c r="C748" s="40"/>
      <c r="D748" s="85"/>
      <c r="J748" s="86"/>
      <c r="K748" s="86"/>
      <c r="L748" s="87"/>
      <c r="M748" s="40"/>
    </row>
    <row r="749" spans="3:13">
      <c r="C749" s="40"/>
      <c r="D749" s="85"/>
      <c r="J749" s="86"/>
      <c r="K749" s="86"/>
      <c r="L749" s="87"/>
      <c r="M749" s="40"/>
    </row>
    <row r="750" spans="3:13">
      <c r="C750" s="40"/>
      <c r="D750" s="85"/>
      <c r="J750" s="86"/>
      <c r="K750" s="86"/>
      <c r="L750" s="87"/>
      <c r="M750" s="40"/>
    </row>
    <row r="751" spans="3:13">
      <c r="C751" s="40"/>
      <c r="D751" s="85"/>
      <c r="J751" s="86"/>
      <c r="K751" s="86"/>
      <c r="L751" s="87"/>
      <c r="M751" s="40"/>
    </row>
    <row r="752" spans="3:13">
      <c r="C752" s="40"/>
      <c r="D752" s="85"/>
      <c r="J752" s="86"/>
      <c r="K752" s="86"/>
      <c r="L752" s="87"/>
      <c r="M752" s="40"/>
    </row>
    <row r="753" spans="3:13">
      <c r="C753" s="40"/>
      <c r="D753" s="85"/>
      <c r="J753" s="86"/>
      <c r="K753" s="86"/>
      <c r="L753" s="87"/>
      <c r="M753" s="40"/>
    </row>
    <row r="754" spans="3:13">
      <c r="C754" s="40"/>
      <c r="D754" s="85"/>
      <c r="J754" s="86"/>
      <c r="K754" s="86"/>
      <c r="L754" s="87"/>
      <c r="M754" s="40"/>
    </row>
    <row r="755" spans="3:13">
      <c r="C755" s="40"/>
      <c r="D755" s="85"/>
      <c r="J755" s="86"/>
      <c r="K755" s="86"/>
      <c r="L755" s="87"/>
      <c r="M755" s="40"/>
    </row>
    <row r="756" spans="3:13">
      <c r="C756" s="40"/>
      <c r="D756" s="85"/>
      <c r="J756" s="86"/>
      <c r="K756" s="86"/>
      <c r="L756" s="87"/>
      <c r="M756" s="40"/>
    </row>
    <row r="757" spans="3:13">
      <c r="C757" s="40"/>
      <c r="D757" s="85"/>
      <c r="J757" s="86"/>
      <c r="K757" s="86"/>
      <c r="L757" s="87"/>
      <c r="M757" s="40"/>
    </row>
    <row r="758" spans="3:13">
      <c r="C758" s="40"/>
      <c r="D758" s="85"/>
      <c r="J758" s="86"/>
      <c r="K758" s="86"/>
      <c r="L758" s="87"/>
      <c r="M758" s="40"/>
    </row>
    <row r="759" spans="3:13">
      <c r="C759" s="40"/>
      <c r="D759" s="85"/>
      <c r="J759" s="86"/>
      <c r="K759" s="86"/>
      <c r="L759" s="87"/>
      <c r="M759" s="40"/>
    </row>
    <row r="760" spans="3:13">
      <c r="C760" s="40"/>
      <c r="D760" s="85"/>
      <c r="J760" s="86"/>
      <c r="K760" s="86"/>
      <c r="L760" s="87"/>
      <c r="M760" s="40"/>
    </row>
    <row r="761" spans="3:13">
      <c r="C761" s="40"/>
      <c r="D761" s="85"/>
      <c r="J761" s="86"/>
      <c r="K761" s="86"/>
      <c r="L761" s="87"/>
      <c r="M761" s="40"/>
    </row>
    <row r="762" spans="3:13">
      <c r="C762" s="40"/>
      <c r="D762" s="85"/>
      <c r="J762" s="86"/>
      <c r="K762" s="86"/>
      <c r="L762" s="87"/>
      <c r="M762" s="40"/>
    </row>
    <row r="763" spans="3:13">
      <c r="C763" s="40"/>
      <c r="D763" s="85"/>
      <c r="J763" s="86"/>
      <c r="K763" s="86"/>
      <c r="L763" s="87"/>
      <c r="M763" s="40"/>
    </row>
    <row r="764" spans="3:13">
      <c r="C764" s="40"/>
      <c r="D764" s="85"/>
      <c r="J764" s="86"/>
      <c r="K764" s="86"/>
      <c r="L764" s="87"/>
      <c r="M764" s="40"/>
    </row>
    <row r="765" spans="3:13">
      <c r="C765" s="40"/>
      <c r="D765" s="85"/>
      <c r="J765" s="86"/>
      <c r="K765" s="86"/>
      <c r="L765" s="87"/>
      <c r="M765" s="40"/>
    </row>
    <row r="766" spans="3:13">
      <c r="C766" s="40"/>
      <c r="D766" s="85"/>
      <c r="J766" s="86"/>
      <c r="K766" s="86"/>
      <c r="L766" s="87"/>
      <c r="M766" s="40"/>
    </row>
    <row r="767" spans="3:13">
      <c r="C767" s="40"/>
      <c r="D767" s="85"/>
      <c r="J767" s="86"/>
      <c r="K767" s="86"/>
      <c r="L767" s="87"/>
      <c r="M767" s="40"/>
    </row>
    <row r="768" spans="3:13">
      <c r="C768" s="40"/>
      <c r="D768" s="85"/>
      <c r="J768" s="86"/>
      <c r="K768" s="86"/>
      <c r="L768" s="87"/>
      <c r="M768" s="40"/>
    </row>
    <row r="769" spans="3:13">
      <c r="C769" s="40"/>
      <c r="D769" s="85"/>
      <c r="J769" s="86"/>
      <c r="K769" s="86"/>
      <c r="L769" s="87"/>
      <c r="M769" s="40"/>
    </row>
    <row r="770" spans="3:13">
      <c r="C770" s="40"/>
      <c r="D770" s="85"/>
      <c r="J770" s="86"/>
      <c r="K770" s="86"/>
      <c r="L770" s="87"/>
      <c r="M770" s="40"/>
    </row>
    <row r="771" spans="3:13">
      <c r="C771" s="40"/>
      <c r="D771" s="85"/>
      <c r="J771" s="86"/>
      <c r="K771" s="86"/>
      <c r="L771" s="87"/>
      <c r="M771" s="40"/>
    </row>
    <row r="772" spans="3:13">
      <c r="C772" s="40"/>
      <c r="D772" s="85"/>
      <c r="J772" s="86"/>
      <c r="K772" s="86"/>
      <c r="L772" s="87"/>
      <c r="M772" s="40"/>
    </row>
    <row r="773" spans="3:13">
      <c r="C773" s="40"/>
      <c r="D773" s="85"/>
      <c r="J773" s="86"/>
      <c r="K773" s="86"/>
      <c r="L773" s="87"/>
      <c r="M773" s="40"/>
    </row>
    <row r="774" spans="3:13">
      <c r="C774" s="40"/>
      <c r="D774" s="85"/>
      <c r="J774" s="86"/>
      <c r="K774" s="86"/>
      <c r="L774" s="87"/>
      <c r="M774" s="40"/>
    </row>
    <row r="775" spans="3:13">
      <c r="C775" s="40"/>
      <c r="D775" s="85"/>
      <c r="J775" s="86"/>
      <c r="K775" s="86"/>
      <c r="L775" s="87"/>
      <c r="M775" s="40"/>
    </row>
    <row r="776" spans="3:13">
      <c r="C776" s="40"/>
      <c r="D776" s="85"/>
      <c r="J776" s="86"/>
      <c r="K776" s="86"/>
      <c r="L776" s="87"/>
      <c r="M776" s="40"/>
    </row>
    <row r="777" spans="3:13">
      <c r="C777" s="40"/>
      <c r="D777" s="85"/>
      <c r="J777" s="86"/>
      <c r="K777" s="86"/>
      <c r="L777" s="87"/>
      <c r="M777" s="40"/>
    </row>
    <row r="778" spans="3:13">
      <c r="C778" s="40"/>
      <c r="D778" s="85"/>
      <c r="J778" s="86"/>
      <c r="K778" s="86"/>
      <c r="L778" s="87"/>
      <c r="M778" s="40"/>
    </row>
    <row r="779" spans="3:13">
      <c r="C779" s="40"/>
      <c r="D779" s="85"/>
      <c r="J779" s="86"/>
      <c r="K779" s="86"/>
      <c r="L779" s="87"/>
      <c r="M779" s="40"/>
    </row>
    <row r="780" spans="3:13">
      <c r="C780" s="40"/>
      <c r="D780" s="85"/>
      <c r="J780" s="86"/>
      <c r="K780" s="86"/>
      <c r="L780" s="87"/>
      <c r="M780" s="40"/>
    </row>
    <row r="781" spans="3:13">
      <c r="C781" s="40"/>
      <c r="D781" s="85"/>
      <c r="J781" s="86"/>
      <c r="K781" s="86"/>
      <c r="L781" s="87"/>
      <c r="M781" s="40"/>
    </row>
    <row r="782" spans="3:13">
      <c r="C782" s="40"/>
      <c r="D782" s="85"/>
      <c r="J782" s="86"/>
      <c r="K782" s="86"/>
      <c r="L782" s="87"/>
      <c r="M782" s="40"/>
    </row>
    <row r="783" spans="3:13">
      <c r="C783" s="40"/>
      <c r="D783" s="85"/>
      <c r="J783" s="86"/>
      <c r="K783" s="86"/>
      <c r="L783" s="87"/>
      <c r="M783" s="40"/>
    </row>
    <row r="784" spans="3:13">
      <c r="C784" s="40"/>
      <c r="D784" s="85"/>
      <c r="J784" s="86"/>
      <c r="K784" s="86"/>
      <c r="L784" s="87"/>
      <c r="M784" s="40"/>
    </row>
    <row r="785" spans="3:13">
      <c r="C785" s="40"/>
      <c r="D785" s="85"/>
      <c r="J785" s="86"/>
      <c r="K785" s="86"/>
      <c r="L785" s="87"/>
      <c r="M785" s="40"/>
    </row>
    <row r="786" spans="3:13">
      <c r="C786" s="40"/>
      <c r="D786" s="85"/>
      <c r="J786" s="86"/>
      <c r="K786" s="86"/>
      <c r="L786" s="87"/>
      <c r="M786" s="40"/>
    </row>
    <row r="787" spans="3:13">
      <c r="C787" s="40"/>
      <c r="D787" s="85"/>
      <c r="J787" s="86"/>
      <c r="K787" s="86"/>
      <c r="L787" s="87"/>
      <c r="M787" s="40"/>
    </row>
    <row r="788" spans="3:13">
      <c r="C788" s="40"/>
      <c r="D788" s="85"/>
      <c r="J788" s="86"/>
      <c r="K788" s="86"/>
      <c r="L788" s="87"/>
      <c r="M788" s="40"/>
    </row>
    <row r="789" spans="3:13">
      <c r="C789" s="40"/>
      <c r="D789" s="85"/>
      <c r="J789" s="86"/>
      <c r="K789" s="86"/>
      <c r="L789" s="87"/>
      <c r="M789" s="40"/>
    </row>
    <row r="790" spans="3:13">
      <c r="C790" s="40"/>
      <c r="D790" s="85"/>
      <c r="J790" s="86"/>
      <c r="K790" s="86"/>
      <c r="L790" s="87"/>
      <c r="M790" s="40"/>
    </row>
    <row r="791" spans="3:13">
      <c r="C791" s="40"/>
      <c r="D791" s="85"/>
      <c r="J791" s="86"/>
      <c r="K791" s="86"/>
      <c r="L791" s="87"/>
      <c r="M791" s="40"/>
    </row>
    <row r="792" spans="3:13">
      <c r="C792" s="40"/>
      <c r="D792" s="85"/>
      <c r="J792" s="86"/>
      <c r="K792" s="86"/>
      <c r="L792" s="87"/>
      <c r="M792" s="40"/>
    </row>
    <row r="793" spans="3:13">
      <c r="C793" s="40"/>
      <c r="D793" s="85"/>
      <c r="J793" s="86"/>
      <c r="K793" s="86"/>
      <c r="L793" s="87"/>
      <c r="M793" s="40"/>
    </row>
    <row r="794" spans="3:13">
      <c r="C794" s="40"/>
      <c r="D794" s="85"/>
      <c r="J794" s="86"/>
      <c r="K794" s="86"/>
      <c r="L794" s="87"/>
      <c r="M794" s="40"/>
    </row>
    <row r="795" spans="3:13">
      <c r="C795" s="40"/>
      <c r="D795" s="85"/>
      <c r="J795" s="86"/>
      <c r="K795" s="86"/>
      <c r="L795" s="87"/>
      <c r="M795" s="40"/>
    </row>
    <row r="796" spans="3:13">
      <c r="C796" s="40"/>
      <c r="D796" s="85"/>
      <c r="J796" s="86"/>
      <c r="K796" s="86"/>
      <c r="L796" s="87"/>
      <c r="M796" s="40"/>
    </row>
    <row r="797" spans="3:13">
      <c r="C797" s="40"/>
      <c r="D797" s="85"/>
      <c r="J797" s="86"/>
      <c r="K797" s="86"/>
      <c r="L797" s="87"/>
      <c r="M797" s="40"/>
    </row>
    <row r="798" spans="3:13">
      <c r="C798" s="40"/>
      <c r="D798" s="85"/>
      <c r="J798" s="86"/>
      <c r="K798" s="86"/>
      <c r="L798" s="87"/>
      <c r="M798" s="40"/>
    </row>
    <row r="799" spans="3:13">
      <c r="C799" s="40"/>
      <c r="D799" s="85"/>
      <c r="J799" s="86"/>
      <c r="K799" s="86"/>
      <c r="L799" s="87"/>
      <c r="M799" s="40"/>
    </row>
    <row r="800" spans="3:13">
      <c r="C800" s="40"/>
      <c r="D800" s="85"/>
      <c r="J800" s="86"/>
      <c r="K800" s="86"/>
      <c r="L800" s="87"/>
      <c r="M800" s="40"/>
    </row>
    <row r="801" spans="3:13">
      <c r="C801" s="40"/>
      <c r="D801" s="85"/>
      <c r="J801" s="86"/>
      <c r="K801" s="86"/>
      <c r="L801" s="87"/>
      <c r="M801" s="40"/>
    </row>
    <row r="802" spans="3:13">
      <c r="C802" s="40"/>
      <c r="D802" s="85"/>
      <c r="J802" s="86"/>
      <c r="K802" s="86"/>
      <c r="L802" s="87"/>
      <c r="M802" s="40"/>
    </row>
    <row r="803" spans="3:13">
      <c r="C803" s="40"/>
      <c r="D803" s="85"/>
      <c r="J803" s="86"/>
      <c r="K803" s="86"/>
      <c r="L803" s="87"/>
      <c r="M803" s="40"/>
    </row>
    <row r="804" spans="3:13">
      <c r="C804" s="40"/>
      <c r="D804" s="85"/>
      <c r="J804" s="86"/>
      <c r="K804" s="86"/>
      <c r="L804" s="87"/>
      <c r="M804" s="40"/>
    </row>
    <row r="805" spans="3:13">
      <c r="C805" s="40"/>
      <c r="D805" s="85"/>
      <c r="J805" s="86"/>
      <c r="K805" s="86"/>
      <c r="L805" s="87"/>
      <c r="M805" s="40"/>
    </row>
    <row r="806" spans="3:13">
      <c r="C806" s="40"/>
      <c r="D806" s="85"/>
      <c r="J806" s="86"/>
      <c r="K806" s="86"/>
      <c r="L806" s="87"/>
      <c r="M806" s="40"/>
    </row>
    <row r="807" spans="3:13">
      <c r="C807" s="40"/>
      <c r="D807" s="85"/>
      <c r="J807" s="86"/>
      <c r="K807" s="86"/>
      <c r="L807" s="87"/>
      <c r="M807" s="40"/>
    </row>
    <row r="808" spans="3:13">
      <c r="C808" s="40"/>
      <c r="D808" s="85"/>
      <c r="J808" s="86"/>
      <c r="K808" s="86"/>
      <c r="L808" s="87"/>
      <c r="M808" s="40"/>
    </row>
    <row r="809" spans="3:13">
      <c r="C809" s="40"/>
      <c r="D809" s="85"/>
      <c r="J809" s="86"/>
      <c r="K809" s="86"/>
      <c r="L809" s="87"/>
      <c r="M809" s="40"/>
    </row>
    <row r="810" spans="3:13">
      <c r="C810" s="40"/>
      <c r="D810" s="85"/>
      <c r="J810" s="86"/>
      <c r="K810" s="86"/>
      <c r="L810" s="87"/>
      <c r="M810" s="40"/>
    </row>
    <row r="811" spans="3:13">
      <c r="C811" s="40"/>
      <c r="D811" s="85"/>
      <c r="J811" s="86"/>
      <c r="K811" s="86"/>
      <c r="L811" s="87"/>
      <c r="M811" s="40"/>
    </row>
    <row r="812" spans="3:13">
      <c r="C812" s="40"/>
      <c r="D812" s="85"/>
      <c r="J812" s="86"/>
      <c r="K812" s="86"/>
      <c r="L812" s="87"/>
      <c r="M812" s="40"/>
    </row>
    <row r="813" spans="3:13">
      <c r="C813" s="40"/>
      <c r="D813" s="85"/>
      <c r="J813" s="86"/>
      <c r="K813" s="86"/>
      <c r="L813" s="87"/>
      <c r="M813" s="40"/>
    </row>
    <row r="814" spans="3:13">
      <c r="C814" s="40"/>
      <c r="D814" s="85"/>
      <c r="J814" s="86"/>
      <c r="K814" s="86"/>
      <c r="L814" s="87"/>
      <c r="M814" s="40"/>
    </row>
    <row r="815" spans="3:13">
      <c r="C815" s="40"/>
      <c r="D815" s="85"/>
      <c r="J815" s="86"/>
      <c r="K815" s="86"/>
      <c r="L815" s="87"/>
      <c r="M815" s="40"/>
    </row>
    <row r="816" spans="3:13">
      <c r="C816" s="40"/>
      <c r="D816" s="85"/>
      <c r="J816" s="86"/>
      <c r="K816" s="86"/>
      <c r="L816" s="87"/>
      <c r="M816" s="40"/>
    </row>
    <row r="817" spans="3:13">
      <c r="C817" s="40"/>
      <c r="D817" s="85"/>
      <c r="J817" s="86"/>
      <c r="K817" s="86"/>
      <c r="L817" s="87"/>
      <c r="M817" s="40"/>
    </row>
    <row r="818" spans="3:13">
      <c r="C818" s="40"/>
      <c r="D818" s="85"/>
      <c r="J818" s="86"/>
      <c r="K818" s="86"/>
      <c r="L818" s="87"/>
      <c r="M818" s="40"/>
    </row>
    <row r="819" spans="3:13">
      <c r="C819" s="40"/>
      <c r="D819" s="85"/>
      <c r="J819" s="86"/>
      <c r="K819" s="86"/>
      <c r="L819" s="87"/>
      <c r="M819" s="40"/>
    </row>
    <row r="820" spans="3:13">
      <c r="C820" s="40"/>
      <c r="D820" s="85"/>
      <c r="J820" s="86"/>
      <c r="K820" s="86"/>
      <c r="L820" s="87"/>
      <c r="M820" s="40"/>
    </row>
    <row r="821" spans="3:13">
      <c r="C821" s="40"/>
      <c r="D821" s="85"/>
      <c r="J821" s="86"/>
      <c r="K821" s="86"/>
      <c r="L821" s="87"/>
      <c r="M821" s="40"/>
    </row>
    <row r="822" spans="3:13">
      <c r="C822" s="40"/>
      <c r="D822" s="85"/>
      <c r="J822" s="86"/>
      <c r="K822" s="86"/>
      <c r="L822" s="87"/>
      <c r="M822" s="40"/>
    </row>
    <row r="823" spans="3:13">
      <c r="C823" s="40"/>
      <c r="D823" s="85"/>
      <c r="J823" s="86"/>
      <c r="K823" s="86"/>
      <c r="L823" s="87"/>
      <c r="M823" s="40"/>
    </row>
    <row r="824" spans="3:13">
      <c r="C824" s="40"/>
      <c r="D824" s="85"/>
      <c r="J824" s="86"/>
      <c r="K824" s="86"/>
      <c r="L824" s="87"/>
      <c r="M824" s="40"/>
    </row>
    <row r="825" spans="3:13">
      <c r="C825" s="40"/>
      <c r="D825" s="85"/>
      <c r="J825" s="86"/>
      <c r="K825" s="86"/>
      <c r="L825" s="87"/>
      <c r="M825" s="40"/>
    </row>
    <row r="826" spans="3:13">
      <c r="C826" s="40"/>
      <c r="D826" s="85"/>
      <c r="J826" s="86"/>
      <c r="K826" s="86"/>
      <c r="L826" s="87"/>
      <c r="M826" s="40"/>
    </row>
    <row r="827" spans="3:13">
      <c r="C827" s="40"/>
      <c r="D827" s="85"/>
      <c r="J827" s="86"/>
      <c r="K827" s="86"/>
      <c r="L827" s="87"/>
      <c r="M827" s="40"/>
    </row>
    <row r="828" spans="3:13">
      <c r="C828" s="40"/>
      <c r="D828" s="85"/>
      <c r="J828" s="86"/>
      <c r="K828" s="86"/>
      <c r="L828" s="87"/>
      <c r="M828" s="40"/>
    </row>
    <row r="829" spans="3:13">
      <c r="C829" s="40"/>
      <c r="D829" s="85"/>
      <c r="J829" s="86"/>
      <c r="K829" s="86"/>
      <c r="L829" s="87"/>
      <c r="M829" s="40"/>
    </row>
    <row r="830" spans="3:13">
      <c r="C830" s="40"/>
      <c r="D830" s="85"/>
      <c r="J830" s="86"/>
      <c r="K830" s="86"/>
      <c r="L830" s="87"/>
      <c r="M830" s="40"/>
    </row>
    <row r="831" spans="3:13">
      <c r="C831" s="40"/>
      <c r="D831" s="85"/>
      <c r="J831" s="86"/>
      <c r="K831" s="86"/>
      <c r="L831" s="87"/>
      <c r="M831" s="40"/>
    </row>
    <row r="832" spans="3:13">
      <c r="C832" s="40"/>
      <c r="D832" s="85"/>
      <c r="J832" s="86"/>
      <c r="K832" s="86"/>
      <c r="L832" s="87"/>
      <c r="M832" s="40"/>
    </row>
    <row r="833" spans="3:13">
      <c r="C833" s="40"/>
      <c r="D833" s="85"/>
      <c r="J833" s="86"/>
      <c r="K833" s="86"/>
      <c r="L833" s="87"/>
      <c r="M833" s="40"/>
    </row>
    <row r="834" spans="3:13">
      <c r="C834" s="40"/>
      <c r="D834" s="85"/>
      <c r="J834" s="86"/>
      <c r="K834" s="86"/>
      <c r="L834" s="87"/>
      <c r="M834" s="40"/>
    </row>
    <row r="835" spans="3:13">
      <c r="C835" s="40"/>
      <c r="D835" s="85"/>
      <c r="J835" s="86"/>
      <c r="K835" s="86"/>
      <c r="L835" s="87"/>
      <c r="M835" s="40"/>
    </row>
    <row r="836" spans="3:13">
      <c r="C836" s="40"/>
      <c r="D836" s="85"/>
      <c r="J836" s="86"/>
      <c r="K836" s="86"/>
      <c r="L836" s="87"/>
      <c r="M836" s="40"/>
    </row>
    <row r="837" spans="3:13">
      <c r="C837" s="40"/>
      <c r="D837" s="85"/>
      <c r="J837" s="86"/>
      <c r="K837" s="86"/>
      <c r="L837" s="87"/>
      <c r="M837" s="40"/>
    </row>
    <row r="838" spans="3:13">
      <c r="C838" s="40"/>
      <c r="D838" s="85"/>
      <c r="J838" s="86"/>
      <c r="K838" s="86"/>
      <c r="L838" s="87"/>
      <c r="M838" s="40"/>
    </row>
    <row r="839" spans="3:13">
      <c r="C839" s="40"/>
      <c r="D839" s="85"/>
      <c r="J839" s="86"/>
      <c r="K839" s="86"/>
      <c r="L839" s="87"/>
      <c r="M839" s="40"/>
    </row>
    <row r="840" spans="3:13">
      <c r="C840" s="40"/>
      <c r="D840" s="85"/>
      <c r="J840" s="86"/>
      <c r="K840" s="86"/>
      <c r="L840" s="87"/>
      <c r="M840" s="40"/>
    </row>
    <row r="841" spans="3:13">
      <c r="C841" s="40"/>
      <c r="D841" s="85"/>
      <c r="J841" s="86"/>
      <c r="K841" s="86"/>
      <c r="L841" s="87"/>
      <c r="M841" s="40"/>
    </row>
    <row r="842" spans="3:13">
      <c r="C842" s="40"/>
      <c r="D842" s="85"/>
      <c r="J842" s="86"/>
      <c r="K842" s="86"/>
      <c r="L842" s="87"/>
      <c r="M842" s="40"/>
    </row>
    <row r="843" spans="3:13">
      <c r="C843" s="40"/>
      <c r="D843" s="85"/>
      <c r="J843" s="86"/>
      <c r="K843" s="86"/>
      <c r="L843" s="87"/>
      <c r="M843" s="40"/>
    </row>
    <row r="844" spans="3:13">
      <c r="C844" s="40"/>
      <c r="D844" s="85"/>
      <c r="J844" s="86"/>
      <c r="K844" s="86"/>
      <c r="L844" s="87"/>
      <c r="M844" s="40"/>
    </row>
    <row r="845" spans="3:13">
      <c r="C845" s="40"/>
      <c r="D845" s="85"/>
      <c r="J845" s="86"/>
      <c r="K845" s="86"/>
      <c r="L845" s="87"/>
      <c r="M845" s="40"/>
    </row>
    <row r="846" spans="3:13">
      <c r="C846" s="40"/>
      <c r="D846" s="85"/>
      <c r="J846" s="86"/>
      <c r="K846" s="86"/>
      <c r="L846" s="87"/>
      <c r="M846" s="40"/>
    </row>
    <row r="847" spans="3:13">
      <c r="C847" s="40"/>
      <c r="D847" s="85"/>
      <c r="J847" s="86"/>
      <c r="K847" s="86"/>
      <c r="L847" s="87"/>
      <c r="M847" s="40"/>
    </row>
    <row r="848" spans="3:13">
      <c r="C848" s="40"/>
      <c r="D848" s="85"/>
      <c r="J848" s="86"/>
      <c r="K848" s="86"/>
      <c r="L848" s="87"/>
      <c r="M848" s="40"/>
    </row>
    <row r="849" spans="3:13">
      <c r="C849" s="40"/>
      <c r="D849" s="85"/>
      <c r="J849" s="86"/>
      <c r="K849" s="86"/>
      <c r="L849" s="87"/>
      <c r="M849" s="40"/>
    </row>
    <row r="850" spans="3:13">
      <c r="C850" s="40"/>
      <c r="D850" s="85"/>
      <c r="J850" s="86"/>
      <c r="K850" s="86"/>
      <c r="L850" s="87"/>
      <c r="M850" s="40"/>
    </row>
    <row r="851" spans="3:13">
      <c r="C851" s="40"/>
      <c r="D851" s="85"/>
      <c r="J851" s="86"/>
      <c r="K851" s="86"/>
      <c r="L851" s="87"/>
      <c r="M851" s="40"/>
    </row>
    <row r="852" spans="3:13">
      <c r="C852" s="40"/>
      <c r="D852" s="85"/>
      <c r="J852" s="86"/>
      <c r="K852" s="86"/>
      <c r="L852" s="87"/>
      <c r="M852" s="40"/>
    </row>
    <row r="853" spans="3:13">
      <c r="C853" s="40"/>
      <c r="D853" s="85"/>
      <c r="J853" s="86"/>
      <c r="K853" s="86"/>
      <c r="L853" s="87"/>
      <c r="M853" s="40"/>
    </row>
    <row r="854" spans="3:13">
      <c r="C854" s="40"/>
      <c r="D854" s="85"/>
      <c r="J854" s="86"/>
      <c r="K854" s="86"/>
      <c r="L854" s="87"/>
      <c r="M854" s="40"/>
    </row>
    <row r="855" spans="3:13">
      <c r="C855" s="40"/>
      <c r="D855" s="85"/>
      <c r="J855" s="86"/>
      <c r="K855" s="86"/>
      <c r="L855" s="87"/>
      <c r="M855" s="40"/>
    </row>
    <row r="856" spans="3:13">
      <c r="C856" s="40"/>
      <c r="D856" s="85"/>
      <c r="J856" s="86"/>
      <c r="K856" s="86"/>
      <c r="L856" s="87"/>
      <c r="M856" s="40"/>
    </row>
    <row r="857" spans="3:13">
      <c r="C857" s="40"/>
      <c r="D857" s="85"/>
      <c r="J857" s="86"/>
      <c r="K857" s="86"/>
      <c r="L857" s="87"/>
      <c r="M857" s="40"/>
    </row>
    <row r="858" spans="3:13">
      <c r="C858" s="40"/>
      <c r="D858" s="85"/>
      <c r="J858" s="86"/>
      <c r="K858" s="86"/>
      <c r="L858" s="87"/>
      <c r="M858" s="40"/>
    </row>
    <row r="859" spans="3:13">
      <c r="C859" s="40"/>
      <c r="D859" s="85"/>
      <c r="J859" s="86"/>
      <c r="K859" s="86"/>
      <c r="L859" s="87"/>
      <c r="M859" s="40"/>
    </row>
    <row r="860" spans="3:13">
      <c r="C860" s="40"/>
      <c r="D860" s="85"/>
      <c r="J860" s="86"/>
      <c r="K860" s="86"/>
      <c r="L860" s="87"/>
      <c r="M860" s="40"/>
    </row>
    <row r="861" spans="3:13">
      <c r="C861" s="40"/>
      <c r="D861" s="85"/>
      <c r="J861" s="86"/>
      <c r="K861" s="86"/>
      <c r="L861" s="87"/>
      <c r="M861" s="40"/>
    </row>
    <row r="862" spans="3:13">
      <c r="C862" s="40"/>
      <c r="D862" s="85"/>
      <c r="J862" s="86"/>
      <c r="K862" s="86"/>
      <c r="L862" s="87"/>
      <c r="M862" s="40"/>
    </row>
    <row r="863" spans="3:13">
      <c r="C863" s="40"/>
      <c r="D863" s="85"/>
      <c r="J863" s="86"/>
      <c r="K863" s="86"/>
      <c r="L863" s="87"/>
      <c r="M863" s="40"/>
    </row>
    <row r="864" spans="3:13">
      <c r="C864" s="40"/>
      <c r="D864" s="85"/>
      <c r="J864" s="86"/>
      <c r="K864" s="86"/>
      <c r="L864" s="87"/>
      <c r="M864" s="40"/>
    </row>
    <row r="865" spans="3:13">
      <c r="C865" s="40"/>
      <c r="D865" s="85"/>
      <c r="J865" s="86"/>
      <c r="K865" s="86"/>
      <c r="L865" s="87"/>
      <c r="M865" s="40"/>
    </row>
    <row r="866" spans="3:13">
      <c r="C866" s="40"/>
      <c r="D866" s="85"/>
      <c r="J866" s="86"/>
      <c r="K866" s="86"/>
      <c r="L866" s="87"/>
      <c r="M866" s="40"/>
    </row>
    <row r="867" spans="3:13">
      <c r="C867" s="40"/>
      <c r="D867" s="85"/>
      <c r="J867" s="86"/>
      <c r="K867" s="86"/>
      <c r="L867" s="87"/>
      <c r="M867" s="40"/>
    </row>
    <row r="868" spans="3:13">
      <c r="C868" s="40"/>
      <c r="D868" s="85"/>
      <c r="J868" s="86"/>
      <c r="K868" s="86"/>
      <c r="L868" s="87"/>
      <c r="M868" s="40"/>
    </row>
    <row r="869" spans="3:13">
      <c r="C869" s="40"/>
      <c r="D869" s="85"/>
      <c r="J869" s="86"/>
      <c r="K869" s="86"/>
      <c r="L869" s="87"/>
      <c r="M869" s="40"/>
    </row>
    <row r="870" spans="3:13">
      <c r="C870" s="40"/>
      <c r="D870" s="85"/>
      <c r="J870" s="86"/>
      <c r="K870" s="86"/>
      <c r="L870" s="87"/>
      <c r="M870" s="40"/>
    </row>
    <row r="871" spans="3:13">
      <c r="C871" s="40"/>
      <c r="D871" s="85"/>
      <c r="J871" s="86"/>
      <c r="K871" s="86"/>
      <c r="L871" s="87"/>
      <c r="M871" s="40"/>
    </row>
    <row r="872" spans="3:13">
      <c r="C872" s="40"/>
      <c r="D872" s="85"/>
      <c r="J872" s="86"/>
      <c r="K872" s="86"/>
      <c r="L872" s="87"/>
      <c r="M872" s="40"/>
    </row>
    <row r="873" spans="3:13">
      <c r="C873" s="40"/>
      <c r="D873" s="85"/>
      <c r="J873" s="86"/>
      <c r="K873" s="86"/>
      <c r="L873" s="87"/>
      <c r="M873" s="40"/>
    </row>
    <row r="874" spans="3:13">
      <c r="C874" s="40"/>
      <c r="D874" s="85"/>
      <c r="J874" s="86"/>
      <c r="K874" s="86"/>
      <c r="L874" s="87"/>
      <c r="M874" s="40"/>
    </row>
    <row r="875" spans="3:13">
      <c r="C875" s="40"/>
      <c r="D875" s="85"/>
      <c r="J875" s="86"/>
      <c r="K875" s="86"/>
      <c r="L875" s="87"/>
      <c r="M875" s="40"/>
    </row>
    <row r="876" spans="3:13">
      <c r="C876" s="40"/>
      <c r="D876" s="85"/>
      <c r="J876" s="86"/>
      <c r="K876" s="86"/>
      <c r="L876" s="87"/>
      <c r="M876" s="40"/>
    </row>
    <row r="877" spans="3:13">
      <c r="C877" s="40"/>
      <c r="D877" s="85"/>
      <c r="J877" s="86"/>
      <c r="K877" s="86"/>
      <c r="L877" s="87"/>
      <c r="M877" s="40"/>
    </row>
    <row r="878" spans="3:13">
      <c r="C878" s="40"/>
      <c r="D878" s="85"/>
      <c r="J878" s="86"/>
      <c r="K878" s="86"/>
      <c r="L878" s="87"/>
      <c r="M878" s="40"/>
    </row>
    <row r="879" spans="3:13">
      <c r="C879" s="40"/>
      <c r="D879" s="85"/>
      <c r="J879" s="86"/>
      <c r="K879" s="86"/>
      <c r="L879" s="87"/>
      <c r="M879" s="40"/>
    </row>
    <row r="880" spans="3:13">
      <c r="C880" s="40"/>
      <c r="D880" s="85"/>
      <c r="J880" s="86"/>
      <c r="K880" s="86"/>
      <c r="L880" s="87"/>
      <c r="M880" s="40"/>
    </row>
    <row r="881" spans="3:13">
      <c r="C881" s="40"/>
      <c r="D881" s="85"/>
      <c r="J881" s="86"/>
      <c r="K881" s="86"/>
      <c r="L881" s="87"/>
      <c r="M881" s="40"/>
    </row>
    <row r="882" spans="3:13">
      <c r="C882" s="40"/>
      <c r="D882" s="85"/>
      <c r="J882" s="86"/>
      <c r="K882" s="86"/>
      <c r="L882" s="87"/>
      <c r="M882" s="40"/>
    </row>
    <row r="883" spans="3:13">
      <c r="C883" s="40"/>
      <c r="D883" s="85"/>
      <c r="J883" s="86"/>
      <c r="K883" s="86"/>
      <c r="L883" s="87"/>
      <c r="M883" s="40"/>
    </row>
    <row r="884" spans="3:13">
      <c r="C884" s="40"/>
      <c r="D884" s="85"/>
      <c r="J884" s="86"/>
      <c r="K884" s="86"/>
      <c r="L884" s="87"/>
      <c r="M884" s="40"/>
    </row>
    <row r="885" spans="3:13">
      <c r="C885" s="40"/>
      <c r="D885" s="85"/>
      <c r="J885" s="86"/>
      <c r="K885" s="86"/>
      <c r="L885" s="87"/>
      <c r="M885" s="40"/>
    </row>
    <row r="886" spans="3:13">
      <c r="C886" s="40"/>
      <c r="D886" s="85"/>
      <c r="J886" s="86"/>
      <c r="K886" s="86"/>
      <c r="L886" s="87"/>
      <c r="M886" s="40"/>
    </row>
    <row r="887" spans="3:13">
      <c r="C887" s="40"/>
      <c r="D887" s="85"/>
      <c r="J887" s="86"/>
      <c r="K887" s="86"/>
      <c r="L887" s="87"/>
      <c r="M887" s="40"/>
    </row>
    <row r="888" spans="3:13">
      <c r="C888" s="40"/>
      <c r="D888" s="85"/>
      <c r="J888" s="86"/>
      <c r="K888" s="86"/>
      <c r="L888" s="87"/>
      <c r="M888" s="40"/>
    </row>
    <row r="889" spans="3:13">
      <c r="C889" s="40"/>
      <c r="D889" s="85"/>
      <c r="J889" s="86"/>
      <c r="K889" s="86"/>
      <c r="L889" s="87"/>
      <c r="M889" s="40"/>
    </row>
    <row r="890" spans="3:13">
      <c r="C890" s="40"/>
      <c r="D890" s="85"/>
      <c r="J890" s="86"/>
      <c r="K890" s="86"/>
      <c r="L890" s="87"/>
      <c r="M890" s="40"/>
    </row>
    <row r="891" spans="3:13">
      <c r="C891" s="40"/>
      <c r="D891" s="85"/>
      <c r="J891" s="86"/>
      <c r="K891" s="86"/>
      <c r="L891" s="87"/>
      <c r="M891" s="40"/>
    </row>
    <row r="892" spans="3:13">
      <c r="C892" s="40"/>
      <c r="D892" s="85"/>
      <c r="J892" s="86"/>
      <c r="K892" s="86"/>
      <c r="L892" s="87"/>
      <c r="M892" s="40"/>
    </row>
    <row r="893" spans="3:13">
      <c r="C893" s="40"/>
      <c r="D893" s="85"/>
      <c r="J893" s="86"/>
      <c r="K893" s="86"/>
      <c r="L893" s="87"/>
      <c r="M893" s="40"/>
    </row>
    <row r="894" spans="3:13">
      <c r="C894" s="40"/>
      <c r="D894" s="85"/>
      <c r="J894" s="86"/>
      <c r="K894" s="86"/>
      <c r="L894" s="87"/>
      <c r="M894" s="40"/>
    </row>
    <row r="895" spans="3:13">
      <c r="C895" s="40"/>
      <c r="D895" s="85"/>
      <c r="J895" s="86"/>
      <c r="K895" s="86"/>
      <c r="L895" s="87"/>
      <c r="M895" s="40"/>
    </row>
    <row r="896" spans="3:13">
      <c r="C896" s="40"/>
      <c r="D896" s="85"/>
      <c r="J896" s="86"/>
      <c r="K896" s="86"/>
      <c r="L896" s="87"/>
      <c r="M896" s="40"/>
    </row>
    <row r="897" spans="3:13">
      <c r="C897" s="40"/>
      <c r="D897" s="85"/>
      <c r="J897" s="86"/>
      <c r="K897" s="86"/>
      <c r="L897" s="87"/>
      <c r="M897" s="40"/>
    </row>
    <row r="898" spans="3:13">
      <c r="C898" s="40"/>
      <c r="D898" s="85"/>
      <c r="J898" s="86"/>
      <c r="K898" s="86"/>
      <c r="L898" s="87"/>
      <c r="M898" s="40"/>
    </row>
    <row r="899" spans="3:13">
      <c r="C899" s="40"/>
      <c r="D899" s="85"/>
      <c r="J899" s="86"/>
      <c r="K899" s="86"/>
      <c r="L899" s="87"/>
      <c r="M899" s="40"/>
    </row>
    <row r="900" spans="3:13">
      <c r="C900" s="40"/>
      <c r="D900" s="85"/>
      <c r="J900" s="86"/>
      <c r="K900" s="86"/>
      <c r="L900" s="87"/>
      <c r="M900" s="40"/>
    </row>
    <row r="901" spans="3:13">
      <c r="C901" s="40"/>
      <c r="D901" s="85"/>
      <c r="J901" s="86"/>
      <c r="K901" s="86"/>
      <c r="L901" s="87"/>
      <c r="M901" s="40"/>
    </row>
    <row r="902" spans="3:13">
      <c r="C902" s="40"/>
      <c r="D902" s="85"/>
      <c r="J902" s="86"/>
      <c r="K902" s="86"/>
      <c r="L902" s="87"/>
      <c r="M902" s="40"/>
    </row>
    <row r="903" spans="3:13">
      <c r="C903" s="40"/>
      <c r="D903" s="85"/>
      <c r="J903" s="86"/>
      <c r="K903" s="86"/>
      <c r="L903" s="87"/>
      <c r="M903" s="40"/>
    </row>
    <row r="904" spans="3:13">
      <c r="C904" s="40"/>
      <c r="D904" s="85"/>
      <c r="J904" s="86"/>
      <c r="K904" s="86"/>
      <c r="L904" s="87"/>
      <c r="M904" s="40"/>
    </row>
    <row r="905" spans="3:13">
      <c r="C905" s="40"/>
      <c r="D905" s="85"/>
      <c r="J905" s="86"/>
      <c r="K905" s="86"/>
      <c r="L905" s="87"/>
      <c r="M905" s="40"/>
    </row>
    <row r="906" spans="3:13">
      <c r="C906" s="40"/>
      <c r="D906" s="85"/>
      <c r="J906" s="86"/>
      <c r="K906" s="86"/>
      <c r="L906" s="87"/>
      <c r="M906" s="40"/>
    </row>
    <row r="907" spans="3:13">
      <c r="C907" s="40"/>
      <c r="D907" s="85"/>
      <c r="J907" s="86"/>
      <c r="K907" s="86"/>
      <c r="L907" s="87"/>
      <c r="M907" s="40"/>
    </row>
    <row r="908" spans="3:13">
      <c r="C908" s="40"/>
      <c r="D908" s="85"/>
      <c r="J908" s="86"/>
      <c r="K908" s="86"/>
      <c r="L908" s="87"/>
      <c r="M908" s="40"/>
    </row>
    <row r="909" spans="3:13">
      <c r="C909" s="40"/>
      <c r="D909" s="85"/>
      <c r="J909" s="86"/>
      <c r="K909" s="86"/>
      <c r="L909" s="87"/>
      <c r="M909" s="40"/>
    </row>
    <row r="910" spans="3:13">
      <c r="C910" s="40"/>
      <c r="D910" s="85"/>
      <c r="J910" s="86"/>
      <c r="K910" s="86"/>
      <c r="L910" s="87"/>
      <c r="M910" s="40"/>
    </row>
    <row r="911" spans="3:13">
      <c r="C911" s="40"/>
      <c r="D911" s="85"/>
      <c r="J911" s="86"/>
      <c r="K911" s="86"/>
      <c r="L911" s="87"/>
      <c r="M911" s="40"/>
    </row>
    <row r="912" spans="3:13">
      <c r="C912" s="40"/>
      <c r="D912" s="85"/>
      <c r="J912" s="86"/>
      <c r="K912" s="86"/>
      <c r="L912" s="87"/>
      <c r="M912" s="40"/>
    </row>
    <row r="913" spans="3:13">
      <c r="C913" s="40"/>
      <c r="D913" s="85"/>
      <c r="J913" s="86"/>
      <c r="K913" s="86"/>
      <c r="L913" s="87"/>
      <c r="M913" s="40"/>
    </row>
    <row r="914" spans="3:13">
      <c r="C914" s="40"/>
      <c r="D914" s="85"/>
      <c r="J914" s="86"/>
      <c r="K914" s="86"/>
      <c r="L914" s="87"/>
      <c r="M914" s="40"/>
    </row>
    <row r="915" spans="3:13">
      <c r="C915" s="40"/>
      <c r="D915" s="85"/>
      <c r="J915" s="86"/>
      <c r="K915" s="86"/>
      <c r="L915" s="87"/>
      <c r="M915" s="40"/>
    </row>
    <row r="916" spans="3:13">
      <c r="C916" s="40"/>
      <c r="D916" s="85"/>
      <c r="J916" s="86"/>
      <c r="K916" s="86"/>
      <c r="L916" s="87"/>
      <c r="M916" s="40"/>
    </row>
    <row r="917" spans="3:13">
      <c r="C917" s="40"/>
      <c r="D917" s="85"/>
      <c r="J917" s="86"/>
      <c r="K917" s="86"/>
      <c r="L917" s="87"/>
      <c r="M917" s="40"/>
    </row>
    <row r="918" spans="3:13">
      <c r="C918" s="40"/>
      <c r="D918" s="85"/>
      <c r="J918" s="86"/>
      <c r="K918" s="86"/>
      <c r="L918" s="87"/>
      <c r="M918" s="40"/>
    </row>
    <row r="919" spans="3:13">
      <c r="C919" s="40"/>
      <c r="D919" s="85"/>
      <c r="J919" s="86"/>
      <c r="K919" s="86"/>
      <c r="L919" s="87"/>
      <c r="M919" s="40"/>
    </row>
    <row r="920" spans="3:13">
      <c r="C920" s="40"/>
      <c r="D920" s="85"/>
      <c r="J920" s="86"/>
      <c r="K920" s="86"/>
      <c r="L920" s="87"/>
      <c r="M920" s="40"/>
    </row>
    <row r="921" spans="3:13">
      <c r="C921" s="40"/>
      <c r="D921" s="85"/>
      <c r="J921" s="86"/>
      <c r="K921" s="86"/>
      <c r="L921" s="87"/>
      <c r="M921" s="40"/>
    </row>
    <row r="922" spans="3:13">
      <c r="C922" s="40"/>
      <c r="D922" s="85"/>
      <c r="J922" s="86"/>
      <c r="K922" s="86"/>
      <c r="L922" s="87"/>
      <c r="M922" s="40"/>
    </row>
    <row r="923" spans="3:13">
      <c r="C923" s="40"/>
      <c r="D923" s="85"/>
      <c r="J923" s="86"/>
      <c r="K923" s="86"/>
      <c r="L923" s="87"/>
      <c r="M923" s="40"/>
    </row>
    <row r="924" spans="3:13">
      <c r="C924" s="40"/>
      <c r="D924" s="85"/>
      <c r="J924" s="86"/>
      <c r="K924" s="86"/>
      <c r="L924" s="87"/>
      <c r="M924" s="40"/>
    </row>
    <row r="925" spans="3:13">
      <c r="C925" s="40"/>
      <c r="D925" s="85"/>
      <c r="J925" s="86"/>
      <c r="K925" s="86"/>
      <c r="L925" s="87"/>
      <c r="M925" s="40"/>
    </row>
    <row r="926" spans="3:13">
      <c r="C926" s="40"/>
      <c r="D926" s="85"/>
      <c r="J926" s="86"/>
      <c r="K926" s="86"/>
      <c r="L926" s="87"/>
      <c r="M926" s="40"/>
    </row>
    <row r="927" spans="3:13">
      <c r="C927" s="40"/>
      <c r="D927" s="85"/>
      <c r="J927" s="86"/>
      <c r="K927" s="86"/>
      <c r="L927" s="87"/>
      <c r="M927" s="40"/>
    </row>
    <row r="928" spans="3:13">
      <c r="C928" s="40"/>
      <c r="D928" s="85"/>
      <c r="J928" s="86"/>
      <c r="K928" s="86"/>
      <c r="L928" s="87"/>
      <c r="M928" s="40"/>
    </row>
    <row r="929" spans="3:13">
      <c r="C929" s="40"/>
      <c r="D929" s="85"/>
      <c r="J929" s="86"/>
      <c r="K929" s="86"/>
      <c r="L929" s="87"/>
      <c r="M929" s="40"/>
    </row>
    <row r="930" spans="3:13">
      <c r="C930" s="40"/>
      <c r="D930" s="85"/>
      <c r="J930" s="86"/>
      <c r="K930" s="86"/>
      <c r="L930" s="87"/>
      <c r="M930" s="40"/>
    </row>
    <row r="931" spans="3:13">
      <c r="C931" s="40"/>
      <c r="D931" s="85"/>
      <c r="J931" s="86"/>
      <c r="K931" s="86"/>
      <c r="L931" s="87"/>
      <c r="M931" s="40"/>
    </row>
    <row r="932" spans="3:13">
      <c r="C932" s="40"/>
      <c r="D932" s="85"/>
      <c r="J932" s="86"/>
      <c r="K932" s="86"/>
      <c r="L932" s="87"/>
      <c r="M932" s="40"/>
    </row>
    <row r="933" spans="3:13">
      <c r="C933" s="40"/>
      <c r="D933" s="85"/>
      <c r="J933" s="86"/>
      <c r="K933" s="86"/>
      <c r="L933" s="87"/>
      <c r="M933" s="40"/>
    </row>
    <row r="934" spans="3:13">
      <c r="C934" s="40"/>
      <c r="D934" s="85"/>
      <c r="J934" s="86"/>
      <c r="K934" s="86"/>
      <c r="L934" s="87"/>
      <c r="M934" s="40"/>
    </row>
    <row r="935" spans="3:13">
      <c r="C935" s="40"/>
      <c r="D935" s="85"/>
      <c r="J935" s="86"/>
      <c r="K935" s="86"/>
      <c r="L935" s="87"/>
      <c r="M935" s="40"/>
    </row>
    <row r="936" spans="3:13">
      <c r="C936" s="40"/>
      <c r="D936" s="85"/>
      <c r="J936" s="86"/>
      <c r="K936" s="86"/>
      <c r="L936" s="87"/>
      <c r="M936" s="40"/>
    </row>
    <row r="937" spans="3:13">
      <c r="C937" s="40"/>
      <c r="D937" s="85"/>
      <c r="J937" s="86"/>
      <c r="K937" s="86"/>
      <c r="L937" s="87"/>
      <c r="M937" s="40"/>
    </row>
    <row r="938" spans="3:13">
      <c r="C938" s="40"/>
      <c r="D938" s="85"/>
      <c r="J938" s="86"/>
      <c r="K938" s="86"/>
      <c r="L938" s="87"/>
      <c r="M938" s="40"/>
    </row>
    <row r="939" spans="3:13">
      <c r="C939" s="40"/>
      <c r="D939" s="85"/>
      <c r="J939" s="86"/>
      <c r="K939" s="86"/>
      <c r="L939" s="87"/>
      <c r="M939" s="40"/>
    </row>
    <row r="940" spans="3:13">
      <c r="C940" s="40"/>
      <c r="D940" s="85"/>
      <c r="J940" s="86"/>
      <c r="K940" s="86"/>
      <c r="L940" s="87"/>
      <c r="M940" s="40"/>
    </row>
    <row r="941" spans="3:13">
      <c r="C941" s="40"/>
      <c r="D941" s="85"/>
      <c r="J941" s="86"/>
      <c r="K941" s="86"/>
      <c r="L941" s="87"/>
      <c r="M941" s="40"/>
    </row>
    <row r="942" spans="3:13">
      <c r="C942" s="40"/>
      <c r="D942" s="85"/>
      <c r="J942" s="86"/>
      <c r="K942" s="86"/>
      <c r="L942" s="87"/>
      <c r="M942" s="40"/>
    </row>
    <row r="943" spans="3:13">
      <c r="C943" s="40"/>
      <c r="D943" s="85"/>
      <c r="J943" s="86"/>
      <c r="K943" s="86"/>
      <c r="L943" s="87"/>
      <c r="M943" s="40"/>
    </row>
    <row r="944" spans="3:13">
      <c r="C944" s="40"/>
      <c r="D944" s="85"/>
      <c r="J944" s="86"/>
      <c r="K944" s="86"/>
      <c r="L944" s="87"/>
      <c r="M944" s="40"/>
    </row>
    <row r="945" spans="3:13">
      <c r="C945" s="40"/>
      <c r="D945" s="85"/>
      <c r="J945" s="86"/>
      <c r="K945" s="86"/>
      <c r="L945" s="87"/>
      <c r="M945" s="40"/>
    </row>
    <row r="946" spans="3:13">
      <c r="C946" s="40"/>
      <c r="D946" s="85"/>
      <c r="J946" s="86"/>
      <c r="K946" s="86"/>
      <c r="L946" s="87"/>
      <c r="M946" s="40"/>
    </row>
    <row r="947" spans="3:13">
      <c r="C947" s="40"/>
      <c r="D947" s="85"/>
      <c r="J947" s="86"/>
      <c r="K947" s="86"/>
      <c r="L947" s="87"/>
      <c r="M947" s="40"/>
    </row>
    <row r="948" spans="3:13">
      <c r="C948" s="40"/>
      <c r="D948" s="85"/>
      <c r="J948" s="86"/>
      <c r="K948" s="86"/>
      <c r="L948" s="87"/>
      <c r="M948" s="40"/>
    </row>
    <row r="949" spans="3:13">
      <c r="C949" s="40"/>
      <c r="D949" s="85"/>
      <c r="J949" s="86"/>
      <c r="K949" s="86"/>
      <c r="L949" s="87"/>
      <c r="M949" s="40"/>
    </row>
    <row r="950" spans="3:13">
      <c r="C950" s="40"/>
      <c r="D950" s="85"/>
      <c r="J950" s="86"/>
      <c r="K950" s="86"/>
      <c r="L950" s="87"/>
      <c r="M950" s="40"/>
    </row>
    <row r="951" spans="3:13">
      <c r="C951" s="40"/>
      <c r="D951" s="85"/>
      <c r="J951" s="86"/>
      <c r="K951" s="86"/>
      <c r="L951" s="87"/>
      <c r="M951" s="40"/>
    </row>
    <row r="952" spans="3:13">
      <c r="C952" s="40"/>
      <c r="D952" s="85"/>
      <c r="J952" s="86"/>
      <c r="K952" s="86"/>
      <c r="L952" s="87"/>
      <c r="M952" s="40"/>
    </row>
    <row r="953" spans="3:13">
      <c r="C953" s="40"/>
      <c r="D953" s="85"/>
      <c r="J953" s="86"/>
      <c r="K953" s="86"/>
      <c r="L953" s="87"/>
      <c r="M953" s="40"/>
    </row>
    <row r="954" spans="3:13">
      <c r="C954" s="40"/>
      <c r="D954" s="85"/>
      <c r="J954" s="86"/>
      <c r="K954" s="86"/>
      <c r="L954" s="87"/>
      <c r="M954" s="40"/>
    </row>
    <row r="955" spans="3:13">
      <c r="C955" s="40"/>
      <c r="D955" s="85"/>
      <c r="J955" s="86"/>
      <c r="K955" s="86"/>
      <c r="L955" s="87"/>
      <c r="M955" s="40"/>
    </row>
    <row r="956" spans="3:13">
      <c r="C956" s="40"/>
      <c r="D956" s="85"/>
      <c r="J956" s="86"/>
      <c r="K956" s="86"/>
      <c r="L956" s="87"/>
      <c r="M956" s="40"/>
    </row>
    <row r="957" spans="3:13">
      <c r="C957" s="40"/>
      <c r="D957" s="85"/>
      <c r="J957" s="86"/>
      <c r="K957" s="86"/>
      <c r="L957" s="87"/>
      <c r="M957" s="40"/>
    </row>
    <row r="958" spans="3:13">
      <c r="C958" s="40"/>
      <c r="D958" s="85"/>
      <c r="J958" s="86"/>
      <c r="K958" s="86"/>
      <c r="L958" s="87"/>
      <c r="M958" s="40"/>
    </row>
    <row r="959" spans="3:13">
      <c r="C959" s="40"/>
      <c r="D959" s="85"/>
      <c r="J959" s="86"/>
      <c r="K959" s="86"/>
      <c r="L959" s="87"/>
      <c r="M959" s="40"/>
    </row>
    <row r="960" spans="3:13">
      <c r="C960" s="40"/>
      <c r="D960" s="85"/>
      <c r="J960" s="86"/>
      <c r="K960" s="86"/>
      <c r="L960" s="87"/>
      <c r="M960" s="40"/>
    </row>
    <row r="961" spans="3:13">
      <c r="C961" s="40"/>
      <c r="D961" s="85"/>
      <c r="J961" s="86"/>
      <c r="K961" s="86"/>
      <c r="L961" s="87"/>
      <c r="M961" s="40"/>
    </row>
    <row r="962" spans="3:13">
      <c r="C962" s="40"/>
      <c r="D962" s="85"/>
      <c r="J962" s="86"/>
      <c r="K962" s="86"/>
      <c r="L962" s="87"/>
      <c r="M962" s="40"/>
    </row>
    <row r="963" spans="3:13">
      <c r="C963" s="40"/>
      <c r="D963" s="85"/>
      <c r="J963" s="86"/>
      <c r="K963" s="86"/>
      <c r="L963" s="87"/>
      <c r="M963" s="40"/>
    </row>
    <row r="964" spans="3:13">
      <c r="C964" s="40"/>
      <c r="D964" s="85"/>
      <c r="J964" s="86"/>
      <c r="K964" s="86"/>
      <c r="L964" s="87"/>
      <c r="M964" s="40"/>
    </row>
    <row r="965" spans="3:13">
      <c r="C965" s="40"/>
      <c r="D965" s="85"/>
      <c r="J965" s="86"/>
      <c r="K965" s="86"/>
      <c r="L965" s="87"/>
      <c r="M965" s="40"/>
    </row>
    <row r="966" spans="3:13">
      <c r="C966" s="40"/>
      <c r="D966" s="85"/>
      <c r="J966" s="86"/>
      <c r="K966" s="86"/>
      <c r="L966" s="87"/>
      <c r="M966" s="40"/>
    </row>
    <row r="967" spans="3:13">
      <c r="C967" s="40"/>
      <c r="D967" s="85"/>
      <c r="J967" s="86"/>
      <c r="K967" s="86"/>
      <c r="L967" s="87"/>
      <c r="M967" s="40"/>
    </row>
    <row r="968" spans="3:13">
      <c r="C968" s="40"/>
      <c r="D968" s="85"/>
      <c r="J968" s="86"/>
      <c r="K968" s="86"/>
      <c r="L968" s="87"/>
      <c r="M968" s="40"/>
    </row>
    <row r="969" spans="3:13">
      <c r="C969" s="40"/>
      <c r="D969" s="85"/>
      <c r="J969" s="86"/>
      <c r="K969" s="86"/>
      <c r="L969" s="87"/>
      <c r="M969" s="40"/>
    </row>
    <row r="970" spans="3:13">
      <c r="C970" s="40"/>
      <c r="D970" s="85"/>
      <c r="J970" s="86"/>
      <c r="K970" s="86"/>
      <c r="L970" s="87"/>
      <c r="M970" s="40"/>
    </row>
    <row r="971" spans="3:13">
      <c r="C971" s="40"/>
      <c r="D971" s="85"/>
      <c r="J971" s="86"/>
      <c r="K971" s="86"/>
      <c r="L971" s="87"/>
      <c r="M971" s="40"/>
    </row>
    <row r="972" spans="3:13">
      <c r="C972" s="40"/>
      <c r="D972" s="85"/>
      <c r="J972" s="86"/>
      <c r="K972" s="86"/>
      <c r="L972" s="87"/>
      <c r="M972" s="40"/>
    </row>
    <row r="973" spans="3:13">
      <c r="C973" s="40"/>
      <c r="D973" s="85"/>
      <c r="J973" s="86"/>
      <c r="K973" s="86"/>
      <c r="L973" s="87"/>
      <c r="M973" s="40"/>
    </row>
    <row r="974" spans="3:13">
      <c r="C974" s="40"/>
      <c r="D974" s="85"/>
      <c r="J974" s="86"/>
      <c r="K974" s="86"/>
      <c r="L974" s="87"/>
      <c r="M974" s="40"/>
    </row>
    <row r="975" spans="3:13">
      <c r="C975" s="40"/>
      <c r="D975" s="85"/>
      <c r="J975" s="86"/>
      <c r="K975" s="86"/>
      <c r="L975" s="87"/>
      <c r="M975" s="40"/>
    </row>
    <row r="976" spans="3:13">
      <c r="C976" s="40"/>
      <c r="D976" s="85"/>
      <c r="J976" s="86"/>
      <c r="K976" s="86"/>
      <c r="L976" s="87"/>
      <c r="M976" s="40"/>
    </row>
    <row r="977" spans="3:13">
      <c r="C977" s="40"/>
      <c r="D977" s="85"/>
      <c r="J977" s="86"/>
      <c r="K977" s="86"/>
      <c r="L977" s="87"/>
      <c r="M977" s="40"/>
    </row>
    <row r="978" spans="3:13">
      <c r="C978" s="40"/>
      <c r="D978" s="85"/>
      <c r="J978" s="86"/>
      <c r="K978" s="86"/>
      <c r="L978" s="87"/>
      <c r="M978" s="40"/>
    </row>
    <row r="979" spans="3:13">
      <c r="C979" s="40"/>
      <c r="D979" s="85"/>
      <c r="J979" s="86"/>
      <c r="K979" s="86"/>
      <c r="L979" s="87"/>
      <c r="M979" s="40"/>
    </row>
    <row r="980" spans="3:13">
      <c r="C980" s="40"/>
      <c r="D980" s="85"/>
      <c r="J980" s="86"/>
      <c r="K980" s="86"/>
      <c r="L980" s="87"/>
      <c r="M980" s="40"/>
    </row>
    <row r="981" spans="3:13">
      <c r="C981" s="40"/>
      <c r="D981" s="85"/>
      <c r="J981" s="86"/>
      <c r="K981" s="86"/>
      <c r="L981" s="87"/>
      <c r="M981" s="40"/>
    </row>
    <row r="982" spans="3:13">
      <c r="C982" s="40"/>
      <c r="D982" s="85"/>
      <c r="J982" s="86"/>
      <c r="K982" s="86"/>
      <c r="L982" s="87"/>
      <c r="M982" s="40"/>
    </row>
    <row r="983" spans="3:13">
      <c r="C983" s="40"/>
      <c r="D983" s="85"/>
      <c r="J983" s="86"/>
      <c r="K983" s="86"/>
      <c r="L983" s="87"/>
      <c r="M983" s="40"/>
    </row>
    <row r="984" spans="3:13">
      <c r="C984" s="40"/>
      <c r="D984" s="85"/>
      <c r="J984" s="86"/>
      <c r="K984" s="86"/>
      <c r="L984" s="87"/>
      <c r="M984" s="40"/>
    </row>
    <row r="985" spans="3:13">
      <c r="C985" s="40"/>
      <c r="D985" s="85"/>
      <c r="J985" s="86"/>
      <c r="K985" s="86"/>
      <c r="L985" s="87"/>
      <c r="M985" s="40"/>
    </row>
    <row r="986" spans="3:13">
      <c r="C986" s="40"/>
      <c r="D986" s="85"/>
      <c r="J986" s="86"/>
      <c r="K986" s="86"/>
      <c r="L986" s="87"/>
      <c r="M986" s="40"/>
    </row>
    <row r="987" spans="3:13">
      <c r="C987" s="40"/>
      <c r="D987" s="85"/>
      <c r="J987" s="86"/>
      <c r="K987" s="86"/>
      <c r="L987" s="87"/>
      <c r="M987" s="40"/>
    </row>
    <row r="988" spans="3:13">
      <c r="C988" s="40"/>
      <c r="D988" s="85"/>
      <c r="J988" s="86"/>
      <c r="K988" s="86"/>
      <c r="L988" s="87"/>
      <c r="M988" s="40"/>
    </row>
    <row r="989" spans="3:13">
      <c r="C989" s="40"/>
      <c r="D989" s="85"/>
      <c r="J989" s="86"/>
      <c r="K989" s="86"/>
      <c r="L989" s="87"/>
      <c r="M989" s="40"/>
    </row>
    <row r="990" spans="3:13">
      <c r="C990" s="40"/>
      <c r="D990" s="85"/>
      <c r="J990" s="86"/>
      <c r="K990" s="86"/>
      <c r="L990" s="87"/>
      <c r="M990" s="40"/>
    </row>
    <row r="991" spans="3:13">
      <c r="C991" s="40"/>
      <c r="D991" s="85"/>
      <c r="J991" s="86"/>
      <c r="K991" s="86"/>
      <c r="L991" s="87"/>
      <c r="M991" s="40"/>
    </row>
    <row r="992" spans="3:13">
      <c r="C992" s="40"/>
      <c r="D992" s="85"/>
      <c r="J992" s="86"/>
      <c r="K992" s="86"/>
      <c r="L992" s="87"/>
      <c r="M992" s="40"/>
    </row>
    <row r="993" spans="3:13">
      <c r="C993" s="40"/>
      <c r="D993" s="85"/>
      <c r="J993" s="86"/>
      <c r="K993" s="86"/>
      <c r="L993" s="87"/>
      <c r="M993" s="40"/>
    </row>
    <row r="994" spans="3:13">
      <c r="C994" s="40"/>
      <c r="D994" s="85"/>
      <c r="J994" s="86"/>
      <c r="K994" s="86"/>
      <c r="L994" s="87"/>
      <c r="M994" s="40"/>
    </row>
    <row r="995" spans="3:13">
      <c r="C995" s="40"/>
      <c r="D995" s="85"/>
      <c r="J995" s="86"/>
      <c r="K995" s="86"/>
      <c r="L995" s="87"/>
      <c r="M995" s="40"/>
    </row>
    <row r="996" spans="3:13">
      <c r="C996" s="40"/>
      <c r="D996" s="85"/>
      <c r="J996" s="86"/>
      <c r="K996" s="86"/>
      <c r="L996" s="87"/>
      <c r="M996" s="40"/>
    </row>
    <row r="997" spans="3:13">
      <c r="C997" s="40"/>
      <c r="D997" s="85"/>
      <c r="J997" s="86"/>
      <c r="K997" s="86"/>
      <c r="L997" s="87"/>
      <c r="M997" s="40"/>
    </row>
    <row r="998" spans="3:13">
      <c r="C998" s="40"/>
      <c r="D998" s="85"/>
      <c r="J998" s="86"/>
      <c r="K998" s="86"/>
      <c r="L998" s="87"/>
      <c r="M998" s="40"/>
    </row>
    <row r="999" spans="3:13">
      <c r="C999" s="40"/>
      <c r="D999" s="85"/>
      <c r="J999" s="86"/>
      <c r="K999" s="86"/>
      <c r="L999" s="87"/>
      <c r="M999" s="40"/>
    </row>
    <row r="1000" spans="3:13">
      <c r="C1000" s="40"/>
      <c r="D1000" s="85"/>
      <c r="J1000" s="86"/>
      <c r="K1000" s="86"/>
      <c r="L1000" s="87"/>
      <c r="M1000" s="4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1000"/>
  <sheetViews>
    <sheetView workbookViewId="0">
      <pane xSplit="2" ySplit="1" topLeftCell="M38" activePane="bottomRight" state="frozen"/>
      <selection pane="topRight" activeCell="C1" sqref="C1"/>
      <selection pane="bottomLeft" activeCell="A2" sqref="A2"/>
      <selection pane="bottomRight" activeCell="S11" sqref="S11"/>
    </sheetView>
  </sheetViews>
  <sheetFormatPr baseColWidth="10" defaultColWidth="12.5703125" defaultRowHeight="15" customHeight="1"/>
  <cols>
    <col min="15" max="15" width="14.140625" customWidth="1"/>
    <col min="16" max="16" width="8.7109375" customWidth="1"/>
  </cols>
  <sheetData>
    <row r="1" spans="1:25" ht="60.75" customHeight="1">
      <c r="A1" s="33" t="s">
        <v>32</v>
      </c>
      <c r="B1" s="33" t="s">
        <v>33</v>
      </c>
      <c r="C1" s="34" t="s">
        <v>386</v>
      </c>
      <c r="D1" s="35" t="s">
        <v>387</v>
      </c>
      <c r="E1" s="33" t="s">
        <v>388</v>
      </c>
      <c r="F1" s="33" t="s">
        <v>389</v>
      </c>
      <c r="G1" s="33" t="s">
        <v>38</v>
      </c>
      <c r="H1" s="36" t="s">
        <v>390</v>
      </c>
      <c r="I1" s="33" t="s">
        <v>40</v>
      </c>
      <c r="J1" s="37" t="s">
        <v>41</v>
      </c>
      <c r="K1" s="37" t="s">
        <v>42</v>
      </c>
      <c r="L1" s="38" t="s">
        <v>43</v>
      </c>
      <c r="M1" s="39" t="s">
        <v>391</v>
      </c>
      <c r="N1" s="36" t="s">
        <v>392</v>
      </c>
      <c r="O1" s="40"/>
      <c r="P1" s="40"/>
      <c r="Q1" s="39" t="s">
        <v>46</v>
      </c>
      <c r="R1" s="39" t="s">
        <v>391</v>
      </c>
      <c r="S1" s="39" t="s">
        <v>392</v>
      </c>
      <c r="T1" s="41" t="s">
        <v>390</v>
      </c>
      <c r="U1" s="40"/>
      <c r="V1" s="40"/>
      <c r="W1" s="40"/>
      <c r="X1" s="40"/>
      <c r="Y1" s="40"/>
    </row>
    <row r="2" spans="1:25" ht="15" customHeight="1">
      <c r="A2" s="42">
        <v>10101</v>
      </c>
      <c r="B2" s="42" t="s">
        <v>47</v>
      </c>
      <c r="C2" s="43">
        <v>293819</v>
      </c>
      <c r="D2" s="44">
        <v>92.9</v>
      </c>
      <c r="E2" s="45">
        <v>13.6</v>
      </c>
      <c r="F2" s="46">
        <f t="shared" ref="F2:F256" si="0">$P$3+$P$4*D2</f>
        <v>12.8544</v>
      </c>
      <c r="G2" s="46">
        <f t="shared" ref="G2:G30" si="1">1.12*F2/F$345</f>
        <v>0.84128818974047015</v>
      </c>
      <c r="H2" s="47">
        <f t="shared" ref="H2:H256" si="2">E2*G2</f>
        <v>11.441519380470394</v>
      </c>
      <c r="I2" s="48">
        <f t="shared" ref="I2:I256" si="3">C2*H2/100</f>
        <v>33617.357828504311</v>
      </c>
      <c r="J2" s="49">
        <f>SUM(C2:C30)</f>
        <v>603937</v>
      </c>
      <c r="K2" s="49">
        <f>SUM(I2:I30)</f>
        <v>82151.742039167424</v>
      </c>
      <c r="L2" s="50">
        <f>K2/J2</f>
        <v>0.13602700619297614</v>
      </c>
      <c r="M2" s="49">
        <v>20236</v>
      </c>
      <c r="N2" s="43">
        <f t="shared" ref="N2:N256" si="4">+(H2*M2)/100</f>
        <v>2315.3058618319892</v>
      </c>
      <c r="O2" s="51" t="s">
        <v>48</v>
      </c>
      <c r="P2" s="52">
        <v>12.4</v>
      </c>
      <c r="Q2" s="53" t="s">
        <v>49</v>
      </c>
      <c r="R2" s="43">
        <f t="shared" ref="R2:S2" si="5">+SUM(M2:M30)</f>
        <v>44827</v>
      </c>
      <c r="S2" s="43">
        <f t="shared" si="5"/>
        <v>6176.1337281289916</v>
      </c>
      <c r="T2" s="54">
        <f t="shared" ref="T2:T12" si="6">+(S2*100)/R2</f>
        <v>13.777709255870327</v>
      </c>
    </row>
    <row r="3" spans="1:25" ht="15" customHeight="1">
      <c r="A3" s="42">
        <v>10102</v>
      </c>
      <c r="B3" s="42" t="s">
        <v>50</v>
      </c>
      <c r="C3" s="43">
        <v>9273</v>
      </c>
      <c r="D3" s="44">
        <v>0</v>
      </c>
      <c r="E3" s="45">
        <v>13.6</v>
      </c>
      <c r="F3" s="46">
        <f t="shared" si="0"/>
        <v>18.8</v>
      </c>
      <c r="G3" s="46">
        <f t="shared" si="1"/>
        <v>1.2304127743901576</v>
      </c>
      <c r="H3" s="47">
        <f t="shared" si="2"/>
        <v>16.733613731706143</v>
      </c>
      <c r="I3" s="48">
        <f t="shared" si="3"/>
        <v>1551.7080013411105</v>
      </c>
      <c r="J3" s="55"/>
      <c r="K3" s="55"/>
      <c r="L3" s="56"/>
      <c r="M3" s="49">
        <v>653</v>
      </c>
      <c r="N3" s="43">
        <f t="shared" si="4"/>
        <v>109.27049766804112</v>
      </c>
      <c r="O3" s="57" t="s">
        <v>51</v>
      </c>
      <c r="P3" s="58">
        <v>18.8</v>
      </c>
      <c r="Q3" s="53" t="s">
        <v>52</v>
      </c>
      <c r="R3" s="43">
        <f t="shared" ref="R3:S3" si="7">+SUM(M31:M117)</f>
        <v>208728</v>
      </c>
      <c r="S3" s="43">
        <f t="shared" si="7"/>
        <v>35301.433650598774</v>
      </c>
      <c r="T3" s="54">
        <f t="shared" si="6"/>
        <v>16.912648830343208</v>
      </c>
    </row>
    <row r="4" spans="1:25" ht="15" customHeight="1">
      <c r="A4" s="42">
        <v>10103</v>
      </c>
      <c r="B4" s="42" t="s">
        <v>53</v>
      </c>
      <c r="C4" s="43">
        <v>13889</v>
      </c>
      <c r="D4" s="44">
        <v>0</v>
      </c>
      <c r="E4" s="45">
        <v>13.6</v>
      </c>
      <c r="F4" s="46">
        <f t="shared" si="0"/>
        <v>18.8</v>
      </c>
      <c r="G4" s="46">
        <f t="shared" si="1"/>
        <v>1.2304127743901576</v>
      </c>
      <c r="H4" s="47">
        <f t="shared" si="2"/>
        <v>16.733613731706143</v>
      </c>
      <c r="I4" s="48">
        <f t="shared" si="3"/>
        <v>2324.1316111966662</v>
      </c>
      <c r="J4" s="55"/>
      <c r="K4" s="55"/>
      <c r="L4" s="56"/>
      <c r="M4" s="49">
        <v>1224</v>
      </c>
      <c r="N4" s="43">
        <f t="shared" si="4"/>
        <v>204.81943207608319</v>
      </c>
      <c r="O4" s="59" t="s">
        <v>54</v>
      </c>
      <c r="P4" s="60">
        <f>(P2-P3)/(100-0)</f>
        <v>-6.4000000000000001E-2</v>
      </c>
      <c r="Q4" s="53" t="s">
        <v>55</v>
      </c>
      <c r="R4" s="43">
        <f t="shared" ref="R4:S4" si="8">+SUM(M118:M165)</f>
        <v>152193</v>
      </c>
      <c r="S4" s="43">
        <f t="shared" si="8"/>
        <v>19559.519874852358</v>
      </c>
      <c r="T4" s="54">
        <f t="shared" si="6"/>
        <v>12.851786793645147</v>
      </c>
    </row>
    <row r="5" spans="1:25" ht="15" customHeight="1">
      <c r="A5" s="42">
        <v>10201</v>
      </c>
      <c r="B5" s="42" t="s">
        <v>56</v>
      </c>
      <c r="C5" s="43">
        <v>8132</v>
      </c>
      <c r="D5" s="44">
        <v>0</v>
      </c>
      <c r="E5" s="45">
        <v>13.6</v>
      </c>
      <c r="F5" s="46">
        <f t="shared" si="0"/>
        <v>18.8</v>
      </c>
      <c r="G5" s="46">
        <f t="shared" si="1"/>
        <v>1.2304127743901576</v>
      </c>
      <c r="H5" s="47">
        <f t="shared" si="2"/>
        <v>16.733613731706143</v>
      </c>
      <c r="I5" s="48">
        <f t="shared" si="3"/>
        <v>1360.7774686623434</v>
      </c>
      <c r="J5" s="55"/>
      <c r="K5" s="55"/>
      <c r="L5" s="56"/>
      <c r="M5" s="49">
        <v>777</v>
      </c>
      <c r="N5" s="43">
        <f t="shared" si="4"/>
        <v>130.02017869535675</v>
      </c>
      <c r="Q5" s="53" t="s">
        <v>57</v>
      </c>
      <c r="R5" s="43">
        <f t="shared" ref="R5:S5" si="9">+SUM(M166:M200)</f>
        <v>42952</v>
      </c>
      <c r="S5" s="43">
        <f t="shared" si="9"/>
        <v>10446.220490972206</v>
      </c>
      <c r="T5" s="54">
        <f t="shared" si="6"/>
        <v>24.320684696806218</v>
      </c>
    </row>
    <row r="6" spans="1:25" ht="15" customHeight="1">
      <c r="A6" s="42">
        <v>10202</v>
      </c>
      <c r="B6" s="42" t="s">
        <v>58</v>
      </c>
      <c r="C6" s="43">
        <v>16599</v>
      </c>
      <c r="D6" s="44">
        <v>0</v>
      </c>
      <c r="E6" s="45">
        <v>13.6</v>
      </c>
      <c r="F6" s="46">
        <f t="shared" si="0"/>
        <v>18.8</v>
      </c>
      <c r="G6" s="46">
        <f t="shared" si="1"/>
        <v>1.2304127743901576</v>
      </c>
      <c r="H6" s="47">
        <f t="shared" si="2"/>
        <v>16.733613731706143</v>
      </c>
      <c r="I6" s="48">
        <f t="shared" si="3"/>
        <v>2777.6125433259026</v>
      </c>
      <c r="J6" s="55"/>
      <c r="K6" s="55"/>
      <c r="L6" s="56"/>
      <c r="M6" s="49">
        <v>1469</v>
      </c>
      <c r="N6" s="43">
        <f t="shared" si="4"/>
        <v>245.81678571876324</v>
      </c>
      <c r="Q6" s="53" t="s">
        <v>59</v>
      </c>
      <c r="R6" s="43">
        <f t="shared" ref="R6:S6" si="10">+SUM(M201:M242)</f>
        <v>73454</v>
      </c>
      <c r="S6" s="43">
        <f t="shared" si="10"/>
        <v>19625.846533162108</v>
      </c>
      <c r="T6" s="54">
        <f t="shared" si="6"/>
        <v>26.718553833912527</v>
      </c>
    </row>
    <row r="7" spans="1:25" ht="15" customHeight="1">
      <c r="A7" s="42">
        <v>10301</v>
      </c>
      <c r="B7" s="42" t="s">
        <v>60</v>
      </c>
      <c r="C7" s="43">
        <v>13500</v>
      </c>
      <c r="D7" s="44">
        <v>35.1</v>
      </c>
      <c r="E7" s="45">
        <v>13.6</v>
      </c>
      <c r="F7" s="46">
        <f t="shared" si="0"/>
        <v>16.553599999999999</v>
      </c>
      <c r="G7" s="46">
        <f t="shared" si="1"/>
        <v>1.0833915373481333</v>
      </c>
      <c r="H7" s="47">
        <f t="shared" si="2"/>
        <v>14.734124907934612</v>
      </c>
      <c r="I7" s="48">
        <f t="shared" si="3"/>
        <v>1989.1068625711725</v>
      </c>
      <c r="J7" s="55"/>
      <c r="K7" s="55"/>
      <c r="L7" s="56"/>
      <c r="M7" s="49">
        <v>913</v>
      </c>
      <c r="N7" s="43">
        <f t="shared" si="4"/>
        <v>134.522560409443</v>
      </c>
      <c r="Q7" s="53" t="s">
        <v>61</v>
      </c>
      <c r="R7" s="43">
        <f t="shared" ref="R7:S7" si="11">+SUM(M243:M253)</f>
        <v>36356</v>
      </c>
      <c r="S7" s="43">
        <f t="shared" si="11"/>
        <v>3324.4507523973311</v>
      </c>
      <c r="T7" s="54">
        <f t="shared" si="6"/>
        <v>9.1441598426596187</v>
      </c>
    </row>
    <row r="8" spans="1:25" ht="15" customHeight="1">
      <c r="A8" s="42">
        <v>10302</v>
      </c>
      <c r="B8" s="42" t="s">
        <v>62</v>
      </c>
      <c r="C8" s="43">
        <v>12526</v>
      </c>
      <c r="D8" s="44">
        <v>18.2</v>
      </c>
      <c r="E8" s="45">
        <v>13.6</v>
      </c>
      <c r="F8" s="46">
        <f t="shared" si="0"/>
        <v>17.635200000000001</v>
      </c>
      <c r="G8" s="46">
        <f t="shared" si="1"/>
        <v>1.1541795403683672</v>
      </c>
      <c r="H8" s="47">
        <f t="shared" si="2"/>
        <v>15.696841749009794</v>
      </c>
      <c r="I8" s="48">
        <f t="shared" si="3"/>
        <v>1966.1863974809667</v>
      </c>
      <c r="J8" s="55"/>
      <c r="K8" s="55"/>
      <c r="L8" s="56"/>
      <c r="M8" s="49">
        <v>1092</v>
      </c>
      <c r="N8" s="43">
        <f t="shared" si="4"/>
        <v>171.40951189918695</v>
      </c>
      <c r="Q8" s="53" t="s">
        <v>63</v>
      </c>
      <c r="R8" s="43">
        <f t="shared" ref="R8:S8" si="12">+SUM(M254:M309)</f>
        <v>254902</v>
      </c>
      <c r="S8" s="43">
        <f t="shared" si="12"/>
        <v>26204.506120672133</v>
      </c>
      <c r="T8" s="54">
        <f t="shared" si="6"/>
        <v>10.280227742690183</v>
      </c>
    </row>
    <row r="9" spans="1:25" ht="15" customHeight="1">
      <c r="A9" s="42">
        <v>10303</v>
      </c>
      <c r="B9" s="42" t="s">
        <v>64</v>
      </c>
      <c r="C9" s="43">
        <v>8973</v>
      </c>
      <c r="D9" s="44">
        <v>27.5</v>
      </c>
      <c r="E9" s="45">
        <v>13.6</v>
      </c>
      <c r="F9" s="46">
        <f t="shared" si="0"/>
        <v>17.04</v>
      </c>
      <c r="G9" s="46">
        <f t="shared" si="1"/>
        <v>1.1152251955110788</v>
      </c>
      <c r="H9" s="47">
        <f t="shared" si="2"/>
        <v>15.167062658950671</v>
      </c>
      <c r="I9" s="48">
        <f t="shared" si="3"/>
        <v>1360.9405323876438</v>
      </c>
      <c r="J9" s="55"/>
      <c r="K9" s="55"/>
      <c r="L9" s="56"/>
      <c r="M9" s="49">
        <v>780</v>
      </c>
      <c r="N9" s="43">
        <f t="shared" si="4"/>
        <v>118.30308873981522</v>
      </c>
      <c r="Q9" s="53" t="s">
        <v>22</v>
      </c>
      <c r="R9" s="43">
        <f t="shared" ref="R9:S9" si="13">+SUM(M310:M329)</f>
        <v>46526</v>
      </c>
      <c r="S9" s="43">
        <f t="shared" si="13"/>
        <v>7285.9386440819289</v>
      </c>
      <c r="T9" s="54">
        <f t="shared" si="6"/>
        <v>15.659929166663648</v>
      </c>
    </row>
    <row r="10" spans="1:25" ht="15" customHeight="1">
      <c r="A10" s="42">
        <v>10304</v>
      </c>
      <c r="B10" s="42" t="s">
        <v>65</v>
      </c>
      <c r="C10" s="43">
        <v>9040</v>
      </c>
      <c r="D10" s="44">
        <v>0</v>
      </c>
      <c r="E10" s="45">
        <v>13.6</v>
      </c>
      <c r="F10" s="46">
        <f t="shared" si="0"/>
        <v>18.8</v>
      </c>
      <c r="G10" s="46">
        <f t="shared" si="1"/>
        <v>1.2304127743901576</v>
      </c>
      <c r="H10" s="47">
        <f t="shared" si="2"/>
        <v>16.733613731706143</v>
      </c>
      <c r="I10" s="48">
        <f t="shared" si="3"/>
        <v>1512.7186813462354</v>
      </c>
      <c r="J10" s="55"/>
      <c r="K10" s="55"/>
      <c r="L10" s="56"/>
      <c r="M10" s="49">
        <v>607</v>
      </c>
      <c r="N10" s="43">
        <f t="shared" si="4"/>
        <v>101.5730353514563</v>
      </c>
      <c r="Q10" s="53" t="s">
        <v>23</v>
      </c>
      <c r="R10" s="43">
        <f t="shared" ref="R10:S10" si="14">+SUM(M330:M344)</f>
        <v>12412</v>
      </c>
      <c r="S10" s="43">
        <f t="shared" si="14"/>
        <v>1172.4454790536929</v>
      </c>
      <c r="T10" s="54">
        <f t="shared" si="6"/>
        <v>9.4460641238615271</v>
      </c>
    </row>
    <row r="11" spans="1:25" ht="15" customHeight="1">
      <c r="A11" s="42">
        <v>10401</v>
      </c>
      <c r="B11" s="42" t="s">
        <v>66</v>
      </c>
      <c r="C11" s="43">
        <v>9291</v>
      </c>
      <c r="D11" s="44">
        <v>44.8</v>
      </c>
      <c r="E11" s="45">
        <v>13.6</v>
      </c>
      <c r="F11" s="46">
        <f t="shared" si="0"/>
        <v>15.9328</v>
      </c>
      <c r="G11" s="46">
        <f t="shared" si="1"/>
        <v>1.0427617367980584</v>
      </c>
      <c r="H11" s="47">
        <f t="shared" si="2"/>
        <v>14.181559620453594</v>
      </c>
      <c r="I11" s="48">
        <f t="shared" si="3"/>
        <v>1317.6087043363434</v>
      </c>
      <c r="J11" s="55"/>
      <c r="K11" s="55"/>
      <c r="L11" s="56"/>
      <c r="M11" s="49">
        <v>718</v>
      </c>
      <c r="N11" s="43">
        <f t="shared" si="4"/>
        <v>101.8235980748568</v>
      </c>
      <c r="Q11" s="53" t="s">
        <v>67</v>
      </c>
      <c r="R11" s="43">
        <f t="shared" ref="R11:S11" si="15">SUM(R2:R10)</f>
        <v>872350</v>
      </c>
      <c r="S11" s="43">
        <f t="shared" si="15"/>
        <v>129096.49527391953</v>
      </c>
      <c r="T11" s="54">
        <f t="shared" si="6"/>
        <v>14.798704106599361</v>
      </c>
    </row>
    <row r="12" spans="1:25" ht="15" customHeight="1">
      <c r="A12" s="42">
        <v>10402</v>
      </c>
      <c r="B12" s="42" t="s">
        <v>68</v>
      </c>
      <c r="C12" s="43">
        <v>8508</v>
      </c>
      <c r="D12" s="44">
        <v>21.7</v>
      </c>
      <c r="E12" s="45">
        <v>13.6</v>
      </c>
      <c r="F12" s="46">
        <f t="shared" si="0"/>
        <v>17.411200000000001</v>
      </c>
      <c r="G12" s="46">
        <f t="shared" si="1"/>
        <v>1.1395193030564845</v>
      </c>
      <c r="H12" s="47">
        <f t="shared" si="2"/>
        <v>15.497462521568188</v>
      </c>
      <c r="I12" s="48">
        <f t="shared" si="3"/>
        <v>1318.5241113350214</v>
      </c>
      <c r="J12" s="55"/>
      <c r="K12" s="55"/>
      <c r="L12" s="56"/>
      <c r="M12" s="49">
        <v>654</v>
      </c>
      <c r="N12" s="43">
        <f t="shared" si="4"/>
        <v>101.35340489105594</v>
      </c>
      <c r="Q12" s="121" t="s">
        <v>409</v>
      </c>
      <c r="R12" s="122">
        <f>SUM(M246:M248)</f>
        <v>12238</v>
      </c>
      <c r="S12" s="122">
        <f>SUM(N246:N248)</f>
        <v>1117.1953978667414</v>
      </c>
      <c r="T12" s="123">
        <f>+(S12*100)/R12</f>
        <v>9.1289050324133143</v>
      </c>
    </row>
    <row r="13" spans="1:25" ht="15" customHeight="1">
      <c r="A13" s="42">
        <v>10403</v>
      </c>
      <c r="B13" s="42" t="s">
        <v>69</v>
      </c>
      <c r="C13" s="43">
        <v>6973</v>
      </c>
      <c r="D13" s="44">
        <v>2.4</v>
      </c>
      <c r="E13" s="45">
        <v>13.6</v>
      </c>
      <c r="F13" s="46">
        <f t="shared" si="0"/>
        <v>18.6464</v>
      </c>
      <c r="G13" s="46">
        <f t="shared" si="1"/>
        <v>1.2203600402334378</v>
      </c>
      <c r="H13" s="47">
        <f t="shared" si="2"/>
        <v>16.596896547174754</v>
      </c>
      <c r="I13" s="48">
        <f t="shared" si="3"/>
        <v>1157.3015962344957</v>
      </c>
      <c r="J13" s="55"/>
      <c r="K13" s="55"/>
      <c r="L13" s="56"/>
      <c r="M13" s="49">
        <v>572</v>
      </c>
      <c r="N13" s="43">
        <f t="shared" si="4"/>
        <v>94.934248249839598</v>
      </c>
    </row>
    <row r="14" spans="1:25" ht="15" customHeight="1">
      <c r="A14" s="42">
        <v>10404</v>
      </c>
      <c r="B14" s="42" t="s">
        <v>70</v>
      </c>
      <c r="C14" s="43">
        <v>3863</v>
      </c>
      <c r="D14" s="44">
        <v>0</v>
      </c>
      <c r="E14" s="45">
        <v>13.6</v>
      </c>
      <c r="F14" s="46">
        <f t="shared" si="0"/>
        <v>18.8</v>
      </c>
      <c r="G14" s="46">
        <f t="shared" si="1"/>
        <v>1.2304127743901576</v>
      </c>
      <c r="H14" s="47">
        <f t="shared" si="2"/>
        <v>16.733613731706143</v>
      </c>
      <c r="I14" s="48">
        <f t="shared" si="3"/>
        <v>646.41949845580825</v>
      </c>
      <c r="J14" s="55"/>
      <c r="K14" s="55"/>
      <c r="L14" s="56"/>
      <c r="M14" s="49">
        <v>256</v>
      </c>
      <c r="N14" s="43">
        <f t="shared" si="4"/>
        <v>42.838051153167726</v>
      </c>
    </row>
    <row r="15" spans="1:25" ht="15" customHeight="1">
      <c r="A15" s="42">
        <v>10405</v>
      </c>
      <c r="B15" s="42" t="s">
        <v>71</v>
      </c>
      <c r="C15" s="43">
        <v>5555</v>
      </c>
      <c r="D15" s="44">
        <v>0</v>
      </c>
      <c r="E15" s="45">
        <v>13.6</v>
      </c>
      <c r="F15" s="46">
        <f t="shared" si="0"/>
        <v>18.8</v>
      </c>
      <c r="G15" s="46">
        <f t="shared" si="1"/>
        <v>1.2304127743901576</v>
      </c>
      <c r="H15" s="47">
        <f t="shared" si="2"/>
        <v>16.733613731706143</v>
      </c>
      <c r="I15" s="48">
        <f t="shared" si="3"/>
        <v>929.55224279627623</v>
      </c>
      <c r="J15" s="55"/>
      <c r="K15" s="55"/>
      <c r="L15" s="56"/>
      <c r="M15" s="49">
        <v>429</v>
      </c>
      <c r="N15" s="43">
        <f t="shared" si="4"/>
        <v>71.787202909019356</v>
      </c>
    </row>
    <row r="16" spans="1:25" ht="15" customHeight="1">
      <c r="A16" s="42">
        <v>10501</v>
      </c>
      <c r="B16" s="42" t="s">
        <v>72</v>
      </c>
      <c r="C16" s="43">
        <v>24526</v>
      </c>
      <c r="D16" s="44">
        <v>52.7</v>
      </c>
      <c r="E16" s="45">
        <v>13.6</v>
      </c>
      <c r="F16" s="46">
        <f t="shared" si="0"/>
        <v>15.427200000000001</v>
      </c>
      <c r="G16" s="46">
        <f t="shared" si="1"/>
        <v>1.0096714868655232</v>
      </c>
      <c r="H16" s="47">
        <f t="shared" si="2"/>
        <v>13.731532221371115</v>
      </c>
      <c r="I16" s="48">
        <f t="shared" si="3"/>
        <v>3367.79559261348</v>
      </c>
      <c r="J16" s="55"/>
      <c r="K16" s="55"/>
      <c r="L16" s="56"/>
      <c r="M16" s="49">
        <v>1792</v>
      </c>
      <c r="N16" s="43">
        <f t="shared" si="4"/>
        <v>246.06905740697039</v>
      </c>
    </row>
    <row r="17" spans="1:14" ht="15" customHeight="1">
      <c r="A17" s="42">
        <v>10502</v>
      </c>
      <c r="B17" s="42" t="s">
        <v>73</v>
      </c>
      <c r="C17" s="43">
        <v>7296</v>
      </c>
      <c r="D17" s="44">
        <v>0</v>
      </c>
      <c r="E17" s="45">
        <v>13.6</v>
      </c>
      <c r="F17" s="46">
        <f t="shared" si="0"/>
        <v>18.8</v>
      </c>
      <c r="G17" s="46">
        <f t="shared" si="1"/>
        <v>1.2304127743901576</v>
      </c>
      <c r="H17" s="47">
        <f t="shared" si="2"/>
        <v>16.733613731706143</v>
      </c>
      <c r="I17" s="48">
        <f t="shared" si="3"/>
        <v>1220.8844578652802</v>
      </c>
      <c r="J17" s="55"/>
      <c r="K17" s="55"/>
      <c r="L17" s="56"/>
      <c r="M17" s="49">
        <v>644</v>
      </c>
      <c r="N17" s="43">
        <f t="shared" si="4"/>
        <v>107.76447243218756</v>
      </c>
    </row>
    <row r="18" spans="1:14" ht="15" customHeight="1">
      <c r="A18" s="42">
        <v>10601</v>
      </c>
      <c r="B18" s="42" t="s">
        <v>74</v>
      </c>
      <c r="C18" s="43">
        <v>13625</v>
      </c>
      <c r="D18" s="44">
        <v>22</v>
      </c>
      <c r="E18" s="45">
        <v>13.6</v>
      </c>
      <c r="F18" s="46">
        <f t="shared" si="0"/>
        <v>17.391999999999999</v>
      </c>
      <c r="G18" s="46">
        <f t="shared" si="1"/>
        <v>1.1382627112868946</v>
      </c>
      <c r="H18" s="47">
        <f t="shared" si="2"/>
        <v>15.480372873501766</v>
      </c>
      <c r="I18" s="48">
        <f t="shared" si="3"/>
        <v>2109.2008040146156</v>
      </c>
      <c r="J18" s="55"/>
      <c r="K18" s="55"/>
      <c r="L18" s="56"/>
      <c r="M18" s="49">
        <v>981</v>
      </c>
      <c r="N18" s="43">
        <f t="shared" si="4"/>
        <v>151.86245788905234</v>
      </c>
    </row>
    <row r="19" spans="1:14" ht="15" customHeight="1">
      <c r="A19" s="42">
        <v>10602</v>
      </c>
      <c r="B19" s="42" t="s">
        <v>75</v>
      </c>
      <c r="C19" s="43">
        <v>8616</v>
      </c>
      <c r="D19" s="44">
        <v>0</v>
      </c>
      <c r="E19" s="45">
        <v>13.6</v>
      </c>
      <c r="F19" s="46">
        <f t="shared" si="0"/>
        <v>18.8</v>
      </c>
      <c r="G19" s="46">
        <f t="shared" si="1"/>
        <v>1.2304127743901576</v>
      </c>
      <c r="H19" s="47">
        <f t="shared" si="2"/>
        <v>16.733613731706143</v>
      </c>
      <c r="I19" s="48">
        <f t="shared" si="3"/>
        <v>1441.7681591238011</v>
      </c>
      <c r="J19" s="55"/>
      <c r="K19" s="55"/>
      <c r="L19" s="56"/>
      <c r="M19" s="49">
        <v>578</v>
      </c>
      <c r="N19" s="43">
        <f t="shared" si="4"/>
        <v>96.720287369261513</v>
      </c>
    </row>
    <row r="20" spans="1:14" ht="15" customHeight="1">
      <c r="A20" s="42">
        <v>10701</v>
      </c>
      <c r="B20" s="42" t="s">
        <v>76</v>
      </c>
      <c r="C20" s="43">
        <v>14791</v>
      </c>
      <c r="D20" s="44">
        <v>36.4</v>
      </c>
      <c r="E20" s="45">
        <v>13.6</v>
      </c>
      <c r="F20" s="46">
        <f t="shared" si="0"/>
        <v>16.470400000000001</v>
      </c>
      <c r="G20" s="46">
        <f t="shared" si="1"/>
        <v>1.0779463063465771</v>
      </c>
      <c r="H20" s="47">
        <f t="shared" si="2"/>
        <v>14.660069766313448</v>
      </c>
      <c r="I20" s="48">
        <f t="shared" si="3"/>
        <v>2168.3709191354224</v>
      </c>
      <c r="J20" s="55"/>
      <c r="K20" s="55"/>
      <c r="L20" s="56"/>
      <c r="M20" s="49">
        <v>1023</v>
      </c>
      <c r="N20" s="43">
        <f t="shared" si="4"/>
        <v>149.97251370938656</v>
      </c>
    </row>
    <row r="21" spans="1:14" ht="15" customHeight="1">
      <c r="A21" s="42">
        <v>10702</v>
      </c>
      <c r="B21" s="42" t="s">
        <v>77</v>
      </c>
      <c r="C21" s="43">
        <v>27199</v>
      </c>
      <c r="D21" s="44">
        <v>9.6999999999999993</v>
      </c>
      <c r="E21" s="45">
        <v>13.6</v>
      </c>
      <c r="F21" s="46">
        <f t="shared" si="0"/>
        <v>18.179200000000002</v>
      </c>
      <c r="G21" s="46">
        <f t="shared" si="1"/>
        <v>1.1897829738400827</v>
      </c>
      <c r="H21" s="47">
        <f t="shared" si="2"/>
        <v>16.181048444225123</v>
      </c>
      <c r="I21" s="48">
        <f t="shared" si="3"/>
        <v>4401.0833663447911</v>
      </c>
      <c r="J21" s="55"/>
      <c r="K21" s="55"/>
      <c r="L21" s="56"/>
      <c r="M21" s="49">
        <v>2472</v>
      </c>
      <c r="N21" s="43">
        <f t="shared" si="4"/>
        <v>399.99551754124508</v>
      </c>
    </row>
    <row r="22" spans="1:14" ht="15" customHeight="1">
      <c r="A22" s="42">
        <v>10703</v>
      </c>
      <c r="B22" s="42" t="s">
        <v>78</v>
      </c>
      <c r="C22" s="43">
        <v>16198</v>
      </c>
      <c r="D22" s="44">
        <v>16.8</v>
      </c>
      <c r="E22" s="45">
        <v>13.6</v>
      </c>
      <c r="F22" s="46">
        <f t="shared" si="0"/>
        <v>17.724800000000002</v>
      </c>
      <c r="G22" s="46">
        <f t="shared" si="1"/>
        <v>1.1600436352931205</v>
      </c>
      <c r="H22" s="47">
        <f t="shared" si="2"/>
        <v>15.776593439986438</v>
      </c>
      <c r="I22" s="48">
        <f t="shared" si="3"/>
        <v>2555.4926054090033</v>
      </c>
      <c r="J22" s="55"/>
      <c r="K22" s="55"/>
      <c r="L22" s="56"/>
      <c r="M22" s="49">
        <v>1407</v>
      </c>
      <c r="N22" s="43">
        <f t="shared" si="4"/>
        <v>221.97666970060919</v>
      </c>
    </row>
    <row r="23" spans="1:14">
      <c r="A23" s="42">
        <v>10704</v>
      </c>
      <c r="B23" s="42" t="s">
        <v>79</v>
      </c>
      <c r="C23" s="43">
        <v>14438</v>
      </c>
      <c r="D23" s="44">
        <v>18.5</v>
      </c>
      <c r="E23" s="45">
        <v>13.6</v>
      </c>
      <c r="F23" s="46">
        <f t="shared" si="0"/>
        <v>17.616</v>
      </c>
      <c r="G23" s="46">
        <f t="shared" si="1"/>
        <v>1.1529229485987771</v>
      </c>
      <c r="H23" s="47">
        <f t="shared" si="2"/>
        <v>15.679752100943368</v>
      </c>
      <c r="I23" s="48">
        <f t="shared" si="3"/>
        <v>2263.8426083342038</v>
      </c>
      <c r="J23" s="55"/>
      <c r="K23" s="55"/>
      <c r="L23" s="56"/>
      <c r="M23" s="49">
        <v>1287</v>
      </c>
      <c r="N23" s="43">
        <f t="shared" si="4"/>
        <v>201.79840953914115</v>
      </c>
    </row>
    <row r="24" spans="1:14">
      <c r="A24" s="42">
        <v>10801</v>
      </c>
      <c r="B24" s="42" t="s">
        <v>80</v>
      </c>
      <c r="C24" s="43">
        <v>9278</v>
      </c>
      <c r="D24" s="44">
        <v>37.4</v>
      </c>
      <c r="E24" s="45">
        <v>13.6</v>
      </c>
      <c r="F24" s="46">
        <f t="shared" si="0"/>
        <v>16.406400000000001</v>
      </c>
      <c r="G24" s="46">
        <f t="shared" si="1"/>
        <v>1.0737576671146105</v>
      </c>
      <c r="H24" s="47">
        <f t="shared" si="2"/>
        <v>14.603104272758703</v>
      </c>
      <c r="I24" s="48">
        <f t="shared" si="3"/>
        <v>1354.8760144265525</v>
      </c>
      <c r="J24" s="55"/>
      <c r="K24" s="55"/>
      <c r="L24" s="56"/>
      <c r="M24" s="49">
        <v>607</v>
      </c>
      <c r="N24" s="43">
        <f t="shared" si="4"/>
        <v>88.640842935645324</v>
      </c>
    </row>
    <row r="25" spans="1:14">
      <c r="A25" s="42">
        <v>10901</v>
      </c>
      <c r="B25" s="42" t="s">
        <v>81</v>
      </c>
      <c r="C25" s="43">
        <v>5220</v>
      </c>
      <c r="D25" s="44">
        <v>40.299999999999997</v>
      </c>
      <c r="E25" s="45">
        <v>13.6</v>
      </c>
      <c r="F25" s="46">
        <f t="shared" si="0"/>
        <v>16.220800000000001</v>
      </c>
      <c r="G25" s="46">
        <f t="shared" si="1"/>
        <v>1.0616106133419079</v>
      </c>
      <c r="H25" s="47">
        <f t="shared" si="2"/>
        <v>14.437904341449947</v>
      </c>
      <c r="I25" s="48">
        <f t="shared" si="3"/>
        <v>753.65860662368721</v>
      </c>
      <c r="J25" s="55"/>
      <c r="K25" s="55"/>
      <c r="L25" s="56"/>
      <c r="M25" s="49">
        <v>360</v>
      </c>
      <c r="N25" s="43">
        <f t="shared" si="4"/>
        <v>51.976455629219807</v>
      </c>
    </row>
    <row r="26" spans="1:14">
      <c r="A26" s="42">
        <v>10902</v>
      </c>
      <c r="B26" s="42" t="s">
        <v>82</v>
      </c>
      <c r="C26" s="43">
        <v>15088</v>
      </c>
      <c r="D26" s="44">
        <v>22.3</v>
      </c>
      <c r="E26" s="45">
        <v>13.6</v>
      </c>
      <c r="F26" s="46">
        <f t="shared" si="0"/>
        <v>17.372800000000002</v>
      </c>
      <c r="G26" s="46">
        <f t="shared" si="1"/>
        <v>1.1370061195173047</v>
      </c>
      <c r="H26" s="47">
        <f t="shared" si="2"/>
        <v>15.463283225435344</v>
      </c>
      <c r="I26" s="48">
        <f t="shared" si="3"/>
        <v>2333.1001730536846</v>
      </c>
      <c r="J26" s="55"/>
      <c r="K26" s="55"/>
      <c r="L26" s="56"/>
      <c r="M26" s="49">
        <v>1371</v>
      </c>
      <c r="N26" s="43">
        <f t="shared" si="4"/>
        <v>212.00161302071857</v>
      </c>
    </row>
    <row r="27" spans="1:14">
      <c r="A27" s="42">
        <v>10903</v>
      </c>
      <c r="B27" s="42" t="s">
        <v>83</v>
      </c>
      <c r="C27" s="43">
        <v>4939</v>
      </c>
      <c r="D27" s="44">
        <v>0</v>
      </c>
      <c r="E27" s="45">
        <v>13.6</v>
      </c>
      <c r="F27" s="46">
        <f t="shared" si="0"/>
        <v>18.8</v>
      </c>
      <c r="G27" s="46">
        <f t="shared" si="1"/>
        <v>1.2304127743901576</v>
      </c>
      <c r="H27" s="47">
        <f t="shared" si="2"/>
        <v>16.733613731706143</v>
      </c>
      <c r="I27" s="48">
        <f t="shared" si="3"/>
        <v>826.47318220896648</v>
      </c>
      <c r="J27" s="55"/>
      <c r="K27" s="55"/>
      <c r="L27" s="56"/>
      <c r="M27" s="49">
        <v>316</v>
      </c>
      <c r="N27" s="43">
        <f t="shared" si="4"/>
        <v>52.878219392191411</v>
      </c>
    </row>
    <row r="28" spans="1:14">
      <c r="A28" s="42">
        <v>11001</v>
      </c>
      <c r="B28" s="42" t="s">
        <v>84</v>
      </c>
      <c r="C28" s="43">
        <v>12985</v>
      </c>
      <c r="D28" s="44">
        <v>38.799999999999997</v>
      </c>
      <c r="E28" s="45">
        <v>13.6</v>
      </c>
      <c r="F28" s="46">
        <f t="shared" si="0"/>
        <v>16.316800000000001</v>
      </c>
      <c r="G28" s="46">
        <f t="shared" si="1"/>
        <v>1.0678935721898575</v>
      </c>
      <c r="H28" s="47">
        <f t="shared" si="2"/>
        <v>14.523352581782062</v>
      </c>
      <c r="I28" s="48">
        <f t="shared" si="3"/>
        <v>1885.8573327444008</v>
      </c>
      <c r="J28" s="55"/>
      <c r="K28" s="55"/>
      <c r="L28" s="56"/>
      <c r="M28" s="49">
        <v>839</v>
      </c>
      <c r="N28" s="43">
        <f t="shared" si="4"/>
        <v>121.8509281611515</v>
      </c>
    </row>
    <row r="29" spans="1:14">
      <c r="A29" s="42">
        <v>11002</v>
      </c>
      <c r="B29" s="42" t="s">
        <v>85</v>
      </c>
      <c r="C29" s="43">
        <v>2547</v>
      </c>
      <c r="D29" s="44">
        <v>0</v>
      </c>
      <c r="E29" s="45">
        <v>13.6</v>
      </c>
      <c r="F29" s="46">
        <f t="shared" si="0"/>
        <v>18.8</v>
      </c>
      <c r="G29" s="46">
        <f t="shared" si="1"/>
        <v>1.2304127743901576</v>
      </c>
      <c r="H29" s="47">
        <f t="shared" si="2"/>
        <v>16.733613731706143</v>
      </c>
      <c r="I29" s="48">
        <f t="shared" si="3"/>
        <v>426.20514174655546</v>
      </c>
      <c r="J29" s="55"/>
      <c r="K29" s="55"/>
      <c r="L29" s="56"/>
      <c r="M29" s="49">
        <v>217</v>
      </c>
      <c r="N29" s="43">
        <f t="shared" si="4"/>
        <v>36.311941797802326</v>
      </c>
    </row>
    <row r="30" spans="1:14">
      <c r="A30" s="42">
        <v>11003</v>
      </c>
      <c r="B30" s="42" t="s">
        <v>86</v>
      </c>
      <c r="C30" s="43">
        <v>7250</v>
      </c>
      <c r="D30" s="44">
        <v>0</v>
      </c>
      <c r="E30" s="45">
        <v>13.6</v>
      </c>
      <c r="F30" s="46">
        <f t="shared" si="0"/>
        <v>18.8</v>
      </c>
      <c r="G30" s="46">
        <f t="shared" si="1"/>
        <v>1.2304127743901576</v>
      </c>
      <c r="H30" s="47">
        <f t="shared" si="2"/>
        <v>16.733613731706143</v>
      </c>
      <c r="I30" s="48">
        <f t="shared" si="3"/>
        <v>1213.1869955486954</v>
      </c>
      <c r="J30" s="55"/>
      <c r="K30" s="55"/>
      <c r="L30" s="56"/>
      <c r="M30" s="49">
        <v>553</v>
      </c>
      <c r="N30" s="43">
        <f t="shared" si="4"/>
        <v>92.536883936334959</v>
      </c>
    </row>
    <row r="31" spans="1:14">
      <c r="A31" s="42">
        <v>20101</v>
      </c>
      <c r="B31" s="42" t="s">
        <v>87</v>
      </c>
      <c r="C31" s="43">
        <v>758184</v>
      </c>
      <c r="D31" s="44">
        <v>99</v>
      </c>
      <c r="E31" s="45">
        <v>16.7</v>
      </c>
      <c r="F31" s="46">
        <f t="shared" si="0"/>
        <v>12.464</v>
      </c>
      <c r="G31" s="46">
        <f t="shared" ref="G31:G117" si="16">1.17*F31/F$345</f>
        <v>0.85215434267661172</v>
      </c>
      <c r="H31" s="47">
        <f t="shared" si="2"/>
        <v>14.230977522699416</v>
      </c>
      <c r="I31" s="48">
        <f t="shared" si="3"/>
        <v>107896.99462070334</v>
      </c>
      <c r="J31" s="49">
        <f>SUM(C31:C117)</f>
        <v>3004953.4166669999</v>
      </c>
      <c r="K31" s="49">
        <f>SUM(I31:I117)</f>
        <v>502541.33086253295</v>
      </c>
      <c r="L31" s="50">
        <f>K31/J31</f>
        <v>0.16723764437584396</v>
      </c>
      <c r="M31" s="49">
        <v>39439</v>
      </c>
      <c r="N31" s="43">
        <f t="shared" si="4"/>
        <v>5612.5552251774225</v>
      </c>
    </row>
    <row r="32" spans="1:14">
      <c r="A32" s="42">
        <v>20102</v>
      </c>
      <c r="B32" s="42" t="s">
        <v>88</v>
      </c>
      <c r="C32" s="43">
        <v>21303</v>
      </c>
      <c r="D32" s="44">
        <v>0</v>
      </c>
      <c r="E32" s="45">
        <v>16.7</v>
      </c>
      <c r="F32" s="46">
        <f t="shared" si="0"/>
        <v>18.8</v>
      </c>
      <c r="G32" s="46">
        <f t="shared" si="16"/>
        <v>1.2853419161040036</v>
      </c>
      <c r="H32" s="47">
        <f t="shared" si="2"/>
        <v>21.46520999893686</v>
      </c>
      <c r="I32" s="48">
        <f t="shared" si="3"/>
        <v>4572.7336860735195</v>
      </c>
      <c r="J32" s="55"/>
      <c r="K32" s="55"/>
      <c r="L32" s="56"/>
      <c r="M32" s="49">
        <v>1793</v>
      </c>
      <c r="N32" s="43">
        <f t="shared" si="4"/>
        <v>384.87121528093792</v>
      </c>
    </row>
    <row r="33" spans="1:14">
      <c r="A33" s="42">
        <v>20103</v>
      </c>
      <c r="B33" s="42" t="s">
        <v>89</v>
      </c>
      <c r="C33" s="43">
        <v>20062</v>
      </c>
      <c r="D33" s="44">
        <v>0</v>
      </c>
      <c r="E33" s="45">
        <v>16.7</v>
      </c>
      <c r="F33" s="46">
        <f t="shared" si="0"/>
        <v>18.8</v>
      </c>
      <c r="G33" s="46">
        <f t="shared" si="16"/>
        <v>1.2853419161040036</v>
      </c>
      <c r="H33" s="47">
        <f t="shared" si="2"/>
        <v>21.46520999893686</v>
      </c>
      <c r="I33" s="48">
        <f t="shared" si="3"/>
        <v>4306.3504299867127</v>
      </c>
      <c r="J33" s="55"/>
      <c r="K33" s="55"/>
      <c r="L33" s="56"/>
      <c r="M33" s="49">
        <v>1299</v>
      </c>
      <c r="N33" s="43">
        <f t="shared" si="4"/>
        <v>278.83307788618981</v>
      </c>
    </row>
    <row r="34" spans="1:14">
      <c r="A34" s="42">
        <v>20104</v>
      </c>
      <c r="B34" s="42" t="s">
        <v>90</v>
      </c>
      <c r="C34" s="43">
        <v>44208</v>
      </c>
      <c r="D34" s="44">
        <v>86.1</v>
      </c>
      <c r="E34" s="45">
        <v>16.7</v>
      </c>
      <c r="F34" s="46">
        <f t="shared" si="0"/>
        <v>13.2896</v>
      </c>
      <c r="G34" s="46">
        <f t="shared" si="16"/>
        <v>0.90859999618381726</v>
      </c>
      <c r="H34" s="47">
        <f t="shared" si="2"/>
        <v>15.173619936269748</v>
      </c>
      <c r="I34" s="48">
        <f t="shared" si="3"/>
        <v>6707.9539014261309</v>
      </c>
      <c r="J34" s="55"/>
      <c r="K34" s="55"/>
      <c r="L34" s="56"/>
      <c r="M34" s="49">
        <v>3169</v>
      </c>
      <c r="N34" s="43">
        <f t="shared" si="4"/>
        <v>480.85201578038834</v>
      </c>
    </row>
    <row r="35" spans="1:14">
      <c r="A35" s="42">
        <v>20105</v>
      </c>
      <c r="B35" s="42" t="s">
        <v>91</v>
      </c>
      <c r="C35" s="43">
        <v>882711</v>
      </c>
      <c r="D35" s="44">
        <v>99.9</v>
      </c>
      <c r="E35" s="45">
        <v>16.7</v>
      </c>
      <c r="F35" s="46">
        <f t="shared" si="0"/>
        <v>12.406400000000001</v>
      </c>
      <c r="G35" s="46">
        <f t="shared" si="16"/>
        <v>0.84821627382727194</v>
      </c>
      <c r="H35" s="47">
        <f t="shared" si="2"/>
        <v>14.165211772915441</v>
      </c>
      <c r="I35" s="48">
        <f t="shared" si="3"/>
        <v>125037.88249281961</v>
      </c>
      <c r="J35" s="55"/>
      <c r="K35" s="55"/>
      <c r="L35" s="56"/>
      <c r="M35" s="49">
        <v>66294</v>
      </c>
      <c r="N35" s="43">
        <f t="shared" si="4"/>
        <v>9390.6854927365621</v>
      </c>
    </row>
    <row r="36" spans="1:14">
      <c r="A36" s="42">
        <v>20201</v>
      </c>
      <c r="B36" s="42" t="s">
        <v>92</v>
      </c>
      <c r="C36" s="43">
        <v>47157</v>
      </c>
      <c r="D36" s="44">
        <v>19.899999999999999</v>
      </c>
      <c r="E36" s="45">
        <v>16.7</v>
      </c>
      <c r="F36" s="46">
        <f t="shared" si="0"/>
        <v>17.526400000000002</v>
      </c>
      <c r="G36" s="46">
        <f t="shared" si="16"/>
        <v>1.1982668382130433</v>
      </c>
      <c r="H36" s="47">
        <f t="shared" si="2"/>
        <v>20.011056198157821</v>
      </c>
      <c r="I36" s="48">
        <f t="shared" si="3"/>
        <v>9436.6137713652843</v>
      </c>
      <c r="J36" s="55"/>
      <c r="K36" s="55"/>
      <c r="L36" s="56"/>
      <c r="M36" s="49">
        <v>2944</v>
      </c>
      <c r="N36" s="43">
        <f t="shared" si="4"/>
        <v>589.12549447376625</v>
      </c>
    </row>
    <row r="37" spans="1:14">
      <c r="A37" s="42">
        <v>20202</v>
      </c>
      <c r="B37" s="42" t="s">
        <v>93</v>
      </c>
      <c r="C37" s="43">
        <v>16635</v>
      </c>
      <c r="D37" s="44">
        <v>0</v>
      </c>
      <c r="E37" s="45">
        <v>16.7</v>
      </c>
      <c r="F37" s="46">
        <f t="shared" si="0"/>
        <v>18.8</v>
      </c>
      <c r="G37" s="46">
        <f t="shared" si="16"/>
        <v>1.2853419161040036</v>
      </c>
      <c r="H37" s="47">
        <f t="shared" si="2"/>
        <v>21.46520999893686</v>
      </c>
      <c r="I37" s="48">
        <f t="shared" si="3"/>
        <v>3570.7376833231469</v>
      </c>
      <c r="J37" s="55"/>
      <c r="K37" s="55"/>
      <c r="L37" s="56"/>
      <c r="M37" s="49">
        <v>994</v>
      </c>
      <c r="N37" s="43">
        <f t="shared" si="4"/>
        <v>213.36418738943237</v>
      </c>
    </row>
    <row r="38" spans="1:14">
      <c r="A38" s="42">
        <v>20203</v>
      </c>
      <c r="B38" s="42" t="s">
        <v>94</v>
      </c>
      <c r="C38" s="43">
        <v>7041</v>
      </c>
      <c r="D38" s="44">
        <v>0</v>
      </c>
      <c r="E38" s="45">
        <v>16.7</v>
      </c>
      <c r="F38" s="46">
        <f t="shared" si="0"/>
        <v>18.8</v>
      </c>
      <c r="G38" s="46">
        <f t="shared" si="16"/>
        <v>1.2853419161040036</v>
      </c>
      <c r="H38" s="47">
        <f t="shared" si="2"/>
        <v>21.46520999893686</v>
      </c>
      <c r="I38" s="48">
        <f t="shared" si="3"/>
        <v>1511.3654360251444</v>
      </c>
      <c r="J38" s="55"/>
      <c r="K38" s="55"/>
      <c r="L38" s="56"/>
      <c r="M38" s="49">
        <v>384</v>
      </c>
      <c r="N38" s="43">
        <f t="shared" si="4"/>
        <v>82.426406395917553</v>
      </c>
    </row>
    <row r="39" spans="1:14">
      <c r="A39" s="42">
        <v>20204</v>
      </c>
      <c r="B39" s="42" t="s">
        <v>95</v>
      </c>
      <c r="C39" s="43">
        <v>8618</v>
      </c>
      <c r="D39" s="44">
        <v>0</v>
      </c>
      <c r="E39" s="45">
        <v>16.7</v>
      </c>
      <c r="F39" s="46">
        <f t="shared" si="0"/>
        <v>18.8</v>
      </c>
      <c r="G39" s="46">
        <f t="shared" si="16"/>
        <v>1.2853419161040036</v>
      </c>
      <c r="H39" s="47">
        <f t="shared" si="2"/>
        <v>21.46520999893686</v>
      </c>
      <c r="I39" s="48">
        <f t="shared" si="3"/>
        <v>1849.8717977083786</v>
      </c>
      <c r="J39" s="55"/>
      <c r="K39" s="55"/>
      <c r="L39" s="56"/>
      <c r="M39" s="49">
        <v>473</v>
      </c>
      <c r="N39" s="43">
        <f t="shared" si="4"/>
        <v>101.53044329497135</v>
      </c>
    </row>
    <row r="40" spans="1:14">
      <c r="A40" s="42">
        <v>20205</v>
      </c>
      <c r="B40" s="42" t="s">
        <v>96</v>
      </c>
      <c r="C40" s="43">
        <v>9227</v>
      </c>
      <c r="D40" s="44">
        <v>0</v>
      </c>
      <c r="E40" s="45">
        <v>16.7</v>
      </c>
      <c r="F40" s="46">
        <f t="shared" si="0"/>
        <v>18.8</v>
      </c>
      <c r="G40" s="46">
        <f t="shared" si="16"/>
        <v>1.2853419161040036</v>
      </c>
      <c r="H40" s="47">
        <f t="shared" si="2"/>
        <v>21.46520999893686</v>
      </c>
      <c r="I40" s="48">
        <f t="shared" si="3"/>
        <v>1980.5949266019043</v>
      </c>
      <c r="J40" s="55"/>
      <c r="K40" s="55"/>
      <c r="L40" s="56"/>
      <c r="M40" s="49">
        <v>470</v>
      </c>
      <c r="N40" s="43">
        <f t="shared" si="4"/>
        <v>100.88648699500324</v>
      </c>
    </row>
    <row r="41" spans="1:14">
      <c r="A41" s="42">
        <v>20206</v>
      </c>
      <c r="B41" s="42" t="s">
        <v>97</v>
      </c>
      <c r="C41" s="43">
        <v>5019</v>
      </c>
      <c r="D41" s="44">
        <v>0</v>
      </c>
      <c r="E41" s="45">
        <v>16.7</v>
      </c>
      <c r="F41" s="46">
        <f t="shared" si="0"/>
        <v>18.8</v>
      </c>
      <c r="G41" s="46">
        <f t="shared" si="16"/>
        <v>1.2853419161040036</v>
      </c>
      <c r="H41" s="47">
        <f t="shared" si="2"/>
        <v>21.46520999893686</v>
      </c>
      <c r="I41" s="48">
        <f t="shared" si="3"/>
        <v>1077.338889846641</v>
      </c>
      <c r="J41" s="55"/>
      <c r="K41" s="55"/>
      <c r="L41" s="56"/>
      <c r="M41" s="49">
        <v>299</v>
      </c>
      <c r="N41" s="43">
        <f t="shared" si="4"/>
        <v>64.180977896821219</v>
      </c>
    </row>
    <row r="42" spans="1:14">
      <c r="A42" s="42">
        <v>20301</v>
      </c>
      <c r="B42" s="42" t="s">
        <v>98</v>
      </c>
      <c r="C42" s="43">
        <v>13309</v>
      </c>
      <c r="D42" s="44">
        <v>16.3</v>
      </c>
      <c r="E42" s="45">
        <v>16.7</v>
      </c>
      <c r="F42" s="46">
        <f t="shared" si="0"/>
        <v>17.756800000000002</v>
      </c>
      <c r="G42" s="46">
        <f t="shared" si="16"/>
        <v>1.2140191136104028</v>
      </c>
      <c r="H42" s="47">
        <f t="shared" si="2"/>
        <v>20.274119197293725</v>
      </c>
      <c r="I42" s="48">
        <f t="shared" si="3"/>
        <v>2698.2825239678218</v>
      </c>
      <c r="J42" s="55"/>
      <c r="K42" s="55"/>
      <c r="L42" s="56"/>
      <c r="M42" s="49">
        <v>894</v>
      </c>
      <c r="N42" s="43">
        <f t="shared" si="4"/>
        <v>181.25062562380589</v>
      </c>
    </row>
    <row r="43" spans="1:14">
      <c r="A43" s="42">
        <v>20302</v>
      </c>
      <c r="B43" s="42" t="s">
        <v>99</v>
      </c>
      <c r="C43" s="43">
        <v>15496</v>
      </c>
      <c r="D43" s="44">
        <v>0</v>
      </c>
      <c r="E43" s="45">
        <v>16.7</v>
      </c>
      <c r="F43" s="46">
        <f t="shared" si="0"/>
        <v>18.8</v>
      </c>
      <c r="G43" s="46">
        <f t="shared" si="16"/>
        <v>1.2853419161040036</v>
      </c>
      <c r="H43" s="47">
        <f t="shared" si="2"/>
        <v>21.46520999893686</v>
      </c>
      <c r="I43" s="48">
        <f t="shared" si="3"/>
        <v>3326.2489414352558</v>
      </c>
      <c r="J43" s="55"/>
      <c r="K43" s="55"/>
      <c r="L43" s="56"/>
      <c r="M43" s="49">
        <v>1058</v>
      </c>
      <c r="N43" s="43">
        <f t="shared" si="4"/>
        <v>227.10192178875198</v>
      </c>
    </row>
    <row r="44" spans="1:14">
      <c r="A44" s="42">
        <v>20303</v>
      </c>
      <c r="B44" s="42" t="s">
        <v>100</v>
      </c>
      <c r="C44" s="43">
        <v>12024</v>
      </c>
      <c r="D44" s="44">
        <v>0</v>
      </c>
      <c r="E44" s="45">
        <v>16.7</v>
      </c>
      <c r="F44" s="46">
        <f t="shared" si="0"/>
        <v>18.8</v>
      </c>
      <c r="G44" s="46">
        <f t="shared" si="16"/>
        <v>1.2853419161040036</v>
      </c>
      <c r="H44" s="47">
        <f t="shared" si="2"/>
        <v>21.46520999893686</v>
      </c>
      <c r="I44" s="48">
        <f t="shared" si="3"/>
        <v>2580.9768502721681</v>
      </c>
      <c r="J44" s="55"/>
      <c r="K44" s="55"/>
      <c r="L44" s="56"/>
      <c r="M44" s="49">
        <v>775</v>
      </c>
      <c r="N44" s="43">
        <f t="shared" si="4"/>
        <v>166.35537749176066</v>
      </c>
    </row>
    <row r="45" spans="1:14">
      <c r="A45" s="42">
        <v>20304</v>
      </c>
      <c r="B45" s="42" t="s">
        <v>101</v>
      </c>
      <c r="C45" s="43">
        <v>5125</v>
      </c>
      <c r="D45" s="44">
        <v>0</v>
      </c>
      <c r="E45" s="45">
        <v>16.7</v>
      </c>
      <c r="F45" s="46">
        <f t="shared" si="0"/>
        <v>18.8</v>
      </c>
      <c r="G45" s="46">
        <f t="shared" si="16"/>
        <v>1.2853419161040036</v>
      </c>
      <c r="H45" s="47">
        <f t="shared" si="2"/>
        <v>21.46520999893686</v>
      </c>
      <c r="I45" s="48">
        <f t="shared" si="3"/>
        <v>1100.0920124455142</v>
      </c>
      <c r="J45" s="55"/>
      <c r="K45" s="55"/>
      <c r="L45" s="56"/>
      <c r="M45" s="49">
        <v>372</v>
      </c>
      <c r="N45" s="43">
        <f t="shared" si="4"/>
        <v>79.850581196045127</v>
      </c>
    </row>
    <row r="46" spans="1:14">
      <c r="A46" s="42">
        <v>20305</v>
      </c>
      <c r="B46" s="42" t="s">
        <v>102</v>
      </c>
      <c r="C46" s="43">
        <v>4140</v>
      </c>
      <c r="D46" s="44">
        <v>0</v>
      </c>
      <c r="E46" s="45">
        <v>16.7</v>
      </c>
      <c r="F46" s="46">
        <f t="shared" si="0"/>
        <v>18.8</v>
      </c>
      <c r="G46" s="46">
        <f t="shared" si="16"/>
        <v>1.2853419161040036</v>
      </c>
      <c r="H46" s="47">
        <f t="shared" si="2"/>
        <v>21.46520999893686</v>
      </c>
      <c r="I46" s="48">
        <f t="shared" si="3"/>
        <v>888.65969395598597</v>
      </c>
      <c r="J46" s="55"/>
      <c r="K46" s="55"/>
      <c r="L46" s="56"/>
      <c r="M46" s="49">
        <v>288</v>
      </c>
      <c r="N46" s="43">
        <f t="shared" si="4"/>
        <v>61.819804796938158</v>
      </c>
    </row>
    <row r="47" spans="1:14">
      <c r="A47" s="42">
        <v>20306</v>
      </c>
      <c r="B47" s="42" t="s">
        <v>103</v>
      </c>
      <c r="C47" s="43">
        <v>6328</v>
      </c>
      <c r="D47" s="44">
        <v>31.8</v>
      </c>
      <c r="E47" s="45">
        <v>16.7</v>
      </c>
      <c r="F47" s="46">
        <f t="shared" si="0"/>
        <v>16.764800000000001</v>
      </c>
      <c r="G47" s="46">
        <f t="shared" si="16"/>
        <v>1.1461968167606595</v>
      </c>
      <c r="H47" s="47">
        <f t="shared" si="2"/>
        <v>19.141486839903013</v>
      </c>
      <c r="I47" s="48">
        <f t="shared" si="3"/>
        <v>1211.2732872290626</v>
      </c>
      <c r="J47" s="55"/>
      <c r="K47" s="55"/>
      <c r="L47" s="56"/>
      <c r="M47" s="49">
        <v>372</v>
      </c>
      <c r="N47" s="43">
        <f t="shared" si="4"/>
        <v>71.20633104443921</v>
      </c>
    </row>
    <row r="48" spans="1:14">
      <c r="A48" s="42">
        <v>20307</v>
      </c>
      <c r="B48" s="42" t="s">
        <v>104</v>
      </c>
      <c r="C48" s="43">
        <v>3738.416667</v>
      </c>
      <c r="D48" s="44">
        <v>0</v>
      </c>
      <c r="E48" s="45">
        <v>16.7</v>
      </c>
      <c r="F48" s="46">
        <f t="shared" si="0"/>
        <v>18.8</v>
      </c>
      <c r="G48" s="46">
        <f t="shared" si="16"/>
        <v>1.2853419161040036</v>
      </c>
      <c r="H48" s="47">
        <f t="shared" si="2"/>
        <v>21.46520999893686</v>
      </c>
      <c r="I48" s="48">
        <f t="shared" si="3"/>
        <v>802.45898820680611</v>
      </c>
      <c r="J48" s="55"/>
      <c r="K48" s="55"/>
      <c r="L48" s="56"/>
      <c r="M48" s="49">
        <v>247</v>
      </c>
      <c r="N48" s="43">
        <f t="shared" si="4"/>
        <v>53.019068697374038</v>
      </c>
    </row>
    <row r="49" spans="1:14">
      <c r="A49" s="42">
        <v>20308</v>
      </c>
      <c r="B49" s="42" t="s">
        <v>105</v>
      </c>
      <c r="C49" s="43">
        <v>7975</v>
      </c>
      <c r="D49" s="44">
        <v>0</v>
      </c>
      <c r="E49" s="45">
        <v>16.7</v>
      </c>
      <c r="F49" s="46">
        <f t="shared" si="0"/>
        <v>18.8</v>
      </c>
      <c r="G49" s="46">
        <f t="shared" si="16"/>
        <v>1.2853419161040036</v>
      </c>
      <c r="H49" s="47">
        <f t="shared" si="2"/>
        <v>21.46520999893686</v>
      </c>
      <c r="I49" s="48">
        <f t="shared" si="3"/>
        <v>1711.8504974152145</v>
      </c>
      <c r="J49" s="55"/>
      <c r="K49" s="55"/>
      <c r="L49" s="56"/>
      <c r="M49" s="49">
        <v>461</v>
      </c>
      <c r="N49" s="43">
        <f t="shared" si="4"/>
        <v>98.954618095098922</v>
      </c>
    </row>
    <row r="50" spans="1:14">
      <c r="A50" s="42">
        <v>20401</v>
      </c>
      <c r="B50" s="42" t="s">
        <v>106</v>
      </c>
      <c r="C50" s="43">
        <v>13785</v>
      </c>
      <c r="D50" s="44">
        <v>0</v>
      </c>
      <c r="E50" s="45">
        <v>16.7</v>
      </c>
      <c r="F50" s="46">
        <f t="shared" si="0"/>
        <v>18.8</v>
      </c>
      <c r="G50" s="46">
        <f t="shared" si="16"/>
        <v>1.2853419161040036</v>
      </c>
      <c r="H50" s="47">
        <f t="shared" si="2"/>
        <v>21.46520999893686</v>
      </c>
      <c r="I50" s="48">
        <f t="shared" si="3"/>
        <v>2958.979198353446</v>
      </c>
      <c r="J50" s="55"/>
      <c r="K50" s="55"/>
      <c r="L50" s="56"/>
      <c r="M50" s="49">
        <v>729</v>
      </c>
      <c r="N50" s="43">
        <f t="shared" si="4"/>
        <v>156.48138089224972</v>
      </c>
    </row>
    <row r="51" spans="1:14">
      <c r="A51" s="42">
        <v>20402</v>
      </c>
      <c r="B51" s="42" t="s">
        <v>107</v>
      </c>
      <c r="C51" s="43">
        <v>17632</v>
      </c>
      <c r="D51" s="44">
        <v>0</v>
      </c>
      <c r="E51" s="45">
        <v>16.7</v>
      </c>
      <c r="F51" s="46">
        <f t="shared" si="0"/>
        <v>18.8</v>
      </c>
      <c r="G51" s="46">
        <f t="shared" si="16"/>
        <v>1.2853419161040036</v>
      </c>
      <c r="H51" s="47">
        <f t="shared" si="2"/>
        <v>21.46520999893686</v>
      </c>
      <c r="I51" s="48">
        <f t="shared" si="3"/>
        <v>3784.7458270125471</v>
      </c>
      <c r="J51" s="55"/>
      <c r="K51" s="55"/>
      <c r="L51" s="56"/>
      <c r="M51" s="49">
        <v>1041</v>
      </c>
      <c r="N51" s="43">
        <f t="shared" si="4"/>
        <v>223.45283608893271</v>
      </c>
    </row>
    <row r="52" spans="1:14">
      <c r="A52" s="42">
        <v>20403</v>
      </c>
      <c r="B52" s="42" t="s">
        <v>108</v>
      </c>
      <c r="C52" s="43">
        <v>17107</v>
      </c>
      <c r="D52" s="44">
        <v>0</v>
      </c>
      <c r="E52" s="45">
        <v>16.7</v>
      </c>
      <c r="F52" s="46">
        <f t="shared" si="0"/>
        <v>18.8</v>
      </c>
      <c r="G52" s="46">
        <f t="shared" si="16"/>
        <v>1.2853419161040036</v>
      </c>
      <c r="H52" s="47">
        <f t="shared" si="2"/>
        <v>21.46520999893686</v>
      </c>
      <c r="I52" s="48">
        <f t="shared" si="3"/>
        <v>3672.053474518129</v>
      </c>
      <c r="J52" s="55"/>
      <c r="K52" s="55"/>
      <c r="L52" s="56"/>
      <c r="M52" s="49">
        <v>995</v>
      </c>
      <c r="N52" s="43">
        <f t="shared" si="4"/>
        <v>213.57883948942177</v>
      </c>
    </row>
    <row r="53" spans="1:14">
      <c r="A53" s="42">
        <v>20404</v>
      </c>
      <c r="B53" s="42" t="s">
        <v>109</v>
      </c>
      <c r="C53" s="43">
        <v>5632</v>
      </c>
      <c r="D53" s="44">
        <v>0</v>
      </c>
      <c r="E53" s="45">
        <v>16.7</v>
      </c>
      <c r="F53" s="46">
        <f t="shared" si="0"/>
        <v>18.8</v>
      </c>
      <c r="G53" s="46">
        <f t="shared" si="16"/>
        <v>1.2853419161040036</v>
      </c>
      <c r="H53" s="47">
        <f t="shared" si="2"/>
        <v>21.46520999893686</v>
      </c>
      <c r="I53" s="48">
        <f t="shared" si="3"/>
        <v>1208.920627140124</v>
      </c>
      <c r="J53" s="55"/>
      <c r="K53" s="55"/>
      <c r="L53" s="56"/>
      <c r="M53" s="49">
        <v>352</v>
      </c>
      <c r="N53" s="43">
        <f t="shared" si="4"/>
        <v>75.55753919625775</v>
      </c>
    </row>
    <row r="54" spans="1:14">
      <c r="A54" s="42">
        <v>20405</v>
      </c>
      <c r="B54" s="42" t="s">
        <v>110</v>
      </c>
      <c r="C54" s="43">
        <v>8699</v>
      </c>
      <c r="D54" s="44">
        <v>0</v>
      </c>
      <c r="E54" s="45">
        <v>16.7</v>
      </c>
      <c r="F54" s="46">
        <f t="shared" si="0"/>
        <v>18.8</v>
      </c>
      <c r="G54" s="46">
        <f t="shared" si="16"/>
        <v>1.2853419161040036</v>
      </c>
      <c r="H54" s="47">
        <f t="shared" si="2"/>
        <v>21.46520999893686</v>
      </c>
      <c r="I54" s="48">
        <f t="shared" si="3"/>
        <v>1867.2586178075176</v>
      </c>
      <c r="J54" s="55"/>
      <c r="K54" s="55"/>
      <c r="L54" s="56"/>
      <c r="M54" s="49">
        <v>450</v>
      </c>
      <c r="N54" s="43">
        <f t="shared" si="4"/>
        <v>96.593444995215862</v>
      </c>
    </row>
    <row r="55" spans="1:14">
      <c r="A55" s="42">
        <v>20501</v>
      </c>
      <c r="B55" s="42" t="s">
        <v>111</v>
      </c>
      <c r="C55" s="43">
        <v>17300</v>
      </c>
      <c r="D55" s="44">
        <v>0</v>
      </c>
      <c r="E55" s="45">
        <v>16.7</v>
      </c>
      <c r="F55" s="46">
        <f t="shared" si="0"/>
        <v>18.8</v>
      </c>
      <c r="G55" s="46">
        <f t="shared" si="16"/>
        <v>1.2853419161040036</v>
      </c>
      <c r="H55" s="47">
        <f t="shared" si="2"/>
        <v>21.46520999893686</v>
      </c>
      <c r="I55" s="48">
        <f t="shared" si="3"/>
        <v>3713.4813298160771</v>
      </c>
      <c r="J55" s="55"/>
      <c r="K55" s="55"/>
      <c r="L55" s="56"/>
      <c r="M55" s="49">
        <v>1348</v>
      </c>
      <c r="N55" s="43">
        <f t="shared" si="4"/>
        <v>289.35103078566885</v>
      </c>
    </row>
    <row r="56" spans="1:14">
      <c r="A56" s="42">
        <v>20502</v>
      </c>
      <c r="B56" s="42" t="s">
        <v>112</v>
      </c>
      <c r="C56" s="43">
        <v>8977</v>
      </c>
      <c r="D56" s="44">
        <v>0</v>
      </c>
      <c r="E56" s="45">
        <v>16.7</v>
      </c>
      <c r="F56" s="46">
        <f t="shared" si="0"/>
        <v>18.8</v>
      </c>
      <c r="G56" s="46">
        <f t="shared" si="16"/>
        <v>1.2853419161040036</v>
      </c>
      <c r="H56" s="47">
        <f t="shared" si="2"/>
        <v>21.46520999893686</v>
      </c>
      <c r="I56" s="48">
        <f t="shared" si="3"/>
        <v>1926.931901604562</v>
      </c>
      <c r="J56" s="55"/>
      <c r="K56" s="55"/>
      <c r="L56" s="56"/>
      <c r="M56" s="49">
        <v>707</v>
      </c>
      <c r="N56" s="43">
        <f t="shared" si="4"/>
        <v>151.7590346924836</v>
      </c>
    </row>
    <row r="57" spans="1:14">
      <c r="A57" s="42">
        <v>20503</v>
      </c>
      <c r="B57" s="42" t="s">
        <v>113</v>
      </c>
      <c r="C57" s="43">
        <v>6619</v>
      </c>
      <c r="D57" s="44">
        <v>0</v>
      </c>
      <c r="E57" s="45">
        <v>16.7</v>
      </c>
      <c r="F57" s="46">
        <f t="shared" si="0"/>
        <v>18.8</v>
      </c>
      <c r="G57" s="46">
        <f t="shared" si="16"/>
        <v>1.2853419161040036</v>
      </c>
      <c r="H57" s="47">
        <f t="shared" si="2"/>
        <v>21.46520999893686</v>
      </c>
      <c r="I57" s="48">
        <f t="shared" si="3"/>
        <v>1420.7822498296309</v>
      </c>
      <c r="J57" s="55"/>
      <c r="K57" s="55"/>
      <c r="L57" s="56"/>
      <c r="M57" s="49">
        <v>591</v>
      </c>
      <c r="N57" s="43">
        <f t="shared" si="4"/>
        <v>126.85939109371684</v>
      </c>
    </row>
    <row r="58" spans="1:14">
      <c r="A58" s="42">
        <v>20601</v>
      </c>
      <c r="B58" s="42" t="s">
        <v>114</v>
      </c>
      <c r="C58" s="43">
        <v>29535</v>
      </c>
      <c r="D58" s="44">
        <v>13</v>
      </c>
      <c r="E58" s="45">
        <v>16.7</v>
      </c>
      <c r="F58" s="46">
        <f t="shared" si="0"/>
        <v>17.968</v>
      </c>
      <c r="G58" s="46">
        <f t="shared" si="16"/>
        <v>1.2284586993913158</v>
      </c>
      <c r="H58" s="47">
        <f t="shared" si="2"/>
        <v>20.515260279834973</v>
      </c>
      <c r="I58" s="48">
        <f t="shared" si="3"/>
        <v>6059.1821236492588</v>
      </c>
      <c r="J58" s="55"/>
      <c r="K58" s="55"/>
      <c r="L58" s="56"/>
      <c r="M58" s="49">
        <v>2326</v>
      </c>
      <c r="N58" s="43">
        <f t="shared" si="4"/>
        <v>477.18495410896145</v>
      </c>
    </row>
    <row r="59" spans="1:14">
      <c r="A59" s="42">
        <v>20602</v>
      </c>
      <c r="B59" s="42" t="s">
        <v>115</v>
      </c>
      <c r="C59" s="43">
        <v>16253</v>
      </c>
      <c r="D59" s="44">
        <v>27.8</v>
      </c>
      <c r="E59" s="45">
        <v>16.7</v>
      </c>
      <c r="F59" s="46">
        <f t="shared" si="0"/>
        <v>17.020800000000001</v>
      </c>
      <c r="G59" s="46">
        <f t="shared" si="16"/>
        <v>1.163699344979948</v>
      </c>
      <c r="H59" s="47">
        <f t="shared" si="2"/>
        <v>19.433779061165129</v>
      </c>
      <c r="I59" s="48">
        <f t="shared" si="3"/>
        <v>3158.5721108111688</v>
      </c>
      <c r="J59" s="55"/>
      <c r="K59" s="55"/>
      <c r="L59" s="56"/>
      <c r="M59" s="49">
        <v>1382</v>
      </c>
      <c r="N59" s="43">
        <f t="shared" si="4"/>
        <v>268.57482662530208</v>
      </c>
    </row>
    <row r="60" spans="1:14">
      <c r="A60" s="42">
        <v>20603</v>
      </c>
      <c r="B60" s="42" t="s">
        <v>116</v>
      </c>
      <c r="C60" s="43">
        <v>9629</v>
      </c>
      <c r="D60" s="44">
        <v>0</v>
      </c>
      <c r="E60" s="45">
        <v>16.7</v>
      </c>
      <c r="F60" s="46">
        <f t="shared" si="0"/>
        <v>18.8</v>
      </c>
      <c r="G60" s="46">
        <f t="shared" si="16"/>
        <v>1.2853419161040036</v>
      </c>
      <c r="H60" s="47">
        <f t="shared" si="2"/>
        <v>21.46520999893686</v>
      </c>
      <c r="I60" s="48">
        <f t="shared" si="3"/>
        <v>2066.8850707976303</v>
      </c>
      <c r="J60" s="55"/>
      <c r="K60" s="55"/>
      <c r="L60" s="56"/>
      <c r="M60" s="49">
        <v>810</v>
      </c>
      <c r="N60" s="43">
        <f t="shared" si="4"/>
        <v>173.86820099138859</v>
      </c>
    </row>
    <row r="61" spans="1:14">
      <c r="A61" s="42">
        <v>20604</v>
      </c>
      <c r="B61" s="42" t="s">
        <v>117</v>
      </c>
      <c r="C61" s="43">
        <v>4096</v>
      </c>
      <c r="D61" s="44">
        <v>0</v>
      </c>
      <c r="E61" s="45">
        <v>16.7</v>
      </c>
      <c r="F61" s="46">
        <f t="shared" si="0"/>
        <v>18.8</v>
      </c>
      <c r="G61" s="46">
        <f t="shared" si="16"/>
        <v>1.2853419161040036</v>
      </c>
      <c r="H61" s="47">
        <f t="shared" si="2"/>
        <v>21.46520999893686</v>
      </c>
      <c r="I61" s="48">
        <f t="shared" si="3"/>
        <v>879.21500155645379</v>
      </c>
      <c r="J61" s="55"/>
      <c r="K61" s="55"/>
      <c r="L61" s="56"/>
      <c r="M61" s="49">
        <v>371</v>
      </c>
      <c r="N61" s="43">
        <f t="shared" si="4"/>
        <v>79.635929096055747</v>
      </c>
    </row>
    <row r="62" spans="1:14">
      <c r="A62" s="42">
        <v>20605</v>
      </c>
      <c r="B62" s="42" t="s">
        <v>118</v>
      </c>
      <c r="C62" s="43">
        <v>3546</v>
      </c>
      <c r="D62" s="44">
        <v>0</v>
      </c>
      <c r="E62" s="45">
        <v>16.7</v>
      </c>
      <c r="F62" s="46">
        <f t="shared" si="0"/>
        <v>18.8</v>
      </c>
      <c r="G62" s="46">
        <f t="shared" si="16"/>
        <v>1.2853419161040036</v>
      </c>
      <c r="H62" s="47">
        <f t="shared" si="2"/>
        <v>21.46520999893686</v>
      </c>
      <c r="I62" s="48">
        <f t="shared" si="3"/>
        <v>761.156346562301</v>
      </c>
      <c r="J62" s="55"/>
      <c r="K62" s="55"/>
      <c r="L62" s="56"/>
      <c r="M62" s="49">
        <v>218</v>
      </c>
      <c r="N62" s="43">
        <f t="shared" si="4"/>
        <v>46.794157797682352</v>
      </c>
    </row>
    <row r="63" spans="1:14">
      <c r="A63" s="42">
        <v>20606</v>
      </c>
      <c r="B63" s="42" t="s">
        <v>119</v>
      </c>
      <c r="C63" s="43">
        <v>7905</v>
      </c>
      <c r="D63" s="44">
        <v>30</v>
      </c>
      <c r="E63" s="45">
        <v>16.7</v>
      </c>
      <c r="F63" s="46">
        <f t="shared" si="0"/>
        <v>16.880000000000003</v>
      </c>
      <c r="G63" s="46">
        <f t="shared" si="16"/>
        <v>1.1540729544593396</v>
      </c>
      <c r="H63" s="47">
        <f t="shared" si="2"/>
        <v>19.273018339470969</v>
      </c>
      <c r="I63" s="48">
        <f t="shared" si="3"/>
        <v>1523.5320997351801</v>
      </c>
      <c r="J63" s="55"/>
      <c r="K63" s="55"/>
      <c r="L63" s="56"/>
      <c r="M63" s="49">
        <v>708</v>
      </c>
      <c r="N63" s="43">
        <f t="shared" si="4"/>
        <v>136.45296984345447</v>
      </c>
    </row>
    <row r="64" spans="1:14">
      <c r="A64" s="42">
        <v>20607</v>
      </c>
      <c r="B64" s="42" t="s">
        <v>120</v>
      </c>
      <c r="C64" s="43">
        <v>21180</v>
      </c>
      <c r="D64" s="44">
        <v>47</v>
      </c>
      <c r="E64" s="45">
        <v>16.7</v>
      </c>
      <c r="F64" s="46">
        <f t="shared" si="0"/>
        <v>15.792000000000002</v>
      </c>
      <c r="G64" s="46">
        <f t="shared" si="16"/>
        <v>1.0796872095273631</v>
      </c>
      <c r="H64" s="47">
        <f t="shared" si="2"/>
        <v>18.030776399106962</v>
      </c>
      <c r="I64" s="48">
        <f t="shared" si="3"/>
        <v>3818.9184413308544</v>
      </c>
      <c r="J64" s="55"/>
      <c r="K64" s="55"/>
      <c r="L64" s="56"/>
      <c r="M64" s="49">
        <v>1972</v>
      </c>
      <c r="N64" s="43">
        <f t="shared" si="4"/>
        <v>355.56691059038928</v>
      </c>
    </row>
    <row r="65" spans="1:14">
      <c r="A65" s="42">
        <v>20608</v>
      </c>
      <c r="B65" s="42" t="s">
        <v>121</v>
      </c>
      <c r="C65" s="43">
        <v>13043</v>
      </c>
      <c r="D65" s="44">
        <v>20.3</v>
      </c>
      <c r="E65" s="45">
        <v>16.7</v>
      </c>
      <c r="F65" s="46">
        <f t="shared" si="0"/>
        <v>17.500800000000002</v>
      </c>
      <c r="G65" s="46">
        <f t="shared" si="16"/>
        <v>1.1965165853911142</v>
      </c>
      <c r="H65" s="47">
        <f t="shared" si="2"/>
        <v>19.981826976031606</v>
      </c>
      <c r="I65" s="48">
        <f t="shared" si="3"/>
        <v>2606.2296924838024</v>
      </c>
      <c r="J65" s="55"/>
      <c r="K65" s="55"/>
      <c r="L65" s="56"/>
      <c r="M65" s="49">
        <v>1170</v>
      </c>
      <c r="N65" s="43">
        <f t="shared" si="4"/>
        <v>233.78737561956979</v>
      </c>
    </row>
    <row r="66" spans="1:14">
      <c r="A66" s="42">
        <v>20701</v>
      </c>
      <c r="B66" s="42" t="s">
        <v>122</v>
      </c>
      <c r="C66" s="43">
        <v>19252</v>
      </c>
      <c r="D66" s="44">
        <v>29.7</v>
      </c>
      <c r="E66" s="45">
        <v>16.7</v>
      </c>
      <c r="F66" s="46">
        <f t="shared" si="0"/>
        <v>16.8992</v>
      </c>
      <c r="G66" s="46">
        <f t="shared" si="16"/>
        <v>1.1553856440757861</v>
      </c>
      <c r="H66" s="47">
        <f t="shared" si="2"/>
        <v>19.29494025606563</v>
      </c>
      <c r="I66" s="48">
        <f t="shared" si="3"/>
        <v>3714.6618980977551</v>
      </c>
      <c r="J66" s="55"/>
      <c r="K66" s="55"/>
      <c r="L66" s="56"/>
      <c r="M66" s="49">
        <v>1978</v>
      </c>
      <c r="N66" s="43">
        <f t="shared" si="4"/>
        <v>381.65391826497813</v>
      </c>
    </row>
    <row r="67" spans="1:14">
      <c r="A67" s="42">
        <v>20702</v>
      </c>
      <c r="B67" s="42" t="s">
        <v>123</v>
      </c>
      <c r="C67" s="43">
        <v>8870</v>
      </c>
      <c r="D67" s="44">
        <v>0</v>
      </c>
      <c r="E67" s="45">
        <v>16.7</v>
      </c>
      <c r="F67" s="46">
        <f t="shared" si="0"/>
        <v>18.8</v>
      </c>
      <c r="G67" s="46">
        <f t="shared" si="16"/>
        <v>1.2853419161040036</v>
      </c>
      <c r="H67" s="47">
        <f t="shared" si="2"/>
        <v>21.46520999893686</v>
      </c>
      <c r="I67" s="48">
        <f t="shared" si="3"/>
        <v>1903.9641269056995</v>
      </c>
      <c r="J67" s="55"/>
      <c r="K67" s="55"/>
      <c r="L67" s="56"/>
      <c r="M67" s="49">
        <v>728</v>
      </c>
      <c r="N67" s="43">
        <f t="shared" si="4"/>
        <v>156.26672879226035</v>
      </c>
    </row>
    <row r="68" spans="1:14">
      <c r="A68" s="42">
        <v>20801</v>
      </c>
      <c r="B68" s="42" t="s">
        <v>124</v>
      </c>
      <c r="C68" s="43">
        <v>110818</v>
      </c>
      <c r="D68" s="44">
        <v>80.099999999999994</v>
      </c>
      <c r="E68" s="45">
        <v>16.7</v>
      </c>
      <c r="F68" s="46">
        <f t="shared" si="0"/>
        <v>13.6736</v>
      </c>
      <c r="G68" s="46">
        <f t="shared" si="16"/>
        <v>0.93485378851275014</v>
      </c>
      <c r="H68" s="47">
        <f t="shared" si="2"/>
        <v>15.612058268162926</v>
      </c>
      <c r="I68" s="48">
        <f t="shared" si="3"/>
        <v>17300.97073161279</v>
      </c>
      <c r="J68" s="55"/>
      <c r="K68" s="55"/>
      <c r="L68" s="56"/>
      <c r="M68" s="49">
        <v>8239</v>
      </c>
      <c r="N68" s="43">
        <f t="shared" si="4"/>
        <v>1286.2774807139435</v>
      </c>
    </row>
    <row r="69" spans="1:14">
      <c r="A69" s="42">
        <v>20802</v>
      </c>
      <c r="B69" s="42" t="s">
        <v>125</v>
      </c>
      <c r="C69" s="43">
        <v>8483</v>
      </c>
      <c r="D69" s="44">
        <v>0</v>
      </c>
      <c r="E69" s="45">
        <v>16.7</v>
      </c>
      <c r="F69" s="46">
        <f t="shared" si="0"/>
        <v>18.8</v>
      </c>
      <c r="G69" s="46">
        <f t="shared" si="16"/>
        <v>1.2853419161040036</v>
      </c>
      <c r="H69" s="47">
        <f t="shared" si="2"/>
        <v>21.46520999893686</v>
      </c>
      <c r="I69" s="48">
        <f t="shared" si="3"/>
        <v>1820.893764209814</v>
      </c>
      <c r="J69" s="55"/>
      <c r="K69" s="55"/>
      <c r="L69" s="56"/>
      <c r="M69" s="49">
        <v>479</v>
      </c>
      <c r="N69" s="43">
        <f t="shared" si="4"/>
        <v>102.81835589490757</v>
      </c>
    </row>
    <row r="70" spans="1:14">
      <c r="A70" s="42">
        <v>20803</v>
      </c>
      <c r="B70" s="42" t="s">
        <v>126</v>
      </c>
      <c r="C70" s="43">
        <v>13526</v>
      </c>
      <c r="D70" s="44">
        <v>1.4</v>
      </c>
      <c r="E70" s="45">
        <v>16.7</v>
      </c>
      <c r="F70" s="46">
        <f t="shared" si="0"/>
        <v>18.7104</v>
      </c>
      <c r="G70" s="46">
        <f t="shared" si="16"/>
        <v>1.2792160312272525</v>
      </c>
      <c r="H70" s="47">
        <f t="shared" si="2"/>
        <v>21.362907721495116</v>
      </c>
      <c r="I70" s="48">
        <f t="shared" si="3"/>
        <v>2889.5468984094291</v>
      </c>
      <c r="J70" s="55"/>
      <c r="K70" s="55"/>
      <c r="L70" s="56"/>
      <c r="M70" s="49">
        <v>948</v>
      </c>
      <c r="N70" s="43">
        <f t="shared" si="4"/>
        <v>202.52036519977369</v>
      </c>
    </row>
    <row r="71" spans="1:14">
      <c r="A71" s="42">
        <v>20804</v>
      </c>
      <c r="B71" s="42" t="s">
        <v>127</v>
      </c>
      <c r="C71" s="43">
        <v>7821</v>
      </c>
      <c r="D71" s="44">
        <v>61.8</v>
      </c>
      <c r="E71" s="45">
        <v>16.7</v>
      </c>
      <c r="F71" s="46">
        <f t="shared" si="0"/>
        <v>14.844800000000001</v>
      </c>
      <c r="G71" s="46">
        <f t="shared" si="16"/>
        <v>1.0149278551159953</v>
      </c>
      <c r="H71" s="47">
        <f t="shared" si="2"/>
        <v>16.949295180437119</v>
      </c>
      <c r="I71" s="48">
        <f t="shared" si="3"/>
        <v>1325.6043760619871</v>
      </c>
      <c r="J71" s="55"/>
      <c r="K71" s="55"/>
      <c r="L71" s="56"/>
      <c r="M71" s="49">
        <v>530</v>
      </c>
      <c r="N71" s="43">
        <f t="shared" si="4"/>
        <v>89.831264456316731</v>
      </c>
    </row>
    <row r="72" spans="1:14">
      <c r="A72" s="42">
        <v>20805</v>
      </c>
      <c r="B72" s="42" t="s">
        <v>128</v>
      </c>
      <c r="C72" s="43">
        <v>7787</v>
      </c>
      <c r="D72" s="44">
        <v>0</v>
      </c>
      <c r="E72" s="45">
        <v>16.7</v>
      </c>
      <c r="F72" s="46">
        <f t="shared" si="0"/>
        <v>18.8</v>
      </c>
      <c r="G72" s="46">
        <f t="shared" si="16"/>
        <v>1.2853419161040036</v>
      </c>
      <c r="H72" s="47">
        <f t="shared" si="2"/>
        <v>21.46520999893686</v>
      </c>
      <c r="I72" s="48">
        <f t="shared" si="3"/>
        <v>1671.4959026172135</v>
      </c>
      <c r="J72" s="55"/>
      <c r="K72" s="55"/>
      <c r="L72" s="56"/>
      <c r="M72" s="49">
        <v>464</v>
      </c>
      <c r="N72" s="43">
        <f t="shared" si="4"/>
        <v>99.598574395067033</v>
      </c>
    </row>
    <row r="73" spans="1:14">
      <c r="A73" s="42">
        <v>20806</v>
      </c>
      <c r="B73" s="42" t="s">
        <v>129</v>
      </c>
      <c r="C73" s="43">
        <v>16851</v>
      </c>
      <c r="D73" s="44">
        <v>0</v>
      </c>
      <c r="E73" s="45">
        <v>16.7</v>
      </c>
      <c r="F73" s="46">
        <f t="shared" si="0"/>
        <v>18.8</v>
      </c>
      <c r="G73" s="46">
        <f t="shared" si="16"/>
        <v>1.2853419161040036</v>
      </c>
      <c r="H73" s="47">
        <f t="shared" si="2"/>
        <v>21.46520999893686</v>
      </c>
      <c r="I73" s="48">
        <f t="shared" si="3"/>
        <v>3617.1025369208505</v>
      </c>
      <c r="J73" s="55"/>
      <c r="K73" s="55"/>
      <c r="L73" s="56"/>
      <c r="M73" s="49">
        <v>1145</v>
      </c>
      <c r="N73" s="43">
        <f t="shared" si="4"/>
        <v>245.77665448782705</v>
      </c>
    </row>
    <row r="74" spans="1:14">
      <c r="A74" s="42">
        <v>20807</v>
      </c>
      <c r="B74" s="42" t="s">
        <v>130</v>
      </c>
      <c r="C74" s="43">
        <v>7462</v>
      </c>
      <c r="D74" s="44">
        <v>0</v>
      </c>
      <c r="E74" s="45">
        <v>16.7</v>
      </c>
      <c r="F74" s="46">
        <f t="shared" si="0"/>
        <v>18.8</v>
      </c>
      <c r="G74" s="46">
        <f t="shared" si="16"/>
        <v>1.2853419161040036</v>
      </c>
      <c r="H74" s="47">
        <f t="shared" si="2"/>
        <v>21.46520999893686</v>
      </c>
      <c r="I74" s="48">
        <f t="shared" si="3"/>
        <v>1601.7339701206686</v>
      </c>
      <c r="J74" s="55"/>
      <c r="K74" s="55"/>
      <c r="L74" s="56"/>
      <c r="M74" s="49">
        <v>454</v>
      </c>
      <c r="N74" s="43">
        <f t="shared" si="4"/>
        <v>97.452053395173351</v>
      </c>
    </row>
    <row r="75" spans="1:14">
      <c r="A75" s="42">
        <v>20901</v>
      </c>
      <c r="B75" s="42" t="s">
        <v>131</v>
      </c>
      <c r="C75" s="43">
        <v>10739</v>
      </c>
      <c r="D75" s="44">
        <v>0</v>
      </c>
      <c r="E75" s="45">
        <v>16.7</v>
      </c>
      <c r="F75" s="46">
        <f t="shared" si="0"/>
        <v>18.8</v>
      </c>
      <c r="G75" s="46">
        <f t="shared" si="16"/>
        <v>1.2853419161040036</v>
      </c>
      <c r="H75" s="47">
        <f t="shared" si="2"/>
        <v>21.46520999893686</v>
      </c>
      <c r="I75" s="48">
        <f t="shared" si="3"/>
        <v>2305.1489017858294</v>
      </c>
      <c r="J75" s="55"/>
      <c r="K75" s="55"/>
      <c r="L75" s="56"/>
      <c r="M75" s="49">
        <v>683</v>
      </c>
      <c r="N75" s="43">
        <f t="shared" si="4"/>
        <v>146.60738429273874</v>
      </c>
    </row>
    <row r="76" spans="1:14">
      <c r="A76" s="42">
        <v>20902</v>
      </c>
      <c r="B76" s="42" t="s">
        <v>132</v>
      </c>
      <c r="C76" s="43">
        <v>16163</v>
      </c>
      <c r="D76" s="44">
        <v>0</v>
      </c>
      <c r="E76" s="45">
        <v>16.7</v>
      </c>
      <c r="F76" s="46">
        <f t="shared" si="0"/>
        <v>18.8</v>
      </c>
      <c r="G76" s="46">
        <f t="shared" si="16"/>
        <v>1.2853419161040036</v>
      </c>
      <c r="H76" s="47">
        <f t="shared" si="2"/>
        <v>21.46520999893686</v>
      </c>
      <c r="I76" s="48">
        <f t="shared" si="3"/>
        <v>3469.4218921281649</v>
      </c>
      <c r="J76" s="55"/>
      <c r="K76" s="55"/>
      <c r="L76" s="56"/>
      <c r="M76" s="49">
        <v>1081</v>
      </c>
      <c r="N76" s="43">
        <f t="shared" si="4"/>
        <v>232.03892008850747</v>
      </c>
    </row>
    <row r="77" spans="1:14">
      <c r="A77" s="42">
        <v>20903</v>
      </c>
      <c r="B77" s="42" t="s">
        <v>133</v>
      </c>
      <c r="C77" s="43">
        <v>11881</v>
      </c>
      <c r="D77" s="44">
        <v>16.5</v>
      </c>
      <c r="E77" s="45">
        <v>16.7</v>
      </c>
      <c r="F77" s="46">
        <f t="shared" si="0"/>
        <v>17.744</v>
      </c>
      <c r="G77" s="46">
        <f t="shared" si="16"/>
        <v>1.2131439871994381</v>
      </c>
      <c r="H77" s="47">
        <f t="shared" si="2"/>
        <v>20.259504586230616</v>
      </c>
      <c r="I77" s="48">
        <f t="shared" si="3"/>
        <v>2407.0317398900593</v>
      </c>
      <c r="J77" s="55"/>
      <c r="K77" s="55"/>
      <c r="L77" s="56"/>
      <c r="M77" s="49">
        <v>915</v>
      </c>
      <c r="N77" s="43">
        <f t="shared" si="4"/>
        <v>185.37446696401014</v>
      </c>
    </row>
    <row r="78" spans="1:14">
      <c r="A78" s="42">
        <v>20904</v>
      </c>
      <c r="B78" s="42" t="s">
        <v>134</v>
      </c>
      <c r="C78" s="43">
        <v>5287</v>
      </c>
      <c r="D78" s="44">
        <v>0</v>
      </c>
      <c r="E78" s="45">
        <v>16.7</v>
      </c>
      <c r="F78" s="46">
        <f t="shared" si="0"/>
        <v>18.8</v>
      </c>
      <c r="G78" s="46">
        <f t="shared" si="16"/>
        <v>1.2853419161040036</v>
      </c>
      <c r="H78" s="47">
        <f t="shared" si="2"/>
        <v>21.46520999893686</v>
      </c>
      <c r="I78" s="48">
        <f t="shared" si="3"/>
        <v>1134.8656526437919</v>
      </c>
      <c r="J78" s="55"/>
      <c r="K78" s="55"/>
      <c r="L78" s="56"/>
      <c r="M78" s="49">
        <v>535</v>
      </c>
      <c r="N78" s="43">
        <f t="shared" si="4"/>
        <v>114.8388734943122</v>
      </c>
    </row>
    <row r="79" spans="1:14">
      <c r="A79" s="42">
        <v>20905</v>
      </c>
      <c r="B79" s="42" t="s">
        <v>135</v>
      </c>
      <c r="C79" s="43">
        <v>13411</v>
      </c>
      <c r="D79" s="44">
        <v>0</v>
      </c>
      <c r="E79" s="45">
        <v>16.7</v>
      </c>
      <c r="F79" s="46">
        <f t="shared" si="0"/>
        <v>18.8</v>
      </c>
      <c r="G79" s="46">
        <f t="shared" si="16"/>
        <v>1.2853419161040036</v>
      </c>
      <c r="H79" s="47">
        <f t="shared" si="2"/>
        <v>21.46520999893686</v>
      </c>
      <c r="I79" s="48">
        <f t="shared" si="3"/>
        <v>2878.6993129574221</v>
      </c>
      <c r="J79" s="55"/>
      <c r="K79" s="55"/>
      <c r="L79" s="56"/>
      <c r="M79" s="49">
        <v>1136</v>
      </c>
      <c r="N79" s="43">
        <f t="shared" si="4"/>
        <v>243.84478558792273</v>
      </c>
    </row>
    <row r="80" spans="1:14">
      <c r="A80" s="42">
        <v>21001</v>
      </c>
      <c r="B80" s="42" t="s">
        <v>136</v>
      </c>
      <c r="C80" s="43">
        <v>18349</v>
      </c>
      <c r="D80" s="44">
        <v>0</v>
      </c>
      <c r="E80" s="45">
        <v>16.7</v>
      </c>
      <c r="F80" s="46">
        <f t="shared" si="0"/>
        <v>18.8</v>
      </c>
      <c r="G80" s="46">
        <f t="shared" si="16"/>
        <v>1.2853419161040036</v>
      </c>
      <c r="H80" s="47">
        <f t="shared" si="2"/>
        <v>21.46520999893686</v>
      </c>
      <c r="I80" s="48">
        <f t="shared" si="3"/>
        <v>3938.6513827049243</v>
      </c>
      <c r="J80" s="55"/>
      <c r="K80" s="55"/>
      <c r="L80" s="56"/>
      <c r="M80" s="49">
        <v>1602</v>
      </c>
      <c r="N80" s="43">
        <f t="shared" si="4"/>
        <v>343.87266418296849</v>
      </c>
    </row>
    <row r="81" spans="1:14">
      <c r="A81" s="42">
        <v>21002</v>
      </c>
      <c r="B81" s="42" t="s">
        <v>137</v>
      </c>
      <c r="C81" s="43">
        <v>10669</v>
      </c>
      <c r="D81" s="44">
        <v>40.799999999999997</v>
      </c>
      <c r="E81" s="45">
        <v>16.7</v>
      </c>
      <c r="F81" s="46">
        <f t="shared" si="0"/>
        <v>16.188800000000001</v>
      </c>
      <c r="G81" s="46">
        <f t="shared" si="16"/>
        <v>1.1068161282672602</v>
      </c>
      <c r="H81" s="47">
        <f t="shared" si="2"/>
        <v>18.483829342063245</v>
      </c>
      <c r="I81" s="48">
        <f t="shared" si="3"/>
        <v>1972.0397525047274</v>
      </c>
      <c r="J81" s="55"/>
      <c r="K81" s="55"/>
      <c r="L81" s="56"/>
      <c r="M81" s="49">
        <v>880</v>
      </c>
      <c r="N81" s="43">
        <f t="shared" si="4"/>
        <v>162.65769821015655</v>
      </c>
    </row>
    <row r="82" spans="1:14">
      <c r="A82" s="42">
        <v>21003</v>
      </c>
      <c r="B82" s="42" t="s">
        <v>138</v>
      </c>
      <c r="C82" s="43">
        <v>15139</v>
      </c>
      <c r="D82" s="44">
        <v>12.5</v>
      </c>
      <c r="E82" s="45">
        <v>16.7</v>
      </c>
      <c r="F82" s="46">
        <f t="shared" si="0"/>
        <v>18</v>
      </c>
      <c r="G82" s="46">
        <f t="shared" si="16"/>
        <v>1.2306465154187267</v>
      </c>
      <c r="H82" s="47">
        <f t="shared" si="2"/>
        <v>20.551796807492735</v>
      </c>
      <c r="I82" s="48">
        <f t="shared" si="3"/>
        <v>3111.3365186863252</v>
      </c>
      <c r="J82" s="55"/>
      <c r="K82" s="55"/>
      <c r="L82" s="56"/>
      <c r="M82" s="49">
        <v>1426</v>
      </c>
      <c r="N82" s="43">
        <f t="shared" si="4"/>
        <v>293.06862247484639</v>
      </c>
    </row>
    <row r="83" spans="1:14">
      <c r="A83" s="42">
        <v>21004</v>
      </c>
      <c r="B83" s="42" t="s">
        <v>139</v>
      </c>
      <c r="C83" s="43">
        <v>23181</v>
      </c>
      <c r="D83" s="44">
        <v>28.3</v>
      </c>
      <c r="E83" s="45">
        <v>16.7</v>
      </c>
      <c r="F83" s="46">
        <f t="shared" si="0"/>
        <v>16.988800000000001</v>
      </c>
      <c r="G83" s="46">
        <f t="shared" si="16"/>
        <v>1.1615115289525368</v>
      </c>
      <c r="H83" s="47">
        <f t="shared" si="2"/>
        <v>19.397242533507363</v>
      </c>
      <c r="I83" s="48">
        <f t="shared" si="3"/>
        <v>4496.4747916923416</v>
      </c>
      <c r="J83" s="55"/>
      <c r="K83" s="55"/>
      <c r="L83" s="56"/>
      <c r="M83" s="49">
        <v>1989</v>
      </c>
      <c r="N83" s="43">
        <f t="shared" si="4"/>
        <v>385.81115399146148</v>
      </c>
    </row>
    <row r="84" spans="1:14">
      <c r="A84" s="42">
        <v>21005</v>
      </c>
      <c r="B84" s="42" t="s">
        <v>140</v>
      </c>
      <c r="C84" s="43">
        <v>9415</v>
      </c>
      <c r="D84" s="44">
        <v>19.899999999999999</v>
      </c>
      <c r="E84" s="45">
        <v>16.7</v>
      </c>
      <c r="F84" s="46">
        <f t="shared" si="0"/>
        <v>17.526400000000002</v>
      </c>
      <c r="G84" s="46">
        <f t="shared" si="16"/>
        <v>1.1982668382130433</v>
      </c>
      <c r="H84" s="47">
        <f t="shared" si="2"/>
        <v>20.011056198157821</v>
      </c>
      <c r="I84" s="48">
        <f t="shared" si="3"/>
        <v>1884.0409410565587</v>
      </c>
      <c r="J84" s="55"/>
      <c r="K84" s="55"/>
      <c r="L84" s="56"/>
      <c r="M84" s="49">
        <v>749</v>
      </c>
      <c r="N84" s="43">
        <f t="shared" si="4"/>
        <v>149.88281092420209</v>
      </c>
    </row>
    <row r="85" spans="1:14">
      <c r="A85" s="42">
        <v>21006</v>
      </c>
      <c r="B85" s="42" t="s">
        <v>141</v>
      </c>
      <c r="C85" s="43">
        <v>7678</v>
      </c>
      <c r="D85" s="44">
        <v>44.6</v>
      </c>
      <c r="E85" s="45">
        <v>16.7</v>
      </c>
      <c r="F85" s="46">
        <f t="shared" si="0"/>
        <v>15.945600000000001</v>
      </c>
      <c r="G85" s="46">
        <f t="shared" si="16"/>
        <v>1.0901887264589361</v>
      </c>
      <c r="H85" s="47">
        <f t="shared" si="2"/>
        <v>18.206151731864232</v>
      </c>
      <c r="I85" s="48">
        <f t="shared" si="3"/>
        <v>1397.8683299725358</v>
      </c>
      <c r="J85" s="55"/>
      <c r="K85" s="55"/>
      <c r="L85" s="56"/>
      <c r="M85" s="49">
        <v>821</v>
      </c>
      <c r="N85" s="43">
        <f t="shared" si="4"/>
        <v>149.47250571860533</v>
      </c>
    </row>
    <row r="86" spans="1:14">
      <c r="A86" s="42">
        <v>21101</v>
      </c>
      <c r="B86" s="42" t="s">
        <v>142</v>
      </c>
      <c r="C86" s="43">
        <v>18263</v>
      </c>
      <c r="D86" s="44">
        <v>14</v>
      </c>
      <c r="E86" s="45">
        <v>16.7</v>
      </c>
      <c r="F86" s="46">
        <f t="shared" si="0"/>
        <v>17.904</v>
      </c>
      <c r="G86" s="46">
        <f t="shared" si="16"/>
        <v>1.2240830673364935</v>
      </c>
      <c r="H86" s="47">
        <f t="shared" si="2"/>
        <v>20.44218722451944</v>
      </c>
      <c r="I86" s="48">
        <f t="shared" si="3"/>
        <v>3733.356652813985</v>
      </c>
      <c r="J86" s="55"/>
      <c r="K86" s="55"/>
      <c r="L86" s="56"/>
      <c r="M86" s="49">
        <v>1350</v>
      </c>
      <c r="N86" s="43">
        <f t="shared" si="4"/>
        <v>275.96952753101243</v>
      </c>
    </row>
    <row r="87" spans="1:14">
      <c r="A87" s="42">
        <v>21102</v>
      </c>
      <c r="B87" s="42" t="s">
        <v>143</v>
      </c>
      <c r="C87" s="43">
        <v>22779</v>
      </c>
      <c r="D87" s="44">
        <v>10.8</v>
      </c>
      <c r="E87" s="45">
        <v>16.7</v>
      </c>
      <c r="F87" s="46">
        <f t="shared" si="0"/>
        <v>18.108800000000002</v>
      </c>
      <c r="G87" s="46">
        <f t="shared" si="16"/>
        <v>1.2380850899119245</v>
      </c>
      <c r="H87" s="47">
        <f t="shared" si="2"/>
        <v>20.676021001529136</v>
      </c>
      <c r="I87" s="48">
        <f t="shared" si="3"/>
        <v>4709.7908239383223</v>
      </c>
      <c r="J87" s="55"/>
      <c r="K87" s="55"/>
      <c r="L87" s="56"/>
      <c r="M87" s="49">
        <v>1629</v>
      </c>
      <c r="N87" s="43">
        <f t="shared" si="4"/>
        <v>336.81238211490961</v>
      </c>
    </row>
    <row r="88" spans="1:14">
      <c r="A88" s="42">
        <v>21103</v>
      </c>
      <c r="B88" s="42" t="s">
        <v>144</v>
      </c>
      <c r="C88" s="43">
        <v>7515</v>
      </c>
      <c r="D88" s="44">
        <v>0</v>
      </c>
      <c r="E88" s="45">
        <v>16.7</v>
      </c>
      <c r="F88" s="46">
        <f t="shared" si="0"/>
        <v>18.8</v>
      </c>
      <c r="G88" s="46">
        <f t="shared" si="16"/>
        <v>1.2853419161040036</v>
      </c>
      <c r="H88" s="47">
        <f t="shared" si="2"/>
        <v>21.46520999893686</v>
      </c>
      <c r="I88" s="48">
        <f t="shared" si="3"/>
        <v>1613.110531420105</v>
      </c>
      <c r="J88" s="55"/>
      <c r="K88" s="55"/>
      <c r="L88" s="56"/>
      <c r="M88" s="49">
        <v>506</v>
      </c>
      <c r="N88" s="43">
        <f t="shared" si="4"/>
        <v>108.61396259462052</v>
      </c>
    </row>
    <row r="89" spans="1:14">
      <c r="A89" s="42">
        <v>21104</v>
      </c>
      <c r="B89" s="42" t="s">
        <v>145</v>
      </c>
      <c r="C89" s="43">
        <v>26937</v>
      </c>
      <c r="D89" s="44">
        <v>27.6</v>
      </c>
      <c r="E89" s="45">
        <v>16.7</v>
      </c>
      <c r="F89" s="46">
        <f t="shared" si="0"/>
        <v>17.0336</v>
      </c>
      <c r="G89" s="46">
        <f t="shared" si="16"/>
        <v>1.1645744713909125</v>
      </c>
      <c r="H89" s="47">
        <f t="shared" si="2"/>
        <v>19.448393672228239</v>
      </c>
      <c r="I89" s="48">
        <f t="shared" si="3"/>
        <v>5238.8138034881213</v>
      </c>
      <c r="J89" s="55"/>
      <c r="K89" s="55"/>
      <c r="L89" s="56"/>
      <c r="M89" s="49">
        <v>2372</v>
      </c>
      <c r="N89" s="43">
        <f t="shared" si="4"/>
        <v>461.31589790525379</v>
      </c>
    </row>
    <row r="90" spans="1:14">
      <c r="A90" s="42">
        <v>21105</v>
      </c>
      <c r="B90" s="42" t="s">
        <v>146</v>
      </c>
      <c r="C90" s="43">
        <v>45136</v>
      </c>
      <c r="D90" s="44">
        <v>6.3</v>
      </c>
      <c r="E90" s="45">
        <v>16.7</v>
      </c>
      <c r="F90" s="46">
        <f t="shared" si="0"/>
        <v>18.396799999999999</v>
      </c>
      <c r="G90" s="46">
        <f t="shared" si="16"/>
        <v>1.257775434158624</v>
      </c>
      <c r="H90" s="47">
        <f t="shared" si="2"/>
        <v>21.004849750449022</v>
      </c>
      <c r="I90" s="48">
        <f t="shared" si="3"/>
        <v>9480.7489833626714</v>
      </c>
      <c r="J90" s="55"/>
      <c r="K90" s="55"/>
      <c r="L90" s="56"/>
      <c r="M90" s="49">
        <v>4310</v>
      </c>
      <c r="N90" s="43">
        <f t="shared" si="4"/>
        <v>905.30902424435294</v>
      </c>
    </row>
    <row r="91" spans="1:14">
      <c r="A91" s="42">
        <v>21201</v>
      </c>
      <c r="B91" s="42" t="s">
        <v>147</v>
      </c>
      <c r="C91" s="43">
        <v>48206</v>
      </c>
      <c r="D91" s="44">
        <v>29.2</v>
      </c>
      <c r="E91" s="45">
        <v>16.7</v>
      </c>
      <c r="F91" s="46">
        <f t="shared" si="0"/>
        <v>16.9312</v>
      </c>
      <c r="G91" s="46">
        <f t="shared" si="16"/>
        <v>1.1575734601031971</v>
      </c>
      <c r="H91" s="47">
        <f t="shared" si="2"/>
        <v>19.331476783723389</v>
      </c>
      <c r="I91" s="48">
        <f t="shared" si="3"/>
        <v>9318.9316983616973</v>
      </c>
      <c r="J91" s="55"/>
      <c r="K91" s="55"/>
      <c r="L91" s="56"/>
      <c r="M91" s="49">
        <v>3591</v>
      </c>
      <c r="N91" s="43">
        <f t="shared" si="4"/>
        <v>694.19333130350685</v>
      </c>
    </row>
    <row r="92" spans="1:14">
      <c r="A92" s="42">
        <v>21202</v>
      </c>
      <c r="B92" s="42" t="s">
        <v>148</v>
      </c>
      <c r="C92" s="43">
        <v>37475</v>
      </c>
      <c r="D92" s="44">
        <v>25.9</v>
      </c>
      <c r="E92" s="45">
        <v>16.7</v>
      </c>
      <c r="F92" s="46">
        <f t="shared" si="0"/>
        <v>17.142400000000002</v>
      </c>
      <c r="G92" s="46">
        <f t="shared" si="16"/>
        <v>1.1720130458841103</v>
      </c>
      <c r="H92" s="47">
        <f t="shared" si="2"/>
        <v>19.57261786626464</v>
      </c>
      <c r="I92" s="48">
        <f t="shared" si="3"/>
        <v>7334.8385453826741</v>
      </c>
      <c r="J92" s="55"/>
      <c r="K92" s="55"/>
      <c r="L92" s="56"/>
      <c r="M92" s="49">
        <v>2855</v>
      </c>
      <c r="N92" s="43">
        <f t="shared" si="4"/>
        <v>558.79824008185551</v>
      </c>
    </row>
    <row r="93" spans="1:14">
      <c r="A93" s="42">
        <v>21203</v>
      </c>
      <c r="B93" s="42" t="s">
        <v>149</v>
      </c>
      <c r="C93" s="43">
        <v>20342</v>
      </c>
      <c r="D93" s="44">
        <v>13.9</v>
      </c>
      <c r="E93" s="45">
        <v>16.7</v>
      </c>
      <c r="F93" s="46">
        <f t="shared" si="0"/>
        <v>17.910399999999999</v>
      </c>
      <c r="G93" s="46">
        <f t="shared" si="16"/>
        <v>1.2245206305419756</v>
      </c>
      <c r="H93" s="47">
        <f t="shared" si="2"/>
        <v>20.449494530050991</v>
      </c>
      <c r="I93" s="48">
        <f t="shared" si="3"/>
        <v>4159.8361773029728</v>
      </c>
      <c r="J93" s="55"/>
      <c r="K93" s="55"/>
      <c r="L93" s="56"/>
      <c r="M93" s="49">
        <v>1411</v>
      </c>
      <c r="N93" s="43">
        <f t="shared" si="4"/>
        <v>288.54236781901949</v>
      </c>
    </row>
    <row r="94" spans="1:14">
      <c r="A94" s="42">
        <v>21204</v>
      </c>
      <c r="B94" s="42" t="s">
        <v>150</v>
      </c>
      <c r="C94" s="43">
        <v>7783</v>
      </c>
      <c r="D94" s="44">
        <v>0</v>
      </c>
      <c r="E94" s="45">
        <v>16.7</v>
      </c>
      <c r="F94" s="46">
        <f t="shared" si="0"/>
        <v>18.8</v>
      </c>
      <c r="G94" s="46">
        <f t="shared" si="16"/>
        <v>1.2853419161040036</v>
      </c>
      <c r="H94" s="47">
        <f t="shared" si="2"/>
        <v>21.46520999893686</v>
      </c>
      <c r="I94" s="48">
        <f t="shared" si="3"/>
        <v>1670.6372942172559</v>
      </c>
      <c r="J94" s="55"/>
      <c r="K94" s="55"/>
      <c r="L94" s="56"/>
      <c r="M94" s="49">
        <v>463</v>
      </c>
      <c r="N94" s="43">
        <f t="shared" si="4"/>
        <v>99.383922295077667</v>
      </c>
    </row>
    <row r="95" spans="1:14">
      <c r="A95" s="42">
        <v>21301</v>
      </c>
      <c r="B95" s="42" t="s">
        <v>151</v>
      </c>
      <c r="C95" s="43">
        <v>33671</v>
      </c>
      <c r="D95" s="44">
        <v>29.1</v>
      </c>
      <c r="E95" s="45">
        <v>16.7</v>
      </c>
      <c r="F95" s="46">
        <f t="shared" si="0"/>
        <v>16.9376</v>
      </c>
      <c r="G95" s="46">
        <f t="shared" si="16"/>
        <v>1.1580110233086793</v>
      </c>
      <c r="H95" s="47">
        <f t="shared" si="2"/>
        <v>19.338784089254943</v>
      </c>
      <c r="I95" s="48">
        <f t="shared" si="3"/>
        <v>6511.5619906930324</v>
      </c>
      <c r="J95" s="55"/>
      <c r="K95" s="55"/>
      <c r="L95" s="56"/>
      <c r="M95" s="49">
        <v>2673</v>
      </c>
      <c r="N95" s="43">
        <f t="shared" si="4"/>
        <v>516.92569870578473</v>
      </c>
    </row>
    <row r="96" spans="1:14">
      <c r="A96" s="42">
        <v>21302</v>
      </c>
      <c r="B96" s="42" t="s">
        <v>152</v>
      </c>
      <c r="C96" s="43">
        <v>9085</v>
      </c>
      <c r="D96" s="44">
        <v>0</v>
      </c>
      <c r="E96" s="45">
        <v>16.7</v>
      </c>
      <c r="F96" s="46">
        <f t="shared" si="0"/>
        <v>18.8</v>
      </c>
      <c r="G96" s="46">
        <f t="shared" si="16"/>
        <v>1.2853419161040036</v>
      </c>
      <c r="H96" s="47">
        <f t="shared" si="2"/>
        <v>21.46520999893686</v>
      </c>
      <c r="I96" s="48">
        <f t="shared" si="3"/>
        <v>1950.1143284034138</v>
      </c>
      <c r="J96" s="55"/>
      <c r="K96" s="55"/>
      <c r="L96" s="56"/>
      <c r="M96" s="49">
        <v>549</v>
      </c>
      <c r="N96" s="43">
        <f t="shared" si="4"/>
        <v>117.84400289416337</v>
      </c>
    </row>
    <row r="97" spans="1:14">
      <c r="A97" s="42">
        <v>21303</v>
      </c>
      <c r="B97" s="42" t="s">
        <v>153</v>
      </c>
      <c r="C97" s="43">
        <v>10970</v>
      </c>
      <c r="D97" s="44">
        <v>0</v>
      </c>
      <c r="E97" s="45">
        <v>16.7</v>
      </c>
      <c r="F97" s="46">
        <f t="shared" si="0"/>
        <v>18.8</v>
      </c>
      <c r="G97" s="46">
        <f t="shared" si="16"/>
        <v>1.2853419161040036</v>
      </c>
      <c r="H97" s="47">
        <f t="shared" si="2"/>
        <v>21.46520999893686</v>
      </c>
      <c r="I97" s="48">
        <f t="shared" si="3"/>
        <v>2354.7335368833733</v>
      </c>
      <c r="J97" s="55"/>
      <c r="K97" s="55"/>
      <c r="L97" s="56"/>
      <c r="M97" s="49">
        <v>778</v>
      </c>
      <c r="N97" s="43">
        <f t="shared" si="4"/>
        <v>166.99933379172879</v>
      </c>
    </row>
    <row r="98" spans="1:14">
      <c r="A98" s="42">
        <v>21304</v>
      </c>
      <c r="B98" s="42" t="s">
        <v>154</v>
      </c>
      <c r="C98" s="43">
        <v>15084</v>
      </c>
      <c r="D98" s="44">
        <v>0</v>
      </c>
      <c r="E98" s="45">
        <v>16.7</v>
      </c>
      <c r="F98" s="46">
        <f t="shared" si="0"/>
        <v>18.8</v>
      </c>
      <c r="G98" s="46">
        <f t="shared" si="16"/>
        <v>1.2853419161040036</v>
      </c>
      <c r="H98" s="47">
        <f t="shared" si="2"/>
        <v>21.46520999893686</v>
      </c>
      <c r="I98" s="48">
        <f t="shared" si="3"/>
        <v>3237.812276239636</v>
      </c>
      <c r="J98" s="55"/>
      <c r="K98" s="55"/>
      <c r="L98" s="56"/>
      <c r="M98" s="49">
        <v>1125</v>
      </c>
      <c r="N98" s="43">
        <f t="shared" si="4"/>
        <v>241.48361248803968</v>
      </c>
    </row>
    <row r="99" spans="1:14">
      <c r="A99" s="42">
        <v>21305</v>
      </c>
      <c r="B99" s="42" t="s">
        <v>155</v>
      </c>
      <c r="C99" s="43">
        <v>24957</v>
      </c>
      <c r="D99" s="44">
        <v>53.1</v>
      </c>
      <c r="E99" s="45">
        <v>16.7</v>
      </c>
      <c r="F99" s="46">
        <f t="shared" si="0"/>
        <v>15.4016</v>
      </c>
      <c r="G99" s="46">
        <f t="shared" si="16"/>
        <v>1.052995853992948</v>
      </c>
      <c r="H99" s="47">
        <f t="shared" si="2"/>
        <v>17.58503076168223</v>
      </c>
      <c r="I99" s="48">
        <f t="shared" si="3"/>
        <v>4388.696127193034</v>
      </c>
      <c r="J99" s="55"/>
      <c r="K99" s="55"/>
      <c r="L99" s="56"/>
      <c r="M99" s="49">
        <v>1974</v>
      </c>
      <c r="N99" s="43">
        <f t="shared" si="4"/>
        <v>347.12850723560723</v>
      </c>
    </row>
    <row r="100" spans="1:14">
      <c r="A100" s="42">
        <v>21306</v>
      </c>
      <c r="B100" s="42" t="s">
        <v>156</v>
      </c>
      <c r="C100" s="43">
        <v>12272</v>
      </c>
      <c r="D100" s="44">
        <v>57.4</v>
      </c>
      <c r="E100" s="45">
        <v>16.7</v>
      </c>
      <c r="F100" s="46">
        <f t="shared" si="0"/>
        <v>15.1264</v>
      </c>
      <c r="G100" s="46">
        <f t="shared" si="16"/>
        <v>1.0341806361572128</v>
      </c>
      <c r="H100" s="47">
        <f t="shared" si="2"/>
        <v>17.270816623825453</v>
      </c>
      <c r="I100" s="48">
        <f t="shared" si="3"/>
        <v>2119.4746160758596</v>
      </c>
      <c r="J100" s="55"/>
      <c r="K100" s="55"/>
      <c r="L100" s="56"/>
      <c r="M100" s="49">
        <v>1126</v>
      </c>
      <c r="N100" s="43">
        <f t="shared" si="4"/>
        <v>194.46939518427462</v>
      </c>
    </row>
    <row r="101" spans="1:14">
      <c r="A101" s="42">
        <v>21307</v>
      </c>
      <c r="B101" s="42" t="s">
        <v>157</v>
      </c>
      <c r="C101" s="43">
        <v>5486</v>
      </c>
      <c r="D101" s="44">
        <v>66.099999999999994</v>
      </c>
      <c r="E101" s="45">
        <v>16.7</v>
      </c>
      <c r="F101" s="46">
        <f t="shared" si="0"/>
        <v>14.569600000000001</v>
      </c>
      <c r="G101" s="46">
        <f t="shared" si="16"/>
        <v>0.99611263728026012</v>
      </c>
      <c r="H101" s="47">
        <f t="shared" si="2"/>
        <v>16.635081042580342</v>
      </c>
      <c r="I101" s="48">
        <f t="shared" si="3"/>
        <v>912.60054599595765</v>
      </c>
      <c r="J101" s="55"/>
      <c r="K101" s="55"/>
      <c r="L101" s="56"/>
      <c r="M101" s="49">
        <v>416</v>
      </c>
      <c r="N101" s="43">
        <f t="shared" si="4"/>
        <v>69.201937137134223</v>
      </c>
    </row>
    <row r="102" spans="1:14">
      <c r="A102" s="42">
        <v>21401</v>
      </c>
      <c r="B102" s="42" t="s">
        <v>158</v>
      </c>
      <c r="C102" s="43">
        <v>27018</v>
      </c>
      <c r="D102" s="44">
        <v>10.1</v>
      </c>
      <c r="E102" s="45">
        <v>16.7</v>
      </c>
      <c r="F102" s="46">
        <f t="shared" si="0"/>
        <v>18.153600000000001</v>
      </c>
      <c r="G102" s="46">
        <f t="shared" si="16"/>
        <v>1.2411480323503001</v>
      </c>
      <c r="H102" s="47">
        <f t="shared" si="2"/>
        <v>20.727172140250012</v>
      </c>
      <c r="I102" s="48">
        <f t="shared" si="3"/>
        <v>5600.0673688527486</v>
      </c>
      <c r="J102" s="55"/>
      <c r="K102" s="55"/>
      <c r="L102" s="56"/>
      <c r="M102" s="49">
        <v>1887</v>
      </c>
      <c r="N102" s="43">
        <f t="shared" si="4"/>
        <v>391.12173828651771</v>
      </c>
    </row>
    <row r="103" spans="1:14">
      <c r="A103" s="42">
        <v>21402</v>
      </c>
      <c r="B103" s="42" t="s">
        <v>159</v>
      </c>
      <c r="C103" s="43">
        <v>22980</v>
      </c>
      <c r="D103" s="44">
        <v>12</v>
      </c>
      <c r="E103" s="45">
        <v>16.7</v>
      </c>
      <c r="F103" s="46">
        <f t="shared" si="0"/>
        <v>18.032</v>
      </c>
      <c r="G103" s="46">
        <f t="shared" si="16"/>
        <v>1.2328343314461379</v>
      </c>
      <c r="H103" s="47">
        <f t="shared" si="2"/>
        <v>20.588333335150502</v>
      </c>
      <c r="I103" s="48">
        <f t="shared" si="3"/>
        <v>4731.1990004175859</v>
      </c>
      <c r="J103" s="55"/>
      <c r="K103" s="55"/>
      <c r="L103" s="56"/>
      <c r="M103" s="49">
        <v>1691</v>
      </c>
      <c r="N103" s="43">
        <f t="shared" si="4"/>
        <v>348.148716697395</v>
      </c>
    </row>
    <row r="104" spans="1:14">
      <c r="A104" s="42">
        <v>21501</v>
      </c>
      <c r="B104" s="42" t="s">
        <v>160</v>
      </c>
      <c r="C104" s="43">
        <v>12326</v>
      </c>
      <c r="D104" s="44">
        <v>38.4</v>
      </c>
      <c r="E104" s="45">
        <v>16.7</v>
      </c>
      <c r="F104" s="46">
        <f t="shared" si="0"/>
        <v>16.342400000000001</v>
      </c>
      <c r="G104" s="46">
        <f t="shared" si="16"/>
        <v>1.1173176451988334</v>
      </c>
      <c r="H104" s="47">
        <f t="shared" si="2"/>
        <v>18.659204674820515</v>
      </c>
      <c r="I104" s="48">
        <f t="shared" si="3"/>
        <v>2299.9335682183764</v>
      </c>
      <c r="J104" s="55"/>
      <c r="K104" s="55"/>
      <c r="L104" s="56"/>
      <c r="M104" s="49">
        <v>1263</v>
      </c>
      <c r="N104" s="43">
        <f t="shared" si="4"/>
        <v>235.66575504298311</v>
      </c>
    </row>
    <row r="105" spans="1:14">
      <c r="A105" s="42">
        <v>21502</v>
      </c>
      <c r="B105" s="42" t="s">
        <v>161</v>
      </c>
      <c r="C105" s="43">
        <v>9989</v>
      </c>
      <c r="D105" s="44">
        <v>43.5</v>
      </c>
      <c r="E105" s="45">
        <v>16.7</v>
      </c>
      <c r="F105" s="46">
        <f t="shared" si="0"/>
        <v>16.016000000000002</v>
      </c>
      <c r="G105" s="46">
        <f t="shared" si="16"/>
        <v>1.0950019217192406</v>
      </c>
      <c r="H105" s="47">
        <f t="shared" si="2"/>
        <v>18.286532092711319</v>
      </c>
      <c r="I105" s="48">
        <f t="shared" si="3"/>
        <v>1826.6416907409337</v>
      </c>
      <c r="J105" s="55"/>
      <c r="K105" s="55"/>
      <c r="L105" s="56"/>
      <c r="M105" s="49">
        <v>1029</v>
      </c>
      <c r="N105" s="43">
        <f t="shared" si="4"/>
        <v>188.16841523399947</v>
      </c>
    </row>
    <row r="106" spans="1:14">
      <c r="A106" s="42">
        <v>21601</v>
      </c>
      <c r="B106" s="42" t="s">
        <v>162</v>
      </c>
      <c r="C106" s="43">
        <v>15535</v>
      </c>
      <c r="D106" s="44">
        <v>18.2</v>
      </c>
      <c r="E106" s="45">
        <v>16.7</v>
      </c>
      <c r="F106" s="46">
        <f t="shared" si="0"/>
        <v>17.635200000000001</v>
      </c>
      <c r="G106" s="46">
        <f t="shared" si="16"/>
        <v>1.2057054127062405</v>
      </c>
      <c r="H106" s="47">
        <f t="shared" si="2"/>
        <v>20.135280392194215</v>
      </c>
      <c r="I106" s="48">
        <f t="shared" si="3"/>
        <v>3128.0158089273714</v>
      </c>
      <c r="J106" s="55"/>
      <c r="K106" s="55"/>
      <c r="L106" s="56"/>
      <c r="M106" s="49">
        <v>1565</v>
      </c>
      <c r="N106" s="43">
        <f t="shared" si="4"/>
        <v>315.11713813783945</v>
      </c>
    </row>
    <row r="107" spans="1:14">
      <c r="A107" s="42">
        <v>21602</v>
      </c>
      <c r="B107" s="42" t="s">
        <v>163</v>
      </c>
      <c r="C107" s="43">
        <v>6334</v>
      </c>
      <c r="D107" s="44">
        <v>0</v>
      </c>
      <c r="E107" s="45">
        <v>16.7</v>
      </c>
      <c r="F107" s="46">
        <f t="shared" si="0"/>
        <v>18.8</v>
      </c>
      <c r="G107" s="46">
        <f t="shared" si="16"/>
        <v>1.2853419161040036</v>
      </c>
      <c r="H107" s="47">
        <f t="shared" si="2"/>
        <v>21.46520999893686</v>
      </c>
      <c r="I107" s="48">
        <f t="shared" si="3"/>
        <v>1359.6064013326607</v>
      </c>
      <c r="J107" s="55"/>
      <c r="K107" s="55"/>
      <c r="L107" s="56"/>
      <c r="M107" s="49">
        <v>728</v>
      </c>
      <c r="N107" s="43">
        <f t="shared" si="4"/>
        <v>156.26672879226035</v>
      </c>
    </row>
    <row r="108" spans="1:14">
      <c r="A108" s="42">
        <v>21701</v>
      </c>
      <c r="B108" s="42" t="s">
        <v>164</v>
      </c>
      <c r="C108" s="43">
        <v>17252</v>
      </c>
      <c r="D108" s="44">
        <v>35.1</v>
      </c>
      <c r="E108" s="45">
        <v>16.7</v>
      </c>
      <c r="F108" s="46">
        <f t="shared" si="0"/>
        <v>16.553599999999999</v>
      </c>
      <c r="G108" s="46">
        <f t="shared" si="16"/>
        <v>1.1317572309797463</v>
      </c>
      <c r="H108" s="47">
        <f t="shared" si="2"/>
        <v>18.900345757361762</v>
      </c>
      <c r="I108" s="48">
        <f t="shared" si="3"/>
        <v>3260.6876500600511</v>
      </c>
      <c r="J108" s="55"/>
      <c r="K108" s="55"/>
      <c r="L108" s="56"/>
      <c r="M108" s="49">
        <v>984</v>
      </c>
      <c r="N108" s="43">
        <f t="shared" si="4"/>
        <v>185.97940225243977</v>
      </c>
    </row>
    <row r="109" spans="1:14">
      <c r="A109" s="42">
        <v>21702</v>
      </c>
      <c r="B109" s="42" t="s">
        <v>165</v>
      </c>
      <c r="C109" s="43">
        <v>8905</v>
      </c>
      <c r="D109" s="44">
        <v>0</v>
      </c>
      <c r="E109" s="45">
        <v>16.7</v>
      </c>
      <c r="F109" s="46">
        <f t="shared" si="0"/>
        <v>18.8</v>
      </c>
      <c r="G109" s="46">
        <f t="shared" si="16"/>
        <v>1.2853419161040036</v>
      </c>
      <c r="H109" s="47">
        <f t="shared" si="2"/>
        <v>21.46520999893686</v>
      </c>
      <c r="I109" s="48">
        <f t="shared" si="3"/>
        <v>1911.4769504053274</v>
      </c>
      <c r="J109" s="55"/>
      <c r="K109" s="55"/>
      <c r="L109" s="56"/>
      <c r="M109" s="49">
        <v>431</v>
      </c>
      <c r="N109" s="43">
        <f t="shared" si="4"/>
        <v>92.515055095417864</v>
      </c>
    </row>
    <row r="110" spans="1:14">
      <c r="A110" s="42">
        <v>21703</v>
      </c>
      <c r="B110" s="42" t="s">
        <v>166</v>
      </c>
      <c r="C110" s="43">
        <v>7420</v>
      </c>
      <c r="D110" s="44">
        <v>48.9</v>
      </c>
      <c r="E110" s="45">
        <v>16.7</v>
      </c>
      <c r="F110" s="46">
        <f t="shared" si="0"/>
        <v>15.670400000000001</v>
      </c>
      <c r="G110" s="46">
        <f t="shared" si="16"/>
        <v>1.071373508623201</v>
      </c>
      <c r="H110" s="47">
        <f t="shared" si="2"/>
        <v>17.891937594007455</v>
      </c>
      <c r="I110" s="48">
        <f t="shared" si="3"/>
        <v>1327.581769475353</v>
      </c>
      <c r="J110" s="55"/>
      <c r="K110" s="55"/>
      <c r="L110" s="56"/>
      <c r="M110" s="49">
        <v>307</v>
      </c>
      <c r="N110" s="43">
        <f t="shared" si="4"/>
        <v>54.928248413602887</v>
      </c>
    </row>
    <row r="111" spans="1:14">
      <c r="A111" s="42">
        <v>21801</v>
      </c>
      <c r="B111" s="42" t="s">
        <v>167</v>
      </c>
      <c r="C111" s="43">
        <v>9187</v>
      </c>
      <c r="D111" s="44">
        <v>0</v>
      </c>
      <c r="E111" s="45">
        <v>16.7</v>
      </c>
      <c r="F111" s="46">
        <f t="shared" si="0"/>
        <v>18.8</v>
      </c>
      <c r="G111" s="46">
        <f t="shared" si="16"/>
        <v>1.2853419161040036</v>
      </c>
      <c r="H111" s="47">
        <f t="shared" si="2"/>
        <v>21.46520999893686</v>
      </c>
      <c r="I111" s="48">
        <f t="shared" si="3"/>
        <v>1972.0088426023294</v>
      </c>
      <c r="J111" s="55"/>
      <c r="K111" s="55"/>
      <c r="L111" s="56"/>
      <c r="M111" s="49">
        <v>545</v>
      </c>
      <c r="N111" s="43">
        <f t="shared" si="4"/>
        <v>116.98539449420588</v>
      </c>
    </row>
    <row r="112" spans="1:14">
      <c r="A112" s="42">
        <v>21802</v>
      </c>
      <c r="B112" s="42" t="s">
        <v>168</v>
      </c>
      <c r="C112" s="43">
        <v>6679</v>
      </c>
      <c r="D112" s="44">
        <v>0</v>
      </c>
      <c r="E112" s="45">
        <v>16.7</v>
      </c>
      <c r="F112" s="46">
        <f t="shared" si="0"/>
        <v>18.8</v>
      </c>
      <c r="G112" s="46">
        <f t="shared" si="16"/>
        <v>1.2853419161040036</v>
      </c>
      <c r="H112" s="47">
        <f t="shared" si="2"/>
        <v>21.46520999893686</v>
      </c>
      <c r="I112" s="48">
        <f t="shared" si="3"/>
        <v>1433.6613758289927</v>
      </c>
      <c r="J112" s="55"/>
      <c r="K112" s="55"/>
      <c r="L112" s="56"/>
      <c r="M112" s="49">
        <v>408</v>
      </c>
      <c r="N112" s="43">
        <f t="shared" si="4"/>
        <v>87.578056795662391</v>
      </c>
    </row>
    <row r="113" spans="1:14">
      <c r="A113" s="42">
        <v>21803</v>
      </c>
      <c r="B113" s="42" t="s">
        <v>169</v>
      </c>
      <c r="C113" s="43">
        <v>2048</v>
      </c>
      <c r="D113" s="44">
        <v>0</v>
      </c>
      <c r="E113" s="45">
        <v>16.7</v>
      </c>
      <c r="F113" s="46">
        <f t="shared" si="0"/>
        <v>18.8</v>
      </c>
      <c r="G113" s="46">
        <f t="shared" si="16"/>
        <v>1.2853419161040036</v>
      </c>
      <c r="H113" s="47">
        <f t="shared" si="2"/>
        <v>21.46520999893686</v>
      </c>
      <c r="I113" s="48">
        <f t="shared" si="3"/>
        <v>439.60750077822689</v>
      </c>
      <c r="J113" s="55"/>
      <c r="K113" s="55"/>
      <c r="L113" s="56"/>
      <c r="M113" s="49">
        <v>145</v>
      </c>
      <c r="N113" s="43">
        <f t="shared" si="4"/>
        <v>31.124554498458448</v>
      </c>
    </row>
    <row r="114" spans="1:14">
      <c r="A114" s="42">
        <v>21901</v>
      </c>
      <c r="B114" s="42" t="s">
        <v>170</v>
      </c>
      <c r="C114" s="43">
        <v>6621</v>
      </c>
      <c r="D114" s="44">
        <v>0</v>
      </c>
      <c r="E114" s="45">
        <v>16.7</v>
      </c>
      <c r="F114" s="46">
        <f t="shared" si="0"/>
        <v>18.8</v>
      </c>
      <c r="G114" s="46">
        <f t="shared" si="16"/>
        <v>1.2853419161040036</v>
      </c>
      <c r="H114" s="47">
        <f t="shared" si="2"/>
        <v>21.46520999893686</v>
      </c>
      <c r="I114" s="48">
        <f t="shared" si="3"/>
        <v>1421.2115540296095</v>
      </c>
      <c r="J114" s="55"/>
      <c r="K114" s="55"/>
      <c r="L114" s="56"/>
      <c r="M114" s="49">
        <v>365</v>
      </c>
      <c r="N114" s="43">
        <f t="shared" si="4"/>
        <v>78.348016496119541</v>
      </c>
    </row>
    <row r="115" spans="1:14">
      <c r="A115" s="42">
        <v>21902</v>
      </c>
      <c r="B115" s="42" t="s">
        <v>171</v>
      </c>
      <c r="C115" s="43">
        <v>5145</v>
      </c>
      <c r="D115" s="44">
        <v>0</v>
      </c>
      <c r="E115" s="45">
        <v>16.7</v>
      </c>
      <c r="F115" s="46">
        <f t="shared" si="0"/>
        <v>18.8</v>
      </c>
      <c r="G115" s="46">
        <f t="shared" si="16"/>
        <v>1.2853419161040036</v>
      </c>
      <c r="H115" s="47">
        <f t="shared" si="2"/>
        <v>21.46520999893686</v>
      </c>
      <c r="I115" s="48">
        <f t="shared" si="3"/>
        <v>1104.3850544453014</v>
      </c>
      <c r="J115" s="55"/>
      <c r="K115" s="55"/>
      <c r="L115" s="56"/>
      <c r="M115" s="49">
        <v>459</v>
      </c>
      <c r="N115" s="43">
        <f t="shared" si="4"/>
        <v>98.525313895120178</v>
      </c>
    </row>
    <row r="116" spans="1:14">
      <c r="A116" s="42">
        <v>22001</v>
      </c>
      <c r="B116" s="42" t="s">
        <v>172</v>
      </c>
      <c r="C116" s="43">
        <v>58897</v>
      </c>
      <c r="D116" s="44">
        <v>34.200000000000003</v>
      </c>
      <c r="E116" s="45">
        <v>16.7</v>
      </c>
      <c r="F116" s="46">
        <f t="shared" si="0"/>
        <v>16.6112</v>
      </c>
      <c r="G116" s="46">
        <f t="shared" si="16"/>
        <v>1.1356952998290863</v>
      </c>
      <c r="H116" s="47">
        <f t="shared" si="2"/>
        <v>18.96611150714574</v>
      </c>
      <c r="I116" s="48">
        <f t="shared" si="3"/>
        <v>11170.470694363627</v>
      </c>
      <c r="J116" s="55"/>
      <c r="K116" s="55"/>
      <c r="L116" s="56"/>
      <c r="M116" s="49">
        <v>4981</v>
      </c>
      <c r="N116" s="43">
        <f t="shared" si="4"/>
        <v>944.70201417092937</v>
      </c>
    </row>
    <row r="117" spans="1:14">
      <c r="A117" s="42">
        <v>22002</v>
      </c>
      <c r="B117" s="42" t="s">
        <v>173</v>
      </c>
      <c r="C117" s="43">
        <v>10636</v>
      </c>
      <c r="D117" s="44">
        <v>0</v>
      </c>
      <c r="E117" s="45">
        <v>16.7</v>
      </c>
      <c r="F117" s="46">
        <f t="shared" si="0"/>
        <v>18.8</v>
      </c>
      <c r="G117" s="46">
        <f t="shared" si="16"/>
        <v>1.2853419161040036</v>
      </c>
      <c r="H117" s="47">
        <f t="shared" si="2"/>
        <v>21.46520999893686</v>
      </c>
      <c r="I117" s="48">
        <f t="shared" si="3"/>
        <v>2283.0397354869247</v>
      </c>
      <c r="J117" s="55"/>
      <c r="K117" s="55"/>
      <c r="L117" s="56"/>
      <c r="M117" s="49">
        <v>835</v>
      </c>
      <c r="N117" s="43">
        <f t="shared" si="4"/>
        <v>179.23450349112278</v>
      </c>
    </row>
    <row r="118" spans="1:14">
      <c r="A118" s="42">
        <v>30101</v>
      </c>
      <c r="B118" s="42" t="s">
        <v>55</v>
      </c>
      <c r="C118" s="43">
        <v>662714</v>
      </c>
      <c r="D118" s="44">
        <v>100</v>
      </c>
      <c r="E118" s="45">
        <v>12.6</v>
      </c>
      <c r="F118" s="46">
        <f t="shared" si="0"/>
        <v>12.4</v>
      </c>
      <c r="G118" s="46">
        <f t="shared" ref="G118:G165" si="17">1.2*F118/F$345</f>
        <v>0.86951662627875848</v>
      </c>
      <c r="H118" s="47">
        <f t="shared" si="2"/>
        <v>10.955909491112356</v>
      </c>
      <c r="I118" s="48">
        <f t="shared" si="3"/>
        <v>72606.346024930332</v>
      </c>
      <c r="J118" s="49">
        <f>SUM(C118:C165)</f>
        <v>1995225</v>
      </c>
      <c r="K118" s="49">
        <f>SUM(I118:I165)</f>
        <v>252116.7807394694</v>
      </c>
      <c r="L118" s="50">
        <f>K118/J118</f>
        <v>0.12636007504891397</v>
      </c>
      <c r="M118" s="49">
        <v>44213</v>
      </c>
      <c r="N118" s="43">
        <f t="shared" si="4"/>
        <v>4843.9362633055061</v>
      </c>
    </row>
    <row r="119" spans="1:14">
      <c r="A119" s="42">
        <v>30201</v>
      </c>
      <c r="B119" s="42" t="s">
        <v>174</v>
      </c>
      <c r="C119" s="43">
        <v>23135</v>
      </c>
      <c r="D119" s="44">
        <v>37.9</v>
      </c>
      <c r="E119" s="45">
        <v>12.6</v>
      </c>
      <c r="F119" s="46">
        <f t="shared" si="0"/>
        <v>16.374400000000001</v>
      </c>
      <c r="G119" s="46">
        <f t="shared" si="17"/>
        <v>1.148210729462815</v>
      </c>
      <c r="H119" s="47">
        <f t="shared" si="2"/>
        <v>14.467455191231469</v>
      </c>
      <c r="I119" s="48">
        <f t="shared" si="3"/>
        <v>3347.0457584914006</v>
      </c>
      <c r="J119" s="55"/>
      <c r="K119" s="55"/>
      <c r="L119" s="56"/>
      <c r="M119" s="49">
        <v>1811</v>
      </c>
      <c r="N119" s="43">
        <f t="shared" si="4"/>
        <v>262.00561351320192</v>
      </c>
    </row>
    <row r="120" spans="1:14">
      <c r="A120" s="42">
        <v>30202</v>
      </c>
      <c r="B120" s="42" t="s">
        <v>175</v>
      </c>
      <c r="C120" s="43">
        <v>6507</v>
      </c>
      <c r="D120" s="44">
        <v>43.9</v>
      </c>
      <c r="E120" s="45">
        <v>12.6</v>
      </c>
      <c r="F120" s="46">
        <f t="shared" si="0"/>
        <v>15.990400000000001</v>
      </c>
      <c r="G120" s="46">
        <f t="shared" si="17"/>
        <v>1.1212837629716017</v>
      </c>
      <c r="H120" s="47">
        <f t="shared" si="2"/>
        <v>14.128175413442181</v>
      </c>
      <c r="I120" s="48">
        <f t="shared" si="3"/>
        <v>919.32037415268269</v>
      </c>
      <c r="J120" s="55"/>
      <c r="K120" s="55"/>
      <c r="L120" s="56"/>
      <c r="M120" s="49">
        <v>445</v>
      </c>
      <c r="N120" s="43">
        <f t="shared" si="4"/>
        <v>62.870380589817707</v>
      </c>
    </row>
    <row r="121" spans="1:14">
      <c r="A121" s="42">
        <v>30203</v>
      </c>
      <c r="B121" s="42" t="s">
        <v>176</v>
      </c>
      <c r="C121" s="43">
        <v>6612</v>
      </c>
      <c r="D121" s="44">
        <v>0</v>
      </c>
      <c r="E121" s="45">
        <v>12.6</v>
      </c>
      <c r="F121" s="46">
        <f t="shared" si="0"/>
        <v>18.8</v>
      </c>
      <c r="G121" s="46">
        <f t="shared" si="17"/>
        <v>1.3182994011323113</v>
      </c>
      <c r="H121" s="47">
        <f t="shared" si="2"/>
        <v>16.610572454267121</v>
      </c>
      <c r="I121" s="48">
        <f t="shared" si="3"/>
        <v>1098.291050676142</v>
      </c>
      <c r="J121" s="55"/>
      <c r="K121" s="55"/>
      <c r="L121" s="56"/>
      <c r="M121" s="49">
        <v>576</v>
      </c>
      <c r="N121" s="43">
        <f t="shared" si="4"/>
        <v>95.67689733657862</v>
      </c>
    </row>
    <row r="122" spans="1:14">
      <c r="A122" s="42">
        <v>30301</v>
      </c>
      <c r="B122" s="42" t="s">
        <v>177</v>
      </c>
      <c r="C122" s="43">
        <v>21969</v>
      </c>
      <c r="D122" s="44">
        <v>0</v>
      </c>
      <c r="E122" s="45">
        <v>12.6</v>
      </c>
      <c r="F122" s="46">
        <f t="shared" si="0"/>
        <v>18.8</v>
      </c>
      <c r="G122" s="46">
        <f t="shared" si="17"/>
        <v>1.3182994011323113</v>
      </c>
      <c r="H122" s="47">
        <f t="shared" si="2"/>
        <v>16.610572454267121</v>
      </c>
      <c r="I122" s="48">
        <f t="shared" si="3"/>
        <v>3649.1766624779439</v>
      </c>
      <c r="J122" s="55"/>
      <c r="K122" s="55"/>
      <c r="L122" s="56"/>
      <c r="M122" s="49">
        <v>2001</v>
      </c>
      <c r="N122" s="43">
        <f t="shared" si="4"/>
        <v>332.37755480988511</v>
      </c>
    </row>
    <row r="123" spans="1:14">
      <c r="A123" s="42">
        <v>30302</v>
      </c>
      <c r="B123" s="42" t="s">
        <v>178</v>
      </c>
      <c r="C123" s="43">
        <v>14560</v>
      </c>
      <c r="D123" s="44">
        <v>0</v>
      </c>
      <c r="E123" s="45">
        <v>12.6</v>
      </c>
      <c r="F123" s="46">
        <f t="shared" si="0"/>
        <v>18.8</v>
      </c>
      <c r="G123" s="46">
        <f t="shared" si="17"/>
        <v>1.3182994011323113</v>
      </c>
      <c r="H123" s="47">
        <f t="shared" si="2"/>
        <v>16.610572454267121</v>
      </c>
      <c r="I123" s="48">
        <f t="shared" si="3"/>
        <v>2418.4993493412931</v>
      </c>
      <c r="J123" s="55"/>
      <c r="K123" s="55"/>
      <c r="L123" s="56"/>
      <c r="M123" s="49">
        <v>1185</v>
      </c>
      <c r="N123" s="43">
        <f t="shared" si="4"/>
        <v>196.8352835830654</v>
      </c>
    </row>
    <row r="124" spans="1:14">
      <c r="A124" s="42">
        <v>30303</v>
      </c>
      <c r="B124" s="42" t="s">
        <v>179</v>
      </c>
      <c r="C124" s="43">
        <v>19480</v>
      </c>
      <c r="D124" s="44">
        <v>0</v>
      </c>
      <c r="E124" s="45">
        <v>12.6</v>
      </c>
      <c r="F124" s="46">
        <f t="shared" si="0"/>
        <v>18.8</v>
      </c>
      <c r="G124" s="46">
        <f t="shared" si="17"/>
        <v>1.3182994011323113</v>
      </c>
      <c r="H124" s="47">
        <f t="shared" si="2"/>
        <v>16.610572454267121</v>
      </c>
      <c r="I124" s="48">
        <f t="shared" si="3"/>
        <v>3235.7395140912354</v>
      </c>
      <c r="J124" s="55"/>
      <c r="K124" s="55"/>
      <c r="L124" s="56"/>
      <c r="M124" s="49">
        <v>2004</v>
      </c>
      <c r="N124" s="43">
        <f t="shared" si="4"/>
        <v>332.87587198351315</v>
      </c>
    </row>
    <row r="125" spans="1:14">
      <c r="A125" s="42">
        <v>30401</v>
      </c>
      <c r="B125" s="42" t="s">
        <v>180</v>
      </c>
      <c r="C125" s="43">
        <v>11020</v>
      </c>
      <c r="D125" s="44">
        <v>40.799999999999997</v>
      </c>
      <c r="E125" s="45">
        <v>12.6</v>
      </c>
      <c r="F125" s="46">
        <f t="shared" si="0"/>
        <v>16.188800000000001</v>
      </c>
      <c r="G125" s="46">
        <f t="shared" si="17"/>
        <v>1.1351960289920617</v>
      </c>
      <c r="H125" s="47">
        <f t="shared" si="2"/>
        <v>14.303469965299977</v>
      </c>
      <c r="I125" s="48">
        <f t="shared" si="3"/>
        <v>1576.2423901760576</v>
      </c>
      <c r="J125" s="55"/>
      <c r="K125" s="55"/>
      <c r="L125" s="56"/>
      <c r="M125" s="49">
        <v>811</v>
      </c>
      <c r="N125" s="43">
        <f t="shared" si="4"/>
        <v>116.0011414185828</v>
      </c>
    </row>
    <row r="126" spans="1:14">
      <c r="A126" s="42">
        <v>30402</v>
      </c>
      <c r="B126" s="42" t="s">
        <v>181</v>
      </c>
      <c r="C126" s="43">
        <v>7323</v>
      </c>
      <c r="D126" s="44">
        <v>0</v>
      </c>
      <c r="E126" s="45">
        <v>12.6</v>
      </c>
      <c r="F126" s="46">
        <f t="shared" si="0"/>
        <v>18.8</v>
      </c>
      <c r="G126" s="46">
        <f t="shared" si="17"/>
        <v>1.3182994011323113</v>
      </c>
      <c r="H126" s="47">
        <f t="shared" si="2"/>
        <v>16.610572454267121</v>
      </c>
      <c r="I126" s="48">
        <f t="shared" si="3"/>
        <v>1216.3922208259814</v>
      </c>
      <c r="J126" s="55"/>
      <c r="K126" s="55"/>
      <c r="L126" s="56"/>
      <c r="M126" s="49">
        <v>498</v>
      </c>
      <c r="N126" s="43">
        <f t="shared" si="4"/>
        <v>82.720650822250263</v>
      </c>
    </row>
    <row r="127" spans="1:14">
      <c r="A127" s="42">
        <v>30403</v>
      </c>
      <c r="B127" s="42" t="s">
        <v>182</v>
      </c>
      <c r="C127" s="43">
        <v>28381</v>
      </c>
      <c r="D127" s="44">
        <v>65</v>
      </c>
      <c r="E127" s="45">
        <v>12.6</v>
      </c>
      <c r="F127" s="46">
        <f t="shared" si="0"/>
        <v>14.64</v>
      </c>
      <c r="G127" s="46">
        <f t="shared" si="17"/>
        <v>1.026590597477502</v>
      </c>
      <c r="H127" s="47">
        <f t="shared" si="2"/>
        <v>12.935041528216525</v>
      </c>
      <c r="I127" s="48">
        <f t="shared" si="3"/>
        <v>3671.0941361231316</v>
      </c>
      <c r="J127" s="55"/>
      <c r="K127" s="55"/>
      <c r="L127" s="56"/>
      <c r="M127" s="49">
        <v>2520</v>
      </c>
      <c r="N127" s="43">
        <f t="shared" si="4"/>
        <v>325.9630465110564</v>
      </c>
    </row>
    <row r="128" spans="1:14">
      <c r="A128" s="42">
        <v>30404</v>
      </c>
      <c r="B128" s="42" t="s">
        <v>183</v>
      </c>
      <c r="C128" s="43">
        <v>4935</v>
      </c>
      <c r="D128" s="44">
        <v>0</v>
      </c>
      <c r="E128" s="45">
        <v>12.6</v>
      </c>
      <c r="F128" s="46">
        <f t="shared" si="0"/>
        <v>18.8</v>
      </c>
      <c r="G128" s="46">
        <f t="shared" si="17"/>
        <v>1.3182994011323113</v>
      </c>
      <c r="H128" s="47">
        <f t="shared" si="2"/>
        <v>16.610572454267121</v>
      </c>
      <c r="I128" s="48">
        <f t="shared" si="3"/>
        <v>819.7317506180824</v>
      </c>
      <c r="J128" s="55"/>
      <c r="K128" s="55"/>
      <c r="L128" s="56"/>
      <c r="M128" s="49">
        <v>324</v>
      </c>
      <c r="N128" s="43">
        <f t="shared" si="4"/>
        <v>53.818254751825471</v>
      </c>
    </row>
    <row r="129" spans="1:14">
      <c r="A129" s="42">
        <v>30501</v>
      </c>
      <c r="B129" s="42" t="s">
        <v>184</v>
      </c>
      <c r="C129" s="43">
        <v>11043</v>
      </c>
      <c r="D129" s="44">
        <v>37.9</v>
      </c>
      <c r="E129" s="45">
        <v>12.6</v>
      </c>
      <c r="F129" s="46">
        <f t="shared" si="0"/>
        <v>16.374400000000001</v>
      </c>
      <c r="G129" s="46">
        <f t="shared" si="17"/>
        <v>1.148210729462815</v>
      </c>
      <c r="H129" s="47">
        <f t="shared" si="2"/>
        <v>14.467455191231469</v>
      </c>
      <c r="I129" s="48">
        <f t="shared" si="3"/>
        <v>1597.6410767676912</v>
      </c>
      <c r="J129" s="55"/>
      <c r="K129" s="55"/>
      <c r="L129" s="56"/>
      <c r="M129" s="49">
        <v>740</v>
      </c>
      <c r="N129" s="43">
        <f t="shared" si="4"/>
        <v>107.05916841511288</v>
      </c>
    </row>
    <row r="130" spans="1:14">
      <c r="A130" s="42">
        <v>30502</v>
      </c>
      <c r="B130" s="42" t="s">
        <v>185</v>
      </c>
      <c r="C130" s="43">
        <v>8453</v>
      </c>
      <c r="D130" s="44">
        <v>0</v>
      </c>
      <c r="E130" s="45">
        <v>12.6</v>
      </c>
      <c r="F130" s="46">
        <f t="shared" si="0"/>
        <v>18.8</v>
      </c>
      <c r="G130" s="46">
        <f t="shared" si="17"/>
        <v>1.3182994011323113</v>
      </c>
      <c r="H130" s="47">
        <f t="shared" si="2"/>
        <v>16.610572454267121</v>
      </c>
      <c r="I130" s="48">
        <f t="shared" si="3"/>
        <v>1404.0916895591997</v>
      </c>
      <c r="J130" s="55"/>
      <c r="K130" s="55"/>
      <c r="L130" s="56"/>
      <c r="M130" s="49">
        <v>566</v>
      </c>
      <c r="N130" s="43">
        <f t="shared" si="4"/>
        <v>94.015840091151915</v>
      </c>
    </row>
    <row r="131" spans="1:14">
      <c r="A131" s="42">
        <v>30601</v>
      </c>
      <c r="B131" s="42" t="s">
        <v>186</v>
      </c>
      <c r="C131" s="43">
        <v>10629</v>
      </c>
      <c r="D131" s="44">
        <v>0</v>
      </c>
      <c r="E131" s="45">
        <v>12.6</v>
      </c>
      <c r="F131" s="46">
        <f t="shared" si="0"/>
        <v>18.8</v>
      </c>
      <c r="G131" s="46">
        <f t="shared" si="17"/>
        <v>1.3182994011323113</v>
      </c>
      <c r="H131" s="47">
        <f t="shared" si="2"/>
        <v>16.610572454267121</v>
      </c>
      <c r="I131" s="48">
        <f t="shared" si="3"/>
        <v>1765.5377461640521</v>
      </c>
      <c r="J131" s="55"/>
      <c r="K131" s="55"/>
      <c r="L131" s="56"/>
      <c r="M131" s="49">
        <v>1189</v>
      </c>
      <c r="N131" s="43">
        <f t="shared" si="4"/>
        <v>197.49970648123607</v>
      </c>
    </row>
    <row r="132" spans="1:14">
      <c r="A132" s="42">
        <v>30602</v>
      </c>
      <c r="B132" s="42" t="s">
        <v>187</v>
      </c>
      <c r="C132" s="43">
        <v>10709</v>
      </c>
      <c r="D132" s="44">
        <v>0</v>
      </c>
      <c r="E132" s="45">
        <v>12.6</v>
      </c>
      <c r="F132" s="46">
        <f t="shared" si="0"/>
        <v>18.8</v>
      </c>
      <c r="G132" s="46">
        <f t="shared" si="17"/>
        <v>1.3182994011323113</v>
      </c>
      <c r="H132" s="47">
        <f t="shared" si="2"/>
        <v>16.610572454267121</v>
      </c>
      <c r="I132" s="48">
        <f t="shared" si="3"/>
        <v>1778.8262041274659</v>
      </c>
      <c r="J132" s="55"/>
      <c r="K132" s="55"/>
      <c r="L132" s="56"/>
      <c r="M132" s="49">
        <v>853</v>
      </c>
      <c r="N132" s="43">
        <f t="shared" si="4"/>
        <v>141.68818303489854</v>
      </c>
    </row>
    <row r="133" spans="1:14">
      <c r="A133" s="42">
        <v>30701</v>
      </c>
      <c r="B133" s="42" t="s">
        <v>188</v>
      </c>
      <c r="C133" s="43">
        <v>19431</v>
      </c>
      <c r="D133" s="44">
        <v>45.7</v>
      </c>
      <c r="E133" s="45">
        <v>12.6</v>
      </c>
      <c r="F133" s="46">
        <f t="shared" si="0"/>
        <v>15.8752</v>
      </c>
      <c r="G133" s="46">
        <f t="shared" si="17"/>
        <v>1.1132056730242377</v>
      </c>
      <c r="H133" s="47">
        <f t="shared" si="2"/>
        <v>14.026391480105394</v>
      </c>
      <c r="I133" s="48">
        <f t="shared" si="3"/>
        <v>2725.4681284992794</v>
      </c>
      <c r="J133" s="55"/>
      <c r="K133" s="55"/>
      <c r="L133" s="56"/>
      <c r="M133" s="49">
        <v>1608</v>
      </c>
      <c r="N133" s="43">
        <f t="shared" si="4"/>
        <v>225.54437500009473</v>
      </c>
    </row>
    <row r="134" spans="1:14">
      <c r="A134" s="42">
        <v>30702</v>
      </c>
      <c r="B134" s="42" t="s">
        <v>189</v>
      </c>
      <c r="C134" s="43">
        <v>7822</v>
      </c>
      <c r="D134" s="44">
        <v>0</v>
      </c>
      <c r="E134" s="45">
        <v>12.6</v>
      </c>
      <c r="F134" s="46">
        <f t="shared" si="0"/>
        <v>18.8</v>
      </c>
      <c r="G134" s="46">
        <f t="shared" si="17"/>
        <v>1.3182994011323113</v>
      </c>
      <c r="H134" s="47">
        <f t="shared" si="2"/>
        <v>16.610572454267121</v>
      </c>
      <c r="I134" s="48">
        <f t="shared" si="3"/>
        <v>1299.2789773727743</v>
      </c>
      <c r="J134" s="55"/>
      <c r="K134" s="55"/>
      <c r="L134" s="56"/>
      <c r="M134" s="49">
        <v>568</v>
      </c>
      <c r="N134" s="43">
        <f t="shared" si="4"/>
        <v>94.34805154023725</v>
      </c>
    </row>
    <row r="135" spans="1:14">
      <c r="A135" s="42">
        <v>30703</v>
      </c>
      <c r="B135" s="42" t="s">
        <v>190</v>
      </c>
      <c r="C135" s="43">
        <v>3960</v>
      </c>
      <c r="D135" s="44">
        <v>0</v>
      </c>
      <c r="E135" s="45">
        <v>12.6</v>
      </c>
      <c r="F135" s="46">
        <f t="shared" si="0"/>
        <v>18.8</v>
      </c>
      <c r="G135" s="46">
        <f t="shared" si="17"/>
        <v>1.3182994011323113</v>
      </c>
      <c r="H135" s="47">
        <f t="shared" si="2"/>
        <v>16.610572454267121</v>
      </c>
      <c r="I135" s="48">
        <f t="shared" si="3"/>
        <v>657.77866918897791</v>
      </c>
      <c r="J135" s="55"/>
      <c r="K135" s="55"/>
      <c r="L135" s="56"/>
      <c r="M135" s="49">
        <v>348</v>
      </c>
      <c r="N135" s="43">
        <f t="shared" si="4"/>
        <v>57.804792140849585</v>
      </c>
    </row>
    <row r="136" spans="1:14">
      <c r="A136" s="42">
        <v>30801</v>
      </c>
      <c r="B136" s="42" t="s">
        <v>191</v>
      </c>
      <c r="C136" s="43">
        <v>21217</v>
      </c>
      <c r="D136" s="44">
        <v>52.5</v>
      </c>
      <c r="E136" s="45">
        <v>12.6</v>
      </c>
      <c r="F136" s="46">
        <f t="shared" si="0"/>
        <v>15.440000000000001</v>
      </c>
      <c r="G136" s="46">
        <f t="shared" si="17"/>
        <v>1.0826884443341962</v>
      </c>
      <c r="H136" s="47">
        <f t="shared" si="2"/>
        <v>13.641874398610872</v>
      </c>
      <c r="I136" s="48">
        <f t="shared" si="3"/>
        <v>2894.3964911532689</v>
      </c>
      <c r="J136" s="55"/>
      <c r="K136" s="55"/>
      <c r="L136" s="56"/>
      <c r="M136" s="49">
        <v>1644</v>
      </c>
      <c r="N136" s="43">
        <f t="shared" si="4"/>
        <v>224.27241511316277</v>
      </c>
    </row>
    <row r="137" spans="1:14">
      <c r="A137" s="42">
        <v>30802</v>
      </c>
      <c r="B137" s="42" t="s">
        <v>192</v>
      </c>
      <c r="C137" s="43">
        <v>7355</v>
      </c>
      <c r="D137" s="44">
        <v>0</v>
      </c>
      <c r="E137" s="45">
        <v>12.6</v>
      </c>
      <c r="F137" s="46">
        <f t="shared" si="0"/>
        <v>18.8</v>
      </c>
      <c r="G137" s="46">
        <f t="shared" si="17"/>
        <v>1.3182994011323113</v>
      </c>
      <c r="H137" s="47">
        <f t="shared" si="2"/>
        <v>16.610572454267121</v>
      </c>
      <c r="I137" s="48">
        <f t="shared" si="3"/>
        <v>1221.7076040113468</v>
      </c>
      <c r="J137" s="55"/>
      <c r="K137" s="55"/>
      <c r="L137" s="56"/>
      <c r="M137" s="49">
        <v>497</v>
      </c>
      <c r="N137" s="43">
        <f t="shared" si="4"/>
        <v>82.554545097707603</v>
      </c>
    </row>
    <row r="138" spans="1:14">
      <c r="A138" s="42">
        <v>30803</v>
      </c>
      <c r="B138" s="42" t="s">
        <v>193</v>
      </c>
      <c r="C138" s="43">
        <v>8425</v>
      </c>
      <c r="D138" s="44">
        <v>29.3</v>
      </c>
      <c r="E138" s="45">
        <v>12.6</v>
      </c>
      <c r="F138" s="46">
        <f t="shared" si="0"/>
        <v>16.924800000000001</v>
      </c>
      <c r="G138" s="46">
        <f t="shared" si="17"/>
        <v>1.1868060481002205</v>
      </c>
      <c r="H138" s="47">
        <f t="shared" si="2"/>
        <v>14.953756206062778</v>
      </c>
      <c r="I138" s="48">
        <f t="shared" si="3"/>
        <v>1259.853960360789</v>
      </c>
      <c r="J138" s="55"/>
      <c r="K138" s="55"/>
      <c r="L138" s="56"/>
      <c r="M138" s="49">
        <v>574</v>
      </c>
      <c r="N138" s="43">
        <f t="shared" si="4"/>
        <v>85.834560622800339</v>
      </c>
    </row>
    <row r="139" spans="1:14">
      <c r="A139" s="42">
        <v>30901</v>
      </c>
      <c r="B139" s="42" t="s">
        <v>194</v>
      </c>
      <c r="C139" s="43">
        <v>164278</v>
      </c>
      <c r="D139" s="44">
        <v>95.4</v>
      </c>
      <c r="E139" s="45">
        <v>12.6</v>
      </c>
      <c r="F139" s="46">
        <f t="shared" si="0"/>
        <v>12.6944</v>
      </c>
      <c r="G139" s="46">
        <f t="shared" si="17"/>
        <v>0.89016063392202194</v>
      </c>
      <c r="H139" s="47">
        <f t="shared" si="2"/>
        <v>11.216023987417476</v>
      </c>
      <c r="I139" s="48">
        <f t="shared" si="3"/>
        <v>18425.459886049681</v>
      </c>
      <c r="J139" s="55"/>
      <c r="K139" s="55"/>
      <c r="L139" s="56"/>
      <c r="M139" s="49">
        <v>12349</v>
      </c>
      <c r="N139" s="43">
        <f t="shared" si="4"/>
        <v>1385.0668022061841</v>
      </c>
    </row>
    <row r="140" spans="1:14">
      <c r="A140" s="42">
        <v>30902</v>
      </c>
      <c r="B140" s="42" t="s">
        <v>195</v>
      </c>
      <c r="C140" s="43">
        <v>54713</v>
      </c>
      <c r="D140" s="44">
        <v>64.5</v>
      </c>
      <c r="E140" s="45">
        <v>12.6</v>
      </c>
      <c r="F140" s="46">
        <f t="shared" si="0"/>
        <v>14.672000000000001</v>
      </c>
      <c r="G140" s="46">
        <f t="shared" si="17"/>
        <v>1.0288345113517698</v>
      </c>
      <c r="H140" s="47">
        <f t="shared" si="2"/>
        <v>12.9633148430323</v>
      </c>
      <c r="I140" s="48">
        <f t="shared" si="3"/>
        <v>7092.6184500682621</v>
      </c>
      <c r="J140" s="55"/>
      <c r="K140" s="55"/>
      <c r="L140" s="56"/>
      <c r="M140" s="49">
        <v>5096</v>
      </c>
      <c r="N140" s="43">
        <f t="shared" si="4"/>
        <v>660.61052440092612</v>
      </c>
    </row>
    <row r="141" spans="1:14">
      <c r="A141" s="42">
        <v>30903</v>
      </c>
      <c r="B141" s="42" t="s">
        <v>196</v>
      </c>
      <c r="C141" s="43">
        <v>61179</v>
      </c>
      <c r="D141" s="44">
        <v>94</v>
      </c>
      <c r="E141" s="45">
        <v>12.6</v>
      </c>
      <c r="F141" s="46">
        <f t="shared" si="0"/>
        <v>12.784000000000001</v>
      </c>
      <c r="G141" s="46">
        <f t="shared" si="17"/>
        <v>0.89644359276997176</v>
      </c>
      <c r="H141" s="47">
        <f t="shared" si="2"/>
        <v>11.295189268901645</v>
      </c>
      <c r="I141" s="48">
        <f t="shared" si="3"/>
        <v>6910.2838428213381</v>
      </c>
      <c r="J141" s="55"/>
      <c r="K141" s="55"/>
      <c r="L141" s="56"/>
      <c r="M141" s="49">
        <v>4411</v>
      </c>
      <c r="N141" s="43">
        <f t="shared" si="4"/>
        <v>498.23079865125152</v>
      </c>
    </row>
    <row r="142" spans="1:14">
      <c r="A142" s="42">
        <v>30904</v>
      </c>
      <c r="B142" s="42" t="s">
        <v>197</v>
      </c>
      <c r="C142" s="43">
        <v>55723</v>
      </c>
      <c r="D142" s="44">
        <v>84.1</v>
      </c>
      <c r="E142" s="45">
        <v>12.6</v>
      </c>
      <c r="F142" s="46">
        <f t="shared" si="0"/>
        <v>13.4176</v>
      </c>
      <c r="G142" s="46">
        <f t="shared" si="17"/>
        <v>0.94087308748047338</v>
      </c>
      <c r="H142" s="47">
        <f t="shared" si="2"/>
        <v>11.855000902253964</v>
      </c>
      <c r="I142" s="48">
        <f t="shared" si="3"/>
        <v>6605.9621527629761</v>
      </c>
      <c r="J142" s="55"/>
      <c r="K142" s="55"/>
      <c r="L142" s="56"/>
      <c r="M142" s="49">
        <v>4607</v>
      </c>
      <c r="N142" s="43">
        <f t="shared" si="4"/>
        <v>546.1598915668402</v>
      </c>
    </row>
    <row r="143" spans="1:14">
      <c r="A143" s="42">
        <v>30905</v>
      </c>
      <c r="B143" s="42" t="s">
        <v>198</v>
      </c>
      <c r="C143" s="43">
        <v>65295</v>
      </c>
      <c r="D143" s="44">
        <v>100</v>
      </c>
      <c r="E143" s="45">
        <v>12.6</v>
      </c>
      <c r="F143" s="46">
        <f t="shared" si="0"/>
        <v>12.4</v>
      </c>
      <c r="G143" s="46">
        <f t="shared" si="17"/>
        <v>0.86951662627875848</v>
      </c>
      <c r="H143" s="47">
        <f t="shared" si="2"/>
        <v>10.955909491112356</v>
      </c>
      <c r="I143" s="48">
        <f t="shared" si="3"/>
        <v>7153.6611022218131</v>
      </c>
      <c r="J143" s="55"/>
      <c r="K143" s="55"/>
      <c r="L143" s="56"/>
      <c r="M143" s="49">
        <v>4337</v>
      </c>
      <c r="N143" s="43">
        <f t="shared" si="4"/>
        <v>475.15779462954293</v>
      </c>
    </row>
    <row r="144" spans="1:14">
      <c r="A144" s="42">
        <v>31001</v>
      </c>
      <c r="B144" s="42" t="s">
        <v>199</v>
      </c>
      <c r="C144" s="43">
        <v>215207</v>
      </c>
      <c r="D144" s="44">
        <v>87.6</v>
      </c>
      <c r="E144" s="45">
        <v>12.6</v>
      </c>
      <c r="F144" s="46">
        <f t="shared" si="0"/>
        <v>13.1936</v>
      </c>
      <c r="G144" s="46">
        <f t="shared" si="17"/>
        <v>0.92516569036059904</v>
      </c>
      <c r="H144" s="47">
        <f t="shared" si="2"/>
        <v>11.657087698543547</v>
      </c>
      <c r="I144" s="48">
        <f t="shared" si="3"/>
        <v>25086.868723404612</v>
      </c>
      <c r="J144" s="55"/>
      <c r="K144" s="55"/>
      <c r="L144" s="56"/>
      <c r="M144" s="49">
        <v>15670</v>
      </c>
      <c r="N144" s="43">
        <f t="shared" si="4"/>
        <v>1826.665642361774</v>
      </c>
    </row>
    <row r="145" spans="1:14">
      <c r="A145" s="42">
        <v>31002</v>
      </c>
      <c r="B145" s="42" t="s">
        <v>200</v>
      </c>
      <c r="C145" s="43">
        <v>21633</v>
      </c>
      <c r="D145" s="44">
        <v>19.600000000000001</v>
      </c>
      <c r="E145" s="45">
        <v>12.6</v>
      </c>
      <c r="F145" s="46">
        <f t="shared" si="0"/>
        <v>17.5456</v>
      </c>
      <c r="G145" s="46">
        <f t="shared" si="17"/>
        <v>1.230337977261015</v>
      </c>
      <c r="H145" s="47">
        <f t="shared" si="2"/>
        <v>15.502258513488789</v>
      </c>
      <c r="I145" s="48">
        <f t="shared" si="3"/>
        <v>3353.6035842230299</v>
      </c>
      <c r="J145" s="55"/>
      <c r="K145" s="55"/>
      <c r="L145" s="56"/>
      <c r="M145" s="49">
        <v>1832</v>
      </c>
      <c r="N145" s="43">
        <f t="shared" si="4"/>
        <v>284.0013759671146</v>
      </c>
    </row>
    <row r="146" spans="1:14">
      <c r="A146" s="42">
        <v>31003</v>
      </c>
      <c r="B146" s="42" t="s">
        <v>201</v>
      </c>
      <c r="C146" s="43">
        <v>91884</v>
      </c>
      <c r="D146" s="44">
        <v>12</v>
      </c>
      <c r="E146" s="45">
        <v>12.6</v>
      </c>
      <c r="F146" s="46">
        <f t="shared" si="0"/>
        <v>18.032</v>
      </c>
      <c r="G146" s="46">
        <f t="shared" si="17"/>
        <v>1.2644454681498851</v>
      </c>
      <c r="H146" s="47">
        <f t="shared" si="2"/>
        <v>15.932012898688551</v>
      </c>
      <c r="I146" s="48">
        <f t="shared" si="3"/>
        <v>14638.970731830988</v>
      </c>
      <c r="J146" s="55"/>
      <c r="K146" s="55"/>
      <c r="L146" s="56"/>
      <c r="M146" s="49">
        <v>8125</v>
      </c>
      <c r="N146" s="43">
        <f t="shared" si="4"/>
        <v>1294.4760480184448</v>
      </c>
    </row>
    <row r="147" spans="1:14">
      <c r="A147" s="42">
        <v>31101</v>
      </c>
      <c r="B147" s="42" t="s">
        <v>202</v>
      </c>
      <c r="C147" s="43">
        <v>24663</v>
      </c>
      <c r="D147" s="44">
        <v>0</v>
      </c>
      <c r="E147" s="45">
        <v>12.6</v>
      </c>
      <c r="F147" s="46">
        <f t="shared" si="0"/>
        <v>18.8</v>
      </c>
      <c r="G147" s="46">
        <f t="shared" si="17"/>
        <v>1.3182994011323113</v>
      </c>
      <c r="H147" s="47">
        <f t="shared" si="2"/>
        <v>16.610572454267121</v>
      </c>
      <c r="I147" s="48">
        <f t="shared" si="3"/>
        <v>4096.6654843959004</v>
      </c>
      <c r="J147" s="55"/>
      <c r="K147" s="55"/>
      <c r="L147" s="56"/>
      <c r="M147" s="49">
        <v>2234</v>
      </c>
      <c r="N147" s="43">
        <f t="shared" si="4"/>
        <v>371.08018862832745</v>
      </c>
    </row>
    <row r="148" spans="1:14">
      <c r="A148" s="42">
        <v>31201</v>
      </c>
      <c r="B148" s="42" t="s">
        <v>203</v>
      </c>
      <c r="C148" s="43">
        <v>14808</v>
      </c>
      <c r="D148" s="44">
        <v>0</v>
      </c>
      <c r="E148" s="45">
        <v>12.6</v>
      </c>
      <c r="F148" s="46">
        <f t="shared" si="0"/>
        <v>18.8</v>
      </c>
      <c r="G148" s="46">
        <f t="shared" si="17"/>
        <v>1.3182994011323113</v>
      </c>
      <c r="H148" s="47">
        <f t="shared" si="2"/>
        <v>16.610572454267121</v>
      </c>
      <c r="I148" s="48">
        <f t="shared" si="3"/>
        <v>2459.6935690278751</v>
      </c>
      <c r="J148" s="55"/>
      <c r="K148" s="55"/>
      <c r="L148" s="56"/>
      <c r="M148" s="49">
        <v>1548</v>
      </c>
      <c r="N148" s="43">
        <f t="shared" si="4"/>
        <v>257.13166159205502</v>
      </c>
    </row>
    <row r="149" spans="1:14">
      <c r="A149" s="42">
        <v>31202</v>
      </c>
      <c r="B149" s="42" t="s">
        <v>204</v>
      </c>
      <c r="C149" s="43">
        <v>11723</v>
      </c>
      <c r="D149" s="44">
        <v>0</v>
      </c>
      <c r="E149" s="45">
        <v>12.6</v>
      </c>
      <c r="F149" s="46">
        <f t="shared" si="0"/>
        <v>18.8</v>
      </c>
      <c r="G149" s="46">
        <f t="shared" si="17"/>
        <v>1.3182994011323113</v>
      </c>
      <c r="H149" s="47">
        <f t="shared" si="2"/>
        <v>16.610572454267121</v>
      </c>
      <c r="I149" s="48">
        <f t="shared" si="3"/>
        <v>1947.2574088137346</v>
      </c>
      <c r="J149" s="55"/>
      <c r="K149" s="55"/>
      <c r="L149" s="56"/>
      <c r="M149" s="49">
        <v>1125</v>
      </c>
      <c r="N149" s="43">
        <f t="shared" si="4"/>
        <v>186.86894011050509</v>
      </c>
    </row>
    <row r="150" spans="1:14">
      <c r="A150" s="42">
        <v>31203</v>
      </c>
      <c r="B150" s="42" t="s">
        <v>205</v>
      </c>
      <c r="C150" s="43">
        <v>12132</v>
      </c>
      <c r="D150" s="44">
        <v>0</v>
      </c>
      <c r="E150" s="45">
        <v>12.6</v>
      </c>
      <c r="F150" s="46">
        <f t="shared" si="0"/>
        <v>18.8</v>
      </c>
      <c r="G150" s="46">
        <f t="shared" si="17"/>
        <v>1.3182994011323113</v>
      </c>
      <c r="H150" s="47">
        <f t="shared" si="2"/>
        <v>16.610572454267121</v>
      </c>
      <c r="I150" s="48">
        <f t="shared" si="3"/>
        <v>2015.194650151687</v>
      </c>
      <c r="J150" s="55"/>
      <c r="K150" s="55"/>
      <c r="L150" s="56"/>
      <c r="M150" s="49">
        <v>942</v>
      </c>
      <c r="N150" s="43">
        <f t="shared" si="4"/>
        <v>156.47159251919626</v>
      </c>
    </row>
    <row r="151" spans="1:14">
      <c r="A151" s="42">
        <v>31204</v>
      </c>
      <c r="B151" s="42" t="s">
        <v>206</v>
      </c>
      <c r="C151" s="43">
        <v>27039</v>
      </c>
      <c r="D151" s="44">
        <v>38.5</v>
      </c>
      <c r="E151" s="45">
        <v>12.6</v>
      </c>
      <c r="F151" s="46">
        <f t="shared" si="0"/>
        <v>16.336000000000002</v>
      </c>
      <c r="G151" s="46">
        <f t="shared" si="17"/>
        <v>1.1455180328136936</v>
      </c>
      <c r="H151" s="47">
        <f t="shared" si="2"/>
        <v>14.433527213452539</v>
      </c>
      <c r="I151" s="48">
        <f t="shared" si="3"/>
        <v>3902.6814232454321</v>
      </c>
      <c r="J151" s="55"/>
      <c r="K151" s="55"/>
      <c r="L151" s="56"/>
      <c r="M151" s="49">
        <v>2349</v>
      </c>
      <c r="N151" s="43">
        <f t="shared" si="4"/>
        <v>339.04355424400012</v>
      </c>
    </row>
    <row r="152" spans="1:14">
      <c r="A152" s="42">
        <v>31205</v>
      </c>
      <c r="B152" s="42" t="s">
        <v>207</v>
      </c>
      <c r="C152" s="43">
        <v>63098</v>
      </c>
      <c r="D152" s="44">
        <v>34.9</v>
      </c>
      <c r="E152" s="45">
        <v>12.6</v>
      </c>
      <c r="F152" s="46">
        <f t="shared" si="0"/>
        <v>16.566400000000002</v>
      </c>
      <c r="G152" s="46">
        <f t="shared" si="17"/>
        <v>1.1616742127084214</v>
      </c>
      <c r="H152" s="47">
        <f t="shared" si="2"/>
        <v>14.637095080126109</v>
      </c>
      <c r="I152" s="48">
        <f t="shared" si="3"/>
        <v>9235.7142536579722</v>
      </c>
      <c r="J152" s="55"/>
      <c r="K152" s="55"/>
      <c r="L152" s="56"/>
      <c r="M152" s="49">
        <v>5838</v>
      </c>
      <c r="N152" s="43">
        <f t="shared" si="4"/>
        <v>854.51361077776221</v>
      </c>
    </row>
    <row r="153" spans="1:14">
      <c r="A153" s="42">
        <v>31206</v>
      </c>
      <c r="B153" s="42" t="s">
        <v>208</v>
      </c>
      <c r="C153" s="43">
        <v>44594</v>
      </c>
      <c r="D153" s="44">
        <v>60.8</v>
      </c>
      <c r="E153" s="45">
        <v>12.6</v>
      </c>
      <c r="F153" s="46">
        <f t="shared" si="0"/>
        <v>14.908800000000001</v>
      </c>
      <c r="G153" s="46">
        <f t="shared" si="17"/>
        <v>1.0454394740213513</v>
      </c>
      <c r="H153" s="47">
        <f t="shared" si="2"/>
        <v>13.172537372669026</v>
      </c>
      <c r="I153" s="48">
        <f t="shared" si="3"/>
        <v>5874.1613159680264</v>
      </c>
      <c r="J153" s="55"/>
      <c r="K153" s="55"/>
      <c r="L153" s="56"/>
      <c r="M153" s="49">
        <v>4067</v>
      </c>
      <c r="N153" s="43">
        <f t="shared" si="4"/>
        <v>535.72709494644926</v>
      </c>
    </row>
    <row r="154" spans="1:14">
      <c r="A154" s="42">
        <v>31301</v>
      </c>
      <c r="B154" s="42" t="s">
        <v>209</v>
      </c>
      <c r="C154" s="43">
        <v>19893</v>
      </c>
      <c r="D154" s="44">
        <v>29.8</v>
      </c>
      <c r="E154" s="45">
        <v>12.6</v>
      </c>
      <c r="F154" s="46">
        <f t="shared" si="0"/>
        <v>16.892800000000001</v>
      </c>
      <c r="G154" s="46">
        <f t="shared" si="17"/>
        <v>1.1845621342259527</v>
      </c>
      <c r="H154" s="47">
        <f t="shared" si="2"/>
        <v>14.925482891247004</v>
      </c>
      <c r="I154" s="48">
        <f t="shared" si="3"/>
        <v>2969.1263115557667</v>
      </c>
      <c r="J154" s="55"/>
      <c r="K154" s="55"/>
      <c r="L154" s="56"/>
      <c r="M154" s="49">
        <v>1766</v>
      </c>
      <c r="N154" s="43">
        <f t="shared" si="4"/>
        <v>263.58402785942212</v>
      </c>
    </row>
    <row r="155" spans="1:14">
      <c r="A155" s="42">
        <v>31302</v>
      </c>
      <c r="B155" s="42" t="s">
        <v>210</v>
      </c>
      <c r="C155" s="43">
        <v>5262</v>
      </c>
      <c r="D155" s="44">
        <v>0</v>
      </c>
      <c r="E155" s="45">
        <v>12.6</v>
      </c>
      <c r="F155" s="46">
        <f t="shared" si="0"/>
        <v>18.8</v>
      </c>
      <c r="G155" s="46">
        <f t="shared" si="17"/>
        <v>1.3182994011323113</v>
      </c>
      <c r="H155" s="47">
        <f t="shared" si="2"/>
        <v>16.610572454267121</v>
      </c>
      <c r="I155" s="48">
        <f t="shared" si="3"/>
        <v>874.04832254353596</v>
      </c>
      <c r="J155" s="55"/>
      <c r="K155" s="55"/>
      <c r="L155" s="56"/>
      <c r="M155" s="49">
        <v>722</v>
      </c>
      <c r="N155" s="43">
        <f t="shared" si="4"/>
        <v>119.92833311980861</v>
      </c>
    </row>
    <row r="156" spans="1:14">
      <c r="A156" s="42">
        <v>31303</v>
      </c>
      <c r="B156" s="42" t="s">
        <v>211</v>
      </c>
      <c r="C156" s="43">
        <v>3507</v>
      </c>
      <c r="D156" s="44">
        <v>0</v>
      </c>
      <c r="E156" s="45">
        <v>12.6</v>
      </c>
      <c r="F156" s="46">
        <f t="shared" si="0"/>
        <v>18.8</v>
      </c>
      <c r="G156" s="46">
        <f t="shared" si="17"/>
        <v>1.3182994011323113</v>
      </c>
      <c r="H156" s="47">
        <f t="shared" si="2"/>
        <v>16.610572454267121</v>
      </c>
      <c r="I156" s="48">
        <f t="shared" si="3"/>
        <v>582.53277597114788</v>
      </c>
      <c r="J156" s="55"/>
      <c r="K156" s="55"/>
      <c r="L156" s="56"/>
      <c r="M156" s="49">
        <v>282</v>
      </c>
      <c r="N156" s="43">
        <f t="shared" si="4"/>
        <v>46.841814321033283</v>
      </c>
    </row>
    <row r="157" spans="1:14">
      <c r="A157" s="42">
        <v>31304</v>
      </c>
      <c r="B157" s="42" t="s">
        <v>212</v>
      </c>
      <c r="C157" s="43">
        <v>7971</v>
      </c>
      <c r="D157" s="44">
        <v>0</v>
      </c>
      <c r="E157" s="45">
        <v>12.6</v>
      </c>
      <c r="F157" s="46">
        <f t="shared" si="0"/>
        <v>18.8</v>
      </c>
      <c r="G157" s="46">
        <f t="shared" si="17"/>
        <v>1.3182994011323113</v>
      </c>
      <c r="H157" s="47">
        <f t="shared" si="2"/>
        <v>16.610572454267121</v>
      </c>
      <c r="I157" s="48">
        <f t="shared" si="3"/>
        <v>1324.0287303296323</v>
      </c>
      <c r="J157" s="55"/>
      <c r="K157" s="55"/>
      <c r="L157" s="56"/>
      <c r="M157" s="49">
        <v>846</v>
      </c>
      <c r="N157" s="43">
        <f t="shared" si="4"/>
        <v>140.52544296309986</v>
      </c>
    </row>
    <row r="158" spans="1:14">
      <c r="A158" s="42">
        <v>31401</v>
      </c>
      <c r="B158" s="42" t="s">
        <v>213</v>
      </c>
      <c r="C158" s="43">
        <v>34718</v>
      </c>
      <c r="D158" s="44">
        <v>74.8</v>
      </c>
      <c r="E158" s="45">
        <v>12.6</v>
      </c>
      <c r="F158" s="46">
        <f t="shared" si="0"/>
        <v>14.0128</v>
      </c>
      <c r="G158" s="46">
        <f t="shared" si="17"/>
        <v>0.9826098855418538</v>
      </c>
      <c r="H158" s="47">
        <f t="shared" si="2"/>
        <v>12.380884557827358</v>
      </c>
      <c r="I158" s="48">
        <f t="shared" si="3"/>
        <v>4298.3955007865015</v>
      </c>
      <c r="J158" s="55"/>
      <c r="K158" s="55"/>
      <c r="L158" s="56"/>
      <c r="M158" s="49">
        <v>2537</v>
      </c>
      <c r="N158" s="43">
        <f t="shared" si="4"/>
        <v>314.10304123208005</v>
      </c>
    </row>
    <row r="159" spans="1:14">
      <c r="A159" s="42">
        <v>31402</v>
      </c>
      <c r="B159" s="42" t="s">
        <v>214</v>
      </c>
      <c r="C159" s="43">
        <v>8560</v>
      </c>
      <c r="D159" s="44">
        <v>28.6</v>
      </c>
      <c r="E159" s="45">
        <v>12.6</v>
      </c>
      <c r="F159" s="46">
        <f t="shared" si="0"/>
        <v>16.9696</v>
      </c>
      <c r="G159" s="46">
        <f t="shared" si="17"/>
        <v>1.1899475275241951</v>
      </c>
      <c r="H159" s="47">
        <f t="shared" si="2"/>
        <v>14.993338846804857</v>
      </c>
      <c r="I159" s="48">
        <f t="shared" si="3"/>
        <v>1283.4298052864956</v>
      </c>
      <c r="J159" s="55"/>
      <c r="K159" s="55"/>
      <c r="L159" s="56"/>
      <c r="M159" s="49">
        <v>669</v>
      </c>
      <c r="N159" s="43">
        <f t="shared" si="4"/>
        <v>100.30543688512449</v>
      </c>
    </row>
    <row r="160" spans="1:14">
      <c r="A160" s="42">
        <v>31403</v>
      </c>
      <c r="B160" s="42" t="s">
        <v>215</v>
      </c>
      <c r="C160" s="43">
        <v>13096</v>
      </c>
      <c r="D160" s="44">
        <v>63</v>
      </c>
      <c r="E160" s="45">
        <v>12.6</v>
      </c>
      <c r="F160" s="46">
        <f t="shared" si="0"/>
        <v>14.768000000000001</v>
      </c>
      <c r="G160" s="46">
        <f t="shared" si="17"/>
        <v>1.0355662529745731</v>
      </c>
      <c r="H160" s="47">
        <f t="shared" si="2"/>
        <v>13.04813478747962</v>
      </c>
      <c r="I160" s="48">
        <f t="shared" si="3"/>
        <v>1708.7837317683311</v>
      </c>
      <c r="J160" s="55"/>
      <c r="K160" s="55"/>
      <c r="L160" s="56"/>
      <c r="M160" s="49">
        <v>957</v>
      </c>
      <c r="N160" s="43">
        <f t="shared" si="4"/>
        <v>124.87064991617997</v>
      </c>
    </row>
    <row r="161" spans="1:14">
      <c r="A161" s="42">
        <v>31404</v>
      </c>
      <c r="B161" s="42" t="s">
        <v>216</v>
      </c>
      <c r="C161" s="43">
        <v>1288</v>
      </c>
      <c r="D161" s="44">
        <v>0</v>
      </c>
      <c r="E161" s="45">
        <v>12.6</v>
      </c>
      <c r="F161" s="46">
        <f t="shared" si="0"/>
        <v>18.8</v>
      </c>
      <c r="G161" s="46">
        <f t="shared" si="17"/>
        <v>1.3182994011323113</v>
      </c>
      <c r="H161" s="47">
        <f t="shared" si="2"/>
        <v>16.610572454267121</v>
      </c>
      <c r="I161" s="48">
        <f t="shared" si="3"/>
        <v>213.94417321096051</v>
      </c>
      <c r="J161" s="55"/>
      <c r="K161" s="55"/>
      <c r="L161" s="56"/>
      <c r="M161" s="49">
        <v>86</v>
      </c>
      <c r="N161" s="43">
        <f t="shared" si="4"/>
        <v>14.285092310669725</v>
      </c>
    </row>
    <row r="162" spans="1:14">
      <c r="A162" s="42">
        <v>31405</v>
      </c>
      <c r="B162" s="42" t="s">
        <v>217</v>
      </c>
      <c r="C162" s="43">
        <v>3734</v>
      </c>
      <c r="D162" s="44">
        <v>0</v>
      </c>
      <c r="E162" s="45">
        <v>12.6</v>
      </c>
      <c r="F162" s="46">
        <f t="shared" si="0"/>
        <v>18.8</v>
      </c>
      <c r="G162" s="46">
        <f t="shared" si="17"/>
        <v>1.3182994011323113</v>
      </c>
      <c r="H162" s="47">
        <f t="shared" si="2"/>
        <v>16.610572454267121</v>
      </c>
      <c r="I162" s="48">
        <f t="shared" si="3"/>
        <v>620.23877544233426</v>
      </c>
      <c r="J162" s="55"/>
      <c r="K162" s="55"/>
      <c r="L162" s="56"/>
      <c r="M162" s="49">
        <v>244</v>
      </c>
      <c r="N162" s="43">
        <f t="shared" si="4"/>
        <v>40.52979678841178</v>
      </c>
    </row>
    <row r="163" spans="1:14">
      <c r="A163" s="42">
        <v>31501</v>
      </c>
      <c r="B163" s="42" t="s">
        <v>218</v>
      </c>
      <c r="C163" s="43">
        <v>8198</v>
      </c>
      <c r="D163" s="44">
        <v>0</v>
      </c>
      <c r="E163" s="45">
        <v>12.6</v>
      </c>
      <c r="F163" s="46">
        <f t="shared" si="0"/>
        <v>18.8</v>
      </c>
      <c r="G163" s="46">
        <f t="shared" si="17"/>
        <v>1.3182994011323113</v>
      </c>
      <c r="H163" s="47">
        <f t="shared" si="2"/>
        <v>16.610572454267121</v>
      </c>
      <c r="I163" s="48">
        <f t="shared" si="3"/>
        <v>1361.7347298008185</v>
      </c>
      <c r="J163" s="55"/>
      <c r="K163" s="55"/>
      <c r="L163" s="56"/>
      <c r="M163" s="49">
        <v>735</v>
      </c>
      <c r="N163" s="43">
        <f t="shared" si="4"/>
        <v>122.08770753886334</v>
      </c>
    </row>
    <row r="164" spans="1:14">
      <c r="A164" s="42">
        <v>31601</v>
      </c>
      <c r="B164" s="42" t="s">
        <v>219</v>
      </c>
      <c r="C164" s="43">
        <v>18705</v>
      </c>
      <c r="D164" s="44">
        <v>13.7</v>
      </c>
      <c r="E164" s="45">
        <v>12.6</v>
      </c>
      <c r="F164" s="46">
        <f t="shared" si="0"/>
        <v>17.923200000000001</v>
      </c>
      <c r="G164" s="46">
        <f t="shared" si="17"/>
        <v>1.2568161609773747</v>
      </c>
      <c r="H164" s="47">
        <f t="shared" si="2"/>
        <v>15.835883628314921</v>
      </c>
      <c r="I164" s="48">
        <f t="shared" si="3"/>
        <v>2962.102032676306</v>
      </c>
      <c r="J164" s="55"/>
      <c r="K164" s="55"/>
      <c r="L164" s="56"/>
      <c r="M164" s="49">
        <v>1488</v>
      </c>
      <c r="N164" s="43">
        <f t="shared" si="4"/>
        <v>235.637948389326</v>
      </c>
    </row>
    <row r="165" spans="1:14">
      <c r="A165" s="42">
        <v>31602</v>
      </c>
      <c r="B165" s="42" t="s">
        <v>220</v>
      </c>
      <c r="C165" s="43">
        <v>26644</v>
      </c>
      <c r="D165" s="44">
        <v>31.1</v>
      </c>
      <c r="E165" s="45">
        <v>12.6</v>
      </c>
      <c r="F165" s="46">
        <f t="shared" si="0"/>
        <v>16.8096</v>
      </c>
      <c r="G165" s="46">
        <f t="shared" si="17"/>
        <v>1.1787279581528562</v>
      </c>
      <c r="H165" s="47">
        <f t="shared" si="2"/>
        <v>14.851972272725988</v>
      </c>
      <c r="I165" s="48">
        <f t="shared" si="3"/>
        <v>3957.1594923451125</v>
      </c>
      <c r="J165" s="42"/>
      <c r="K165" s="42"/>
      <c r="L165" s="42"/>
      <c r="M165" s="49">
        <v>2356</v>
      </c>
      <c r="N165" s="43">
        <f t="shared" si="4"/>
        <v>349.91246674542424</v>
      </c>
    </row>
    <row r="166" spans="1:14">
      <c r="A166" s="42">
        <v>40101</v>
      </c>
      <c r="B166" s="42" t="s">
        <v>57</v>
      </c>
      <c r="C166" s="43">
        <v>295566</v>
      </c>
      <c r="D166" s="44">
        <v>100</v>
      </c>
      <c r="E166" s="42">
        <v>24.3</v>
      </c>
      <c r="F166" s="46">
        <f t="shared" si="0"/>
        <v>12.4</v>
      </c>
      <c r="G166" s="46">
        <f t="shared" ref="G166:G200" si="18">1.16*F166/F$345</f>
        <v>0.84053273873613321</v>
      </c>
      <c r="H166" s="47">
        <f t="shared" si="2"/>
        <v>20.424945551288037</v>
      </c>
      <c r="I166" s="48">
        <f t="shared" si="3"/>
        <v>60369.194568120001</v>
      </c>
      <c r="J166" s="49">
        <f>SUM(C166:C200)</f>
        <v>565067.7499997</v>
      </c>
      <c r="K166" s="49">
        <f>SUM(I166:I200)</f>
        <v>137539.41957625857</v>
      </c>
      <c r="L166" s="50">
        <f>K166/J166</f>
        <v>0.243403414150483</v>
      </c>
      <c r="M166" s="49">
        <v>22433</v>
      </c>
      <c r="N166" s="43">
        <f t="shared" si="4"/>
        <v>4581.9280355204455</v>
      </c>
    </row>
    <row r="167" spans="1:14">
      <c r="A167" s="42">
        <v>40102</v>
      </c>
      <c r="B167" s="42" t="s">
        <v>221</v>
      </c>
      <c r="C167" s="43">
        <v>22872</v>
      </c>
      <c r="D167" s="44">
        <v>32.200000000000003</v>
      </c>
      <c r="E167" s="42">
        <v>24.3</v>
      </c>
      <c r="F167" s="46">
        <f t="shared" si="0"/>
        <v>16.7392</v>
      </c>
      <c r="G167" s="46">
        <f t="shared" si="18"/>
        <v>1.1346649693751518</v>
      </c>
      <c r="H167" s="47">
        <f t="shared" si="2"/>
        <v>27.57235875581619</v>
      </c>
      <c r="I167" s="48">
        <f t="shared" si="3"/>
        <v>6306.3498946302789</v>
      </c>
      <c r="J167" s="55"/>
      <c r="K167" s="55"/>
      <c r="L167" s="56"/>
      <c r="M167" s="49">
        <v>1769</v>
      </c>
      <c r="N167" s="43">
        <f t="shared" si="4"/>
        <v>487.75502639038837</v>
      </c>
    </row>
    <row r="168" spans="1:14">
      <c r="A168" s="42">
        <v>40103</v>
      </c>
      <c r="B168" s="42" t="s">
        <v>222</v>
      </c>
      <c r="C168" s="43">
        <v>9891</v>
      </c>
      <c r="D168" s="44">
        <v>0</v>
      </c>
      <c r="E168" s="42">
        <v>24.3</v>
      </c>
      <c r="F168" s="46">
        <f t="shared" si="0"/>
        <v>18.8</v>
      </c>
      <c r="G168" s="46">
        <f t="shared" si="18"/>
        <v>1.2743560877612343</v>
      </c>
      <c r="H168" s="47">
        <f t="shared" si="2"/>
        <v>30.966852932597995</v>
      </c>
      <c r="I168" s="48">
        <f t="shared" si="3"/>
        <v>3062.9314235632673</v>
      </c>
      <c r="J168" s="55"/>
      <c r="K168" s="55"/>
      <c r="L168" s="56"/>
      <c r="M168" s="49">
        <v>891</v>
      </c>
      <c r="N168" s="43">
        <f t="shared" si="4"/>
        <v>275.91465962944812</v>
      </c>
    </row>
    <row r="169" spans="1:14">
      <c r="A169" s="42">
        <v>40104</v>
      </c>
      <c r="B169" s="42" t="s">
        <v>223</v>
      </c>
      <c r="C169" s="43">
        <v>15521</v>
      </c>
      <c r="D169" s="44">
        <v>0</v>
      </c>
      <c r="E169" s="42">
        <v>24.3</v>
      </c>
      <c r="F169" s="46">
        <f t="shared" si="0"/>
        <v>18.8</v>
      </c>
      <c r="G169" s="46">
        <f t="shared" si="18"/>
        <v>1.2743560877612343</v>
      </c>
      <c r="H169" s="47">
        <f t="shared" si="2"/>
        <v>30.966852932597995</v>
      </c>
      <c r="I169" s="48">
        <f t="shared" si="3"/>
        <v>4806.3652436685343</v>
      </c>
      <c r="J169" s="55"/>
      <c r="K169" s="55"/>
      <c r="L169" s="56"/>
      <c r="M169" s="49">
        <v>1258</v>
      </c>
      <c r="N169" s="43">
        <f t="shared" si="4"/>
        <v>389.56300989208279</v>
      </c>
    </row>
    <row r="170" spans="1:14">
      <c r="A170" s="42">
        <v>40201</v>
      </c>
      <c r="B170" s="42" t="s">
        <v>224</v>
      </c>
      <c r="C170" s="43">
        <v>34885</v>
      </c>
      <c r="D170" s="44">
        <v>37.200000000000003</v>
      </c>
      <c r="E170" s="42">
        <v>24.3</v>
      </c>
      <c r="F170" s="46">
        <f t="shared" si="0"/>
        <v>16.4192</v>
      </c>
      <c r="G170" s="46">
        <f t="shared" si="18"/>
        <v>1.1129738019238966</v>
      </c>
      <c r="H170" s="47">
        <f t="shared" si="2"/>
        <v>27.045263386750687</v>
      </c>
      <c r="I170" s="48">
        <f t="shared" si="3"/>
        <v>9434.7401324679777</v>
      </c>
      <c r="J170" s="55"/>
      <c r="K170" s="55"/>
      <c r="L170" s="56"/>
      <c r="M170" s="49">
        <v>3035</v>
      </c>
      <c r="N170" s="43">
        <f t="shared" si="4"/>
        <v>820.82374378788325</v>
      </c>
    </row>
    <row r="171" spans="1:14">
      <c r="A171" s="42">
        <v>40202</v>
      </c>
      <c r="B171" s="42" t="s">
        <v>225</v>
      </c>
      <c r="C171" s="43">
        <v>5069</v>
      </c>
      <c r="D171" s="44">
        <v>0</v>
      </c>
      <c r="E171" s="42">
        <v>24.3</v>
      </c>
      <c r="F171" s="46">
        <f t="shared" si="0"/>
        <v>18.8</v>
      </c>
      <c r="G171" s="46">
        <f t="shared" si="18"/>
        <v>1.2743560877612343</v>
      </c>
      <c r="H171" s="47">
        <f t="shared" si="2"/>
        <v>30.966852932597995</v>
      </c>
      <c r="I171" s="48">
        <f t="shared" si="3"/>
        <v>1569.7097751533925</v>
      </c>
      <c r="J171" s="55"/>
      <c r="K171" s="55"/>
      <c r="L171" s="56"/>
      <c r="M171" s="49">
        <v>295</v>
      </c>
      <c r="N171" s="43">
        <f t="shared" si="4"/>
        <v>91.352216151164086</v>
      </c>
    </row>
    <row r="172" spans="1:14">
      <c r="A172" s="42">
        <v>40301</v>
      </c>
      <c r="B172" s="42" t="s">
        <v>226</v>
      </c>
      <c r="C172" s="43">
        <v>15528</v>
      </c>
      <c r="D172" s="44">
        <v>0</v>
      </c>
      <c r="E172" s="42">
        <v>24.3</v>
      </c>
      <c r="F172" s="46">
        <f t="shared" si="0"/>
        <v>18.8</v>
      </c>
      <c r="G172" s="46">
        <f t="shared" si="18"/>
        <v>1.2743560877612343</v>
      </c>
      <c r="H172" s="47">
        <f t="shared" si="2"/>
        <v>30.966852932597995</v>
      </c>
      <c r="I172" s="48">
        <f t="shared" si="3"/>
        <v>4808.5329233738166</v>
      </c>
      <c r="J172" s="55"/>
      <c r="K172" s="55"/>
      <c r="L172" s="56"/>
      <c r="M172" s="49">
        <v>1080</v>
      </c>
      <c r="N172" s="43">
        <f t="shared" si="4"/>
        <v>334.44201167205836</v>
      </c>
    </row>
    <row r="173" spans="1:14">
      <c r="A173" s="42">
        <v>40302</v>
      </c>
      <c r="B173" s="42" t="s">
        <v>227</v>
      </c>
      <c r="C173" s="43">
        <v>2450</v>
      </c>
      <c r="D173" s="44">
        <v>0</v>
      </c>
      <c r="E173" s="42">
        <v>24.3</v>
      </c>
      <c r="F173" s="46">
        <f t="shared" si="0"/>
        <v>18.8</v>
      </c>
      <c r="G173" s="46">
        <f t="shared" si="18"/>
        <v>1.2743560877612343</v>
      </c>
      <c r="H173" s="47">
        <f t="shared" si="2"/>
        <v>30.966852932597995</v>
      </c>
      <c r="I173" s="48">
        <f t="shared" si="3"/>
        <v>758.68789684865089</v>
      </c>
      <c r="J173" s="55"/>
      <c r="K173" s="55"/>
      <c r="L173" s="56"/>
      <c r="M173" s="49">
        <v>167</v>
      </c>
      <c r="N173" s="43">
        <f t="shared" si="4"/>
        <v>51.714644397438654</v>
      </c>
    </row>
    <row r="174" spans="1:14">
      <c r="A174" s="42">
        <v>40401</v>
      </c>
      <c r="B174" s="42" t="s">
        <v>228</v>
      </c>
      <c r="C174" s="43">
        <v>6475</v>
      </c>
      <c r="D174" s="44">
        <v>0</v>
      </c>
      <c r="E174" s="42">
        <v>24.3</v>
      </c>
      <c r="F174" s="46">
        <f t="shared" si="0"/>
        <v>18.8</v>
      </c>
      <c r="G174" s="46">
        <f t="shared" si="18"/>
        <v>1.2743560877612343</v>
      </c>
      <c r="H174" s="47">
        <f t="shared" si="2"/>
        <v>30.966852932597995</v>
      </c>
      <c r="I174" s="48">
        <f t="shared" si="3"/>
        <v>2005.10372738572</v>
      </c>
      <c r="J174" s="55"/>
      <c r="K174" s="55"/>
      <c r="L174" s="56"/>
      <c r="M174" s="49">
        <v>383</v>
      </c>
      <c r="N174" s="43">
        <f t="shared" si="4"/>
        <v>118.60304673185031</v>
      </c>
    </row>
    <row r="175" spans="1:14">
      <c r="A175" s="42">
        <v>40402</v>
      </c>
      <c r="B175" s="42" t="s">
        <v>229</v>
      </c>
      <c r="C175" s="43">
        <v>5753</v>
      </c>
      <c r="D175" s="44">
        <v>0</v>
      </c>
      <c r="E175" s="42">
        <v>24.3</v>
      </c>
      <c r="F175" s="46">
        <f t="shared" si="0"/>
        <v>18.8</v>
      </c>
      <c r="G175" s="46">
        <f t="shared" si="18"/>
        <v>1.2743560877612343</v>
      </c>
      <c r="H175" s="47">
        <f t="shared" si="2"/>
        <v>30.966852932597995</v>
      </c>
      <c r="I175" s="48">
        <f t="shared" si="3"/>
        <v>1781.5230492123626</v>
      </c>
      <c r="J175" s="55"/>
      <c r="K175" s="55"/>
      <c r="L175" s="56"/>
      <c r="M175" s="49">
        <v>404</v>
      </c>
      <c r="N175" s="43">
        <f t="shared" si="4"/>
        <v>125.10608584769591</v>
      </c>
    </row>
    <row r="176" spans="1:14">
      <c r="A176" s="42">
        <v>40501</v>
      </c>
      <c r="B176" s="42" t="s">
        <v>230</v>
      </c>
      <c r="C176" s="43">
        <v>3760</v>
      </c>
      <c r="D176" s="44">
        <v>88.6</v>
      </c>
      <c r="E176" s="42">
        <v>24.3</v>
      </c>
      <c r="F176" s="46">
        <f t="shared" si="0"/>
        <v>13.1296</v>
      </c>
      <c r="G176" s="46">
        <f t="shared" si="18"/>
        <v>0.88998860052499473</v>
      </c>
      <c r="H176" s="47">
        <f t="shared" si="2"/>
        <v>21.626722992757372</v>
      </c>
      <c r="I176" s="48">
        <f t="shared" si="3"/>
        <v>813.16478452767728</v>
      </c>
      <c r="J176" s="55"/>
      <c r="K176" s="55"/>
      <c r="L176" s="56"/>
      <c r="M176" s="49">
        <v>235</v>
      </c>
      <c r="N176" s="43">
        <f t="shared" si="4"/>
        <v>50.82279903297983</v>
      </c>
    </row>
    <row r="177" spans="1:14">
      <c r="A177" s="42">
        <v>40502</v>
      </c>
      <c r="B177" s="42" t="s">
        <v>231</v>
      </c>
      <c r="C177" s="43">
        <v>4230</v>
      </c>
      <c r="D177" s="44">
        <v>57.1</v>
      </c>
      <c r="E177" s="42">
        <v>24.3</v>
      </c>
      <c r="F177" s="46">
        <f t="shared" si="0"/>
        <v>15.1456</v>
      </c>
      <c r="G177" s="46">
        <f t="shared" si="18"/>
        <v>1.0266429554679015</v>
      </c>
      <c r="H177" s="47">
        <f t="shared" si="2"/>
        <v>24.947423817870007</v>
      </c>
      <c r="I177" s="48">
        <f t="shared" si="3"/>
        <v>1055.2760274959014</v>
      </c>
      <c r="J177" s="55"/>
      <c r="K177" s="55"/>
      <c r="L177" s="56"/>
      <c r="M177" s="49">
        <v>359</v>
      </c>
      <c r="N177" s="43">
        <f t="shared" si="4"/>
        <v>89.561251506153326</v>
      </c>
    </row>
    <row r="178" spans="1:14">
      <c r="A178" s="42">
        <v>40503</v>
      </c>
      <c r="B178" s="42" t="s">
        <v>232</v>
      </c>
      <c r="C178" s="43">
        <v>1555</v>
      </c>
      <c r="D178" s="44">
        <v>0</v>
      </c>
      <c r="E178" s="42">
        <v>24.3</v>
      </c>
      <c r="F178" s="46">
        <f t="shared" si="0"/>
        <v>18.8</v>
      </c>
      <c r="G178" s="46">
        <f t="shared" si="18"/>
        <v>1.2743560877612343</v>
      </c>
      <c r="H178" s="47">
        <f t="shared" si="2"/>
        <v>30.966852932597995</v>
      </c>
      <c r="I178" s="48">
        <f t="shared" si="3"/>
        <v>481.53456310189881</v>
      </c>
      <c r="J178" s="55"/>
      <c r="K178" s="55"/>
      <c r="L178" s="56"/>
      <c r="M178" s="49">
        <v>111</v>
      </c>
      <c r="N178" s="43">
        <f t="shared" si="4"/>
        <v>34.373206755183773</v>
      </c>
    </row>
    <row r="179" spans="1:14">
      <c r="A179" s="42">
        <v>40504</v>
      </c>
      <c r="B179" s="42" t="s">
        <v>233</v>
      </c>
      <c r="C179" s="43">
        <v>844.91666669999995</v>
      </c>
      <c r="D179" s="44">
        <v>0</v>
      </c>
      <c r="E179" s="42">
        <v>24.3</v>
      </c>
      <c r="F179" s="46">
        <f t="shared" si="0"/>
        <v>18.8</v>
      </c>
      <c r="G179" s="46">
        <f t="shared" si="18"/>
        <v>1.2743560877612343</v>
      </c>
      <c r="H179" s="47">
        <f t="shared" si="2"/>
        <v>30.966852932597995</v>
      </c>
      <c r="I179" s="48">
        <f t="shared" si="3"/>
        <v>261.64410157999816</v>
      </c>
      <c r="J179" s="55"/>
      <c r="K179" s="55"/>
      <c r="L179" s="56"/>
      <c r="M179" s="49">
        <v>73</v>
      </c>
      <c r="N179" s="43">
        <f t="shared" si="4"/>
        <v>22.605802640796536</v>
      </c>
    </row>
    <row r="180" spans="1:14">
      <c r="A180" s="42">
        <v>40505</v>
      </c>
      <c r="B180" s="42" t="s">
        <v>234</v>
      </c>
      <c r="C180" s="43">
        <v>3784</v>
      </c>
      <c r="D180" s="44">
        <v>0</v>
      </c>
      <c r="E180" s="42">
        <v>24.3</v>
      </c>
      <c r="F180" s="46">
        <f t="shared" si="0"/>
        <v>18.8</v>
      </c>
      <c r="G180" s="46">
        <f t="shared" si="18"/>
        <v>1.2743560877612343</v>
      </c>
      <c r="H180" s="47">
        <f t="shared" si="2"/>
        <v>30.966852932597995</v>
      </c>
      <c r="I180" s="48">
        <f t="shared" si="3"/>
        <v>1171.785714969508</v>
      </c>
      <c r="J180" s="55"/>
      <c r="K180" s="55"/>
      <c r="L180" s="56"/>
      <c r="M180" s="49">
        <v>326</v>
      </c>
      <c r="N180" s="43">
        <f t="shared" si="4"/>
        <v>100.95194056026946</v>
      </c>
    </row>
    <row r="181" spans="1:14">
      <c r="A181" s="42">
        <v>40601</v>
      </c>
      <c r="B181" s="42" t="s">
        <v>235</v>
      </c>
      <c r="C181" s="43">
        <v>9056</v>
      </c>
      <c r="D181" s="44">
        <v>50.6</v>
      </c>
      <c r="E181" s="42">
        <v>24.3</v>
      </c>
      <c r="F181" s="46">
        <f t="shared" si="0"/>
        <v>15.5616</v>
      </c>
      <c r="G181" s="46">
        <f t="shared" si="18"/>
        <v>1.054841473154533</v>
      </c>
      <c r="H181" s="47">
        <f t="shared" si="2"/>
        <v>25.632647797655153</v>
      </c>
      <c r="I181" s="48">
        <f t="shared" si="3"/>
        <v>2321.2925845556506</v>
      </c>
      <c r="J181" s="55"/>
      <c r="K181" s="55"/>
      <c r="L181" s="56"/>
      <c r="M181" s="49">
        <v>751</v>
      </c>
      <c r="N181" s="43">
        <f t="shared" si="4"/>
        <v>192.50118496039019</v>
      </c>
    </row>
    <row r="182" spans="1:14">
      <c r="A182" s="42">
        <v>40602</v>
      </c>
      <c r="B182" s="42" t="s">
        <v>236</v>
      </c>
      <c r="C182" s="43">
        <v>4393</v>
      </c>
      <c r="D182" s="44">
        <v>0</v>
      </c>
      <c r="E182" s="42">
        <v>24.3</v>
      </c>
      <c r="F182" s="46">
        <f t="shared" si="0"/>
        <v>18.8</v>
      </c>
      <c r="G182" s="46">
        <f t="shared" si="18"/>
        <v>1.2743560877612343</v>
      </c>
      <c r="H182" s="47">
        <f t="shared" si="2"/>
        <v>30.966852932597995</v>
      </c>
      <c r="I182" s="48">
        <f t="shared" si="3"/>
        <v>1360.37384932903</v>
      </c>
      <c r="J182" s="55"/>
      <c r="K182" s="55"/>
      <c r="L182" s="56"/>
      <c r="M182" s="49">
        <v>331</v>
      </c>
      <c r="N182" s="43">
        <f t="shared" si="4"/>
        <v>102.50028320689937</v>
      </c>
    </row>
    <row r="183" spans="1:14">
      <c r="A183" s="42">
        <v>40603</v>
      </c>
      <c r="B183" s="42" t="s">
        <v>237</v>
      </c>
      <c r="C183" s="43">
        <v>3633</v>
      </c>
      <c r="D183" s="44">
        <v>0</v>
      </c>
      <c r="E183" s="42">
        <v>24.3</v>
      </c>
      <c r="F183" s="46">
        <f t="shared" si="0"/>
        <v>18.8</v>
      </c>
      <c r="G183" s="46">
        <f t="shared" si="18"/>
        <v>1.2743560877612343</v>
      </c>
      <c r="H183" s="47">
        <f t="shared" si="2"/>
        <v>30.966852932597995</v>
      </c>
      <c r="I183" s="48">
        <f t="shared" si="3"/>
        <v>1125.0257670412852</v>
      </c>
      <c r="J183" s="55"/>
      <c r="K183" s="55"/>
      <c r="L183" s="56"/>
      <c r="M183" s="49">
        <v>259</v>
      </c>
      <c r="N183" s="43">
        <f t="shared" si="4"/>
        <v>80.204149095428804</v>
      </c>
    </row>
    <row r="184" spans="1:14">
      <c r="A184" s="42">
        <v>40701</v>
      </c>
      <c r="B184" s="42" t="s">
        <v>238</v>
      </c>
      <c r="C184" s="43">
        <v>20498</v>
      </c>
      <c r="D184" s="44">
        <v>80.900000000000006</v>
      </c>
      <c r="E184" s="42">
        <v>24.3</v>
      </c>
      <c r="F184" s="46">
        <f t="shared" si="0"/>
        <v>13.622399999999999</v>
      </c>
      <c r="G184" s="46">
        <f t="shared" si="18"/>
        <v>0.92339299839992739</v>
      </c>
      <c r="H184" s="47">
        <f t="shared" si="2"/>
        <v>22.438449861118237</v>
      </c>
      <c r="I184" s="48">
        <f t="shared" si="3"/>
        <v>4599.4334525320164</v>
      </c>
      <c r="J184" s="55"/>
      <c r="K184" s="55"/>
      <c r="L184" s="56"/>
      <c r="M184" s="49">
        <v>1451</v>
      </c>
      <c r="N184" s="43">
        <f t="shared" si="4"/>
        <v>325.58190748482559</v>
      </c>
    </row>
    <row r="185" spans="1:14">
      <c r="A185" s="42">
        <v>40702</v>
      </c>
      <c r="B185" s="42" t="s">
        <v>239</v>
      </c>
      <c r="C185" s="43">
        <v>6012</v>
      </c>
      <c r="D185" s="44">
        <v>52.3</v>
      </c>
      <c r="E185" s="42">
        <v>24.3</v>
      </c>
      <c r="F185" s="46">
        <f t="shared" si="0"/>
        <v>15.4528</v>
      </c>
      <c r="G185" s="46">
        <f t="shared" si="18"/>
        <v>1.0474664762211066</v>
      </c>
      <c r="H185" s="47">
        <f t="shared" si="2"/>
        <v>25.453435372172891</v>
      </c>
      <c r="I185" s="48">
        <f t="shared" si="3"/>
        <v>1530.2605345750342</v>
      </c>
      <c r="J185" s="55"/>
      <c r="K185" s="55"/>
      <c r="L185" s="56"/>
      <c r="M185" s="49">
        <v>442</v>
      </c>
      <c r="N185" s="43">
        <f t="shared" si="4"/>
        <v>112.50418434500418</v>
      </c>
    </row>
    <row r="186" spans="1:14">
      <c r="A186" s="42">
        <v>40801</v>
      </c>
      <c r="B186" s="42" t="s">
        <v>240</v>
      </c>
      <c r="C186" s="43">
        <v>15596</v>
      </c>
      <c r="D186" s="44">
        <v>0</v>
      </c>
      <c r="E186" s="42">
        <v>24.3</v>
      </c>
      <c r="F186" s="46">
        <f t="shared" si="0"/>
        <v>18.8</v>
      </c>
      <c r="G186" s="46">
        <f t="shared" si="18"/>
        <v>1.2743560877612343</v>
      </c>
      <c r="H186" s="47">
        <f t="shared" si="2"/>
        <v>30.966852932597995</v>
      </c>
      <c r="I186" s="48">
        <f t="shared" si="3"/>
        <v>4829.5903833679831</v>
      </c>
      <c r="J186" s="55"/>
      <c r="K186" s="55"/>
      <c r="L186" s="56"/>
      <c r="M186" s="49">
        <v>1217</v>
      </c>
      <c r="N186" s="43">
        <f t="shared" si="4"/>
        <v>376.86660018971759</v>
      </c>
    </row>
    <row r="187" spans="1:14">
      <c r="A187" s="42">
        <v>40802</v>
      </c>
      <c r="B187" s="42" t="s">
        <v>241</v>
      </c>
      <c r="C187" s="43">
        <v>3178</v>
      </c>
      <c r="D187" s="44">
        <v>0</v>
      </c>
      <c r="E187" s="42">
        <v>24.3</v>
      </c>
      <c r="F187" s="46">
        <f t="shared" si="0"/>
        <v>18.8</v>
      </c>
      <c r="G187" s="46">
        <f t="shared" si="18"/>
        <v>1.2743560877612343</v>
      </c>
      <c r="H187" s="47">
        <f t="shared" si="2"/>
        <v>30.966852932597995</v>
      </c>
      <c r="I187" s="48">
        <f t="shared" si="3"/>
        <v>984.12658619796423</v>
      </c>
      <c r="J187" s="55"/>
      <c r="K187" s="55"/>
      <c r="L187" s="56"/>
      <c r="M187" s="49">
        <v>231</v>
      </c>
      <c r="N187" s="43">
        <f t="shared" si="4"/>
        <v>71.533430274301367</v>
      </c>
    </row>
    <row r="188" spans="1:14">
      <c r="A188" s="42">
        <v>40901</v>
      </c>
      <c r="B188" s="42" t="s">
        <v>242</v>
      </c>
      <c r="C188" s="43">
        <v>14880</v>
      </c>
      <c r="D188" s="44">
        <v>18.100000000000001</v>
      </c>
      <c r="E188" s="42">
        <v>24.3</v>
      </c>
      <c r="F188" s="46">
        <f t="shared" si="0"/>
        <v>17.6416</v>
      </c>
      <c r="G188" s="46">
        <f t="shared" si="18"/>
        <v>1.195834061587691</v>
      </c>
      <c r="H188" s="47">
        <f t="shared" si="2"/>
        <v>29.058767696580894</v>
      </c>
      <c r="I188" s="48">
        <f t="shared" si="3"/>
        <v>4323.9446332512371</v>
      </c>
      <c r="J188" s="55"/>
      <c r="K188" s="55"/>
      <c r="L188" s="56"/>
      <c r="M188" s="49">
        <v>1302</v>
      </c>
      <c r="N188" s="43">
        <f t="shared" si="4"/>
        <v>378.34515540948325</v>
      </c>
    </row>
    <row r="189" spans="1:14">
      <c r="A189" s="42">
        <v>40902</v>
      </c>
      <c r="B189" s="42" t="s">
        <v>243</v>
      </c>
      <c r="C189" s="43">
        <v>1364.083333</v>
      </c>
      <c r="D189" s="44">
        <v>0</v>
      </c>
      <c r="E189" s="42">
        <v>24.3</v>
      </c>
      <c r="F189" s="46">
        <f t="shared" si="0"/>
        <v>18.8</v>
      </c>
      <c r="G189" s="46">
        <f t="shared" si="18"/>
        <v>1.2743560877612343</v>
      </c>
      <c r="H189" s="47">
        <f t="shared" si="2"/>
        <v>30.966852932597995</v>
      </c>
      <c r="I189" s="48">
        <f t="shared" si="3"/>
        <v>422.41367960819099</v>
      </c>
      <c r="J189" s="55"/>
      <c r="K189" s="55"/>
      <c r="L189" s="56"/>
      <c r="M189" s="49">
        <v>178</v>
      </c>
      <c r="N189" s="43">
        <f t="shared" si="4"/>
        <v>55.120998220024433</v>
      </c>
    </row>
    <row r="190" spans="1:14">
      <c r="A190" s="42">
        <v>40903</v>
      </c>
      <c r="B190" s="42" t="s">
        <v>244</v>
      </c>
      <c r="C190" s="43">
        <v>2326</v>
      </c>
      <c r="D190" s="44">
        <v>0</v>
      </c>
      <c r="E190" s="42">
        <v>24.3</v>
      </c>
      <c r="F190" s="46">
        <f t="shared" si="0"/>
        <v>18.8</v>
      </c>
      <c r="G190" s="46">
        <f t="shared" si="18"/>
        <v>1.2743560877612343</v>
      </c>
      <c r="H190" s="47">
        <f t="shared" si="2"/>
        <v>30.966852932597995</v>
      </c>
      <c r="I190" s="48">
        <f t="shared" si="3"/>
        <v>720.28899921222944</v>
      </c>
      <c r="J190" s="55"/>
      <c r="K190" s="55"/>
      <c r="L190" s="56"/>
      <c r="M190" s="49">
        <v>218</v>
      </c>
      <c r="N190" s="43">
        <f t="shared" si="4"/>
        <v>67.50773939306363</v>
      </c>
    </row>
    <row r="191" spans="1:14">
      <c r="A191" s="42">
        <v>41001</v>
      </c>
      <c r="B191" s="42" t="s">
        <v>245</v>
      </c>
      <c r="C191" s="43">
        <v>12031</v>
      </c>
      <c r="D191" s="44">
        <v>0</v>
      </c>
      <c r="E191" s="42">
        <v>24.3</v>
      </c>
      <c r="F191" s="46">
        <f t="shared" si="0"/>
        <v>18.8</v>
      </c>
      <c r="G191" s="46">
        <f t="shared" si="18"/>
        <v>1.2743560877612343</v>
      </c>
      <c r="H191" s="47">
        <f t="shared" si="2"/>
        <v>30.966852932597995</v>
      </c>
      <c r="I191" s="48">
        <f t="shared" si="3"/>
        <v>3725.6220763208648</v>
      </c>
      <c r="J191" s="55"/>
      <c r="K191" s="55"/>
      <c r="L191" s="56"/>
      <c r="M191" s="49">
        <v>657</v>
      </c>
      <c r="N191" s="43">
        <f t="shared" si="4"/>
        <v>203.45222376716885</v>
      </c>
    </row>
    <row r="192" spans="1:14">
      <c r="A192" s="42">
        <v>41101</v>
      </c>
      <c r="B192" s="42" t="s">
        <v>246</v>
      </c>
      <c r="C192" s="43">
        <v>5329</v>
      </c>
      <c r="D192" s="44">
        <v>41.7</v>
      </c>
      <c r="E192" s="42">
        <v>24.3</v>
      </c>
      <c r="F192" s="46">
        <f t="shared" si="0"/>
        <v>16.1312</v>
      </c>
      <c r="G192" s="46">
        <f t="shared" si="18"/>
        <v>1.0934517512177671</v>
      </c>
      <c r="H192" s="47">
        <f t="shared" si="2"/>
        <v>26.570877554591739</v>
      </c>
      <c r="I192" s="48">
        <f t="shared" si="3"/>
        <v>1415.9620648841938</v>
      </c>
      <c r="J192" s="55"/>
      <c r="K192" s="55"/>
      <c r="L192" s="56"/>
      <c r="M192" s="49">
        <v>403</v>
      </c>
      <c r="N192" s="43">
        <f t="shared" si="4"/>
        <v>107.08063654500471</v>
      </c>
    </row>
    <row r="193" spans="1:14">
      <c r="A193" s="42">
        <v>41201</v>
      </c>
      <c r="B193" s="42" t="s">
        <v>247</v>
      </c>
      <c r="C193" s="43">
        <v>6220</v>
      </c>
      <c r="D193" s="44">
        <v>0</v>
      </c>
      <c r="E193" s="42">
        <v>24.3</v>
      </c>
      <c r="F193" s="46">
        <f t="shared" si="0"/>
        <v>18.8</v>
      </c>
      <c r="G193" s="46">
        <f t="shared" si="18"/>
        <v>1.2743560877612343</v>
      </c>
      <c r="H193" s="47">
        <f t="shared" si="2"/>
        <v>30.966852932597995</v>
      </c>
      <c r="I193" s="48">
        <f t="shared" si="3"/>
        <v>1926.1382524075952</v>
      </c>
      <c r="J193" s="55"/>
      <c r="K193" s="55"/>
      <c r="L193" s="56"/>
      <c r="M193" s="49">
        <v>369</v>
      </c>
      <c r="N193" s="43">
        <f t="shared" si="4"/>
        <v>114.26768732128659</v>
      </c>
    </row>
    <row r="194" spans="1:14">
      <c r="A194" s="42">
        <v>41202</v>
      </c>
      <c r="B194" s="42" t="s">
        <v>248</v>
      </c>
      <c r="C194" s="43">
        <v>2974</v>
      </c>
      <c r="D194" s="44">
        <v>0</v>
      </c>
      <c r="E194" s="42">
        <v>24.3</v>
      </c>
      <c r="F194" s="46">
        <f t="shared" si="0"/>
        <v>18.8</v>
      </c>
      <c r="G194" s="46">
        <f t="shared" si="18"/>
        <v>1.2743560877612343</v>
      </c>
      <c r="H194" s="47">
        <f t="shared" si="2"/>
        <v>30.966852932597995</v>
      </c>
      <c r="I194" s="48">
        <f t="shared" si="3"/>
        <v>920.95420621546441</v>
      </c>
      <c r="J194" s="55"/>
      <c r="K194" s="55"/>
      <c r="L194" s="56"/>
      <c r="M194" s="49">
        <v>196</v>
      </c>
      <c r="N194" s="43">
        <f t="shared" si="4"/>
        <v>60.695031747892074</v>
      </c>
    </row>
    <row r="195" spans="1:14">
      <c r="A195" s="42">
        <v>41301</v>
      </c>
      <c r="B195" s="42" t="s">
        <v>203</v>
      </c>
      <c r="C195" s="43">
        <v>6545</v>
      </c>
      <c r="D195" s="44">
        <v>0</v>
      </c>
      <c r="E195" s="42">
        <v>24.3</v>
      </c>
      <c r="F195" s="46">
        <f t="shared" si="0"/>
        <v>18.8</v>
      </c>
      <c r="G195" s="46">
        <f t="shared" si="18"/>
        <v>1.2743560877612343</v>
      </c>
      <c r="H195" s="47">
        <f t="shared" si="2"/>
        <v>30.966852932597995</v>
      </c>
      <c r="I195" s="48">
        <f t="shared" si="3"/>
        <v>2026.7805244385388</v>
      </c>
      <c r="J195" s="55"/>
      <c r="K195" s="55"/>
      <c r="L195" s="56"/>
      <c r="M195" s="49">
        <v>440</v>
      </c>
      <c r="N195" s="43">
        <f t="shared" si="4"/>
        <v>136.25415290343116</v>
      </c>
    </row>
    <row r="196" spans="1:14">
      <c r="A196" s="42">
        <v>41401</v>
      </c>
      <c r="B196" s="42" t="s">
        <v>249</v>
      </c>
      <c r="C196" s="43">
        <v>13484</v>
      </c>
      <c r="D196" s="44">
        <v>32</v>
      </c>
      <c r="E196" s="42">
        <v>24.3</v>
      </c>
      <c r="F196" s="46">
        <f t="shared" si="0"/>
        <v>16.752000000000002</v>
      </c>
      <c r="G196" s="46">
        <f t="shared" si="18"/>
        <v>1.135532616073202</v>
      </c>
      <c r="H196" s="47">
        <f t="shared" si="2"/>
        <v>27.593442570578809</v>
      </c>
      <c r="I196" s="48">
        <f t="shared" si="3"/>
        <v>3720.6997962168466</v>
      </c>
      <c r="J196" s="55"/>
      <c r="K196" s="55"/>
      <c r="L196" s="56"/>
      <c r="M196" s="49">
        <v>1080</v>
      </c>
      <c r="N196" s="43">
        <f t="shared" si="4"/>
        <v>298.00917976225116</v>
      </c>
    </row>
    <row r="197" spans="1:14">
      <c r="A197" s="42">
        <v>41501</v>
      </c>
      <c r="B197" s="42" t="s">
        <v>250</v>
      </c>
      <c r="C197" s="43">
        <v>1199.25</v>
      </c>
      <c r="D197" s="44">
        <v>0</v>
      </c>
      <c r="E197" s="42">
        <v>24.3</v>
      </c>
      <c r="F197" s="46">
        <f t="shared" si="0"/>
        <v>18.8</v>
      </c>
      <c r="G197" s="46">
        <f t="shared" si="18"/>
        <v>1.2743560877612343</v>
      </c>
      <c r="H197" s="47">
        <f t="shared" si="2"/>
        <v>30.966852932597995</v>
      </c>
      <c r="I197" s="48">
        <f t="shared" si="3"/>
        <v>371.36998379418145</v>
      </c>
      <c r="J197" s="55"/>
      <c r="K197" s="55"/>
      <c r="L197" s="56"/>
      <c r="M197" s="49">
        <v>101</v>
      </c>
      <c r="N197" s="43">
        <f t="shared" si="4"/>
        <v>31.276521461923977</v>
      </c>
    </row>
    <row r="198" spans="1:14">
      <c r="A198" s="42">
        <v>41502</v>
      </c>
      <c r="B198" s="42" t="s">
        <v>251</v>
      </c>
      <c r="C198" s="43">
        <v>1105.583333</v>
      </c>
      <c r="D198" s="44">
        <v>0</v>
      </c>
      <c r="E198" s="42">
        <v>24.3</v>
      </c>
      <c r="F198" s="46">
        <f t="shared" si="0"/>
        <v>18.8</v>
      </c>
      <c r="G198" s="46">
        <f t="shared" si="18"/>
        <v>1.2743560877612343</v>
      </c>
      <c r="H198" s="47">
        <f t="shared" si="2"/>
        <v>30.966852932597995</v>
      </c>
      <c r="I198" s="48">
        <f t="shared" si="3"/>
        <v>342.36436477742512</v>
      </c>
      <c r="J198" s="55"/>
      <c r="K198" s="55"/>
      <c r="L198" s="56"/>
      <c r="M198" s="49">
        <v>102</v>
      </c>
      <c r="N198" s="43">
        <f t="shared" si="4"/>
        <v>31.586189991249952</v>
      </c>
    </row>
    <row r="199" spans="1:14">
      <c r="A199" s="42">
        <v>41503</v>
      </c>
      <c r="B199" s="42" t="s">
        <v>252</v>
      </c>
      <c r="C199" s="43">
        <v>1104.916667</v>
      </c>
      <c r="D199" s="44">
        <v>0</v>
      </c>
      <c r="E199" s="42">
        <v>24.3</v>
      </c>
      <c r="F199" s="46">
        <f t="shared" si="0"/>
        <v>18.8</v>
      </c>
      <c r="G199" s="46">
        <f t="shared" si="18"/>
        <v>1.2743560877612343</v>
      </c>
      <c r="H199" s="47">
        <f t="shared" si="2"/>
        <v>30.966852932597995</v>
      </c>
      <c r="I199" s="48">
        <f t="shared" si="3"/>
        <v>342.15791929765351</v>
      </c>
      <c r="J199" s="55"/>
      <c r="K199" s="55"/>
      <c r="L199" s="56"/>
      <c r="M199" s="49">
        <v>91</v>
      </c>
      <c r="N199" s="43">
        <f t="shared" si="4"/>
        <v>28.179836168664174</v>
      </c>
    </row>
    <row r="200" spans="1:14">
      <c r="A200" s="42">
        <v>41601</v>
      </c>
      <c r="B200" s="42" t="s">
        <v>253</v>
      </c>
      <c r="C200" s="43">
        <v>5955</v>
      </c>
      <c r="D200" s="44">
        <v>0</v>
      </c>
      <c r="E200" s="42">
        <v>24.3</v>
      </c>
      <c r="F200" s="46">
        <f t="shared" si="0"/>
        <v>18.8</v>
      </c>
      <c r="G200" s="46">
        <f t="shared" si="18"/>
        <v>1.2743560877612343</v>
      </c>
      <c r="H200" s="47">
        <f t="shared" si="2"/>
        <v>30.966852932597995</v>
      </c>
      <c r="I200" s="48">
        <f t="shared" si="3"/>
        <v>1844.0760921362107</v>
      </c>
      <c r="J200" s="42"/>
      <c r="K200" s="42"/>
      <c r="L200" s="42"/>
      <c r="M200" s="49">
        <v>314</v>
      </c>
      <c r="N200" s="43">
        <f t="shared" si="4"/>
        <v>97.235918208357702</v>
      </c>
    </row>
    <row r="201" spans="1:14">
      <c r="A201" s="42">
        <v>50101</v>
      </c>
      <c r="B201" s="42" t="s">
        <v>59</v>
      </c>
      <c r="C201" s="43">
        <v>216419</v>
      </c>
      <c r="D201" s="44">
        <v>90.8</v>
      </c>
      <c r="E201" s="45">
        <v>26.7</v>
      </c>
      <c r="F201" s="46">
        <f t="shared" si="0"/>
        <v>12.988800000000001</v>
      </c>
      <c r="G201" s="46">
        <f t="shared" ref="G201:G242" si="19">1.07*F201/F$345</f>
        <v>0.81213413872904627</v>
      </c>
      <c r="H201" s="47">
        <f t="shared" si="2"/>
        <v>21.683981504065535</v>
      </c>
      <c r="I201" s="48">
        <f t="shared" si="3"/>
        <v>46928.255931283587</v>
      </c>
      <c r="J201" s="49">
        <f>SUM(C201:C242)</f>
        <v>858563</v>
      </c>
      <c r="K201" s="49">
        <f>SUM(I201:I242)</f>
        <v>229189.58437825087</v>
      </c>
      <c r="L201" s="50">
        <f>K201/J201</f>
        <v>0.26694556413245257</v>
      </c>
      <c r="M201" s="49">
        <v>19125</v>
      </c>
      <c r="N201" s="43">
        <f t="shared" si="4"/>
        <v>4147.0614626525339</v>
      </c>
    </row>
    <row r="202" spans="1:14">
      <c r="A202" s="42">
        <v>50102</v>
      </c>
      <c r="B202" s="42" t="s">
        <v>254</v>
      </c>
      <c r="C202" s="43">
        <v>28797</v>
      </c>
      <c r="D202" s="44">
        <v>0</v>
      </c>
      <c r="E202" s="45">
        <v>26.7</v>
      </c>
      <c r="F202" s="46">
        <f t="shared" si="0"/>
        <v>18.8</v>
      </c>
      <c r="G202" s="46">
        <f t="shared" si="19"/>
        <v>1.1754836326763112</v>
      </c>
      <c r="H202" s="47">
        <f t="shared" si="2"/>
        <v>31.385412992457507</v>
      </c>
      <c r="I202" s="48">
        <f t="shared" si="3"/>
        <v>9038.057379437987</v>
      </c>
      <c r="J202" s="55"/>
      <c r="K202" s="55"/>
      <c r="L202" s="56"/>
      <c r="M202" s="49">
        <v>3184</v>
      </c>
      <c r="N202" s="43">
        <f t="shared" si="4"/>
        <v>999.31154967984708</v>
      </c>
    </row>
    <row r="203" spans="1:14">
      <c r="A203" s="42">
        <v>50103</v>
      </c>
      <c r="B203" s="42" t="s">
        <v>255</v>
      </c>
      <c r="C203" s="43">
        <v>11980</v>
      </c>
      <c r="D203" s="44">
        <v>0</v>
      </c>
      <c r="E203" s="45">
        <v>26.7</v>
      </c>
      <c r="F203" s="46">
        <f t="shared" si="0"/>
        <v>18.8</v>
      </c>
      <c r="G203" s="46">
        <f t="shared" si="19"/>
        <v>1.1754836326763112</v>
      </c>
      <c r="H203" s="47">
        <f t="shared" si="2"/>
        <v>31.385412992457507</v>
      </c>
      <c r="I203" s="48">
        <f t="shared" si="3"/>
        <v>3759.9724764964094</v>
      </c>
      <c r="J203" s="55"/>
      <c r="K203" s="55"/>
      <c r="L203" s="56"/>
      <c r="M203" s="49">
        <v>891</v>
      </c>
      <c r="N203" s="43">
        <f t="shared" si="4"/>
        <v>279.64402976279638</v>
      </c>
    </row>
    <row r="204" spans="1:14">
      <c r="A204" s="42">
        <v>50104</v>
      </c>
      <c r="B204" s="42" t="s">
        <v>256</v>
      </c>
      <c r="C204" s="43">
        <v>3091</v>
      </c>
      <c r="D204" s="44">
        <v>0</v>
      </c>
      <c r="E204" s="45">
        <v>26.7</v>
      </c>
      <c r="F204" s="46">
        <f t="shared" si="0"/>
        <v>18.8</v>
      </c>
      <c r="G204" s="46">
        <f t="shared" si="19"/>
        <v>1.1754836326763112</v>
      </c>
      <c r="H204" s="47">
        <f t="shared" si="2"/>
        <v>31.385412992457507</v>
      </c>
      <c r="I204" s="48">
        <f t="shared" si="3"/>
        <v>970.12311559686157</v>
      </c>
      <c r="J204" s="55"/>
      <c r="K204" s="55"/>
      <c r="L204" s="56"/>
      <c r="M204" s="49">
        <v>208</v>
      </c>
      <c r="N204" s="43">
        <f t="shared" si="4"/>
        <v>65.281659024311608</v>
      </c>
    </row>
    <row r="205" spans="1:14">
      <c r="A205" s="42">
        <v>50201</v>
      </c>
      <c r="B205" s="42" t="s">
        <v>257</v>
      </c>
      <c r="C205" s="43">
        <v>22706</v>
      </c>
      <c r="D205" s="44">
        <v>40.5</v>
      </c>
      <c r="E205" s="45">
        <v>26.7</v>
      </c>
      <c r="F205" s="46">
        <f t="shared" si="0"/>
        <v>16.208000000000002</v>
      </c>
      <c r="G205" s="46">
        <f t="shared" si="19"/>
        <v>1.0134169531073218</v>
      </c>
      <c r="H205" s="47">
        <f t="shared" si="2"/>
        <v>27.058232647965493</v>
      </c>
      <c r="I205" s="48">
        <f t="shared" si="3"/>
        <v>6143.8423050470456</v>
      </c>
      <c r="J205" s="55"/>
      <c r="K205" s="55"/>
      <c r="L205" s="56"/>
      <c r="M205" s="49">
        <v>1860</v>
      </c>
      <c r="N205" s="43">
        <f t="shared" si="4"/>
        <v>503.28312725215818</v>
      </c>
    </row>
    <row r="206" spans="1:14">
      <c r="A206" s="42">
        <v>50202</v>
      </c>
      <c r="B206" s="42" t="s">
        <v>258</v>
      </c>
      <c r="C206" s="43">
        <v>16030</v>
      </c>
      <c r="D206" s="44">
        <v>17.600000000000001</v>
      </c>
      <c r="E206" s="45">
        <v>26.7</v>
      </c>
      <c r="F206" s="46">
        <f t="shared" si="0"/>
        <v>17.6736</v>
      </c>
      <c r="G206" s="46">
        <f t="shared" si="19"/>
        <v>1.1050546558759602</v>
      </c>
      <c r="H206" s="47">
        <f t="shared" si="2"/>
        <v>29.504959311888136</v>
      </c>
      <c r="I206" s="48">
        <f t="shared" si="3"/>
        <v>4729.6449776956688</v>
      </c>
      <c r="J206" s="55"/>
      <c r="K206" s="55"/>
      <c r="L206" s="56"/>
      <c r="M206" s="49">
        <v>1389</v>
      </c>
      <c r="N206" s="43">
        <f t="shared" si="4"/>
        <v>409.82388484212623</v>
      </c>
    </row>
    <row r="207" spans="1:14">
      <c r="A207" s="42">
        <v>50203</v>
      </c>
      <c r="B207" s="42" t="s">
        <v>259</v>
      </c>
      <c r="C207" s="43">
        <v>41638</v>
      </c>
      <c r="D207" s="44">
        <v>87.3</v>
      </c>
      <c r="E207" s="45">
        <v>26.7</v>
      </c>
      <c r="F207" s="46">
        <f t="shared" si="0"/>
        <v>13.212800000000001</v>
      </c>
      <c r="G207" s="46">
        <f t="shared" si="19"/>
        <v>0.82613990116093428</v>
      </c>
      <c r="H207" s="47">
        <f t="shared" si="2"/>
        <v>22.057935360996943</v>
      </c>
      <c r="I207" s="48">
        <f t="shared" si="3"/>
        <v>9184.4831256119069</v>
      </c>
      <c r="J207" s="55"/>
      <c r="K207" s="55"/>
      <c r="L207" s="56"/>
      <c r="M207" s="49">
        <v>3276</v>
      </c>
      <c r="N207" s="43">
        <f t="shared" si="4"/>
        <v>722.61796242625996</v>
      </c>
    </row>
    <row r="208" spans="1:14">
      <c r="A208" s="42">
        <v>50204</v>
      </c>
      <c r="B208" s="42" t="s">
        <v>260</v>
      </c>
      <c r="C208" s="43">
        <v>8203</v>
      </c>
      <c r="D208" s="44">
        <v>22.6</v>
      </c>
      <c r="E208" s="45">
        <v>26.7</v>
      </c>
      <c r="F208" s="46">
        <f t="shared" si="0"/>
        <v>17.3536</v>
      </c>
      <c r="G208" s="46">
        <f t="shared" si="19"/>
        <v>1.0850464238304058</v>
      </c>
      <c r="H208" s="47">
        <f t="shared" si="2"/>
        <v>28.970739516271834</v>
      </c>
      <c r="I208" s="48">
        <f t="shared" si="3"/>
        <v>2376.4697625197787</v>
      </c>
      <c r="J208" s="55"/>
      <c r="K208" s="55"/>
      <c r="L208" s="56"/>
      <c r="M208" s="49">
        <v>779</v>
      </c>
      <c r="N208" s="43">
        <f t="shared" si="4"/>
        <v>225.68206083175758</v>
      </c>
    </row>
    <row r="209" spans="1:14">
      <c r="A209" s="42">
        <v>50301</v>
      </c>
      <c r="B209" s="42" t="s">
        <v>261</v>
      </c>
      <c r="C209" s="43">
        <v>32072</v>
      </c>
      <c r="D209" s="44">
        <v>19</v>
      </c>
      <c r="E209" s="45">
        <v>26.7</v>
      </c>
      <c r="F209" s="46">
        <f t="shared" si="0"/>
        <v>17.584</v>
      </c>
      <c r="G209" s="46">
        <f t="shared" si="19"/>
        <v>1.099452350903205</v>
      </c>
      <c r="H209" s="47">
        <f t="shared" si="2"/>
        <v>29.355377769115574</v>
      </c>
      <c r="I209" s="48">
        <f t="shared" si="3"/>
        <v>9414.8567581107473</v>
      </c>
      <c r="J209" s="55"/>
      <c r="K209" s="55"/>
      <c r="L209" s="56"/>
      <c r="M209" s="49">
        <v>2650</v>
      </c>
      <c r="N209" s="43">
        <f t="shared" si="4"/>
        <v>777.91751088156275</v>
      </c>
    </row>
    <row r="210" spans="1:14">
      <c r="A210" s="42">
        <v>50302</v>
      </c>
      <c r="B210" s="42" t="s">
        <v>262</v>
      </c>
      <c r="C210" s="43">
        <v>9337</v>
      </c>
      <c r="D210" s="44">
        <v>0</v>
      </c>
      <c r="E210" s="45">
        <v>26.7</v>
      </c>
      <c r="F210" s="46">
        <f t="shared" si="0"/>
        <v>18.8</v>
      </c>
      <c r="G210" s="46">
        <f t="shared" si="19"/>
        <v>1.1754836326763112</v>
      </c>
      <c r="H210" s="47">
        <f t="shared" si="2"/>
        <v>31.385412992457507</v>
      </c>
      <c r="I210" s="48">
        <f t="shared" si="3"/>
        <v>2930.4560111057572</v>
      </c>
      <c r="J210" s="55"/>
      <c r="K210" s="55"/>
      <c r="L210" s="56"/>
      <c r="M210" s="49">
        <v>712</v>
      </c>
      <c r="N210" s="43">
        <f t="shared" si="4"/>
        <v>223.46414050629744</v>
      </c>
    </row>
    <row r="211" spans="1:14">
      <c r="A211" s="42">
        <v>50303</v>
      </c>
      <c r="B211" s="42" t="s">
        <v>263</v>
      </c>
      <c r="C211" s="43">
        <v>14155</v>
      </c>
      <c r="D211" s="44">
        <v>0</v>
      </c>
      <c r="E211" s="45">
        <v>26.7</v>
      </c>
      <c r="F211" s="46">
        <f t="shared" si="0"/>
        <v>18.8</v>
      </c>
      <c r="G211" s="46">
        <f t="shared" si="19"/>
        <v>1.1754836326763112</v>
      </c>
      <c r="H211" s="47">
        <f t="shared" si="2"/>
        <v>31.385412992457507</v>
      </c>
      <c r="I211" s="48">
        <f t="shared" si="3"/>
        <v>4442.6052090823605</v>
      </c>
      <c r="J211" s="55"/>
      <c r="K211" s="55"/>
      <c r="L211" s="56"/>
      <c r="M211" s="49">
        <v>1276</v>
      </c>
      <c r="N211" s="43">
        <f t="shared" si="4"/>
        <v>400.4778697837578</v>
      </c>
    </row>
    <row r="212" spans="1:14">
      <c r="A212" s="42">
        <v>50401</v>
      </c>
      <c r="B212" s="42" t="s">
        <v>264</v>
      </c>
      <c r="C212" s="43">
        <v>16271</v>
      </c>
      <c r="D212" s="44">
        <v>33.200000000000003</v>
      </c>
      <c r="E212" s="45">
        <v>26.7</v>
      </c>
      <c r="F212" s="46">
        <f t="shared" si="0"/>
        <v>16.6752</v>
      </c>
      <c r="G212" s="46">
        <f t="shared" si="19"/>
        <v>1.0426289718938309</v>
      </c>
      <c r="H212" s="47">
        <f t="shared" si="2"/>
        <v>27.838193549565283</v>
      </c>
      <c r="I212" s="48">
        <f t="shared" si="3"/>
        <v>4529.5524724497673</v>
      </c>
      <c r="J212" s="55"/>
      <c r="K212" s="55"/>
      <c r="L212" s="56"/>
      <c r="M212" s="49">
        <v>1614</v>
      </c>
      <c r="N212" s="43">
        <f t="shared" si="4"/>
        <v>449.30844388998366</v>
      </c>
    </row>
    <row r="213" spans="1:14">
      <c r="A213" s="42">
        <v>50402</v>
      </c>
      <c r="B213" s="42" t="s">
        <v>265</v>
      </c>
      <c r="C213" s="43">
        <v>17268</v>
      </c>
      <c r="D213" s="44">
        <v>0</v>
      </c>
      <c r="E213" s="45">
        <v>26.7</v>
      </c>
      <c r="F213" s="46">
        <f t="shared" si="0"/>
        <v>18.8</v>
      </c>
      <c r="G213" s="46">
        <f t="shared" si="19"/>
        <v>1.1754836326763112</v>
      </c>
      <c r="H213" s="47">
        <f t="shared" si="2"/>
        <v>31.385412992457507</v>
      </c>
      <c r="I213" s="48">
        <f t="shared" si="3"/>
        <v>5419.6331155375628</v>
      </c>
      <c r="J213" s="55"/>
      <c r="K213" s="55"/>
      <c r="L213" s="56"/>
      <c r="M213" s="49">
        <v>1242</v>
      </c>
      <c r="N213" s="43">
        <f t="shared" si="4"/>
        <v>389.80682936632229</v>
      </c>
    </row>
    <row r="214" spans="1:14">
      <c r="A214" s="42">
        <v>50403</v>
      </c>
      <c r="B214" s="42" t="s">
        <v>266</v>
      </c>
      <c r="C214" s="43">
        <v>32115</v>
      </c>
      <c r="D214" s="44">
        <v>6.3</v>
      </c>
      <c r="E214" s="45">
        <v>26.7</v>
      </c>
      <c r="F214" s="46">
        <f t="shared" si="0"/>
        <v>18.396799999999999</v>
      </c>
      <c r="G214" s="46">
        <f t="shared" si="19"/>
        <v>1.1502732602989127</v>
      </c>
      <c r="H214" s="47">
        <f t="shared" si="2"/>
        <v>30.712296049980971</v>
      </c>
      <c r="I214" s="48">
        <f t="shared" si="3"/>
        <v>9863.2538764513884</v>
      </c>
      <c r="J214" s="55"/>
      <c r="K214" s="55"/>
      <c r="L214" s="56"/>
      <c r="M214" s="49">
        <v>2967</v>
      </c>
      <c r="N214" s="43">
        <f t="shared" si="4"/>
        <v>911.23382380293538</v>
      </c>
    </row>
    <row r="215" spans="1:14">
      <c r="A215" s="42">
        <v>50404</v>
      </c>
      <c r="B215" s="42" t="s">
        <v>267</v>
      </c>
      <c r="C215" s="43">
        <v>14664</v>
      </c>
      <c r="D215" s="44">
        <v>0</v>
      </c>
      <c r="E215" s="45">
        <v>26.7</v>
      </c>
      <c r="F215" s="46">
        <f t="shared" si="0"/>
        <v>18.8</v>
      </c>
      <c r="G215" s="46">
        <f t="shared" si="19"/>
        <v>1.1754836326763112</v>
      </c>
      <c r="H215" s="47">
        <f t="shared" si="2"/>
        <v>31.385412992457507</v>
      </c>
      <c r="I215" s="48">
        <f t="shared" si="3"/>
        <v>4602.356961213969</v>
      </c>
      <c r="J215" s="55"/>
      <c r="K215" s="55"/>
      <c r="L215" s="56"/>
      <c r="M215" s="49">
        <v>1284</v>
      </c>
      <c r="N215" s="43">
        <f t="shared" si="4"/>
        <v>402.98870282315437</v>
      </c>
    </row>
    <row r="216" spans="1:14">
      <c r="A216" s="42">
        <v>50405</v>
      </c>
      <c r="B216" s="42" t="s">
        <v>268</v>
      </c>
      <c r="C216" s="43">
        <v>20922</v>
      </c>
      <c r="D216" s="44">
        <v>0</v>
      </c>
      <c r="E216" s="45">
        <v>26.7</v>
      </c>
      <c r="F216" s="46">
        <f t="shared" si="0"/>
        <v>18.8</v>
      </c>
      <c r="G216" s="46">
        <f t="shared" si="19"/>
        <v>1.1754836326763112</v>
      </c>
      <c r="H216" s="47">
        <f t="shared" si="2"/>
        <v>31.385412992457507</v>
      </c>
      <c r="I216" s="48">
        <f t="shared" si="3"/>
        <v>6566.4561062819594</v>
      </c>
      <c r="J216" s="55"/>
      <c r="K216" s="55"/>
      <c r="L216" s="56"/>
      <c r="M216" s="49">
        <v>1936</v>
      </c>
      <c r="N216" s="43">
        <f t="shared" si="4"/>
        <v>607.62159553397726</v>
      </c>
    </row>
    <row r="217" spans="1:14">
      <c r="A217" s="42">
        <v>50501</v>
      </c>
      <c r="B217" s="42" t="s">
        <v>269</v>
      </c>
      <c r="C217" s="43">
        <v>28549</v>
      </c>
      <c r="D217" s="44">
        <v>0</v>
      </c>
      <c r="E217" s="45">
        <v>26.7</v>
      </c>
      <c r="F217" s="46">
        <f t="shared" si="0"/>
        <v>18.8</v>
      </c>
      <c r="G217" s="46">
        <f t="shared" si="19"/>
        <v>1.1754836326763112</v>
      </c>
      <c r="H217" s="47">
        <f t="shared" si="2"/>
        <v>31.385412992457507</v>
      </c>
      <c r="I217" s="48">
        <f t="shared" si="3"/>
        <v>8960.2215552166926</v>
      </c>
      <c r="J217" s="55"/>
      <c r="K217" s="55"/>
      <c r="L217" s="56"/>
      <c r="M217" s="49">
        <v>2883</v>
      </c>
      <c r="N217" s="43">
        <f t="shared" si="4"/>
        <v>904.84145657254999</v>
      </c>
    </row>
    <row r="218" spans="1:14">
      <c r="A218" s="42">
        <v>50502</v>
      </c>
      <c r="B218" s="42" t="s">
        <v>270</v>
      </c>
      <c r="C218" s="43">
        <v>10727</v>
      </c>
      <c r="D218" s="44">
        <v>0</v>
      </c>
      <c r="E218" s="45">
        <v>26.7</v>
      </c>
      <c r="F218" s="46">
        <f t="shared" si="0"/>
        <v>18.8</v>
      </c>
      <c r="G218" s="46">
        <f t="shared" si="19"/>
        <v>1.1754836326763112</v>
      </c>
      <c r="H218" s="47">
        <f t="shared" si="2"/>
        <v>31.385412992457507</v>
      </c>
      <c r="I218" s="48">
        <f t="shared" si="3"/>
        <v>3366.7132517009172</v>
      </c>
      <c r="J218" s="55"/>
      <c r="K218" s="55"/>
      <c r="L218" s="56"/>
      <c r="M218" s="49">
        <v>985</v>
      </c>
      <c r="N218" s="43">
        <f t="shared" si="4"/>
        <v>309.14631797570644</v>
      </c>
    </row>
    <row r="219" spans="1:14">
      <c r="A219" s="42">
        <v>50601</v>
      </c>
      <c r="B219" s="42" t="s">
        <v>271</v>
      </c>
      <c r="C219" s="43">
        <v>29436</v>
      </c>
      <c r="D219" s="44">
        <v>11.7</v>
      </c>
      <c r="E219" s="45">
        <v>26.7</v>
      </c>
      <c r="F219" s="46">
        <f t="shared" si="0"/>
        <v>18.051200000000001</v>
      </c>
      <c r="G219" s="46">
        <f t="shared" si="19"/>
        <v>1.1286643696897143</v>
      </c>
      <c r="H219" s="47">
        <f t="shared" si="2"/>
        <v>30.13533867071537</v>
      </c>
      <c r="I219" s="48">
        <f t="shared" si="3"/>
        <v>8870.6382911117762</v>
      </c>
      <c r="J219" s="55"/>
      <c r="K219" s="55"/>
      <c r="L219" s="56"/>
      <c r="M219" s="49">
        <v>2133</v>
      </c>
      <c r="N219" s="43">
        <f t="shared" si="4"/>
        <v>642.78677384635887</v>
      </c>
    </row>
    <row r="220" spans="1:14">
      <c r="A220" s="42">
        <v>50602</v>
      </c>
      <c r="B220" s="42" t="s">
        <v>272</v>
      </c>
      <c r="C220" s="43">
        <v>10223</v>
      </c>
      <c r="D220" s="44">
        <v>0</v>
      </c>
      <c r="E220" s="45">
        <v>26.7</v>
      </c>
      <c r="F220" s="46">
        <f t="shared" si="0"/>
        <v>18.8</v>
      </c>
      <c r="G220" s="46">
        <f t="shared" si="19"/>
        <v>1.1754836326763112</v>
      </c>
      <c r="H220" s="47">
        <f t="shared" si="2"/>
        <v>31.385412992457507</v>
      </c>
      <c r="I220" s="48">
        <f t="shared" si="3"/>
        <v>3208.5307702189311</v>
      </c>
      <c r="J220" s="55"/>
      <c r="K220" s="55"/>
      <c r="L220" s="56"/>
      <c r="M220" s="49">
        <v>669</v>
      </c>
      <c r="N220" s="43">
        <f t="shared" si="4"/>
        <v>209.96841291954073</v>
      </c>
    </row>
    <row r="221" spans="1:14">
      <c r="A221" s="42">
        <v>50701</v>
      </c>
      <c r="B221" s="42" t="s">
        <v>273</v>
      </c>
      <c r="C221" s="43">
        <v>17406</v>
      </c>
      <c r="D221" s="44">
        <v>13.3</v>
      </c>
      <c r="E221" s="45">
        <v>26.7</v>
      </c>
      <c r="F221" s="46">
        <f t="shared" si="0"/>
        <v>17.948800000000002</v>
      </c>
      <c r="G221" s="46">
        <f t="shared" si="19"/>
        <v>1.122261735435137</v>
      </c>
      <c r="H221" s="47">
        <f t="shared" si="2"/>
        <v>29.964388336118155</v>
      </c>
      <c r="I221" s="48">
        <f t="shared" si="3"/>
        <v>5215.6014337847264</v>
      </c>
      <c r="J221" s="55"/>
      <c r="K221" s="55"/>
      <c r="L221" s="56"/>
      <c r="M221" s="49">
        <v>1743</v>
      </c>
      <c r="N221" s="43">
        <f t="shared" si="4"/>
        <v>522.2792886985394</v>
      </c>
    </row>
    <row r="222" spans="1:14">
      <c r="A222" s="42">
        <v>50702</v>
      </c>
      <c r="B222" s="42" t="s">
        <v>274</v>
      </c>
      <c r="C222" s="43">
        <v>8479</v>
      </c>
      <c r="D222" s="44">
        <v>0</v>
      </c>
      <c r="E222" s="45">
        <v>26.7</v>
      </c>
      <c r="F222" s="46">
        <f t="shared" si="0"/>
        <v>18.8</v>
      </c>
      <c r="G222" s="46">
        <f t="shared" si="19"/>
        <v>1.1754836326763112</v>
      </c>
      <c r="H222" s="47">
        <f t="shared" si="2"/>
        <v>31.385412992457507</v>
      </c>
      <c r="I222" s="48">
        <f t="shared" si="3"/>
        <v>2661.1691676304722</v>
      </c>
      <c r="J222" s="55"/>
      <c r="K222" s="55"/>
      <c r="L222" s="56"/>
      <c r="M222" s="49">
        <v>716</v>
      </c>
      <c r="N222" s="43">
        <f t="shared" si="4"/>
        <v>224.71955702599575</v>
      </c>
    </row>
    <row r="223" spans="1:14">
      <c r="A223" s="42">
        <v>50801</v>
      </c>
      <c r="B223" s="42" t="s">
        <v>275</v>
      </c>
      <c r="C223" s="43">
        <v>45525</v>
      </c>
      <c r="D223" s="44">
        <v>62.5</v>
      </c>
      <c r="E223" s="45">
        <v>26.7</v>
      </c>
      <c r="F223" s="46">
        <f t="shared" si="0"/>
        <v>14.8</v>
      </c>
      <c r="G223" s="46">
        <f t="shared" si="19"/>
        <v>0.92538073210688321</v>
      </c>
      <c r="H223" s="47">
        <f t="shared" si="2"/>
        <v>24.707665547253782</v>
      </c>
      <c r="I223" s="48">
        <f t="shared" si="3"/>
        <v>11248.164740387285</v>
      </c>
      <c r="J223" s="55"/>
      <c r="K223" s="55"/>
      <c r="L223" s="56"/>
      <c r="M223" s="49">
        <v>3478</v>
      </c>
      <c r="N223" s="43">
        <f t="shared" si="4"/>
        <v>859.3326077334865</v>
      </c>
    </row>
    <row r="224" spans="1:14">
      <c r="A224" s="42">
        <v>50802</v>
      </c>
      <c r="B224" s="42" t="s">
        <v>276</v>
      </c>
      <c r="C224" s="43">
        <v>9745</v>
      </c>
      <c r="D224" s="44">
        <v>3.3</v>
      </c>
      <c r="E224" s="45">
        <v>26.7</v>
      </c>
      <c r="F224" s="46">
        <f t="shared" si="0"/>
        <v>18.588799999999999</v>
      </c>
      <c r="G224" s="46">
        <f t="shared" si="19"/>
        <v>1.1622781995262452</v>
      </c>
      <c r="H224" s="47">
        <f t="shared" si="2"/>
        <v>31.032827927350748</v>
      </c>
      <c r="I224" s="48">
        <f t="shared" si="3"/>
        <v>3024.1490815203306</v>
      </c>
      <c r="J224" s="55"/>
      <c r="K224" s="55"/>
      <c r="L224" s="56"/>
      <c r="M224" s="49">
        <v>835</v>
      </c>
      <c r="N224" s="43">
        <f t="shared" si="4"/>
        <v>259.12411319337878</v>
      </c>
    </row>
    <row r="225" spans="1:14">
      <c r="A225" s="42">
        <v>50901</v>
      </c>
      <c r="B225" s="42" t="s">
        <v>277</v>
      </c>
      <c r="C225" s="43">
        <v>12761</v>
      </c>
      <c r="D225" s="44">
        <v>15.5</v>
      </c>
      <c r="E225" s="45">
        <v>26.7</v>
      </c>
      <c r="F225" s="46">
        <f t="shared" si="0"/>
        <v>17.808</v>
      </c>
      <c r="G225" s="46">
        <f t="shared" si="19"/>
        <v>1.1134581133350929</v>
      </c>
      <c r="H225" s="47">
        <f t="shared" si="2"/>
        <v>29.729331626046982</v>
      </c>
      <c r="I225" s="48">
        <f t="shared" si="3"/>
        <v>3793.7600087998553</v>
      </c>
      <c r="J225" s="55"/>
      <c r="K225" s="55"/>
      <c r="L225" s="56"/>
      <c r="M225" s="49">
        <v>1019</v>
      </c>
      <c r="N225" s="43">
        <f t="shared" si="4"/>
        <v>302.94188926941877</v>
      </c>
    </row>
    <row r="226" spans="1:14">
      <c r="A226" s="42">
        <v>50902</v>
      </c>
      <c r="B226" s="42" t="s">
        <v>278</v>
      </c>
      <c r="C226" s="43">
        <v>1574</v>
      </c>
      <c r="D226" s="44">
        <v>0</v>
      </c>
      <c r="E226" s="45">
        <v>26.7</v>
      </c>
      <c r="F226" s="46">
        <f t="shared" si="0"/>
        <v>18.8</v>
      </c>
      <c r="G226" s="46">
        <f t="shared" si="19"/>
        <v>1.1754836326763112</v>
      </c>
      <c r="H226" s="47">
        <f t="shared" si="2"/>
        <v>31.385412992457507</v>
      </c>
      <c r="I226" s="48">
        <f t="shared" si="3"/>
        <v>494.00640050128118</v>
      </c>
      <c r="J226" s="55"/>
      <c r="K226" s="55"/>
      <c r="L226" s="56"/>
      <c r="M226" s="49">
        <v>100</v>
      </c>
      <c r="N226" s="43">
        <f t="shared" si="4"/>
        <v>31.38541299245751</v>
      </c>
    </row>
    <row r="227" spans="1:14">
      <c r="A227" s="42">
        <v>51001</v>
      </c>
      <c r="B227" s="42" t="s">
        <v>279</v>
      </c>
      <c r="C227" s="43">
        <v>3168</v>
      </c>
      <c r="D227" s="44">
        <v>0</v>
      </c>
      <c r="E227" s="45">
        <v>26.7</v>
      </c>
      <c r="F227" s="46">
        <f t="shared" si="0"/>
        <v>18.8</v>
      </c>
      <c r="G227" s="46">
        <f t="shared" si="19"/>
        <v>1.1754836326763112</v>
      </c>
      <c r="H227" s="47">
        <f t="shared" si="2"/>
        <v>31.385412992457507</v>
      </c>
      <c r="I227" s="48">
        <f t="shared" si="3"/>
        <v>994.28988360105393</v>
      </c>
      <c r="J227" s="55"/>
      <c r="K227" s="55"/>
      <c r="L227" s="56"/>
      <c r="M227" s="49">
        <v>268</v>
      </c>
      <c r="N227" s="43">
        <f t="shared" si="4"/>
        <v>84.112906819786119</v>
      </c>
    </row>
    <row r="228" spans="1:14">
      <c r="A228" s="42">
        <v>51002</v>
      </c>
      <c r="B228" s="42" t="s">
        <v>280</v>
      </c>
      <c r="C228" s="43">
        <v>1038</v>
      </c>
      <c r="D228" s="44">
        <v>0</v>
      </c>
      <c r="E228" s="45">
        <v>26.7</v>
      </c>
      <c r="F228" s="46">
        <f t="shared" si="0"/>
        <v>18.8</v>
      </c>
      <c r="G228" s="46">
        <f t="shared" si="19"/>
        <v>1.1754836326763112</v>
      </c>
      <c r="H228" s="47">
        <f t="shared" si="2"/>
        <v>31.385412992457507</v>
      </c>
      <c r="I228" s="48">
        <f t="shared" si="3"/>
        <v>325.78058686170891</v>
      </c>
      <c r="J228" s="55"/>
      <c r="K228" s="55"/>
      <c r="L228" s="56"/>
      <c r="M228" s="49">
        <v>83</v>
      </c>
      <c r="N228" s="43">
        <f t="shared" si="4"/>
        <v>26.049892783739729</v>
      </c>
    </row>
    <row r="229" spans="1:14">
      <c r="A229" s="42">
        <v>51003</v>
      </c>
      <c r="B229" s="42" t="s">
        <v>281</v>
      </c>
      <c r="C229" s="43">
        <v>1965</v>
      </c>
      <c r="D229" s="44">
        <v>0</v>
      </c>
      <c r="E229" s="45">
        <v>26.7</v>
      </c>
      <c r="F229" s="46">
        <f t="shared" si="0"/>
        <v>18.8</v>
      </c>
      <c r="G229" s="46">
        <f t="shared" si="19"/>
        <v>1.1754836326763112</v>
      </c>
      <c r="H229" s="47">
        <f t="shared" si="2"/>
        <v>31.385412992457507</v>
      </c>
      <c r="I229" s="48">
        <f t="shared" si="3"/>
        <v>616.72336530179007</v>
      </c>
      <c r="J229" s="55"/>
      <c r="K229" s="55"/>
      <c r="L229" s="56"/>
      <c r="M229" s="49">
        <v>166</v>
      </c>
      <c r="N229" s="43">
        <f t="shared" si="4"/>
        <v>52.099785567479458</v>
      </c>
    </row>
    <row r="230" spans="1:14">
      <c r="A230" s="42">
        <v>51101</v>
      </c>
      <c r="B230" s="42" t="s">
        <v>282</v>
      </c>
      <c r="C230" s="43">
        <v>16850</v>
      </c>
      <c r="D230" s="44">
        <v>0</v>
      </c>
      <c r="E230" s="45">
        <v>26.7</v>
      </c>
      <c r="F230" s="46">
        <f t="shared" si="0"/>
        <v>18.8</v>
      </c>
      <c r="G230" s="46">
        <f t="shared" si="19"/>
        <v>1.1754836326763112</v>
      </c>
      <c r="H230" s="47">
        <f t="shared" si="2"/>
        <v>31.385412992457507</v>
      </c>
      <c r="I230" s="48">
        <f t="shared" si="3"/>
        <v>5288.44208922909</v>
      </c>
      <c r="J230" s="55"/>
      <c r="K230" s="55"/>
      <c r="L230" s="56"/>
      <c r="M230" s="49">
        <v>1141</v>
      </c>
      <c r="N230" s="43">
        <f t="shared" si="4"/>
        <v>358.10756224394009</v>
      </c>
    </row>
    <row r="231" spans="1:14">
      <c r="A231" s="42">
        <v>51102</v>
      </c>
      <c r="B231" s="42" t="s">
        <v>283</v>
      </c>
      <c r="C231" s="43">
        <v>12921</v>
      </c>
      <c r="D231" s="44">
        <v>26.7</v>
      </c>
      <c r="E231" s="45">
        <v>26.7</v>
      </c>
      <c r="F231" s="46">
        <f t="shared" si="0"/>
        <v>17.091200000000001</v>
      </c>
      <c r="G231" s="46">
        <f t="shared" si="19"/>
        <v>1.0686396735530515</v>
      </c>
      <c r="H231" s="47">
        <f t="shared" si="2"/>
        <v>28.532679283866472</v>
      </c>
      <c r="I231" s="48">
        <f t="shared" si="3"/>
        <v>3686.7074902683871</v>
      </c>
      <c r="J231" s="55"/>
      <c r="K231" s="55"/>
      <c r="L231" s="56"/>
      <c r="M231" s="49">
        <v>1050</v>
      </c>
      <c r="N231" s="43">
        <f t="shared" si="4"/>
        <v>299.59313248059794</v>
      </c>
    </row>
    <row r="232" spans="1:14">
      <c r="A232" s="42">
        <v>51103</v>
      </c>
      <c r="B232" s="42" t="s">
        <v>284</v>
      </c>
      <c r="C232" s="43">
        <v>14461</v>
      </c>
      <c r="D232" s="44">
        <v>0</v>
      </c>
      <c r="E232" s="45">
        <v>26.7</v>
      </c>
      <c r="F232" s="46">
        <f t="shared" si="0"/>
        <v>18.8</v>
      </c>
      <c r="G232" s="46">
        <f t="shared" si="19"/>
        <v>1.1754836326763112</v>
      </c>
      <c r="H232" s="47">
        <f t="shared" si="2"/>
        <v>31.385412992457507</v>
      </c>
      <c r="I232" s="48">
        <f t="shared" si="3"/>
        <v>4538.64457283928</v>
      </c>
      <c r="J232" s="55"/>
      <c r="K232" s="55"/>
      <c r="L232" s="56"/>
      <c r="M232" s="49">
        <v>1421</v>
      </c>
      <c r="N232" s="43">
        <f t="shared" si="4"/>
        <v>445.98671862282123</v>
      </c>
    </row>
    <row r="233" spans="1:14">
      <c r="A233" s="42">
        <v>51201</v>
      </c>
      <c r="B233" s="42" t="s">
        <v>285</v>
      </c>
      <c r="C233" s="43">
        <v>34848</v>
      </c>
      <c r="D233" s="44">
        <v>69.900000000000006</v>
      </c>
      <c r="E233" s="45">
        <v>26.7</v>
      </c>
      <c r="F233" s="46">
        <f t="shared" si="0"/>
        <v>14.3264</v>
      </c>
      <c r="G233" s="46">
        <f t="shared" si="19"/>
        <v>0.89576854867946287</v>
      </c>
      <c r="H233" s="47">
        <f t="shared" si="2"/>
        <v>23.917020249741658</v>
      </c>
      <c r="I233" s="48">
        <f t="shared" si="3"/>
        <v>8334.6032166299719</v>
      </c>
      <c r="J233" s="55"/>
      <c r="K233" s="55"/>
      <c r="L233" s="56"/>
      <c r="M233" s="49">
        <v>2774</v>
      </c>
      <c r="N233" s="43">
        <f t="shared" si="4"/>
        <v>663.45814172783355</v>
      </c>
    </row>
    <row r="234" spans="1:14">
      <c r="A234" s="42">
        <v>51202</v>
      </c>
      <c r="B234" s="42" t="s">
        <v>286</v>
      </c>
      <c r="C234" s="43">
        <v>7929</v>
      </c>
      <c r="D234" s="44">
        <v>0</v>
      </c>
      <c r="E234" s="45">
        <v>26.7</v>
      </c>
      <c r="F234" s="46">
        <f t="shared" si="0"/>
        <v>18.8</v>
      </c>
      <c r="G234" s="46">
        <f t="shared" si="19"/>
        <v>1.1754836326763112</v>
      </c>
      <c r="H234" s="47">
        <f t="shared" si="2"/>
        <v>31.385412992457507</v>
      </c>
      <c r="I234" s="48">
        <f t="shared" si="3"/>
        <v>2488.5493961719558</v>
      </c>
      <c r="J234" s="55"/>
      <c r="K234" s="55"/>
      <c r="L234" s="56"/>
      <c r="M234" s="49">
        <v>588</v>
      </c>
      <c r="N234" s="43">
        <f t="shared" si="4"/>
        <v>184.54622839565013</v>
      </c>
    </row>
    <row r="235" spans="1:14">
      <c r="A235" s="42">
        <v>51203</v>
      </c>
      <c r="B235" s="42" t="s">
        <v>287</v>
      </c>
      <c r="C235" s="43">
        <v>14338</v>
      </c>
      <c r="D235" s="44">
        <v>79.400000000000006</v>
      </c>
      <c r="E235" s="45">
        <v>26.7</v>
      </c>
      <c r="F235" s="46">
        <f t="shared" si="0"/>
        <v>13.718399999999999</v>
      </c>
      <c r="G235" s="46">
        <f t="shared" si="19"/>
        <v>0.8577529077929098</v>
      </c>
      <c r="H235" s="47">
        <f t="shared" si="2"/>
        <v>22.902002638070691</v>
      </c>
      <c r="I235" s="48">
        <f t="shared" si="3"/>
        <v>3283.6891382465756</v>
      </c>
      <c r="J235" s="55"/>
      <c r="K235" s="55"/>
      <c r="L235" s="56"/>
      <c r="M235" s="49">
        <v>1437</v>
      </c>
      <c r="N235" s="43">
        <f t="shared" si="4"/>
        <v>329.10177790907585</v>
      </c>
    </row>
    <row r="236" spans="1:14">
      <c r="A236" s="42">
        <v>51204</v>
      </c>
      <c r="B236" s="42" t="s">
        <v>288</v>
      </c>
      <c r="C236" s="43">
        <v>5829</v>
      </c>
      <c r="D236" s="44">
        <v>0</v>
      </c>
      <c r="E236" s="45">
        <v>26.7</v>
      </c>
      <c r="F236" s="46">
        <f t="shared" si="0"/>
        <v>18.8</v>
      </c>
      <c r="G236" s="46">
        <f t="shared" si="19"/>
        <v>1.1754836326763112</v>
      </c>
      <c r="H236" s="47">
        <f t="shared" si="2"/>
        <v>31.385412992457507</v>
      </c>
      <c r="I236" s="48">
        <f t="shared" si="3"/>
        <v>1829.4557233303481</v>
      </c>
      <c r="J236" s="55"/>
      <c r="K236" s="55"/>
      <c r="L236" s="56"/>
      <c r="M236" s="49">
        <v>449</v>
      </c>
      <c r="N236" s="43">
        <f t="shared" si="4"/>
        <v>140.9205043361342</v>
      </c>
    </row>
    <row r="237" spans="1:14">
      <c r="A237" s="42">
        <v>51301</v>
      </c>
      <c r="B237" s="42" t="s">
        <v>289</v>
      </c>
      <c r="C237" s="43">
        <v>3708</v>
      </c>
      <c r="D237" s="44">
        <v>0</v>
      </c>
      <c r="E237" s="45">
        <v>26.7</v>
      </c>
      <c r="F237" s="46">
        <f t="shared" si="0"/>
        <v>18.8</v>
      </c>
      <c r="G237" s="46">
        <f t="shared" si="19"/>
        <v>1.1754836326763112</v>
      </c>
      <c r="H237" s="47">
        <f t="shared" si="2"/>
        <v>31.385412992457507</v>
      </c>
      <c r="I237" s="48">
        <f t="shared" si="3"/>
        <v>1163.7711137603244</v>
      </c>
      <c r="J237" s="55"/>
      <c r="K237" s="55"/>
      <c r="L237" s="56"/>
      <c r="M237" s="49">
        <v>347</v>
      </c>
      <c r="N237" s="43">
        <f t="shared" si="4"/>
        <v>108.90738308382755</v>
      </c>
    </row>
    <row r="238" spans="1:14">
      <c r="A238" s="42">
        <v>51302</v>
      </c>
      <c r="B238" s="42" t="s">
        <v>290</v>
      </c>
      <c r="C238" s="43">
        <v>4612</v>
      </c>
      <c r="D238" s="44">
        <v>0</v>
      </c>
      <c r="E238" s="45">
        <v>26.7</v>
      </c>
      <c r="F238" s="46">
        <f t="shared" si="0"/>
        <v>18.8</v>
      </c>
      <c r="G238" s="46">
        <f t="shared" si="19"/>
        <v>1.1754836326763112</v>
      </c>
      <c r="H238" s="47">
        <f t="shared" si="2"/>
        <v>31.385412992457507</v>
      </c>
      <c r="I238" s="48">
        <f t="shared" si="3"/>
        <v>1447.4952472121402</v>
      </c>
      <c r="J238" s="55"/>
      <c r="K238" s="55"/>
      <c r="L238" s="56"/>
      <c r="M238" s="49">
        <v>339</v>
      </c>
      <c r="N238" s="43">
        <f t="shared" si="4"/>
        <v>106.39655004443095</v>
      </c>
    </row>
    <row r="239" spans="1:14">
      <c r="A239" s="42">
        <v>51401</v>
      </c>
      <c r="B239" s="42" t="s">
        <v>291</v>
      </c>
      <c r="C239" s="43">
        <v>4184</v>
      </c>
      <c r="D239" s="44">
        <v>0</v>
      </c>
      <c r="E239" s="45">
        <v>26.7</v>
      </c>
      <c r="F239" s="46">
        <f t="shared" si="0"/>
        <v>18.8</v>
      </c>
      <c r="G239" s="46">
        <f t="shared" si="19"/>
        <v>1.1754836326763112</v>
      </c>
      <c r="H239" s="47">
        <f t="shared" si="2"/>
        <v>31.385412992457507</v>
      </c>
      <c r="I239" s="48">
        <f t="shared" si="3"/>
        <v>1313.1656796044222</v>
      </c>
      <c r="J239" s="55"/>
      <c r="K239" s="55"/>
      <c r="L239" s="56"/>
      <c r="M239" s="49">
        <v>294</v>
      </c>
      <c r="N239" s="43">
        <f t="shared" si="4"/>
        <v>92.273114197825066</v>
      </c>
    </row>
    <row r="240" spans="1:14">
      <c r="A240" s="42">
        <v>51402</v>
      </c>
      <c r="B240" s="42" t="s">
        <v>292</v>
      </c>
      <c r="C240" s="43">
        <v>1559</v>
      </c>
      <c r="D240" s="44">
        <v>0</v>
      </c>
      <c r="E240" s="45">
        <v>26.7</v>
      </c>
      <c r="F240" s="46">
        <f t="shared" si="0"/>
        <v>18.8</v>
      </c>
      <c r="G240" s="46">
        <f t="shared" si="19"/>
        <v>1.1754836326763112</v>
      </c>
      <c r="H240" s="47">
        <f t="shared" si="2"/>
        <v>31.385412992457507</v>
      </c>
      <c r="I240" s="48">
        <f t="shared" si="3"/>
        <v>489.29858855241253</v>
      </c>
      <c r="J240" s="42"/>
      <c r="K240" s="42"/>
      <c r="L240" s="42"/>
      <c r="M240" s="49">
        <v>96</v>
      </c>
      <c r="N240" s="43">
        <f t="shared" si="4"/>
        <v>30.129996472759206</v>
      </c>
    </row>
    <row r="241" spans="1:14">
      <c r="A241" s="42">
        <v>51501</v>
      </c>
      <c r="B241" s="42" t="s">
        <v>293</v>
      </c>
      <c r="C241" s="43">
        <v>48971</v>
      </c>
      <c r="D241" s="44">
        <v>83.7</v>
      </c>
      <c r="E241" s="45">
        <v>26.7</v>
      </c>
      <c r="F241" s="46">
        <f t="shared" si="0"/>
        <v>13.443200000000001</v>
      </c>
      <c r="G241" s="46">
        <f t="shared" si="19"/>
        <v>0.84054582823373325</v>
      </c>
      <c r="H241" s="47">
        <f t="shared" si="2"/>
        <v>22.442573613840676</v>
      </c>
      <c r="I241" s="48">
        <f t="shared" si="3"/>
        <v>10990.352724433917</v>
      </c>
      <c r="J241" s="55"/>
      <c r="K241" s="55"/>
      <c r="L241" s="56"/>
      <c r="M241" s="49">
        <v>3892</v>
      </c>
      <c r="N241" s="43">
        <f t="shared" si="4"/>
        <v>873.46496505067898</v>
      </c>
    </row>
    <row r="242" spans="1:14">
      <c r="A242" s="42">
        <v>51601</v>
      </c>
      <c r="B242" s="42" t="s">
        <v>294</v>
      </c>
      <c r="C242" s="43">
        <v>2089</v>
      </c>
      <c r="D242" s="44">
        <v>0</v>
      </c>
      <c r="E242" s="45">
        <v>26.7</v>
      </c>
      <c r="F242" s="46">
        <f t="shared" si="0"/>
        <v>18.8</v>
      </c>
      <c r="G242" s="46">
        <f t="shared" si="19"/>
        <v>1.1754836326763112</v>
      </c>
      <c r="H242" s="47">
        <f t="shared" si="2"/>
        <v>31.385412992457507</v>
      </c>
      <c r="I242" s="48">
        <f t="shared" si="3"/>
        <v>655.64127741243738</v>
      </c>
      <c r="J242" s="55"/>
      <c r="K242" s="55"/>
      <c r="L242" s="56"/>
      <c r="M242" s="49">
        <v>155</v>
      </c>
      <c r="N242" s="43">
        <f t="shared" si="4"/>
        <v>48.647390138309134</v>
      </c>
    </row>
    <row r="243" spans="1:14">
      <c r="A243" s="42">
        <v>60101</v>
      </c>
      <c r="B243" s="42" t="s">
        <v>61</v>
      </c>
      <c r="C243" s="43">
        <v>235968</v>
      </c>
      <c r="D243" s="44">
        <v>90.1</v>
      </c>
      <c r="E243" s="45">
        <v>9.1</v>
      </c>
      <c r="F243" s="46">
        <f t="shared" si="0"/>
        <v>13.0336</v>
      </c>
      <c r="G243" s="46">
        <f t="shared" ref="G243:G253" si="20">1.19*F243/F$345</f>
        <v>0.90632990331434971</v>
      </c>
      <c r="H243" s="47">
        <f t="shared" si="2"/>
        <v>8.2476021201605825</v>
      </c>
      <c r="I243" s="48">
        <f t="shared" si="3"/>
        <v>19461.701770900523</v>
      </c>
      <c r="J243" s="49">
        <f>SUM(C243:C253)</f>
        <v>529987</v>
      </c>
      <c r="K243" s="49">
        <f>SUM(I243:I253)</f>
        <v>48229.673924691822</v>
      </c>
      <c r="L243" s="50">
        <f>K243/J243</f>
        <v>9.1001616878700467E-2</v>
      </c>
      <c r="M243" s="49">
        <v>14696</v>
      </c>
      <c r="N243" s="43">
        <f t="shared" si="4"/>
        <v>1212.0676075787992</v>
      </c>
    </row>
    <row r="244" spans="1:14">
      <c r="A244" s="42">
        <v>60201</v>
      </c>
      <c r="B244" s="42" t="s">
        <v>295</v>
      </c>
      <c r="C244" s="43">
        <v>17889</v>
      </c>
      <c r="D244" s="44">
        <v>0</v>
      </c>
      <c r="E244" s="45">
        <v>9.1</v>
      </c>
      <c r="F244" s="46">
        <f t="shared" si="0"/>
        <v>18.8</v>
      </c>
      <c r="G244" s="46">
        <f t="shared" si="20"/>
        <v>1.3073135727895422</v>
      </c>
      <c r="H244" s="47">
        <f t="shared" si="2"/>
        <v>11.896553512384834</v>
      </c>
      <c r="I244" s="48">
        <f t="shared" si="3"/>
        <v>2128.1744578305229</v>
      </c>
      <c r="J244" s="55"/>
      <c r="K244" s="55"/>
      <c r="L244" s="56"/>
      <c r="M244" s="49">
        <v>1167</v>
      </c>
      <c r="N244" s="43">
        <f t="shared" si="4"/>
        <v>138.83277948953102</v>
      </c>
    </row>
    <row r="245" spans="1:14">
      <c r="A245" s="42">
        <v>60202</v>
      </c>
      <c r="B245" s="42" t="s">
        <v>296</v>
      </c>
      <c r="C245" s="43">
        <v>36765</v>
      </c>
      <c r="D245" s="44">
        <v>88.7</v>
      </c>
      <c r="E245" s="45">
        <v>9.1</v>
      </c>
      <c r="F245" s="46">
        <f t="shared" si="0"/>
        <v>13.123200000000001</v>
      </c>
      <c r="G245" s="46">
        <f t="shared" si="20"/>
        <v>0.91256050417189993</v>
      </c>
      <c r="H245" s="47">
        <f t="shared" si="2"/>
        <v>8.3043005879642884</v>
      </c>
      <c r="I245" s="48">
        <f t="shared" si="3"/>
        <v>3053.0761111650709</v>
      </c>
      <c r="J245" s="55"/>
      <c r="K245" s="55"/>
      <c r="L245" s="56"/>
      <c r="M245" s="49">
        <v>2526</v>
      </c>
      <c r="N245" s="43">
        <f t="shared" si="4"/>
        <v>209.76663285197793</v>
      </c>
    </row>
    <row r="246" spans="1:14">
      <c r="A246" s="42">
        <v>60301</v>
      </c>
      <c r="B246" s="42" t="s">
        <v>297</v>
      </c>
      <c r="C246" s="43">
        <v>97185</v>
      </c>
      <c r="D246" s="44">
        <v>73.599999999999994</v>
      </c>
      <c r="E246" s="45">
        <v>9.1</v>
      </c>
      <c r="F246" s="46">
        <f t="shared" si="0"/>
        <v>14.089600000000001</v>
      </c>
      <c r="G246" s="46">
        <f t="shared" si="20"/>
        <v>0.9797619848497624</v>
      </c>
      <c r="H246" s="47">
        <f t="shared" si="2"/>
        <v>8.9158340621328378</v>
      </c>
      <c r="I246" s="48">
        <f t="shared" si="3"/>
        <v>8664.8533332837978</v>
      </c>
      <c r="J246" s="55"/>
      <c r="K246" s="55"/>
      <c r="L246" s="56"/>
      <c r="M246" s="49">
        <v>7411</v>
      </c>
      <c r="N246" s="43">
        <f t="shared" si="4"/>
        <v>660.75246234466465</v>
      </c>
    </row>
    <row r="247" spans="1:14">
      <c r="A247" s="42">
        <v>60302</v>
      </c>
      <c r="B247" s="42" t="s">
        <v>298</v>
      </c>
      <c r="C247" s="43">
        <v>15543</v>
      </c>
      <c r="D247" s="44">
        <v>25.6</v>
      </c>
      <c r="E247" s="45">
        <v>9.1</v>
      </c>
      <c r="F247" s="46">
        <f t="shared" si="0"/>
        <v>17.1616</v>
      </c>
      <c r="G247" s="46">
        <f t="shared" si="20"/>
        <v>1.1933825856800535</v>
      </c>
      <c r="H247" s="47">
        <f t="shared" si="2"/>
        <v>10.859781529688487</v>
      </c>
      <c r="I247" s="48">
        <f t="shared" si="3"/>
        <v>1687.9358431594817</v>
      </c>
      <c r="J247" s="55"/>
      <c r="K247" s="55"/>
      <c r="L247" s="56"/>
      <c r="M247" s="49">
        <v>1252</v>
      </c>
      <c r="N247" s="43">
        <f t="shared" si="4"/>
        <v>135.96446475169986</v>
      </c>
    </row>
    <row r="248" spans="1:14">
      <c r="A248" s="42">
        <v>60303</v>
      </c>
      <c r="B248" s="42" t="s">
        <v>299</v>
      </c>
      <c r="C248" s="43">
        <v>45554</v>
      </c>
      <c r="D248" s="44">
        <v>72.400000000000006</v>
      </c>
      <c r="E248" s="45">
        <v>9.1</v>
      </c>
      <c r="F248" s="46">
        <f t="shared" si="0"/>
        <v>14.166399999999999</v>
      </c>
      <c r="G248" s="46">
        <f t="shared" si="20"/>
        <v>0.98510249987051957</v>
      </c>
      <c r="H248" s="47">
        <f t="shared" si="2"/>
        <v>8.9644327488217286</v>
      </c>
      <c r="I248" s="48">
        <f t="shared" si="3"/>
        <v>4083.6576943982504</v>
      </c>
      <c r="J248" s="55"/>
      <c r="K248" s="55"/>
      <c r="L248" s="56"/>
      <c r="M248" s="49">
        <v>3575</v>
      </c>
      <c r="N248" s="43">
        <f t="shared" si="4"/>
        <v>320.47847077037682</v>
      </c>
    </row>
    <row r="249" spans="1:14">
      <c r="A249" s="42">
        <v>60401</v>
      </c>
      <c r="B249" s="42" t="s">
        <v>300</v>
      </c>
      <c r="C249" s="43">
        <v>15828</v>
      </c>
      <c r="D249" s="44">
        <v>14.2</v>
      </c>
      <c r="E249" s="45">
        <v>9.1</v>
      </c>
      <c r="F249" s="46">
        <f t="shared" si="0"/>
        <v>17.891200000000001</v>
      </c>
      <c r="G249" s="46">
        <f t="shared" si="20"/>
        <v>1.2441174783772477</v>
      </c>
      <c r="H249" s="47">
        <f t="shared" si="2"/>
        <v>11.321469053232954</v>
      </c>
      <c r="I249" s="48">
        <f t="shared" si="3"/>
        <v>1791.962121745712</v>
      </c>
      <c r="J249" s="55"/>
      <c r="K249" s="55"/>
      <c r="L249" s="56"/>
      <c r="M249" s="49">
        <v>1096</v>
      </c>
      <c r="N249" s="43">
        <f t="shared" si="4"/>
        <v>124.08330082343318</v>
      </c>
    </row>
    <row r="250" spans="1:14">
      <c r="A250" s="42">
        <v>60402</v>
      </c>
      <c r="B250" s="42" t="s">
        <v>301</v>
      </c>
      <c r="C250" s="43">
        <v>4815</v>
      </c>
      <c r="D250" s="44">
        <v>0</v>
      </c>
      <c r="E250" s="45">
        <v>9.1</v>
      </c>
      <c r="F250" s="46">
        <f t="shared" si="0"/>
        <v>18.8</v>
      </c>
      <c r="G250" s="46">
        <f t="shared" si="20"/>
        <v>1.3073135727895422</v>
      </c>
      <c r="H250" s="47">
        <f t="shared" si="2"/>
        <v>11.896553512384834</v>
      </c>
      <c r="I250" s="48">
        <f t="shared" si="3"/>
        <v>572.81905162132978</v>
      </c>
      <c r="J250" s="55"/>
      <c r="K250" s="55"/>
      <c r="L250" s="56"/>
      <c r="M250" s="49">
        <v>387</v>
      </c>
      <c r="N250" s="43">
        <f t="shared" si="4"/>
        <v>46.039662092929312</v>
      </c>
    </row>
    <row r="251" spans="1:14">
      <c r="A251" s="42">
        <v>60501</v>
      </c>
      <c r="B251" s="42" t="s">
        <v>302</v>
      </c>
      <c r="C251" s="43">
        <v>29806</v>
      </c>
      <c r="D251" s="44">
        <v>19.399999999999999</v>
      </c>
      <c r="E251" s="45">
        <v>9.1</v>
      </c>
      <c r="F251" s="46">
        <f t="shared" si="0"/>
        <v>17.558399999999999</v>
      </c>
      <c r="G251" s="46">
        <f t="shared" si="20"/>
        <v>1.2209752466206325</v>
      </c>
      <c r="H251" s="47">
        <f t="shared" si="2"/>
        <v>11.110874744247756</v>
      </c>
      <c r="I251" s="48">
        <f t="shared" si="3"/>
        <v>3311.7073262704862</v>
      </c>
      <c r="J251" s="42"/>
      <c r="K251" s="42"/>
      <c r="L251" s="42"/>
      <c r="M251" s="49">
        <v>1980</v>
      </c>
      <c r="N251" s="43">
        <f t="shared" si="4"/>
        <v>219.99531993610555</v>
      </c>
    </row>
    <row r="252" spans="1:14">
      <c r="A252" s="42">
        <v>60502</v>
      </c>
      <c r="B252" s="42" t="s">
        <v>303</v>
      </c>
      <c r="C252" s="43">
        <v>9676</v>
      </c>
      <c r="D252" s="44">
        <v>0</v>
      </c>
      <c r="E252" s="45">
        <v>9.1</v>
      </c>
      <c r="F252" s="46">
        <f t="shared" si="0"/>
        <v>18.8</v>
      </c>
      <c r="G252" s="46">
        <f t="shared" si="20"/>
        <v>1.3073135727895422</v>
      </c>
      <c r="H252" s="47">
        <f t="shared" si="2"/>
        <v>11.896553512384834</v>
      </c>
      <c r="I252" s="48">
        <f t="shared" si="3"/>
        <v>1151.1105178583564</v>
      </c>
      <c r="J252" s="55"/>
      <c r="K252" s="55"/>
      <c r="L252" s="56"/>
      <c r="M252" s="49">
        <v>656</v>
      </c>
      <c r="N252" s="43">
        <f t="shared" si="4"/>
        <v>78.041391041244509</v>
      </c>
    </row>
    <row r="253" spans="1:14">
      <c r="A253" s="42">
        <v>60601</v>
      </c>
      <c r="B253" s="42" t="s">
        <v>208</v>
      </c>
      <c r="C253" s="43">
        <v>20958</v>
      </c>
      <c r="D253" s="44">
        <v>20.100000000000001</v>
      </c>
      <c r="E253" s="45">
        <v>9.1</v>
      </c>
      <c r="F253" s="46">
        <f t="shared" si="0"/>
        <v>17.5136</v>
      </c>
      <c r="G253" s="46">
        <f t="shared" si="20"/>
        <v>1.2178599461918576</v>
      </c>
      <c r="H253" s="47">
        <f t="shared" si="2"/>
        <v>11.082525510345903</v>
      </c>
      <c r="I253" s="48">
        <f t="shared" si="3"/>
        <v>2322.6756964582946</v>
      </c>
      <c r="J253" s="55"/>
      <c r="K253" s="55"/>
      <c r="L253" s="56"/>
      <c r="M253" s="49">
        <v>1610</v>
      </c>
      <c r="N253" s="43">
        <f t="shared" si="4"/>
        <v>178.42866071656903</v>
      </c>
    </row>
    <row r="254" spans="1:14">
      <c r="A254" s="42">
        <v>70101</v>
      </c>
      <c r="B254" s="42" t="s">
        <v>304</v>
      </c>
      <c r="C254" s="43">
        <v>1597102</v>
      </c>
      <c r="D254" s="44">
        <v>99.4</v>
      </c>
      <c r="E254" s="45">
        <v>10.1</v>
      </c>
      <c r="F254" s="46">
        <f t="shared" si="0"/>
        <v>12.438400000000001</v>
      </c>
      <c r="G254" s="46">
        <f t="shared" ref="G254:G309" si="21">1.27*F254/F$345</f>
        <v>0.92308820009867298</v>
      </c>
      <c r="H254" s="47">
        <f t="shared" si="2"/>
        <v>9.3231908209965972</v>
      </c>
      <c r="I254" s="48">
        <f t="shared" si="3"/>
        <v>148900.86706595306</v>
      </c>
      <c r="J254" s="49">
        <f>SUM(C254:C309)</f>
        <v>3083870</v>
      </c>
      <c r="K254" s="49">
        <f>SUM(I254:I309)</f>
        <v>312257.06317131425</v>
      </c>
      <c r="L254" s="50">
        <f>K254/J254</f>
        <v>0.10125493719622236</v>
      </c>
      <c r="M254" s="49">
        <v>117053</v>
      </c>
      <c r="N254" s="43">
        <f t="shared" si="4"/>
        <v>10913.074551701147</v>
      </c>
    </row>
    <row r="255" spans="1:14">
      <c r="A255" s="42">
        <v>70102</v>
      </c>
      <c r="B255" s="42" t="s">
        <v>305</v>
      </c>
      <c r="C255" s="43">
        <v>102356</v>
      </c>
      <c r="D255" s="44">
        <v>82.8</v>
      </c>
      <c r="E255" s="45">
        <v>10.1</v>
      </c>
      <c r="F255" s="46">
        <f t="shared" si="0"/>
        <v>13.500800000000002</v>
      </c>
      <c r="G255" s="46">
        <f t="shared" si="21"/>
        <v>1.0019318539275281</v>
      </c>
      <c r="H255" s="47">
        <f t="shared" si="2"/>
        <v>10.119511724668033</v>
      </c>
      <c r="I255" s="48">
        <f t="shared" si="3"/>
        <v>10357.927420901213</v>
      </c>
      <c r="J255" s="55"/>
      <c r="K255" s="55"/>
      <c r="L255" s="56"/>
      <c r="M255" s="49">
        <v>9604</v>
      </c>
      <c r="N255" s="43">
        <f t="shared" si="4"/>
        <v>971.8779060371179</v>
      </c>
    </row>
    <row r="256" spans="1:14">
      <c r="A256" s="42">
        <v>70103</v>
      </c>
      <c r="B256" s="42" t="s">
        <v>306</v>
      </c>
      <c r="C256" s="43">
        <v>22475</v>
      </c>
      <c r="D256" s="44">
        <v>47.2</v>
      </c>
      <c r="E256" s="45">
        <v>10.1</v>
      </c>
      <c r="F256" s="46">
        <f t="shared" si="0"/>
        <v>15.779199999999999</v>
      </c>
      <c r="G256" s="46">
        <f t="shared" si="21"/>
        <v>1.171018244066518</v>
      </c>
      <c r="H256" s="47">
        <f t="shared" si="2"/>
        <v>11.827284265071832</v>
      </c>
      <c r="I256" s="48">
        <f t="shared" si="3"/>
        <v>2658.182138574894</v>
      </c>
      <c r="J256" s="55"/>
      <c r="K256" s="55"/>
      <c r="L256" s="56"/>
      <c r="M256" s="49">
        <v>1608</v>
      </c>
      <c r="N256" s="43">
        <f t="shared" si="4"/>
        <v>190.18273098235505</v>
      </c>
    </row>
    <row r="257" spans="1:14">
      <c r="A257" s="42">
        <v>70104</v>
      </c>
      <c r="B257" s="42" t="s">
        <v>307</v>
      </c>
      <c r="C257" s="43">
        <v>142856</v>
      </c>
      <c r="D257" s="44">
        <v>94.1</v>
      </c>
      <c r="E257" s="45">
        <v>10.1</v>
      </c>
      <c r="F257" s="46">
        <f t="shared" ref="F257:F344" si="22">$P$3+$P$4*D257</f>
        <v>12.7776</v>
      </c>
      <c r="G257" s="46">
        <f t="shared" si="21"/>
        <v>0.9482611739115</v>
      </c>
      <c r="H257" s="47">
        <f t="shared" ref="H257:H344" si="23">E257*G257</f>
        <v>9.5774378565061493</v>
      </c>
      <c r="I257" s="48">
        <f t="shared" ref="I257:I344" si="24">C257*H257/100</f>
        <v>13681.944624290425</v>
      </c>
      <c r="J257" s="55"/>
      <c r="K257" s="55"/>
      <c r="L257" s="56"/>
      <c r="M257" s="49">
        <v>12051</v>
      </c>
      <c r="N257" s="43">
        <f t="shared" ref="N257:N344" si="25">+(H257*M257)/100</f>
        <v>1154.177036087556</v>
      </c>
    </row>
    <row r="258" spans="1:14">
      <c r="A258" s="42">
        <v>70105</v>
      </c>
      <c r="B258" s="42" t="s">
        <v>308</v>
      </c>
      <c r="C258" s="43">
        <v>55193</v>
      </c>
      <c r="D258" s="44">
        <v>71.2</v>
      </c>
      <c r="E258" s="45">
        <v>10.1</v>
      </c>
      <c r="F258" s="46">
        <f t="shared" si="22"/>
        <v>14.243200000000002</v>
      </c>
      <c r="G258" s="46">
        <f t="shared" si="21"/>
        <v>1.0570274192537157</v>
      </c>
      <c r="H258" s="47">
        <f t="shared" si="23"/>
        <v>10.675976934462527</v>
      </c>
      <c r="I258" s="48">
        <f t="shared" si="24"/>
        <v>5892.3919494379033</v>
      </c>
      <c r="J258" s="55"/>
      <c r="K258" s="55"/>
      <c r="L258" s="56"/>
      <c r="M258" s="49">
        <v>4479</v>
      </c>
      <c r="N258" s="43">
        <f t="shared" si="25"/>
        <v>478.17700689457661</v>
      </c>
    </row>
    <row r="259" spans="1:14">
      <c r="A259" s="42">
        <v>70201</v>
      </c>
      <c r="B259" s="42" t="s">
        <v>309</v>
      </c>
      <c r="C259" s="43">
        <v>146678</v>
      </c>
      <c r="D259" s="44">
        <v>88.8</v>
      </c>
      <c r="E259" s="45">
        <v>10.1</v>
      </c>
      <c r="F259" s="46">
        <f t="shared" si="22"/>
        <v>13.116800000000001</v>
      </c>
      <c r="G259" s="46">
        <f t="shared" si="21"/>
        <v>0.97343414772432735</v>
      </c>
      <c r="H259" s="47">
        <f t="shared" si="23"/>
        <v>9.8316848920157067</v>
      </c>
      <c r="I259" s="48">
        <f t="shared" si="24"/>
        <v>14420.918765910799</v>
      </c>
      <c r="J259" s="55"/>
      <c r="K259" s="55"/>
      <c r="L259" s="56"/>
      <c r="M259" s="49">
        <v>12908</v>
      </c>
      <c r="N259" s="43">
        <f t="shared" si="25"/>
        <v>1269.0738858613875</v>
      </c>
    </row>
    <row r="260" spans="1:14">
      <c r="A260" s="42">
        <v>70202</v>
      </c>
      <c r="B260" s="42" t="s">
        <v>310</v>
      </c>
      <c r="C260" s="43">
        <v>10816</v>
      </c>
      <c r="D260" s="44">
        <v>48.9</v>
      </c>
      <c r="E260" s="45">
        <v>10.1</v>
      </c>
      <c r="F260" s="46">
        <f t="shared" si="22"/>
        <v>15.670400000000001</v>
      </c>
      <c r="G260" s="46">
        <f t="shared" si="21"/>
        <v>1.1629438939756114</v>
      </c>
      <c r="H260" s="47">
        <f t="shared" si="23"/>
        <v>11.745733329153675</v>
      </c>
      <c r="I260" s="48">
        <f t="shared" si="24"/>
        <v>1270.4185168812614</v>
      </c>
      <c r="J260" s="55"/>
      <c r="K260" s="55"/>
      <c r="L260" s="56"/>
      <c r="M260" s="49">
        <v>1007</v>
      </c>
      <c r="N260" s="43">
        <f t="shared" si="25"/>
        <v>118.27953462457749</v>
      </c>
    </row>
    <row r="261" spans="1:14">
      <c r="A261" s="42">
        <v>70301</v>
      </c>
      <c r="B261" s="42" t="s">
        <v>311</v>
      </c>
      <c r="C261" s="43">
        <v>65875</v>
      </c>
      <c r="D261" s="44">
        <v>47.4</v>
      </c>
      <c r="E261" s="45">
        <v>10.1</v>
      </c>
      <c r="F261" s="46">
        <f t="shared" si="22"/>
        <v>15.766400000000001</v>
      </c>
      <c r="G261" s="46">
        <f t="shared" si="21"/>
        <v>1.1700683205264115</v>
      </c>
      <c r="H261" s="47">
        <f t="shared" si="23"/>
        <v>11.817690037316757</v>
      </c>
      <c r="I261" s="48">
        <f t="shared" si="24"/>
        <v>7784.9033120824133</v>
      </c>
      <c r="J261" s="55"/>
      <c r="K261" s="55"/>
      <c r="L261" s="56"/>
      <c r="M261" s="49">
        <v>7322</v>
      </c>
      <c r="N261" s="43">
        <f t="shared" si="25"/>
        <v>865.29126453233289</v>
      </c>
    </row>
    <row r="262" spans="1:14">
      <c r="A262" s="42">
        <v>70302</v>
      </c>
      <c r="B262" s="42" t="s">
        <v>312</v>
      </c>
      <c r="C262" s="43">
        <v>14913</v>
      </c>
      <c r="D262" s="44">
        <v>35.4</v>
      </c>
      <c r="E262" s="45">
        <v>10.1</v>
      </c>
      <c r="F262" s="46">
        <f t="shared" si="22"/>
        <v>16.534400000000002</v>
      </c>
      <c r="G262" s="46">
        <f t="shared" si="21"/>
        <v>1.2270637329328127</v>
      </c>
      <c r="H262" s="47">
        <f t="shared" si="23"/>
        <v>12.393343702621408</v>
      </c>
      <c r="I262" s="48">
        <f t="shared" si="24"/>
        <v>1848.2193463719304</v>
      </c>
      <c r="J262" s="55"/>
      <c r="K262" s="55"/>
      <c r="L262" s="56"/>
      <c r="M262" s="49">
        <v>1501</v>
      </c>
      <c r="N262" s="43">
        <f t="shared" si="25"/>
        <v>186.02408897634734</v>
      </c>
    </row>
    <row r="263" spans="1:14">
      <c r="A263" s="42">
        <v>70303</v>
      </c>
      <c r="B263" s="42" t="s">
        <v>313</v>
      </c>
      <c r="C263" s="43">
        <v>8617</v>
      </c>
      <c r="D263" s="44">
        <v>33.6</v>
      </c>
      <c r="E263" s="45">
        <v>10.1</v>
      </c>
      <c r="F263" s="46">
        <f t="shared" si="22"/>
        <v>16.6496</v>
      </c>
      <c r="G263" s="46">
        <f t="shared" si="21"/>
        <v>1.2356130447937728</v>
      </c>
      <c r="H263" s="47">
        <f t="shared" si="23"/>
        <v>12.479691752417104</v>
      </c>
      <c r="I263" s="48">
        <f t="shared" si="24"/>
        <v>1075.3750383057818</v>
      </c>
      <c r="J263" s="55"/>
      <c r="K263" s="55"/>
      <c r="L263" s="56"/>
      <c r="M263" s="49">
        <v>850</v>
      </c>
      <c r="N263" s="43">
        <f t="shared" si="25"/>
        <v>106.07737989554538</v>
      </c>
    </row>
    <row r="264" spans="1:14">
      <c r="A264" s="42">
        <v>70401</v>
      </c>
      <c r="B264" s="42" t="s">
        <v>314</v>
      </c>
      <c r="C264" s="43">
        <v>13587</v>
      </c>
      <c r="D264" s="44">
        <v>40.1</v>
      </c>
      <c r="E264" s="45">
        <v>10.1</v>
      </c>
      <c r="F264" s="46">
        <f t="shared" si="22"/>
        <v>16.233599999999999</v>
      </c>
      <c r="G264" s="46">
        <f t="shared" si="21"/>
        <v>1.2047405297403053</v>
      </c>
      <c r="H264" s="47">
        <f t="shared" si="23"/>
        <v>12.167879350377083</v>
      </c>
      <c r="I264" s="48">
        <f t="shared" si="24"/>
        <v>1653.2497673357343</v>
      </c>
      <c r="J264" s="55"/>
      <c r="K264" s="55"/>
      <c r="L264" s="56"/>
      <c r="M264" s="49">
        <v>1141</v>
      </c>
      <c r="N264" s="43">
        <f t="shared" si="25"/>
        <v>138.8355033878025</v>
      </c>
    </row>
    <row r="265" spans="1:14">
      <c r="A265" s="42">
        <v>70402</v>
      </c>
      <c r="B265" s="42" t="s">
        <v>315</v>
      </c>
      <c r="C265" s="43">
        <v>19038</v>
      </c>
      <c r="D265" s="44">
        <v>66.8</v>
      </c>
      <c r="E265" s="45">
        <v>10.1</v>
      </c>
      <c r="F265" s="46">
        <f t="shared" si="22"/>
        <v>14.524800000000001</v>
      </c>
      <c r="G265" s="46">
        <f t="shared" si="21"/>
        <v>1.0779257371360629</v>
      </c>
      <c r="H265" s="47">
        <f t="shared" si="23"/>
        <v>10.887049945074235</v>
      </c>
      <c r="I265" s="48">
        <f t="shared" si="24"/>
        <v>2072.6765685432329</v>
      </c>
      <c r="J265" s="55"/>
      <c r="K265" s="55"/>
      <c r="L265" s="56"/>
      <c r="M265" s="49">
        <v>1614</v>
      </c>
      <c r="N265" s="43">
        <f t="shared" si="25"/>
        <v>175.71698611349817</v>
      </c>
    </row>
    <row r="266" spans="1:14">
      <c r="A266" s="42">
        <v>70403</v>
      </c>
      <c r="B266" s="42" t="s">
        <v>316</v>
      </c>
      <c r="C266" s="43">
        <v>57191</v>
      </c>
      <c r="D266" s="44">
        <v>62.4</v>
      </c>
      <c r="E266" s="45">
        <v>10.1</v>
      </c>
      <c r="F266" s="46">
        <f t="shared" si="22"/>
        <v>14.8064</v>
      </c>
      <c r="G266" s="46">
        <f t="shared" si="21"/>
        <v>1.0988240550184099</v>
      </c>
      <c r="H266" s="47">
        <f t="shared" si="23"/>
        <v>11.098122955685939</v>
      </c>
      <c r="I266" s="48">
        <f t="shared" si="24"/>
        <v>6347.1274995863459</v>
      </c>
      <c r="J266" s="55"/>
      <c r="K266" s="55"/>
      <c r="L266" s="56"/>
      <c r="M266" s="49">
        <v>4740</v>
      </c>
      <c r="N266" s="43">
        <f t="shared" si="25"/>
        <v>526.05102809951347</v>
      </c>
    </row>
    <row r="267" spans="1:14">
      <c r="A267" s="42">
        <v>70404</v>
      </c>
      <c r="B267" s="42" t="s">
        <v>317</v>
      </c>
      <c r="C267" s="43">
        <v>10116</v>
      </c>
      <c r="D267" s="44">
        <v>59.7</v>
      </c>
      <c r="E267" s="45">
        <v>10.1</v>
      </c>
      <c r="F267" s="46">
        <f t="shared" si="22"/>
        <v>14.979200000000001</v>
      </c>
      <c r="G267" s="46">
        <f t="shared" si="21"/>
        <v>1.1116480228098502</v>
      </c>
      <c r="H267" s="47">
        <f t="shared" si="23"/>
        <v>11.227645030379486</v>
      </c>
      <c r="I267" s="48">
        <f t="shared" si="24"/>
        <v>1135.7885712731888</v>
      </c>
      <c r="J267" s="55"/>
      <c r="K267" s="55"/>
      <c r="L267" s="56"/>
      <c r="M267" s="49">
        <v>888</v>
      </c>
      <c r="N267" s="43">
        <f t="shared" si="25"/>
        <v>99.701487869769849</v>
      </c>
    </row>
    <row r="268" spans="1:14">
      <c r="A268" s="42">
        <v>70501</v>
      </c>
      <c r="B268" s="42" t="s">
        <v>318</v>
      </c>
      <c r="C268" s="43">
        <v>39970</v>
      </c>
      <c r="D268" s="44">
        <v>32.9</v>
      </c>
      <c r="E268" s="45">
        <v>10.1</v>
      </c>
      <c r="F268" s="46">
        <f t="shared" si="22"/>
        <v>16.694400000000002</v>
      </c>
      <c r="G268" s="46">
        <f t="shared" si="21"/>
        <v>1.2389377771841465</v>
      </c>
      <c r="H268" s="47">
        <f t="shared" si="23"/>
        <v>12.51327154955988</v>
      </c>
      <c r="I268" s="48">
        <f t="shared" si="24"/>
        <v>5001.5546383590836</v>
      </c>
      <c r="J268" s="55"/>
      <c r="K268" s="55"/>
      <c r="L268" s="56"/>
      <c r="M268" s="49">
        <v>4777</v>
      </c>
      <c r="N268" s="43">
        <f t="shared" si="25"/>
        <v>597.75898192247541</v>
      </c>
    </row>
    <row r="269" spans="1:14">
      <c r="A269" s="42">
        <v>70502</v>
      </c>
      <c r="B269" s="42" t="s">
        <v>319</v>
      </c>
      <c r="C269" s="43">
        <v>53109</v>
      </c>
      <c r="D269" s="44">
        <v>30.9</v>
      </c>
      <c r="E269" s="45">
        <v>10.1</v>
      </c>
      <c r="F269" s="46">
        <f t="shared" si="22"/>
        <v>16.822400000000002</v>
      </c>
      <c r="G269" s="46">
        <f t="shared" si="21"/>
        <v>1.2484370125852133</v>
      </c>
      <c r="H269" s="47">
        <f t="shared" si="23"/>
        <v>12.609213827110654</v>
      </c>
      <c r="I269" s="48">
        <f t="shared" si="24"/>
        <v>6696.6273714401968</v>
      </c>
      <c r="J269" s="55"/>
      <c r="K269" s="55"/>
      <c r="L269" s="56"/>
      <c r="M269" s="49">
        <v>7164</v>
      </c>
      <c r="N269" s="43">
        <f t="shared" si="25"/>
        <v>903.32407857420719</v>
      </c>
    </row>
    <row r="270" spans="1:14">
      <c r="A270" s="42">
        <v>70503</v>
      </c>
      <c r="B270" s="42" t="s">
        <v>320</v>
      </c>
      <c r="C270" s="43">
        <v>18503</v>
      </c>
      <c r="D270" s="44">
        <v>64.2</v>
      </c>
      <c r="E270" s="45">
        <v>10.1</v>
      </c>
      <c r="F270" s="46">
        <f t="shared" si="22"/>
        <v>14.6912</v>
      </c>
      <c r="G270" s="46">
        <f t="shared" si="21"/>
        <v>1.0902747431574498</v>
      </c>
      <c r="H270" s="47">
        <f t="shared" si="23"/>
        <v>11.011774905890242</v>
      </c>
      <c r="I270" s="48">
        <f t="shared" si="24"/>
        <v>2037.5087108368714</v>
      </c>
      <c r="J270" s="55"/>
      <c r="K270" s="55"/>
      <c r="L270" s="56"/>
      <c r="M270" s="49">
        <v>1636</v>
      </c>
      <c r="N270" s="43">
        <f t="shared" si="25"/>
        <v>180.15263746036436</v>
      </c>
    </row>
    <row r="271" spans="1:14">
      <c r="A271" s="42">
        <v>70601</v>
      </c>
      <c r="B271" s="42" t="s">
        <v>321</v>
      </c>
      <c r="C271" s="43">
        <v>20505</v>
      </c>
      <c r="D271" s="44">
        <v>79.599999999999994</v>
      </c>
      <c r="E271" s="45">
        <v>10.1</v>
      </c>
      <c r="F271" s="46">
        <f t="shared" si="22"/>
        <v>13.7056</v>
      </c>
      <c r="G271" s="46">
        <f t="shared" si="21"/>
        <v>1.0171306305692349</v>
      </c>
      <c r="H271" s="47">
        <f t="shared" si="23"/>
        <v>10.273019368749273</v>
      </c>
      <c r="I271" s="48">
        <f t="shared" si="24"/>
        <v>2106.4826215620383</v>
      </c>
      <c r="J271" s="55"/>
      <c r="K271" s="55"/>
      <c r="L271" s="56"/>
      <c r="M271" s="49">
        <v>1758</v>
      </c>
      <c r="N271" s="43">
        <f t="shared" si="25"/>
        <v>180.59968050261222</v>
      </c>
    </row>
    <row r="272" spans="1:14">
      <c r="A272" s="42">
        <v>70602</v>
      </c>
      <c r="B272" s="42" t="s">
        <v>322</v>
      </c>
      <c r="C272" s="43">
        <v>18101</v>
      </c>
      <c r="D272" s="44">
        <v>26</v>
      </c>
      <c r="E272" s="45">
        <v>10.1</v>
      </c>
      <c r="F272" s="46">
        <f t="shared" si="22"/>
        <v>17.135999999999999</v>
      </c>
      <c r="G272" s="46">
        <f t="shared" si="21"/>
        <v>1.2717101393178267</v>
      </c>
      <c r="H272" s="47">
        <f t="shared" si="23"/>
        <v>12.844272407110049</v>
      </c>
      <c r="I272" s="48">
        <f t="shared" si="24"/>
        <v>2324.9417484109899</v>
      </c>
      <c r="J272" s="55"/>
      <c r="K272" s="55"/>
      <c r="L272" s="56"/>
      <c r="M272" s="49">
        <v>1454</v>
      </c>
      <c r="N272" s="43">
        <f t="shared" si="25"/>
        <v>186.7557207993801</v>
      </c>
    </row>
    <row r="273" spans="1:14">
      <c r="A273" s="42">
        <v>70603</v>
      </c>
      <c r="B273" s="42" t="s">
        <v>323</v>
      </c>
      <c r="C273" s="43">
        <v>6012</v>
      </c>
      <c r="D273" s="44">
        <v>82.5</v>
      </c>
      <c r="E273" s="45">
        <v>10.1</v>
      </c>
      <c r="F273" s="46">
        <f t="shared" si="22"/>
        <v>13.52</v>
      </c>
      <c r="G273" s="46">
        <f t="shared" si="21"/>
        <v>1.0033567392376879</v>
      </c>
      <c r="H273" s="47">
        <f t="shared" si="23"/>
        <v>10.133903066300647</v>
      </c>
      <c r="I273" s="48">
        <f t="shared" si="24"/>
        <v>609.25025234599491</v>
      </c>
      <c r="J273" s="55"/>
      <c r="K273" s="55"/>
      <c r="L273" s="56"/>
      <c r="M273" s="49">
        <v>509</v>
      </c>
      <c r="N273" s="43">
        <f t="shared" si="25"/>
        <v>51.581566607470293</v>
      </c>
    </row>
    <row r="274" spans="1:14">
      <c r="A274" s="42">
        <v>70701</v>
      </c>
      <c r="B274" s="42" t="s">
        <v>324</v>
      </c>
      <c r="C274" s="43">
        <v>5898</v>
      </c>
      <c r="D274" s="44">
        <v>0</v>
      </c>
      <c r="E274" s="45">
        <v>10.1</v>
      </c>
      <c r="F274" s="46">
        <f t="shared" si="22"/>
        <v>18.8</v>
      </c>
      <c r="G274" s="46">
        <f t="shared" si="21"/>
        <v>1.3952001995316963</v>
      </c>
      <c r="H274" s="47">
        <f t="shared" si="23"/>
        <v>14.091522015270131</v>
      </c>
      <c r="I274" s="48">
        <f t="shared" si="24"/>
        <v>831.11796846063237</v>
      </c>
      <c r="J274" s="55"/>
      <c r="K274" s="55"/>
      <c r="L274" s="56"/>
      <c r="M274" s="49">
        <v>573</v>
      </c>
      <c r="N274" s="43">
        <f t="shared" si="25"/>
        <v>80.744421147497846</v>
      </c>
    </row>
    <row r="275" spans="1:14">
      <c r="A275" s="42">
        <v>70702</v>
      </c>
      <c r="B275" s="42" t="s">
        <v>325</v>
      </c>
      <c r="C275" s="43">
        <v>37901</v>
      </c>
      <c r="D275" s="44">
        <v>14.4</v>
      </c>
      <c r="E275" s="45">
        <v>10.1</v>
      </c>
      <c r="F275" s="46">
        <f t="shared" si="22"/>
        <v>17.878399999999999</v>
      </c>
      <c r="G275" s="46">
        <f t="shared" si="21"/>
        <v>1.3268057046440147</v>
      </c>
      <c r="H275" s="47">
        <f t="shared" si="23"/>
        <v>13.400737616904548</v>
      </c>
      <c r="I275" s="48">
        <f t="shared" si="24"/>
        <v>5079.0135641829929</v>
      </c>
      <c r="J275" s="55"/>
      <c r="K275" s="55"/>
      <c r="L275" s="56"/>
      <c r="M275" s="49">
        <v>4376</v>
      </c>
      <c r="N275" s="43">
        <f t="shared" si="25"/>
        <v>586.41627811574301</v>
      </c>
    </row>
    <row r="276" spans="1:14">
      <c r="A276" s="42">
        <v>70703</v>
      </c>
      <c r="B276" s="42" t="s">
        <v>326</v>
      </c>
      <c r="C276" s="43">
        <v>32417</v>
      </c>
      <c r="D276" s="44">
        <v>26.3</v>
      </c>
      <c r="E276" s="45">
        <v>10.1</v>
      </c>
      <c r="F276" s="46">
        <f t="shared" si="22"/>
        <v>17.116800000000001</v>
      </c>
      <c r="G276" s="46">
        <f t="shared" si="21"/>
        <v>1.270285254007667</v>
      </c>
      <c r="H276" s="47">
        <f t="shared" si="23"/>
        <v>12.829881065477437</v>
      </c>
      <c r="I276" s="48">
        <f t="shared" si="24"/>
        <v>4159.0625449958206</v>
      </c>
      <c r="J276" s="55"/>
      <c r="K276" s="55"/>
      <c r="L276" s="56"/>
      <c r="M276" s="49">
        <v>3553</v>
      </c>
      <c r="N276" s="43">
        <f t="shared" si="25"/>
        <v>455.8456742564133</v>
      </c>
    </row>
    <row r="277" spans="1:14">
      <c r="A277" s="42">
        <v>70704</v>
      </c>
      <c r="B277" s="42" t="s">
        <v>327</v>
      </c>
      <c r="C277" s="43">
        <v>5311</v>
      </c>
      <c r="D277" s="44">
        <v>54.6</v>
      </c>
      <c r="E277" s="45">
        <v>10.1</v>
      </c>
      <c r="F277" s="46">
        <f t="shared" si="22"/>
        <v>15.3056</v>
      </c>
      <c r="G277" s="46">
        <f t="shared" si="21"/>
        <v>1.1358710730825707</v>
      </c>
      <c r="H277" s="47">
        <f t="shared" si="23"/>
        <v>11.472297838133963</v>
      </c>
      <c r="I277" s="48">
        <f t="shared" si="24"/>
        <v>609.29373818329475</v>
      </c>
      <c r="J277" s="55"/>
      <c r="K277" s="55"/>
      <c r="L277" s="56"/>
      <c r="M277" s="49">
        <v>401</v>
      </c>
      <c r="N277" s="43">
        <f t="shared" si="25"/>
        <v>46.003914330917198</v>
      </c>
    </row>
    <row r="278" spans="1:14">
      <c r="A278" s="42">
        <v>70705</v>
      </c>
      <c r="B278" s="42" t="s">
        <v>328</v>
      </c>
      <c r="C278" s="43">
        <v>14213</v>
      </c>
      <c r="D278" s="44">
        <v>0</v>
      </c>
      <c r="E278" s="45">
        <v>10.1</v>
      </c>
      <c r="F278" s="46">
        <f t="shared" si="22"/>
        <v>18.8</v>
      </c>
      <c r="G278" s="46">
        <f t="shared" si="21"/>
        <v>1.3952001995316963</v>
      </c>
      <c r="H278" s="47">
        <f t="shared" si="23"/>
        <v>14.091522015270131</v>
      </c>
      <c r="I278" s="48">
        <f t="shared" si="24"/>
        <v>2002.8280240303438</v>
      </c>
      <c r="J278" s="55"/>
      <c r="K278" s="55"/>
      <c r="L278" s="56"/>
      <c r="M278" s="49">
        <v>1613</v>
      </c>
      <c r="N278" s="43">
        <f t="shared" si="25"/>
        <v>227.29625010630724</v>
      </c>
    </row>
    <row r="279" spans="1:14">
      <c r="A279" s="42">
        <v>70706</v>
      </c>
      <c r="B279" s="42" t="s">
        <v>329</v>
      </c>
      <c r="C279" s="43">
        <v>32414</v>
      </c>
      <c r="D279" s="44">
        <v>80.599999999999994</v>
      </c>
      <c r="E279" s="45">
        <v>10.1</v>
      </c>
      <c r="F279" s="46">
        <f t="shared" si="22"/>
        <v>13.6416</v>
      </c>
      <c r="G279" s="46">
        <f t="shared" si="21"/>
        <v>1.0123810128687014</v>
      </c>
      <c r="H279" s="47">
        <f t="shared" si="23"/>
        <v>10.225048229973885</v>
      </c>
      <c r="I279" s="48">
        <f t="shared" si="24"/>
        <v>3314.347133263735</v>
      </c>
      <c r="J279" s="55"/>
      <c r="K279" s="55"/>
      <c r="L279" s="56"/>
      <c r="M279" s="49">
        <v>2319</v>
      </c>
      <c r="N279" s="43">
        <f t="shared" si="25"/>
        <v>237.11886845309436</v>
      </c>
    </row>
    <row r="280" spans="1:14">
      <c r="A280" s="42">
        <v>70707</v>
      </c>
      <c r="B280" s="42" t="s">
        <v>330</v>
      </c>
      <c r="C280" s="43">
        <v>5568</v>
      </c>
      <c r="D280" s="44">
        <v>68.900000000000006</v>
      </c>
      <c r="E280" s="45">
        <v>10.1</v>
      </c>
      <c r="F280" s="46">
        <f t="shared" si="22"/>
        <v>14.3904</v>
      </c>
      <c r="G280" s="46">
        <f t="shared" si="21"/>
        <v>1.0679515399649426</v>
      </c>
      <c r="H280" s="47">
        <f t="shared" si="23"/>
        <v>10.786310553645921</v>
      </c>
      <c r="I280" s="48">
        <f t="shared" si="24"/>
        <v>600.58177162700485</v>
      </c>
      <c r="J280" s="55"/>
      <c r="K280" s="55"/>
      <c r="L280" s="56"/>
      <c r="M280" s="49">
        <v>587</v>
      </c>
      <c r="N280" s="43">
        <f t="shared" si="25"/>
        <v>63.315642949901559</v>
      </c>
    </row>
    <row r="281" spans="1:14">
      <c r="A281" s="42">
        <v>70801</v>
      </c>
      <c r="B281" s="42" t="s">
        <v>331</v>
      </c>
      <c r="C281" s="43">
        <v>17246</v>
      </c>
      <c r="D281" s="44">
        <v>62.2</v>
      </c>
      <c r="E281" s="45">
        <v>10.1</v>
      </c>
      <c r="F281" s="46">
        <f t="shared" si="22"/>
        <v>14.8192</v>
      </c>
      <c r="G281" s="46">
        <f t="shared" si="21"/>
        <v>1.0997739785585166</v>
      </c>
      <c r="H281" s="47">
        <f t="shared" si="23"/>
        <v>11.107717183441016</v>
      </c>
      <c r="I281" s="48">
        <f t="shared" si="24"/>
        <v>1915.6369054562376</v>
      </c>
      <c r="J281" s="55"/>
      <c r="K281" s="55"/>
      <c r="L281" s="56"/>
      <c r="M281" s="49">
        <v>1134</v>
      </c>
      <c r="N281" s="43">
        <f t="shared" si="25"/>
        <v>125.96151286022112</v>
      </c>
    </row>
    <row r="282" spans="1:14">
      <c r="A282" s="42">
        <v>70802</v>
      </c>
      <c r="B282" s="42" t="s">
        <v>332</v>
      </c>
      <c r="C282" s="43">
        <v>2340</v>
      </c>
      <c r="D282" s="44">
        <v>0</v>
      </c>
      <c r="E282" s="45">
        <v>10.1</v>
      </c>
      <c r="F282" s="46">
        <f t="shared" si="22"/>
        <v>18.8</v>
      </c>
      <c r="G282" s="46">
        <f t="shared" si="21"/>
        <v>1.3952001995316963</v>
      </c>
      <c r="H282" s="47">
        <f t="shared" si="23"/>
        <v>14.091522015270131</v>
      </c>
      <c r="I282" s="48">
        <f t="shared" si="24"/>
        <v>329.74161515732106</v>
      </c>
      <c r="J282" s="55"/>
      <c r="K282" s="55"/>
      <c r="L282" s="56"/>
      <c r="M282" s="49">
        <v>150</v>
      </c>
      <c r="N282" s="43">
        <f t="shared" si="25"/>
        <v>21.137283022905198</v>
      </c>
    </row>
    <row r="283" spans="1:14">
      <c r="A283" s="42">
        <v>70803</v>
      </c>
      <c r="B283" s="42" t="s">
        <v>333</v>
      </c>
      <c r="C283" s="43">
        <v>2791</v>
      </c>
      <c r="D283" s="44">
        <v>0</v>
      </c>
      <c r="E283" s="45">
        <v>10.1</v>
      </c>
      <c r="F283" s="46">
        <f t="shared" si="22"/>
        <v>18.8</v>
      </c>
      <c r="G283" s="46">
        <f t="shared" si="21"/>
        <v>1.3952001995316963</v>
      </c>
      <c r="H283" s="47">
        <f t="shared" si="23"/>
        <v>14.091522015270131</v>
      </c>
      <c r="I283" s="48">
        <f t="shared" si="24"/>
        <v>393.29437944618934</v>
      </c>
      <c r="J283" s="55"/>
      <c r="K283" s="55"/>
      <c r="L283" s="56"/>
      <c r="M283" s="49">
        <v>183</v>
      </c>
      <c r="N283" s="43">
        <f t="shared" si="25"/>
        <v>25.787485287944342</v>
      </c>
    </row>
    <row r="284" spans="1:14">
      <c r="A284" s="42">
        <v>70804</v>
      </c>
      <c r="B284" s="42" t="s">
        <v>334</v>
      </c>
      <c r="C284" s="43">
        <v>1855</v>
      </c>
      <c r="D284" s="44">
        <v>0</v>
      </c>
      <c r="E284" s="45">
        <v>10.1</v>
      </c>
      <c r="F284" s="46">
        <f t="shared" si="22"/>
        <v>18.8</v>
      </c>
      <c r="G284" s="46">
        <f t="shared" si="21"/>
        <v>1.3952001995316963</v>
      </c>
      <c r="H284" s="47">
        <f t="shared" si="23"/>
        <v>14.091522015270131</v>
      </c>
      <c r="I284" s="48">
        <f t="shared" si="24"/>
        <v>261.39773338326091</v>
      </c>
      <c r="J284" s="55"/>
      <c r="K284" s="55"/>
      <c r="L284" s="56"/>
      <c r="M284" s="49">
        <v>123</v>
      </c>
      <c r="N284" s="43">
        <f t="shared" si="25"/>
        <v>17.332572078782263</v>
      </c>
    </row>
    <row r="285" spans="1:14">
      <c r="A285" s="42">
        <v>70805</v>
      </c>
      <c r="B285" s="42" t="s">
        <v>335</v>
      </c>
      <c r="C285" s="43">
        <v>2020</v>
      </c>
      <c r="D285" s="44">
        <v>0</v>
      </c>
      <c r="E285" s="45">
        <v>10.1</v>
      </c>
      <c r="F285" s="46">
        <f t="shared" si="22"/>
        <v>18.8</v>
      </c>
      <c r="G285" s="46">
        <f t="shared" si="21"/>
        <v>1.3952001995316963</v>
      </c>
      <c r="H285" s="47">
        <f t="shared" si="23"/>
        <v>14.091522015270131</v>
      </c>
      <c r="I285" s="48">
        <f t="shared" si="24"/>
        <v>284.64874470845666</v>
      </c>
      <c r="J285" s="55"/>
      <c r="K285" s="55"/>
      <c r="L285" s="56"/>
      <c r="M285" s="49">
        <v>147</v>
      </c>
      <c r="N285" s="43">
        <f t="shared" si="25"/>
        <v>20.714537362447096</v>
      </c>
    </row>
    <row r="286" spans="1:14">
      <c r="A286" s="42">
        <v>70901</v>
      </c>
      <c r="B286" s="42" t="s">
        <v>336</v>
      </c>
      <c r="C286" s="43">
        <v>11729</v>
      </c>
      <c r="D286" s="44">
        <v>44.7</v>
      </c>
      <c r="E286" s="45">
        <v>10.1</v>
      </c>
      <c r="F286" s="46">
        <f t="shared" si="22"/>
        <v>15.9392</v>
      </c>
      <c r="G286" s="46">
        <f t="shared" si="21"/>
        <v>1.1828922883178516</v>
      </c>
      <c r="H286" s="47">
        <f t="shared" si="23"/>
        <v>11.947212112010302</v>
      </c>
      <c r="I286" s="48">
        <f t="shared" si="24"/>
        <v>1401.2885086176882</v>
      </c>
      <c r="J286" s="55"/>
      <c r="K286" s="55"/>
      <c r="L286" s="56"/>
      <c r="M286" s="49">
        <v>871</v>
      </c>
      <c r="N286" s="43">
        <f t="shared" si="25"/>
        <v>104.06021749560972</v>
      </c>
    </row>
    <row r="287" spans="1:14">
      <c r="A287" s="42">
        <v>70902</v>
      </c>
      <c r="B287" s="42" t="s">
        <v>337</v>
      </c>
      <c r="C287" s="43">
        <v>9651</v>
      </c>
      <c r="D287" s="44">
        <v>40.5</v>
      </c>
      <c r="E287" s="45">
        <v>10.1</v>
      </c>
      <c r="F287" s="46">
        <f t="shared" si="22"/>
        <v>16.208000000000002</v>
      </c>
      <c r="G287" s="46">
        <f t="shared" si="21"/>
        <v>1.2028406826600924</v>
      </c>
      <c r="H287" s="47">
        <f t="shared" si="23"/>
        <v>12.148690894866933</v>
      </c>
      <c r="I287" s="48">
        <f t="shared" si="24"/>
        <v>1172.4701582636078</v>
      </c>
      <c r="J287" s="55"/>
      <c r="K287" s="55"/>
      <c r="L287" s="56"/>
      <c r="M287" s="49">
        <v>898</v>
      </c>
      <c r="N287" s="43">
        <f t="shared" si="25"/>
        <v>109.09524423590504</v>
      </c>
    </row>
    <row r="288" spans="1:14">
      <c r="A288" s="42">
        <v>70903</v>
      </c>
      <c r="B288" s="42" t="s">
        <v>338</v>
      </c>
      <c r="C288" s="43">
        <v>12522</v>
      </c>
      <c r="D288" s="44">
        <v>61.2</v>
      </c>
      <c r="E288" s="45">
        <v>10.1</v>
      </c>
      <c r="F288" s="46">
        <f t="shared" si="22"/>
        <v>14.8832</v>
      </c>
      <c r="G288" s="46">
        <f t="shared" si="21"/>
        <v>1.1045235962590501</v>
      </c>
      <c r="H288" s="47">
        <f t="shared" si="23"/>
        <v>11.155688322216406</v>
      </c>
      <c r="I288" s="48">
        <f t="shared" si="24"/>
        <v>1396.9152917079382</v>
      </c>
      <c r="J288" s="55"/>
      <c r="K288" s="55"/>
      <c r="L288" s="56"/>
      <c r="M288" s="49">
        <v>1110</v>
      </c>
      <c r="N288" s="43">
        <f t="shared" si="25"/>
        <v>123.82814037660211</v>
      </c>
    </row>
    <row r="289" spans="1:14">
      <c r="A289" s="42">
        <v>70904</v>
      </c>
      <c r="B289" s="42" t="s">
        <v>339</v>
      </c>
      <c r="C289" s="43">
        <v>3078</v>
      </c>
      <c r="D289" s="44">
        <v>0</v>
      </c>
      <c r="E289" s="45">
        <v>10.1</v>
      </c>
      <c r="F289" s="46">
        <f t="shared" si="22"/>
        <v>18.8</v>
      </c>
      <c r="G289" s="46">
        <f t="shared" si="21"/>
        <v>1.3952001995316963</v>
      </c>
      <c r="H289" s="47">
        <f t="shared" si="23"/>
        <v>14.091522015270131</v>
      </c>
      <c r="I289" s="48">
        <f t="shared" si="24"/>
        <v>433.73704763001462</v>
      </c>
      <c r="J289" s="55"/>
      <c r="K289" s="55"/>
      <c r="L289" s="56"/>
      <c r="M289" s="49">
        <v>205</v>
      </c>
      <c r="N289" s="43">
        <f t="shared" si="25"/>
        <v>28.88762013130377</v>
      </c>
    </row>
    <row r="290" spans="1:14">
      <c r="A290" s="42">
        <v>71001</v>
      </c>
      <c r="B290" s="42" t="s">
        <v>340</v>
      </c>
      <c r="C290" s="43">
        <v>125439</v>
      </c>
      <c r="D290" s="44">
        <v>99.3</v>
      </c>
      <c r="E290" s="45">
        <v>10.1</v>
      </c>
      <c r="F290" s="46">
        <f t="shared" si="22"/>
        <v>12.444800000000001</v>
      </c>
      <c r="G290" s="46">
        <f t="shared" si="21"/>
        <v>0.92356316186872633</v>
      </c>
      <c r="H290" s="47">
        <f t="shared" si="23"/>
        <v>9.3279879348741357</v>
      </c>
      <c r="I290" s="48">
        <f t="shared" si="24"/>
        <v>11700.934785626769</v>
      </c>
      <c r="J290" s="55"/>
      <c r="K290" s="55"/>
      <c r="L290" s="56"/>
      <c r="M290" s="49">
        <v>10752</v>
      </c>
      <c r="N290" s="43">
        <f t="shared" si="25"/>
        <v>1002.945262757667</v>
      </c>
    </row>
    <row r="291" spans="1:14">
      <c r="A291" s="42">
        <v>71002</v>
      </c>
      <c r="B291" s="42" t="s">
        <v>341</v>
      </c>
      <c r="C291" s="43">
        <v>16399</v>
      </c>
      <c r="D291" s="44">
        <v>46.5</v>
      </c>
      <c r="E291" s="45">
        <v>10.1</v>
      </c>
      <c r="F291" s="46">
        <f t="shared" si="22"/>
        <v>15.824000000000002</v>
      </c>
      <c r="G291" s="46">
        <f t="shared" si="21"/>
        <v>1.1743429764568918</v>
      </c>
      <c r="H291" s="47">
        <f t="shared" si="23"/>
        <v>11.860864062214606</v>
      </c>
      <c r="I291" s="48">
        <f t="shared" si="24"/>
        <v>1945.0630975625734</v>
      </c>
      <c r="J291" s="55"/>
      <c r="K291" s="55"/>
      <c r="L291" s="56"/>
      <c r="M291" s="49">
        <v>1557</v>
      </c>
      <c r="N291" s="43">
        <f t="shared" si="25"/>
        <v>184.67365344868142</v>
      </c>
    </row>
    <row r="292" spans="1:14">
      <c r="A292" s="42">
        <v>71003</v>
      </c>
      <c r="B292" s="42" t="s">
        <v>342</v>
      </c>
      <c r="C292" s="43">
        <v>23122</v>
      </c>
      <c r="D292" s="44">
        <v>80.599999999999994</v>
      </c>
      <c r="E292" s="45">
        <v>10.1</v>
      </c>
      <c r="F292" s="46">
        <f t="shared" si="22"/>
        <v>13.6416</v>
      </c>
      <c r="G292" s="46">
        <f t="shared" si="21"/>
        <v>1.0123810128687014</v>
      </c>
      <c r="H292" s="47">
        <f t="shared" si="23"/>
        <v>10.225048229973885</v>
      </c>
      <c r="I292" s="48">
        <f t="shared" si="24"/>
        <v>2364.2356517345615</v>
      </c>
      <c r="J292" s="55"/>
      <c r="K292" s="55"/>
      <c r="L292" s="56"/>
      <c r="M292" s="49">
        <v>2171</v>
      </c>
      <c r="N292" s="43">
        <f t="shared" si="25"/>
        <v>221.98579707273305</v>
      </c>
    </row>
    <row r="293" spans="1:14">
      <c r="A293" s="42">
        <v>71004</v>
      </c>
      <c r="B293" s="42" t="s">
        <v>343</v>
      </c>
      <c r="C293" s="43">
        <v>14652</v>
      </c>
      <c r="D293" s="44">
        <v>71.7</v>
      </c>
      <c r="E293" s="45">
        <v>10.1</v>
      </c>
      <c r="F293" s="46">
        <f t="shared" si="22"/>
        <v>14.211200000000002</v>
      </c>
      <c r="G293" s="46">
        <f t="shared" si="21"/>
        <v>1.054652610403449</v>
      </c>
      <c r="H293" s="47">
        <f t="shared" si="23"/>
        <v>10.651991365074835</v>
      </c>
      <c r="I293" s="48">
        <f t="shared" si="24"/>
        <v>1560.7297748107649</v>
      </c>
      <c r="J293" s="55"/>
      <c r="K293" s="55"/>
      <c r="L293" s="56"/>
      <c r="M293" s="49">
        <v>1198</v>
      </c>
      <c r="N293" s="43">
        <f t="shared" si="25"/>
        <v>127.61085655359653</v>
      </c>
    </row>
    <row r="294" spans="1:14">
      <c r="A294" s="42">
        <v>71005</v>
      </c>
      <c r="B294" s="42" t="s">
        <v>269</v>
      </c>
      <c r="C294" s="43">
        <v>15567</v>
      </c>
      <c r="D294" s="44">
        <v>56.5</v>
      </c>
      <c r="E294" s="45">
        <v>10.1</v>
      </c>
      <c r="F294" s="46">
        <f t="shared" si="22"/>
        <v>15.184000000000001</v>
      </c>
      <c r="G294" s="46">
        <f t="shared" si="21"/>
        <v>1.1268467994515572</v>
      </c>
      <c r="H294" s="47">
        <f t="shared" si="23"/>
        <v>11.381152674460727</v>
      </c>
      <c r="I294" s="48">
        <f t="shared" si="24"/>
        <v>1771.7040368333014</v>
      </c>
      <c r="J294" s="55"/>
      <c r="K294" s="55"/>
      <c r="L294" s="56"/>
      <c r="M294" s="49">
        <v>1311</v>
      </c>
      <c r="N294" s="43">
        <f t="shared" si="25"/>
        <v>149.20691156218015</v>
      </c>
    </row>
    <row r="295" spans="1:14">
      <c r="A295" s="42">
        <v>71101</v>
      </c>
      <c r="B295" s="42" t="s">
        <v>344</v>
      </c>
      <c r="C295" s="43">
        <v>29175</v>
      </c>
      <c r="D295" s="44">
        <v>49.8</v>
      </c>
      <c r="E295" s="45">
        <v>10.1</v>
      </c>
      <c r="F295" s="46">
        <f t="shared" si="22"/>
        <v>15.6128</v>
      </c>
      <c r="G295" s="46">
        <f t="shared" si="21"/>
        <v>1.1586692380451311</v>
      </c>
      <c r="H295" s="47">
        <f t="shared" si="23"/>
        <v>11.702559304255823</v>
      </c>
      <c r="I295" s="48">
        <f t="shared" si="24"/>
        <v>3414.221677016636</v>
      </c>
      <c r="J295" s="55"/>
      <c r="K295" s="55"/>
      <c r="L295" s="56"/>
      <c r="M295" s="49">
        <v>2991</v>
      </c>
      <c r="N295" s="43">
        <f t="shared" si="25"/>
        <v>350.02354879029167</v>
      </c>
    </row>
    <row r="296" spans="1:14">
      <c r="A296" s="42">
        <v>71102</v>
      </c>
      <c r="B296" s="42" t="s">
        <v>345</v>
      </c>
      <c r="C296" s="43">
        <v>14782</v>
      </c>
      <c r="D296" s="44">
        <v>53.3</v>
      </c>
      <c r="E296" s="45">
        <v>10.1</v>
      </c>
      <c r="F296" s="46">
        <f t="shared" si="22"/>
        <v>15.3888</v>
      </c>
      <c r="G296" s="46">
        <f t="shared" si="21"/>
        <v>1.1420455760932642</v>
      </c>
      <c r="H296" s="47">
        <f t="shared" si="23"/>
        <v>11.534660318541968</v>
      </c>
      <c r="I296" s="48">
        <f t="shared" si="24"/>
        <v>1705.053488286874</v>
      </c>
      <c r="J296" s="55"/>
      <c r="K296" s="55"/>
      <c r="L296" s="56"/>
      <c r="M296" s="49">
        <v>1576</v>
      </c>
      <c r="N296" s="43">
        <f t="shared" si="25"/>
        <v>181.78624662022142</v>
      </c>
    </row>
    <row r="297" spans="1:14">
      <c r="A297" s="42">
        <v>71103</v>
      </c>
      <c r="B297" s="42" t="s">
        <v>346</v>
      </c>
      <c r="C297" s="43">
        <v>8453</v>
      </c>
      <c r="D297" s="44">
        <v>86</v>
      </c>
      <c r="E297" s="45">
        <v>10.1</v>
      </c>
      <c r="F297" s="46">
        <f t="shared" si="22"/>
        <v>13.295999999999999</v>
      </c>
      <c r="G297" s="46">
        <f t="shared" si="21"/>
        <v>0.98673307728582083</v>
      </c>
      <c r="H297" s="47">
        <f t="shared" si="23"/>
        <v>9.9660040805867904</v>
      </c>
      <c r="I297" s="48">
        <f t="shared" si="24"/>
        <v>842.42632493200142</v>
      </c>
      <c r="J297" s="55"/>
      <c r="K297" s="55"/>
      <c r="L297" s="56"/>
      <c r="M297" s="49">
        <v>815</v>
      </c>
      <c r="N297" s="43">
        <f t="shared" si="25"/>
        <v>81.222933256782341</v>
      </c>
    </row>
    <row r="298" spans="1:14">
      <c r="A298" s="42">
        <v>71104</v>
      </c>
      <c r="B298" s="42" t="s">
        <v>347</v>
      </c>
      <c r="C298" s="43">
        <v>45118</v>
      </c>
      <c r="D298" s="44">
        <v>51.7</v>
      </c>
      <c r="E298" s="45">
        <v>10.1</v>
      </c>
      <c r="F298" s="46">
        <f t="shared" si="22"/>
        <v>15.491200000000001</v>
      </c>
      <c r="G298" s="46">
        <f t="shared" si="21"/>
        <v>1.1496449644141176</v>
      </c>
      <c r="H298" s="47">
        <f t="shared" si="23"/>
        <v>11.611414140582587</v>
      </c>
      <c r="I298" s="48">
        <f t="shared" si="24"/>
        <v>5238.8378319480516</v>
      </c>
      <c r="J298" s="55"/>
      <c r="K298" s="55"/>
      <c r="L298" s="56"/>
      <c r="M298" s="49">
        <v>4247</v>
      </c>
      <c r="N298" s="43">
        <f t="shared" si="25"/>
        <v>493.13675855054248</v>
      </c>
    </row>
    <row r="299" spans="1:14">
      <c r="A299" s="42">
        <v>71105</v>
      </c>
      <c r="B299" s="42" t="s">
        <v>348</v>
      </c>
      <c r="C299" s="43">
        <v>6374</v>
      </c>
      <c r="D299" s="44">
        <v>0</v>
      </c>
      <c r="E299" s="45">
        <v>10.1</v>
      </c>
      <c r="F299" s="46">
        <f t="shared" si="22"/>
        <v>18.8</v>
      </c>
      <c r="G299" s="46">
        <f t="shared" si="21"/>
        <v>1.3952001995316963</v>
      </c>
      <c r="H299" s="47">
        <f t="shared" si="23"/>
        <v>14.091522015270131</v>
      </c>
      <c r="I299" s="48">
        <f t="shared" si="24"/>
        <v>898.19361325331818</v>
      </c>
      <c r="J299" s="55"/>
      <c r="K299" s="55"/>
      <c r="L299" s="56"/>
      <c r="M299" s="49">
        <v>718</v>
      </c>
      <c r="N299" s="43">
        <f t="shared" si="25"/>
        <v>101.17712806963955</v>
      </c>
    </row>
    <row r="300" spans="1:14">
      <c r="A300" s="42">
        <v>71106</v>
      </c>
      <c r="B300" s="42" t="s">
        <v>349</v>
      </c>
      <c r="C300" s="43">
        <v>25057</v>
      </c>
      <c r="D300" s="44">
        <v>41.8</v>
      </c>
      <c r="E300" s="45">
        <v>10.1</v>
      </c>
      <c r="F300" s="46">
        <f t="shared" si="22"/>
        <v>16.1248</v>
      </c>
      <c r="G300" s="46">
        <f t="shared" si="21"/>
        <v>1.1966661796493987</v>
      </c>
      <c r="H300" s="47">
        <f t="shared" si="23"/>
        <v>12.086328414458926</v>
      </c>
      <c r="I300" s="48">
        <f t="shared" si="24"/>
        <v>3028.4713108109731</v>
      </c>
      <c r="J300" s="55"/>
      <c r="K300" s="55"/>
      <c r="L300" s="56"/>
      <c r="M300" s="49">
        <v>2773</v>
      </c>
      <c r="N300" s="43">
        <f t="shared" si="25"/>
        <v>335.15388693294602</v>
      </c>
    </row>
    <row r="301" spans="1:14">
      <c r="A301" s="42">
        <v>71201</v>
      </c>
      <c r="B301" s="42" t="s">
        <v>350</v>
      </c>
      <c r="C301" s="43">
        <v>15302</v>
      </c>
      <c r="D301" s="44">
        <v>50.9</v>
      </c>
      <c r="E301" s="45">
        <v>10.1</v>
      </c>
      <c r="F301" s="46">
        <f t="shared" si="22"/>
        <v>15.542400000000001</v>
      </c>
      <c r="G301" s="46">
        <f t="shared" si="21"/>
        <v>1.1534446585745444</v>
      </c>
      <c r="H301" s="47">
        <f t="shared" si="23"/>
        <v>11.649791051602898</v>
      </c>
      <c r="I301" s="48">
        <f t="shared" si="24"/>
        <v>1782.6510267162753</v>
      </c>
      <c r="J301" s="55"/>
      <c r="K301" s="55"/>
      <c r="L301" s="56"/>
      <c r="M301" s="49">
        <v>1574</v>
      </c>
      <c r="N301" s="43">
        <f t="shared" si="25"/>
        <v>183.36771115222962</v>
      </c>
    </row>
    <row r="302" spans="1:14">
      <c r="A302" s="42">
        <v>71301</v>
      </c>
      <c r="B302" s="42" t="s">
        <v>351</v>
      </c>
      <c r="C302" s="43">
        <v>17089</v>
      </c>
      <c r="D302" s="44">
        <v>36.6</v>
      </c>
      <c r="E302" s="45">
        <v>10.1</v>
      </c>
      <c r="F302" s="46">
        <f t="shared" si="22"/>
        <v>16.457599999999999</v>
      </c>
      <c r="G302" s="46">
        <f t="shared" si="21"/>
        <v>1.2213641916921725</v>
      </c>
      <c r="H302" s="47">
        <f t="shared" si="23"/>
        <v>12.335778336090941</v>
      </c>
      <c r="I302" s="48">
        <f t="shared" si="24"/>
        <v>2108.0611598545811</v>
      </c>
      <c r="J302" s="55"/>
      <c r="K302" s="55"/>
      <c r="L302" s="56"/>
      <c r="M302" s="49">
        <v>1512</v>
      </c>
      <c r="N302" s="43">
        <f t="shared" si="25"/>
        <v>186.51696844169501</v>
      </c>
    </row>
    <row r="303" spans="1:14">
      <c r="A303" s="42">
        <v>71302</v>
      </c>
      <c r="B303" s="42" t="s">
        <v>352</v>
      </c>
      <c r="C303" s="43">
        <v>6160</v>
      </c>
      <c r="D303" s="44">
        <v>60.4</v>
      </c>
      <c r="E303" s="45">
        <v>10.1</v>
      </c>
      <c r="F303" s="46">
        <f t="shared" si="22"/>
        <v>14.9344</v>
      </c>
      <c r="G303" s="46">
        <f t="shared" si="21"/>
        <v>1.1083232904194769</v>
      </c>
      <c r="H303" s="47">
        <f t="shared" si="23"/>
        <v>11.194065233236715</v>
      </c>
      <c r="I303" s="48">
        <f t="shared" si="24"/>
        <v>689.55441836738169</v>
      </c>
      <c r="J303" s="55"/>
      <c r="K303" s="55"/>
      <c r="L303" s="56"/>
      <c r="M303" s="49">
        <v>529</v>
      </c>
      <c r="N303" s="43">
        <f t="shared" si="25"/>
        <v>59.216605083822223</v>
      </c>
    </row>
    <row r="304" spans="1:14">
      <c r="A304" s="42">
        <v>71401</v>
      </c>
      <c r="B304" s="42" t="s">
        <v>353</v>
      </c>
      <c r="C304" s="43">
        <v>17618</v>
      </c>
      <c r="D304" s="44">
        <v>69.2</v>
      </c>
      <c r="E304" s="45">
        <v>10.1</v>
      </c>
      <c r="F304" s="46">
        <f t="shared" si="22"/>
        <v>14.371200000000002</v>
      </c>
      <c r="G304" s="46">
        <f t="shared" si="21"/>
        <v>1.0665266546547827</v>
      </c>
      <c r="H304" s="47">
        <f t="shared" si="23"/>
        <v>10.771919212013305</v>
      </c>
      <c r="I304" s="48">
        <f t="shared" si="24"/>
        <v>1897.7967267725041</v>
      </c>
      <c r="J304" s="55"/>
      <c r="K304" s="55"/>
      <c r="L304" s="56"/>
      <c r="M304" s="49">
        <v>1278</v>
      </c>
      <c r="N304" s="43">
        <f t="shared" si="25"/>
        <v>137.66512752953003</v>
      </c>
    </row>
    <row r="305" spans="1:14">
      <c r="A305" s="42">
        <v>71402</v>
      </c>
      <c r="B305" s="42" t="s">
        <v>354</v>
      </c>
      <c r="C305" s="43">
        <v>17864</v>
      </c>
      <c r="D305" s="44">
        <v>97.6</v>
      </c>
      <c r="E305" s="45">
        <v>10.1</v>
      </c>
      <c r="F305" s="46">
        <f t="shared" si="22"/>
        <v>12.553600000000001</v>
      </c>
      <c r="G305" s="46">
        <f t="shared" si="21"/>
        <v>0.93163751195963318</v>
      </c>
      <c r="H305" s="47">
        <f t="shared" si="23"/>
        <v>9.4095388707922947</v>
      </c>
      <c r="I305" s="48">
        <f t="shared" si="24"/>
        <v>1680.9200238783355</v>
      </c>
      <c r="J305" s="55"/>
      <c r="K305" s="55"/>
      <c r="L305" s="56"/>
      <c r="M305" s="49">
        <v>1354</v>
      </c>
      <c r="N305" s="43">
        <f t="shared" si="25"/>
        <v>127.40515631052767</v>
      </c>
    </row>
    <row r="306" spans="1:14">
      <c r="A306" s="42">
        <v>71403</v>
      </c>
      <c r="B306" s="42" t="s">
        <v>355</v>
      </c>
      <c r="C306" s="43">
        <v>8610</v>
      </c>
      <c r="D306" s="44">
        <v>43.2</v>
      </c>
      <c r="E306" s="45">
        <v>10.1</v>
      </c>
      <c r="F306" s="46">
        <f t="shared" si="22"/>
        <v>16.0352</v>
      </c>
      <c r="G306" s="46">
        <f t="shared" si="21"/>
        <v>1.1900167148686518</v>
      </c>
      <c r="H306" s="47">
        <f t="shared" si="23"/>
        <v>12.019168820173382</v>
      </c>
      <c r="I306" s="48">
        <f t="shared" si="24"/>
        <v>1034.8504354169281</v>
      </c>
      <c r="J306" s="55"/>
      <c r="K306" s="55"/>
      <c r="L306" s="56"/>
      <c r="M306" s="49">
        <v>942</v>
      </c>
      <c r="N306" s="43">
        <f t="shared" si="25"/>
        <v>113.22057028603325</v>
      </c>
    </row>
    <row r="307" spans="1:14">
      <c r="A307" s="42">
        <v>71501</v>
      </c>
      <c r="B307" s="42" t="s">
        <v>356</v>
      </c>
      <c r="C307" s="43">
        <v>33495</v>
      </c>
      <c r="D307" s="44">
        <v>68.900000000000006</v>
      </c>
      <c r="E307" s="45">
        <v>10.1</v>
      </c>
      <c r="F307" s="46">
        <f t="shared" si="22"/>
        <v>14.3904</v>
      </c>
      <c r="G307" s="46">
        <f t="shared" si="21"/>
        <v>1.0679515399649426</v>
      </c>
      <c r="H307" s="47">
        <f t="shared" si="23"/>
        <v>10.786310553645921</v>
      </c>
      <c r="I307" s="48">
        <f t="shared" si="24"/>
        <v>3612.8747199437012</v>
      </c>
      <c r="J307" s="42"/>
      <c r="K307" s="42"/>
      <c r="L307" s="42"/>
      <c r="M307" s="49">
        <v>3218</v>
      </c>
      <c r="N307" s="43">
        <f t="shared" si="25"/>
        <v>347.10347361632574</v>
      </c>
    </row>
    <row r="308" spans="1:14">
      <c r="A308" s="42">
        <v>71502</v>
      </c>
      <c r="B308" s="42" t="s">
        <v>357</v>
      </c>
      <c r="C308" s="43">
        <v>6594</v>
      </c>
      <c r="D308" s="44">
        <v>84.1</v>
      </c>
      <c r="E308" s="45">
        <v>10.1</v>
      </c>
      <c r="F308" s="46">
        <f t="shared" si="22"/>
        <v>13.4176</v>
      </c>
      <c r="G308" s="46">
        <f t="shared" si="21"/>
        <v>0.99575735091683459</v>
      </c>
      <c r="H308" s="47">
        <f t="shared" si="23"/>
        <v>10.05714924426003</v>
      </c>
      <c r="I308" s="48">
        <f t="shared" si="24"/>
        <v>663.16842116650628</v>
      </c>
      <c r="J308" s="55"/>
      <c r="K308" s="55"/>
      <c r="L308" s="56"/>
      <c r="M308" s="49">
        <v>643</v>
      </c>
      <c r="N308" s="43">
        <f t="shared" si="25"/>
        <v>64.667469640591989</v>
      </c>
    </row>
    <row r="309" spans="1:14">
      <c r="A309" s="42">
        <v>71503</v>
      </c>
      <c r="B309" s="42" t="s">
        <v>303</v>
      </c>
      <c r="C309" s="43">
        <v>17033</v>
      </c>
      <c r="D309" s="44">
        <v>17.7</v>
      </c>
      <c r="E309" s="45">
        <v>10.1</v>
      </c>
      <c r="F309" s="46">
        <f t="shared" si="22"/>
        <v>17.667200000000001</v>
      </c>
      <c r="G309" s="46">
        <f t="shared" si="21"/>
        <v>1.3111319662322547</v>
      </c>
      <c r="H309" s="47">
        <f t="shared" si="23"/>
        <v>13.242432858945772</v>
      </c>
      <c r="I309" s="48">
        <f t="shared" si="24"/>
        <v>2255.5835888642337</v>
      </c>
      <c r="J309" s="55"/>
      <c r="K309" s="55"/>
      <c r="L309" s="56"/>
      <c r="M309" s="49">
        <v>1436</v>
      </c>
      <c r="N309" s="43">
        <f t="shared" si="25"/>
        <v>190.1613358544613</v>
      </c>
    </row>
    <row r="310" spans="1:14">
      <c r="A310" s="42">
        <v>80101</v>
      </c>
      <c r="B310" s="42" t="s">
        <v>358</v>
      </c>
      <c r="C310" s="43">
        <v>126756</v>
      </c>
      <c r="D310" s="44">
        <v>95.4</v>
      </c>
      <c r="E310" s="42">
        <v>15.5</v>
      </c>
      <c r="F310" s="46">
        <f t="shared" si="22"/>
        <v>12.6944</v>
      </c>
      <c r="G310" s="46">
        <f t="shared" ref="G310:G329" si="26">1.21*F310/F$345</f>
        <v>0.89757863920470549</v>
      </c>
      <c r="H310" s="47">
        <f t="shared" si="23"/>
        <v>13.912468907672935</v>
      </c>
      <c r="I310" s="48">
        <f t="shared" si="24"/>
        <v>17634.889088609907</v>
      </c>
      <c r="J310" s="49">
        <f>SUM(C310:C329)</f>
        <v>482739.83333300002</v>
      </c>
      <c r="K310" s="49">
        <f>SUM(I310:I329)</f>
        <v>74731.383616183244</v>
      </c>
      <c r="L310" s="50">
        <f>K310/J310</f>
        <v>0.15480674776765851</v>
      </c>
      <c r="M310" s="49">
        <v>10233</v>
      </c>
      <c r="N310" s="43">
        <f t="shared" si="25"/>
        <v>1423.6629433221713</v>
      </c>
    </row>
    <row r="311" spans="1:14">
      <c r="A311" s="42">
        <v>80102</v>
      </c>
      <c r="B311" s="42" t="s">
        <v>345</v>
      </c>
      <c r="C311" s="43">
        <v>7693</v>
      </c>
      <c r="D311" s="44">
        <v>0</v>
      </c>
      <c r="E311" s="42">
        <v>15.5</v>
      </c>
      <c r="F311" s="46">
        <f t="shared" si="22"/>
        <v>18.8</v>
      </c>
      <c r="G311" s="46">
        <f t="shared" si="26"/>
        <v>1.3292852294750808</v>
      </c>
      <c r="H311" s="47">
        <f t="shared" si="23"/>
        <v>20.603921056863751</v>
      </c>
      <c r="I311" s="48">
        <f t="shared" si="24"/>
        <v>1585.0596469045286</v>
      </c>
      <c r="J311" s="55"/>
      <c r="K311" s="55"/>
      <c r="L311" s="56"/>
      <c r="M311" s="49">
        <v>881</v>
      </c>
      <c r="N311" s="43">
        <f t="shared" si="25"/>
        <v>181.52054451096964</v>
      </c>
    </row>
    <row r="312" spans="1:14">
      <c r="A312" s="42">
        <v>80201</v>
      </c>
      <c r="B312" s="42" t="s">
        <v>359</v>
      </c>
      <c r="C312" s="43">
        <v>108529</v>
      </c>
      <c r="D312" s="44">
        <v>89.1</v>
      </c>
      <c r="E312" s="42">
        <v>15.5</v>
      </c>
      <c r="F312" s="46">
        <f t="shared" si="22"/>
        <v>13.0976</v>
      </c>
      <c r="G312" s="46">
        <f t="shared" si="26"/>
        <v>0.9260875649772774</v>
      </c>
      <c r="H312" s="47">
        <f t="shared" si="23"/>
        <v>14.3543572571478</v>
      </c>
      <c r="I312" s="48">
        <f t="shared" si="24"/>
        <v>15578.640387609936</v>
      </c>
      <c r="J312" s="55"/>
      <c r="K312" s="55"/>
      <c r="L312" s="56"/>
      <c r="M312" s="49">
        <v>10294</v>
      </c>
      <c r="N312" s="43">
        <f t="shared" si="25"/>
        <v>1477.6375360507946</v>
      </c>
    </row>
    <row r="313" spans="1:14">
      <c r="A313" s="42">
        <v>80202</v>
      </c>
      <c r="B313" s="42" t="s">
        <v>360</v>
      </c>
      <c r="C313" s="43">
        <v>42013</v>
      </c>
      <c r="D313" s="44">
        <v>85.1</v>
      </c>
      <c r="E313" s="42">
        <v>15.5</v>
      </c>
      <c r="F313" s="46">
        <f t="shared" si="22"/>
        <v>13.3536</v>
      </c>
      <c r="G313" s="46">
        <f t="shared" si="26"/>
        <v>0.94418847022970398</v>
      </c>
      <c r="H313" s="47">
        <f t="shared" si="23"/>
        <v>14.634921288560411</v>
      </c>
      <c r="I313" s="48">
        <f t="shared" si="24"/>
        <v>6148.5694809628858</v>
      </c>
      <c r="J313" s="55"/>
      <c r="K313" s="55"/>
      <c r="L313" s="56"/>
      <c r="M313" s="49">
        <v>3709</v>
      </c>
      <c r="N313" s="43">
        <f t="shared" si="25"/>
        <v>542.8092305927056</v>
      </c>
    </row>
    <row r="314" spans="1:14">
      <c r="A314" s="42">
        <v>80301</v>
      </c>
      <c r="B314" s="42" t="s">
        <v>361</v>
      </c>
      <c r="C314" s="43">
        <v>11625</v>
      </c>
      <c r="D314" s="44">
        <v>58.3</v>
      </c>
      <c r="E314" s="42">
        <v>15.5</v>
      </c>
      <c r="F314" s="46">
        <f t="shared" si="22"/>
        <v>15.068800000000001</v>
      </c>
      <c r="G314" s="46">
        <f t="shared" si="26"/>
        <v>1.0654645354209624</v>
      </c>
      <c r="H314" s="47">
        <f t="shared" si="23"/>
        <v>16.514700299024916</v>
      </c>
      <c r="I314" s="48">
        <f t="shared" si="24"/>
        <v>1919.8339097616467</v>
      </c>
      <c r="J314" s="55"/>
      <c r="K314" s="55"/>
      <c r="L314" s="56"/>
      <c r="M314" s="49">
        <v>1261</v>
      </c>
      <c r="N314" s="43">
        <f t="shared" si="25"/>
        <v>208.25037077070422</v>
      </c>
    </row>
    <row r="315" spans="1:14">
      <c r="A315" s="42">
        <v>80302</v>
      </c>
      <c r="B315" s="42" t="s">
        <v>362</v>
      </c>
      <c r="C315" s="43">
        <v>45387</v>
      </c>
      <c r="D315" s="44">
        <v>49.4</v>
      </c>
      <c r="E315" s="42">
        <v>15.5</v>
      </c>
      <c r="F315" s="46">
        <f t="shared" si="22"/>
        <v>15.638400000000001</v>
      </c>
      <c r="G315" s="46">
        <f t="shared" si="26"/>
        <v>1.1057390496076118</v>
      </c>
      <c r="H315" s="47">
        <f t="shared" si="23"/>
        <v>17.138955268917982</v>
      </c>
      <c r="I315" s="48">
        <f t="shared" si="24"/>
        <v>7778.8576279038052</v>
      </c>
      <c r="J315" s="55"/>
      <c r="K315" s="55"/>
      <c r="L315" s="56"/>
      <c r="M315" s="49">
        <v>5475</v>
      </c>
      <c r="N315" s="43">
        <f t="shared" si="25"/>
        <v>938.3578009732596</v>
      </c>
    </row>
    <row r="316" spans="1:14">
      <c r="A316" s="42">
        <v>80303</v>
      </c>
      <c r="B316" s="42" t="s">
        <v>322</v>
      </c>
      <c r="C316" s="43">
        <v>10985</v>
      </c>
      <c r="D316" s="44">
        <v>50</v>
      </c>
      <c r="E316" s="42">
        <v>15.5</v>
      </c>
      <c r="F316" s="46">
        <f t="shared" si="22"/>
        <v>15.600000000000001</v>
      </c>
      <c r="G316" s="46">
        <f t="shared" si="26"/>
        <v>1.1030239138197477</v>
      </c>
      <c r="H316" s="47">
        <f t="shared" si="23"/>
        <v>17.09687066420609</v>
      </c>
      <c r="I316" s="48">
        <f t="shared" si="24"/>
        <v>1878.091242463039</v>
      </c>
      <c r="J316" s="55"/>
      <c r="K316" s="55"/>
      <c r="L316" s="56"/>
      <c r="M316" s="49">
        <v>1225</v>
      </c>
      <c r="N316" s="43">
        <f t="shared" si="25"/>
        <v>209.43666563652459</v>
      </c>
    </row>
    <row r="317" spans="1:14">
      <c r="A317" s="42">
        <v>80304</v>
      </c>
      <c r="B317" s="42" t="s">
        <v>363</v>
      </c>
      <c r="C317" s="43">
        <v>21070</v>
      </c>
      <c r="D317" s="44">
        <v>67.3</v>
      </c>
      <c r="E317" s="42">
        <v>15.5</v>
      </c>
      <c r="F317" s="46">
        <f t="shared" si="22"/>
        <v>14.492800000000001</v>
      </c>
      <c r="G317" s="46">
        <f t="shared" si="26"/>
        <v>1.0247374986030025</v>
      </c>
      <c r="H317" s="47">
        <f t="shared" si="23"/>
        <v>15.883431228346538</v>
      </c>
      <c r="I317" s="48">
        <f t="shared" si="24"/>
        <v>3346.6389598126157</v>
      </c>
      <c r="J317" s="55"/>
      <c r="K317" s="55"/>
      <c r="L317" s="56"/>
      <c r="M317" s="49">
        <v>2126</v>
      </c>
      <c r="N317" s="43">
        <f t="shared" si="25"/>
        <v>337.68174791464742</v>
      </c>
    </row>
    <row r="318" spans="1:14">
      <c r="A318" s="42">
        <v>80401</v>
      </c>
      <c r="B318" s="42" t="s">
        <v>364</v>
      </c>
      <c r="C318" s="43">
        <v>18003</v>
      </c>
      <c r="D318" s="44">
        <v>72</v>
      </c>
      <c r="E318" s="42">
        <v>15.5</v>
      </c>
      <c r="F318" s="46">
        <f t="shared" si="22"/>
        <v>14.192</v>
      </c>
      <c r="G318" s="46">
        <f t="shared" si="26"/>
        <v>1.0034689349314012</v>
      </c>
      <c r="H318" s="47">
        <f t="shared" si="23"/>
        <v>15.553768491436719</v>
      </c>
      <c r="I318" s="48">
        <f t="shared" si="24"/>
        <v>2800.1449415133525</v>
      </c>
      <c r="J318" s="55"/>
      <c r="K318" s="55"/>
      <c r="L318" s="56"/>
      <c r="M318" s="49">
        <v>1955</v>
      </c>
      <c r="N318" s="43">
        <f t="shared" si="25"/>
        <v>304.07617400758784</v>
      </c>
    </row>
    <row r="319" spans="1:14">
      <c r="A319" s="42">
        <v>80402</v>
      </c>
      <c r="B319" s="42" t="s">
        <v>365</v>
      </c>
      <c r="C319" s="43">
        <v>7875</v>
      </c>
      <c r="D319" s="44">
        <v>23.9</v>
      </c>
      <c r="E319" s="42">
        <v>15.5</v>
      </c>
      <c r="F319" s="46">
        <f t="shared" si="22"/>
        <v>17.270400000000002</v>
      </c>
      <c r="G319" s="46">
        <f t="shared" si="26"/>
        <v>1.2211323205918316</v>
      </c>
      <c r="H319" s="47">
        <f t="shared" si="23"/>
        <v>18.927550969173389</v>
      </c>
      <c r="I319" s="48">
        <f t="shared" si="24"/>
        <v>1490.5446388224043</v>
      </c>
      <c r="J319" s="55"/>
      <c r="K319" s="55"/>
      <c r="L319" s="56"/>
      <c r="M319" s="49">
        <v>839</v>
      </c>
      <c r="N319" s="43">
        <f t="shared" si="25"/>
        <v>158.80215263136472</v>
      </c>
    </row>
    <row r="320" spans="1:14">
      <c r="A320" s="42">
        <v>80501</v>
      </c>
      <c r="B320" s="42" t="s">
        <v>311</v>
      </c>
      <c r="C320" s="43">
        <v>21390</v>
      </c>
      <c r="D320" s="44">
        <v>48.2</v>
      </c>
      <c r="E320" s="42">
        <v>15.5</v>
      </c>
      <c r="F320" s="46">
        <f t="shared" si="22"/>
        <v>15.715199999999999</v>
      </c>
      <c r="G320" s="46">
        <f t="shared" si="26"/>
        <v>1.1111693211833396</v>
      </c>
      <c r="H320" s="47">
        <f t="shared" si="23"/>
        <v>17.223124478341763</v>
      </c>
      <c r="I320" s="48">
        <f t="shared" si="24"/>
        <v>3684.0263259173034</v>
      </c>
      <c r="J320" s="55"/>
      <c r="K320" s="55"/>
      <c r="L320" s="56"/>
      <c r="M320" s="49">
        <v>2572</v>
      </c>
      <c r="N320" s="43">
        <f t="shared" si="25"/>
        <v>442.9787615829502</v>
      </c>
    </row>
    <row r="321" spans="1:14">
      <c r="A321" s="42">
        <v>80601</v>
      </c>
      <c r="B321" s="42" t="s">
        <v>366</v>
      </c>
      <c r="C321" s="43">
        <v>4232</v>
      </c>
      <c r="D321" s="44">
        <v>0</v>
      </c>
      <c r="E321" s="42">
        <v>15.5</v>
      </c>
      <c r="F321" s="46">
        <f t="shared" si="22"/>
        <v>18.8</v>
      </c>
      <c r="G321" s="46">
        <f t="shared" si="26"/>
        <v>1.3292852294750808</v>
      </c>
      <c r="H321" s="47">
        <f t="shared" si="23"/>
        <v>20.603921056863751</v>
      </c>
      <c r="I321" s="48">
        <f t="shared" si="24"/>
        <v>871.95793912647389</v>
      </c>
      <c r="J321" s="55"/>
      <c r="K321" s="55"/>
      <c r="L321" s="56"/>
      <c r="M321" s="49">
        <v>564</v>
      </c>
      <c r="N321" s="43">
        <f t="shared" si="25"/>
        <v>116.20611476071156</v>
      </c>
    </row>
    <row r="322" spans="1:14">
      <c r="A322" s="42">
        <v>80602</v>
      </c>
      <c r="B322" s="42" t="s">
        <v>367</v>
      </c>
      <c r="C322" s="43">
        <v>15314</v>
      </c>
      <c r="D322" s="44">
        <v>16.600000000000001</v>
      </c>
      <c r="E322" s="42">
        <v>15.5</v>
      </c>
      <c r="F322" s="46">
        <f t="shared" si="22"/>
        <v>17.7376</v>
      </c>
      <c r="G322" s="46">
        <f t="shared" si="26"/>
        <v>1.2541664726775101</v>
      </c>
      <c r="H322" s="47">
        <f t="shared" si="23"/>
        <v>19.439580326501407</v>
      </c>
      <c r="I322" s="48">
        <f t="shared" si="24"/>
        <v>2976.9773312004254</v>
      </c>
      <c r="J322" s="55"/>
      <c r="K322" s="55"/>
      <c r="L322" s="56"/>
      <c r="M322" s="49">
        <v>1311</v>
      </c>
      <c r="N322" s="43">
        <f t="shared" si="25"/>
        <v>254.85289808043345</v>
      </c>
    </row>
    <row r="323" spans="1:14">
      <c r="A323" s="42">
        <v>80701</v>
      </c>
      <c r="B323" s="42" t="s">
        <v>368</v>
      </c>
      <c r="C323" s="43">
        <v>6817</v>
      </c>
      <c r="D323" s="44">
        <v>70.099999999999994</v>
      </c>
      <c r="E323" s="42">
        <v>15.5</v>
      </c>
      <c r="F323" s="46">
        <f t="shared" si="22"/>
        <v>14.313600000000001</v>
      </c>
      <c r="G323" s="46">
        <f t="shared" si="26"/>
        <v>1.012066864926304</v>
      </c>
      <c r="H323" s="47">
        <f t="shared" si="23"/>
        <v>15.687036406357713</v>
      </c>
      <c r="I323" s="48">
        <f t="shared" si="24"/>
        <v>1069.3852718214052</v>
      </c>
      <c r="J323" s="55"/>
      <c r="K323" s="55"/>
      <c r="L323" s="56"/>
      <c r="M323" s="49">
        <v>684</v>
      </c>
      <c r="N323" s="43">
        <f t="shared" si="25"/>
        <v>107.29932901948676</v>
      </c>
    </row>
    <row r="324" spans="1:14">
      <c r="A324" s="42">
        <v>80702</v>
      </c>
      <c r="B324" s="42" t="s">
        <v>346</v>
      </c>
      <c r="C324" s="43">
        <v>5445</v>
      </c>
      <c r="D324" s="44">
        <v>70</v>
      </c>
      <c r="E324" s="42">
        <v>15.5</v>
      </c>
      <c r="F324" s="46">
        <f t="shared" si="22"/>
        <v>14.32</v>
      </c>
      <c r="G324" s="46">
        <f t="shared" si="26"/>
        <v>1.0125193875576146</v>
      </c>
      <c r="H324" s="47">
        <f t="shared" si="23"/>
        <v>15.694050507143027</v>
      </c>
      <c r="I324" s="48">
        <f t="shared" si="24"/>
        <v>854.54105011393779</v>
      </c>
      <c r="J324" s="55"/>
      <c r="K324" s="55"/>
      <c r="L324" s="56"/>
      <c r="M324" s="49">
        <v>511</v>
      </c>
      <c r="N324" s="43">
        <f t="shared" si="25"/>
        <v>80.19659809150086</v>
      </c>
    </row>
    <row r="325" spans="1:14">
      <c r="A325" s="42">
        <v>80703</v>
      </c>
      <c r="B325" s="42" t="s">
        <v>369</v>
      </c>
      <c r="C325" s="43">
        <v>1078.833333</v>
      </c>
      <c r="D325" s="44">
        <v>0</v>
      </c>
      <c r="E325" s="42">
        <v>15.5</v>
      </c>
      <c r="F325" s="46">
        <f t="shared" si="22"/>
        <v>18.8</v>
      </c>
      <c r="G325" s="46">
        <f t="shared" si="26"/>
        <v>1.3292852294750808</v>
      </c>
      <c r="H325" s="47">
        <f t="shared" si="23"/>
        <v>20.603921056863751</v>
      </c>
      <c r="I325" s="48">
        <f t="shared" si="24"/>
        <v>222.28196826645203</v>
      </c>
      <c r="J325" s="55"/>
      <c r="K325" s="55"/>
      <c r="L325" s="56"/>
      <c r="M325" s="49">
        <v>116</v>
      </c>
      <c r="N325" s="43">
        <f t="shared" si="25"/>
        <v>23.900548425961951</v>
      </c>
    </row>
    <row r="326" spans="1:14">
      <c r="A326" s="42">
        <v>80801</v>
      </c>
      <c r="B326" s="42" t="s">
        <v>370</v>
      </c>
      <c r="C326" s="43">
        <v>12668</v>
      </c>
      <c r="D326" s="44">
        <v>76.5</v>
      </c>
      <c r="E326" s="42">
        <v>15.5</v>
      </c>
      <c r="F326" s="46">
        <f t="shared" si="22"/>
        <v>13.904</v>
      </c>
      <c r="G326" s="46">
        <f t="shared" si="26"/>
        <v>0.98310541652242134</v>
      </c>
      <c r="H326" s="47">
        <f t="shared" si="23"/>
        <v>15.238133956097531</v>
      </c>
      <c r="I326" s="48">
        <f t="shared" si="24"/>
        <v>1930.3668095584353</v>
      </c>
      <c r="J326" s="42"/>
      <c r="K326" s="42"/>
      <c r="L326" s="42"/>
      <c r="M326" s="49">
        <v>1263</v>
      </c>
      <c r="N326" s="43">
        <f t="shared" si="25"/>
        <v>192.45763186551184</v>
      </c>
    </row>
    <row r="327" spans="1:14">
      <c r="A327" s="42">
        <v>80802</v>
      </c>
      <c r="B327" s="42" t="s">
        <v>371</v>
      </c>
      <c r="C327" s="43">
        <v>7361</v>
      </c>
      <c r="D327" s="44">
        <v>29.3</v>
      </c>
      <c r="E327" s="42">
        <v>15.5</v>
      </c>
      <c r="F327" s="46">
        <f t="shared" si="22"/>
        <v>16.924800000000001</v>
      </c>
      <c r="G327" s="46">
        <f t="shared" si="26"/>
        <v>1.1966960985010555</v>
      </c>
      <c r="H327" s="47">
        <f t="shared" si="23"/>
        <v>18.54878952676636</v>
      </c>
      <c r="I327" s="48">
        <f t="shared" si="24"/>
        <v>1365.3763970652717</v>
      </c>
      <c r="J327" s="55"/>
      <c r="K327" s="55"/>
      <c r="L327" s="56"/>
      <c r="M327" s="49">
        <v>534</v>
      </c>
      <c r="N327" s="43">
        <f t="shared" si="25"/>
        <v>99.05053607293236</v>
      </c>
    </row>
    <row r="328" spans="1:14">
      <c r="A328" s="42">
        <v>80803</v>
      </c>
      <c r="B328" s="42" t="s">
        <v>372</v>
      </c>
      <c r="C328" s="43">
        <v>4587</v>
      </c>
      <c r="D328" s="44">
        <v>48.4</v>
      </c>
      <c r="E328" s="42">
        <v>15.5</v>
      </c>
      <c r="F328" s="46">
        <f t="shared" si="22"/>
        <v>15.702400000000001</v>
      </c>
      <c r="G328" s="46">
        <f t="shared" si="26"/>
        <v>1.1102642759207184</v>
      </c>
      <c r="H328" s="47">
        <f t="shared" si="23"/>
        <v>17.209096276771135</v>
      </c>
      <c r="I328" s="48">
        <f t="shared" si="24"/>
        <v>789.38124621549196</v>
      </c>
      <c r="J328" s="55"/>
      <c r="K328" s="55"/>
      <c r="L328" s="56"/>
      <c r="M328" s="49">
        <v>404</v>
      </c>
      <c r="N328" s="43">
        <f t="shared" si="25"/>
        <v>69.524748958155385</v>
      </c>
    </row>
    <row r="329" spans="1:14">
      <c r="A329" s="42">
        <v>80901</v>
      </c>
      <c r="B329" s="42" t="s">
        <v>373</v>
      </c>
      <c r="C329" s="43">
        <v>3911</v>
      </c>
      <c r="D329" s="44">
        <v>0</v>
      </c>
      <c r="E329" s="42">
        <v>15.5</v>
      </c>
      <c r="F329" s="46">
        <f t="shared" si="22"/>
        <v>18.8</v>
      </c>
      <c r="G329" s="46">
        <f t="shared" si="26"/>
        <v>1.3292852294750808</v>
      </c>
      <c r="H329" s="47">
        <f t="shared" si="23"/>
        <v>20.603921056863751</v>
      </c>
      <c r="I329" s="48">
        <f t="shared" si="24"/>
        <v>805.81935253394124</v>
      </c>
      <c r="J329" s="55"/>
      <c r="K329" s="55"/>
      <c r="L329" s="56"/>
      <c r="M329" s="49">
        <v>569</v>
      </c>
      <c r="N329" s="43">
        <f t="shared" si="25"/>
        <v>117.23631081355474</v>
      </c>
    </row>
    <row r="330" spans="1:14">
      <c r="A330" s="42">
        <v>90101</v>
      </c>
      <c r="B330" s="42" t="s">
        <v>374</v>
      </c>
      <c r="C330" s="43">
        <v>54377</v>
      </c>
      <c r="D330" s="44">
        <v>96.7</v>
      </c>
      <c r="E330" s="42">
        <v>9.1999999999999993</v>
      </c>
      <c r="F330" s="46">
        <f t="shared" si="22"/>
        <v>12.6112</v>
      </c>
      <c r="G330" s="46">
        <f t="shared" ref="G330:G344" si="27">1.11*F330/F$345</f>
        <v>0.81800197351025639</v>
      </c>
      <c r="H330" s="47">
        <f t="shared" si="23"/>
        <v>7.5256181562943585</v>
      </c>
      <c r="I330" s="48">
        <f t="shared" si="24"/>
        <v>4092.2053848481837</v>
      </c>
      <c r="J330" s="49">
        <f>SUM(C330:C344)</f>
        <v>132213</v>
      </c>
      <c r="K330" s="49">
        <f>SUM(I330:I344)</f>
        <v>12189.46605906739</v>
      </c>
      <c r="L330" s="50">
        <f>K330/J330</f>
        <v>9.219566955645353E-2</v>
      </c>
      <c r="M330" s="49">
        <v>4172</v>
      </c>
      <c r="N330" s="43">
        <f t="shared" si="25"/>
        <v>313.96878948060066</v>
      </c>
    </row>
    <row r="331" spans="1:14">
      <c r="A331" s="42">
        <v>90102</v>
      </c>
      <c r="B331" s="42" t="s">
        <v>375</v>
      </c>
      <c r="C331" s="43">
        <v>9236</v>
      </c>
      <c r="D331" s="44">
        <v>76.2</v>
      </c>
      <c r="E331" s="42">
        <v>9.1999999999999993</v>
      </c>
      <c r="F331" s="46">
        <f t="shared" si="22"/>
        <v>13.923200000000001</v>
      </c>
      <c r="G331" s="46">
        <f t="shared" si="27"/>
        <v>0.90310240719186152</v>
      </c>
      <c r="H331" s="47">
        <f t="shared" si="23"/>
        <v>8.3085421461651254</v>
      </c>
      <c r="I331" s="48">
        <f t="shared" si="24"/>
        <v>767.37695261981105</v>
      </c>
      <c r="J331" s="55"/>
      <c r="K331" s="55"/>
      <c r="L331" s="56"/>
      <c r="M331" s="49">
        <v>908</v>
      </c>
      <c r="N331" s="43">
        <f t="shared" si="25"/>
        <v>75.441562687179342</v>
      </c>
    </row>
    <row r="332" spans="1:14">
      <c r="A332" s="42">
        <v>90103</v>
      </c>
      <c r="B332" s="42" t="s">
        <v>376</v>
      </c>
      <c r="C332" s="43">
        <v>2415</v>
      </c>
      <c r="D332" s="44">
        <v>0</v>
      </c>
      <c r="E332" s="42">
        <v>9.1999999999999993</v>
      </c>
      <c r="F332" s="46">
        <f t="shared" si="22"/>
        <v>18.8</v>
      </c>
      <c r="G332" s="46">
        <f t="shared" si="27"/>
        <v>1.2194269460473881</v>
      </c>
      <c r="H332" s="47">
        <f t="shared" si="23"/>
        <v>11.218727903635969</v>
      </c>
      <c r="I332" s="48">
        <f t="shared" si="24"/>
        <v>270.93227887280864</v>
      </c>
      <c r="J332" s="55"/>
      <c r="K332" s="55"/>
      <c r="L332" s="56"/>
      <c r="M332" s="49">
        <v>178</v>
      </c>
      <c r="N332" s="43">
        <f t="shared" si="25"/>
        <v>19.969335668472024</v>
      </c>
    </row>
    <row r="333" spans="1:14">
      <c r="A333" s="42">
        <v>90104</v>
      </c>
      <c r="B333" s="42" t="s">
        <v>377</v>
      </c>
      <c r="C333" s="43">
        <v>3653</v>
      </c>
      <c r="D333" s="44">
        <v>0</v>
      </c>
      <c r="E333" s="42">
        <v>9.1999999999999993</v>
      </c>
      <c r="F333" s="46">
        <f t="shared" si="22"/>
        <v>18.8</v>
      </c>
      <c r="G333" s="46">
        <f t="shared" si="27"/>
        <v>1.2194269460473881</v>
      </c>
      <c r="H333" s="47">
        <f t="shared" si="23"/>
        <v>11.218727903635969</v>
      </c>
      <c r="I333" s="48">
        <f t="shared" si="24"/>
        <v>409.820130319822</v>
      </c>
      <c r="J333" s="55"/>
      <c r="K333" s="55"/>
      <c r="L333" s="56"/>
      <c r="M333" s="49">
        <v>295</v>
      </c>
      <c r="N333" s="43">
        <f t="shared" si="25"/>
        <v>33.095247315726112</v>
      </c>
    </row>
    <row r="334" spans="1:14">
      <c r="A334" s="42">
        <v>90201</v>
      </c>
      <c r="B334" s="42" t="s">
        <v>378</v>
      </c>
      <c r="C334" s="43">
        <v>7273</v>
      </c>
      <c r="D334" s="44">
        <v>47.7</v>
      </c>
      <c r="E334" s="42">
        <v>9.1999999999999993</v>
      </c>
      <c r="F334" s="46">
        <f t="shared" si="22"/>
        <v>15.747199999999999</v>
      </c>
      <c r="G334" s="46">
        <f t="shared" si="27"/>
        <v>1.0214127662126293</v>
      </c>
      <c r="H334" s="47">
        <f t="shared" si="23"/>
        <v>9.3969974491561885</v>
      </c>
      <c r="I334" s="48">
        <f t="shared" si="24"/>
        <v>683.44362447712967</v>
      </c>
      <c r="J334" s="55"/>
      <c r="K334" s="55"/>
      <c r="L334" s="56"/>
      <c r="M334" s="49">
        <v>682</v>
      </c>
      <c r="N334" s="43">
        <f t="shared" si="25"/>
        <v>64.087522603245205</v>
      </c>
    </row>
    <row r="335" spans="1:14">
      <c r="A335" s="42">
        <v>90202</v>
      </c>
      <c r="B335" s="42" t="s">
        <v>269</v>
      </c>
      <c r="C335" s="43">
        <v>3474</v>
      </c>
      <c r="D335" s="44">
        <v>0</v>
      </c>
      <c r="E335" s="42">
        <v>9.1999999999999993</v>
      </c>
      <c r="F335" s="46">
        <f t="shared" si="22"/>
        <v>18.8</v>
      </c>
      <c r="G335" s="46">
        <f t="shared" si="27"/>
        <v>1.2194269460473881</v>
      </c>
      <c r="H335" s="47">
        <f t="shared" si="23"/>
        <v>11.218727903635969</v>
      </c>
      <c r="I335" s="48">
        <f t="shared" si="24"/>
        <v>389.73860737231354</v>
      </c>
      <c r="J335" s="55"/>
      <c r="K335" s="55"/>
      <c r="L335" s="56"/>
      <c r="M335" s="49">
        <v>369</v>
      </c>
      <c r="N335" s="43">
        <f t="shared" si="25"/>
        <v>41.397105964416724</v>
      </c>
    </row>
    <row r="336" spans="1:14">
      <c r="A336" s="42">
        <v>90203</v>
      </c>
      <c r="B336" s="42" t="s">
        <v>379</v>
      </c>
      <c r="C336" s="43">
        <v>7854</v>
      </c>
      <c r="D336" s="44">
        <v>0</v>
      </c>
      <c r="E336" s="42">
        <v>9.1999999999999993</v>
      </c>
      <c r="F336" s="46">
        <f t="shared" si="22"/>
        <v>18.8</v>
      </c>
      <c r="G336" s="46">
        <f t="shared" si="27"/>
        <v>1.2194269460473881</v>
      </c>
      <c r="H336" s="47">
        <f t="shared" si="23"/>
        <v>11.218727903635969</v>
      </c>
      <c r="I336" s="48">
        <f t="shared" si="24"/>
        <v>881.11888955156905</v>
      </c>
      <c r="J336" s="55"/>
      <c r="K336" s="55"/>
      <c r="L336" s="56"/>
      <c r="M336" s="49">
        <v>730</v>
      </c>
      <c r="N336" s="43">
        <f t="shared" si="25"/>
        <v>81.896713696542577</v>
      </c>
    </row>
    <row r="337" spans="1:14">
      <c r="A337" s="42">
        <v>90301</v>
      </c>
      <c r="B337" s="42" t="s">
        <v>380</v>
      </c>
      <c r="C337" s="43">
        <v>12075</v>
      </c>
      <c r="D337" s="44">
        <v>14.9</v>
      </c>
      <c r="E337" s="42">
        <v>9.1999999999999993</v>
      </c>
      <c r="F337" s="46">
        <f t="shared" si="22"/>
        <v>17.846399999999999</v>
      </c>
      <c r="G337" s="46">
        <f t="shared" si="27"/>
        <v>1.1575734601031971</v>
      </c>
      <c r="H337" s="47">
        <f t="shared" si="23"/>
        <v>10.649675832949413</v>
      </c>
      <c r="I337" s="48">
        <f t="shared" si="24"/>
        <v>1285.9483568286416</v>
      </c>
      <c r="J337" s="55"/>
      <c r="K337" s="55"/>
      <c r="L337" s="56"/>
      <c r="M337" s="49">
        <v>1460</v>
      </c>
      <c r="N337" s="43">
        <f t="shared" si="25"/>
        <v>155.48526716106142</v>
      </c>
    </row>
    <row r="338" spans="1:14">
      <c r="A338" s="42">
        <v>90302</v>
      </c>
      <c r="B338" s="42" t="s">
        <v>302</v>
      </c>
      <c r="C338" s="43">
        <v>9650</v>
      </c>
      <c r="D338" s="44">
        <v>0</v>
      </c>
      <c r="E338" s="42">
        <v>9.1999999999999993</v>
      </c>
      <c r="F338" s="46">
        <f t="shared" si="22"/>
        <v>18.8</v>
      </c>
      <c r="G338" s="46">
        <f t="shared" si="27"/>
        <v>1.2194269460473881</v>
      </c>
      <c r="H338" s="47">
        <f t="shared" si="23"/>
        <v>11.218727903635969</v>
      </c>
      <c r="I338" s="48">
        <f t="shared" si="24"/>
        <v>1082.607242700871</v>
      </c>
      <c r="J338" s="55"/>
      <c r="K338" s="55"/>
      <c r="L338" s="56"/>
      <c r="M338" s="49">
        <v>1266</v>
      </c>
      <c r="N338" s="43">
        <f t="shared" si="25"/>
        <v>142.02909526003137</v>
      </c>
    </row>
    <row r="339" spans="1:14">
      <c r="A339" s="42">
        <v>90303</v>
      </c>
      <c r="B339" s="42" t="s">
        <v>381</v>
      </c>
      <c r="C339" s="43">
        <v>10333</v>
      </c>
      <c r="D339" s="44">
        <v>41.8</v>
      </c>
      <c r="E339" s="42">
        <v>9.1999999999999993</v>
      </c>
      <c r="F339" s="46">
        <f t="shared" si="22"/>
        <v>16.1248</v>
      </c>
      <c r="G339" s="46">
        <f t="shared" si="27"/>
        <v>1.0459050861502619</v>
      </c>
      <c r="H339" s="47">
        <f t="shared" si="23"/>
        <v>9.6223267925824079</v>
      </c>
      <c r="I339" s="48">
        <f t="shared" si="24"/>
        <v>994.27502747754011</v>
      </c>
      <c r="J339" s="55"/>
      <c r="K339" s="55"/>
      <c r="L339" s="56"/>
      <c r="M339" s="49">
        <v>1177</v>
      </c>
      <c r="N339" s="43">
        <f t="shared" si="25"/>
        <v>113.25478634869495</v>
      </c>
    </row>
    <row r="340" spans="1:14">
      <c r="A340" s="42">
        <v>90401</v>
      </c>
      <c r="B340" s="42" t="s">
        <v>322</v>
      </c>
      <c r="C340" s="43">
        <v>2848</v>
      </c>
      <c r="D340" s="44">
        <v>0</v>
      </c>
      <c r="E340" s="42">
        <v>9.1999999999999993</v>
      </c>
      <c r="F340" s="46">
        <f t="shared" si="22"/>
        <v>18.8</v>
      </c>
      <c r="G340" s="46">
        <f t="shared" si="27"/>
        <v>1.2194269460473881</v>
      </c>
      <c r="H340" s="47">
        <f t="shared" si="23"/>
        <v>11.218727903635969</v>
      </c>
      <c r="I340" s="48">
        <f t="shared" si="24"/>
        <v>319.50937069555238</v>
      </c>
      <c r="J340" s="55"/>
      <c r="K340" s="55"/>
      <c r="L340" s="56"/>
      <c r="M340" s="49">
        <v>269</v>
      </c>
      <c r="N340" s="43">
        <f t="shared" si="25"/>
        <v>30.178378060780755</v>
      </c>
    </row>
    <row r="341" spans="1:14">
      <c r="A341" s="42">
        <v>90402</v>
      </c>
      <c r="B341" s="42" t="s">
        <v>382</v>
      </c>
      <c r="C341" s="43">
        <v>2521</v>
      </c>
      <c r="D341" s="44">
        <v>0</v>
      </c>
      <c r="E341" s="42">
        <v>9.1999999999999993</v>
      </c>
      <c r="F341" s="46">
        <f t="shared" si="22"/>
        <v>18.8</v>
      </c>
      <c r="G341" s="46">
        <f t="shared" si="27"/>
        <v>1.2194269460473881</v>
      </c>
      <c r="H341" s="47">
        <f t="shared" si="23"/>
        <v>11.218727903635969</v>
      </c>
      <c r="I341" s="48">
        <f t="shared" si="24"/>
        <v>282.82413045066278</v>
      </c>
      <c r="J341" s="55"/>
      <c r="K341" s="55"/>
      <c r="L341" s="56"/>
      <c r="M341" s="49">
        <v>261</v>
      </c>
      <c r="N341" s="43">
        <f t="shared" si="25"/>
        <v>29.28087982848988</v>
      </c>
    </row>
    <row r="342" spans="1:14">
      <c r="A342" s="42">
        <v>90501</v>
      </c>
      <c r="B342" s="42" t="s">
        <v>383</v>
      </c>
      <c r="C342" s="61">
        <v>1637</v>
      </c>
      <c r="D342" s="62">
        <v>0</v>
      </c>
      <c r="E342" s="42">
        <v>9.1999999999999993</v>
      </c>
      <c r="F342" s="46">
        <f t="shared" si="22"/>
        <v>18.8</v>
      </c>
      <c r="G342" s="46">
        <f t="shared" si="27"/>
        <v>1.2194269460473881</v>
      </c>
      <c r="H342" s="47">
        <f t="shared" si="23"/>
        <v>11.218727903635969</v>
      </c>
      <c r="I342" s="48">
        <f t="shared" si="24"/>
        <v>183.65057578252083</v>
      </c>
      <c r="J342" s="55"/>
      <c r="K342" s="55"/>
      <c r="L342" s="56"/>
      <c r="M342" s="61">
        <v>166</v>
      </c>
      <c r="N342" s="43">
        <f t="shared" si="25"/>
        <v>18.623088320035709</v>
      </c>
    </row>
    <row r="343" spans="1:14">
      <c r="A343" s="42">
        <v>90502</v>
      </c>
      <c r="B343" s="42" t="s">
        <v>384</v>
      </c>
      <c r="C343" s="61">
        <v>2535</v>
      </c>
      <c r="D343" s="62">
        <v>0</v>
      </c>
      <c r="E343" s="42">
        <v>9.1999999999999993</v>
      </c>
      <c r="F343" s="46">
        <f t="shared" si="22"/>
        <v>18.8</v>
      </c>
      <c r="G343" s="46">
        <f t="shared" si="27"/>
        <v>1.2194269460473881</v>
      </c>
      <c r="H343" s="47">
        <f t="shared" si="23"/>
        <v>11.218727903635969</v>
      </c>
      <c r="I343" s="48">
        <f t="shared" si="24"/>
        <v>284.3947523571718</v>
      </c>
      <c r="J343" s="55"/>
      <c r="K343" s="55"/>
      <c r="L343" s="56"/>
      <c r="M343" s="61">
        <v>262</v>
      </c>
      <c r="N343" s="43">
        <f t="shared" si="25"/>
        <v>29.393067107526239</v>
      </c>
    </row>
    <row r="344" spans="1:14">
      <c r="A344" s="42">
        <v>90503</v>
      </c>
      <c r="B344" s="63" t="s">
        <v>385</v>
      </c>
      <c r="C344" s="64">
        <v>2332</v>
      </c>
      <c r="D344" s="65">
        <v>0</v>
      </c>
      <c r="E344" s="42">
        <v>9.1999999999999993</v>
      </c>
      <c r="F344" s="46">
        <f t="shared" si="22"/>
        <v>18.8</v>
      </c>
      <c r="G344" s="46">
        <f t="shared" si="27"/>
        <v>1.2194269460473881</v>
      </c>
      <c r="H344" s="66">
        <f t="shared" si="23"/>
        <v>11.218727903635969</v>
      </c>
      <c r="I344" s="67">
        <f t="shared" si="24"/>
        <v>261.62073471279081</v>
      </c>
      <c r="J344" s="68"/>
      <c r="K344" s="69"/>
      <c r="L344" s="70"/>
      <c r="M344" s="64">
        <v>217</v>
      </c>
      <c r="N344" s="71">
        <f t="shared" si="25"/>
        <v>24.344639550890051</v>
      </c>
    </row>
    <row r="345" spans="1:14">
      <c r="B345" s="72" t="s">
        <v>67</v>
      </c>
      <c r="C345" s="73">
        <f>SUM(C2:C344)</f>
        <v>11256555.999999698</v>
      </c>
      <c r="D345" s="74"/>
      <c r="E345" s="75">
        <v>14.4</v>
      </c>
      <c r="F345" s="76">
        <f>AVERAGE(F2:F344)</f>
        <v>17.112956268221623</v>
      </c>
      <c r="G345" s="77"/>
      <c r="H345" s="78">
        <f>AVERAGE(H2:H344)</f>
        <v>18.88438721688712</v>
      </c>
      <c r="I345" s="79">
        <f>SUM(I2:I344)</f>
        <v>1650946.4443669352</v>
      </c>
      <c r="J345" s="80"/>
      <c r="K345" s="81"/>
      <c r="L345" s="82"/>
      <c r="M345" s="83">
        <f t="shared" ref="M345:N345" si="28">SUM(M2:M344)</f>
        <v>872350</v>
      </c>
      <c r="N345" s="84">
        <f t="shared" si="28"/>
        <v>129096.49527391966</v>
      </c>
    </row>
    <row r="346" spans="1:14">
      <c r="C346" s="40"/>
      <c r="D346" s="85"/>
      <c r="J346" s="86"/>
      <c r="K346" s="86"/>
      <c r="L346" s="87"/>
      <c r="M346" s="40"/>
    </row>
    <row r="347" spans="1:14">
      <c r="C347" s="40"/>
      <c r="D347" s="85"/>
      <c r="J347" s="86"/>
      <c r="K347" s="86"/>
      <c r="L347" s="87"/>
      <c r="M347" s="40"/>
    </row>
    <row r="348" spans="1:14">
      <c r="C348" s="40"/>
      <c r="D348" s="85"/>
      <c r="J348" s="86"/>
      <c r="K348" s="86"/>
      <c r="L348" s="87"/>
      <c r="M348" s="40"/>
    </row>
    <row r="349" spans="1:14">
      <c r="C349" s="40"/>
      <c r="D349" s="85"/>
      <c r="J349" s="86"/>
      <c r="K349" s="86"/>
      <c r="L349" s="87"/>
      <c r="M349" s="40"/>
    </row>
    <row r="350" spans="1:14">
      <c r="C350" s="40"/>
      <c r="D350" s="85"/>
      <c r="J350" s="86"/>
      <c r="K350" s="86"/>
      <c r="L350" s="87"/>
      <c r="M350" s="40"/>
    </row>
    <row r="351" spans="1:14">
      <c r="C351" s="40"/>
      <c r="D351" s="85"/>
      <c r="J351" s="86"/>
      <c r="K351" s="86"/>
      <c r="L351" s="87"/>
      <c r="M351" s="40"/>
    </row>
    <row r="352" spans="1:14">
      <c r="C352" s="40"/>
      <c r="D352" s="85"/>
      <c r="J352" s="86"/>
      <c r="K352" s="86"/>
      <c r="L352" s="87"/>
      <c r="M352" s="40"/>
    </row>
    <row r="353" spans="3:13">
      <c r="C353" s="40"/>
      <c r="D353" s="85"/>
      <c r="J353" s="86"/>
      <c r="K353" s="86"/>
      <c r="L353" s="87"/>
      <c r="M353" s="40"/>
    </row>
    <row r="354" spans="3:13">
      <c r="C354" s="40"/>
      <c r="D354" s="85"/>
      <c r="J354" s="86"/>
      <c r="K354" s="86"/>
      <c r="L354" s="87"/>
      <c r="M354" s="40"/>
    </row>
    <row r="355" spans="3:13">
      <c r="C355" s="40"/>
      <c r="D355" s="85"/>
      <c r="J355" s="86"/>
      <c r="K355" s="86"/>
      <c r="L355" s="87"/>
      <c r="M355" s="40"/>
    </row>
    <row r="356" spans="3:13">
      <c r="C356" s="40"/>
      <c r="D356" s="85"/>
      <c r="J356" s="86"/>
      <c r="K356" s="86"/>
      <c r="L356" s="87"/>
      <c r="M356" s="40"/>
    </row>
    <row r="357" spans="3:13">
      <c r="C357" s="40"/>
      <c r="D357" s="85"/>
      <c r="J357" s="86"/>
      <c r="K357" s="86"/>
      <c r="L357" s="87"/>
      <c r="M357" s="40"/>
    </row>
    <row r="358" spans="3:13">
      <c r="C358" s="40"/>
      <c r="D358" s="85"/>
      <c r="J358" s="86"/>
      <c r="K358" s="86"/>
      <c r="L358" s="87"/>
      <c r="M358" s="40"/>
    </row>
    <row r="359" spans="3:13">
      <c r="C359" s="40"/>
      <c r="D359" s="85"/>
      <c r="J359" s="86"/>
      <c r="K359" s="86"/>
      <c r="L359" s="87"/>
      <c r="M359" s="40"/>
    </row>
    <row r="360" spans="3:13">
      <c r="C360" s="40"/>
      <c r="D360" s="85"/>
      <c r="J360" s="86"/>
      <c r="K360" s="86"/>
      <c r="L360" s="87"/>
      <c r="M360" s="40"/>
    </row>
    <row r="361" spans="3:13">
      <c r="C361" s="40"/>
      <c r="D361" s="85"/>
      <c r="J361" s="86"/>
      <c r="K361" s="86"/>
      <c r="L361" s="87"/>
      <c r="M361" s="40"/>
    </row>
    <row r="362" spans="3:13">
      <c r="C362" s="40"/>
      <c r="D362" s="85"/>
      <c r="J362" s="86"/>
      <c r="K362" s="86"/>
      <c r="L362" s="87"/>
      <c r="M362" s="40"/>
    </row>
    <row r="363" spans="3:13">
      <c r="C363" s="40"/>
      <c r="D363" s="85"/>
      <c r="J363" s="86"/>
      <c r="K363" s="86"/>
      <c r="L363" s="87"/>
      <c r="M363" s="40"/>
    </row>
    <row r="364" spans="3:13">
      <c r="C364" s="40"/>
      <c r="D364" s="85"/>
      <c r="J364" s="86"/>
      <c r="K364" s="86"/>
      <c r="L364" s="87"/>
      <c r="M364" s="40"/>
    </row>
    <row r="365" spans="3:13">
      <c r="C365" s="40"/>
      <c r="D365" s="85"/>
      <c r="J365" s="86"/>
      <c r="K365" s="86"/>
      <c r="L365" s="87"/>
      <c r="M365" s="40"/>
    </row>
    <row r="366" spans="3:13">
      <c r="C366" s="40"/>
      <c r="D366" s="85"/>
      <c r="J366" s="86"/>
      <c r="K366" s="86"/>
      <c r="L366" s="87"/>
      <c r="M366" s="40"/>
    </row>
    <row r="367" spans="3:13">
      <c r="C367" s="40"/>
      <c r="D367" s="85"/>
      <c r="J367" s="86"/>
      <c r="K367" s="86"/>
      <c r="L367" s="87"/>
      <c r="M367" s="40"/>
    </row>
    <row r="368" spans="3:13">
      <c r="C368" s="40"/>
      <c r="D368" s="85"/>
      <c r="J368" s="86"/>
      <c r="K368" s="86"/>
      <c r="L368" s="87"/>
      <c r="M368" s="40"/>
    </row>
    <row r="369" spans="3:13">
      <c r="C369" s="40"/>
      <c r="D369" s="85"/>
      <c r="J369" s="86"/>
      <c r="K369" s="86"/>
      <c r="L369" s="87"/>
      <c r="M369" s="40"/>
    </row>
    <row r="370" spans="3:13">
      <c r="C370" s="40"/>
      <c r="D370" s="85"/>
      <c r="J370" s="86"/>
      <c r="K370" s="86"/>
      <c r="L370" s="87"/>
      <c r="M370" s="40"/>
    </row>
    <row r="371" spans="3:13">
      <c r="C371" s="40"/>
      <c r="D371" s="85"/>
      <c r="J371" s="86"/>
      <c r="K371" s="86"/>
      <c r="L371" s="87"/>
      <c r="M371" s="40"/>
    </row>
    <row r="372" spans="3:13">
      <c r="C372" s="40"/>
      <c r="D372" s="85"/>
      <c r="J372" s="86"/>
      <c r="K372" s="86"/>
      <c r="L372" s="87"/>
      <c r="M372" s="40"/>
    </row>
    <row r="373" spans="3:13">
      <c r="C373" s="40"/>
      <c r="D373" s="85"/>
      <c r="J373" s="86"/>
      <c r="K373" s="86"/>
      <c r="L373" s="87"/>
      <c r="M373" s="40"/>
    </row>
    <row r="374" spans="3:13">
      <c r="C374" s="40"/>
      <c r="D374" s="85"/>
      <c r="J374" s="86"/>
      <c r="K374" s="86"/>
      <c r="L374" s="87"/>
      <c r="M374" s="40"/>
    </row>
    <row r="375" spans="3:13">
      <c r="C375" s="40"/>
      <c r="D375" s="85"/>
      <c r="J375" s="86"/>
      <c r="K375" s="86"/>
      <c r="L375" s="87"/>
      <c r="M375" s="40"/>
    </row>
    <row r="376" spans="3:13">
      <c r="C376" s="40"/>
      <c r="D376" s="85"/>
      <c r="J376" s="86"/>
      <c r="K376" s="86"/>
      <c r="L376" s="87"/>
      <c r="M376" s="40"/>
    </row>
    <row r="377" spans="3:13">
      <c r="C377" s="40"/>
      <c r="D377" s="85"/>
      <c r="J377" s="86"/>
      <c r="K377" s="86"/>
      <c r="L377" s="87"/>
      <c r="M377" s="40"/>
    </row>
    <row r="378" spans="3:13">
      <c r="C378" s="40"/>
      <c r="D378" s="85"/>
      <c r="J378" s="86"/>
      <c r="K378" s="86"/>
      <c r="L378" s="87"/>
      <c r="M378" s="40"/>
    </row>
    <row r="379" spans="3:13">
      <c r="C379" s="40"/>
      <c r="D379" s="85"/>
      <c r="J379" s="86"/>
      <c r="K379" s="86"/>
      <c r="L379" s="87"/>
      <c r="M379" s="40"/>
    </row>
    <row r="380" spans="3:13">
      <c r="C380" s="40"/>
      <c r="D380" s="85"/>
      <c r="J380" s="86"/>
      <c r="K380" s="86"/>
      <c r="L380" s="87"/>
      <c r="M380" s="40"/>
    </row>
    <row r="381" spans="3:13">
      <c r="C381" s="40"/>
      <c r="D381" s="85"/>
      <c r="J381" s="86"/>
      <c r="K381" s="86"/>
      <c r="L381" s="87"/>
      <c r="M381" s="40"/>
    </row>
    <row r="382" spans="3:13">
      <c r="C382" s="40"/>
      <c r="D382" s="85"/>
      <c r="J382" s="86"/>
      <c r="K382" s="86"/>
      <c r="L382" s="87"/>
      <c r="M382" s="40"/>
    </row>
    <row r="383" spans="3:13">
      <c r="C383" s="40"/>
      <c r="D383" s="85"/>
      <c r="J383" s="86"/>
      <c r="K383" s="86"/>
      <c r="L383" s="87"/>
      <c r="M383" s="40"/>
    </row>
    <row r="384" spans="3:13">
      <c r="C384" s="40"/>
      <c r="D384" s="85"/>
      <c r="J384" s="86"/>
      <c r="K384" s="86"/>
      <c r="L384" s="87"/>
      <c r="M384" s="40"/>
    </row>
    <row r="385" spans="3:13">
      <c r="C385" s="40"/>
      <c r="D385" s="85"/>
      <c r="J385" s="86"/>
      <c r="K385" s="86"/>
      <c r="L385" s="87"/>
      <c r="M385" s="40"/>
    </row>
    <row r="386" spans="3:13">
      <c r="C386" s="40"/>
      <c r="D386" s="85"/>
      <c r="J386" s="86"/>
      <c r="K386" s="86"/>
      <c r="L386" s="87"/>
      <c r="M386" s="40"/>
    </row>
    <row r="387" spans="3:13">
      <c r="C387" s="40"/>
      <c r="D387" s="85"/>
      <c r="J387" s="86"/>
      <c r="K387" s="86"/>
      <c r="L387" s="87"/>
      <c r="M387" s="40"/>
    </row>
    <row r="388" spans="3:13">
      <c r="C388" s="40"/>
      <c r="D388" s="85"/>
      <c r="J388" s="86"/>
      <c r="K388" s="86"/>
      <c r="L388" s="87"/>
      <c r="M388" s="40"/>
    </row>
    <row r="389" spans="3:13">
      <c r="C389" s="40"/>
      <c r="D389" s="85"/>
      <c r="J389" s="86"/>
      <c r="K389" s="86"/>
      <c r="L389" s="87"/>
      <c r="M389" s="40"/>
    </row>
    <row r="390" spans="3:13">
      <c r="C390" s="40"/>
      <c r="D390" s="85"/>
      <c r="J390" s="86"/>
      <c r="K390" s="86"/>
      <c r="L390" s="87"/>
      <c r="M390" s="40"/>
    </row>
    <row r="391" spans="3:13">
      <c r="C391" s="40"/>
      <c r="D391" s="85"/>
      <c r="J391" s="86"/>
      <c r="K391" s="86"/>
      <c r="L391" s="87"/>
      <c r="M391" s="40"/>
    </row>
    <row r="392" spans="3:13">
      <c r="C392" s="40"/>
      <c r="D392" s="85"/>
      <c r="J392" s="86"/>
      <c r="K392" s="86"/>
      <c r="L392" s="87"/>
      <c r="M392" s="40"/>
    </row>
    <row r="393" spans="3:13">
      <c r="C393" s="40"/>
      <c r="D393" s="85"/>
      <c r="J393" s="86"/>
      <c r="K393" s="86"/>
      <c r="L393" s="87"/>
      <c r="M393" s="40"/>
    </row>
    <row r="394" spans="3:13">
      <c r="C394" s="40"/>
      <c r="D394" s="85"/>
      <c r="J394" s="86"/>
      <c r="K394" s="86"/>
      <c r="L394" s="87"/>
      <c r="M394" s="40"/>
    </row>
    <row r="395" spans="3:13">
      <c r="C395" s="40"/>
      <c r="D395" s="85"/>
      <c r="J395" s="86"/>
      <c r="K395" s="86"/>
      <c r="L395" s="87"/>
      <c r="M395" s="40"/>
    </row>
    <row r="396" spans="3:13">
      <c r="C396" s="40"/>
      <c r="D396" s="85"/>
      <c r="J396" s="86"/>
      <c r="K396" s="86"/>
      <c r="L396" s="87"/>
      <c r="M396" s="40"/>
    </row>
    <row r="397" spans="3:13">
      <c r="C397" s="40"/>
      <c r="D397" s="85"/>
      <c r="J397" s="86"/>
      <c r="K397" s="86"/>
      <c r="L397" s="87"/>
      <c r="M397" s="40"/>
    </row>
    <row r="398" spans="3:13">
      <c r="C398" s="40"/>
      <c r="D398" s="85"/>
      <c r="J398" s="86"/>
      <c r="K398" s="86"/>
      <c r="L398" s="87"/>
      <c r="M398" s="40"/>
    </row>
    <row r="399" spans="3:13">
      <c r="C399" s="40"/>
      <c r="D399" s="85"/>
      <c r="J399" s="86"/>
      <c r="K399" s="86"/>
      <c r="L399" s="87"/>
      <c r="M399" s="40"/>
    </row>
    <row r="400" spans="3:13">
      <c r="C400" s="40"/>
      <c r="D400" s="85"/>
      <c r="J400" s="86"/>
      <c r="K400" s="86"/>
      <c r="L400" s="87"/>
      <c r="M400" s="40"/>
    </row>
    <row r="401" spans="3:13">
      <c r="C401" s="40"/>
      <c r="D401" s="85"/>
      <c r="J401" s="86"/>
      <c r="K401" s="86"/>
      <c r="L401" s="87"/>
      <c r="M401" s="40"/>
    </row>
    <row r="402" spans="3:13">
      <c r="C402" s="40"/>
      <c r="D402" s="85"/>
      <c r="J402" s="86"/>
      <c r="K402" s="86"/>
      <c r="L402" s="87"/>
      <c r="M402" s="40"/>
    </row>
    <row r="403" spans="3:13">
      <c r="C403" s="40"/>
      <c r="D403" s="85"/>
      <c r="J403" s="86"/>
      <c r="K403" s="86"/>
      <c r="L403" s="87"/>
      <c r="M403" s="40"/>
    </row>
    <row r="404" spans="3:13">
      <c r="C404" s="40"/>
      <c r="D404" s="85"/>
      <c r="J404" s="86"/>
      <c r="K404" s="86"/>
      <c r="L404" s="87"/>
      <c r="M404" s="40"/>
    </row>
    <row r="405" spans="3:13">
      <c r="C405" s="40"/>
      <c r="D405" s="85"/>
      <c r="J405" s="86"/>
      <c r="K405" s="86"/>
      <c r="L405" s="87"/>
      <c r="M405" s="40"/>
    </row>
    <row r="406" spans="3:13">
      <c r="C406" s="40"/>
      <c r="D406" s="85"/>
      <c r="J406" s="86"/>
      <c r="K406" s="86"/>
      <c r="L406" s="87"/>
      <c r="M406" s="40"/>
    </row>
    <row r="407" spans="3:13">
      <c r="C407" s="40"/>
      <c r="D407" s="85"/>
      <c r="J407" s="86"/>
      <c r="K407" s="86"/>
      <c r="L407" s="87"/>
      <c r="M407" s="40"/>
    </row>
    <row r="408" spans="3:13">
      <c r="C408" s="40"/>
      <c r="D408" s="85"/>
      <c r="J408" s="86"/>
      <c r="K408" s="86"/>
      <c r="L408" s="87"/>
      <c r="M408" s="40"/>
    </row>
    <row r="409" spans="3:13">
      <c r="C409" s="40"/>
      <c r="D409" s="85"/>
      <c r="J409" s="86"/>
      <c r="K409" s="86"/>
      <c r="L409" s="87"/>
      <c r="M409" s="40"/>
    </row>
    <row r="410" spans="3:13">
      <c r="C410" s="40"/>
      <c r="D410" s="85"/>
      <c r="J410" s="86"/>
      <c r="K410" s="86"/>
      <c r="L410" s="87"/>
      <c r="M410" s="40"/>
    </row>
    <row r="411" spans="3:13">
      <c r="C411" s="40"/>
      <c r="D411" s="85"/>
      <c r="J411" s="86"/>
      <c r="K411" s="86"/>
      <c r="L411" s="87"/>
      <c r="M411" s="40"/>
    </row>
    <row r="412" spans="3:13">
      <c r="C412" s="40"/>
      <c r="D412" s="85"/>
      <c r="J412" s="86"/>
      <c r="K412" s="86"/>
      <c r="L412" s="87"/>
      <c r="M412" s="40"/>
    </row>
    <row r="413" spans="3:13">
      <c r="C413" s="40"/>
      <c r="D413" s="85"/>
      <c r="J413" s="86"/>
      <c r="K413" s="86"/>
      <c r="L413" s="87"/>
      <c r="M413" s="40"/>
    </row>
    <row r="414" spans="3:13">
      <c r="C414" s="40"/>
      <c r="D414" s="85"/>
      <c r="J414" s="86"/>
      <c r="K414" s="86"/>
      <c r="L414" s="87"/>
      <c r="M414" s="40"/>
    </row>
    <row r="415" spans="3:13">
      <c r="C415" s="40"/>
      <c r="D415" s="85"/>
      <c r="J415" s="86"/>
      <c r="K415" s="86"/>
      <c r="L415" s="87"/>
      <c r="M415" s="40"/>
    </row>
    <row r="416" spans="3:13">
      <c r="C416" s="40"/>
      <c r="D416" s="85"/>
      <c r="J416" s="86"/>
      <c r="K416" s="86"/>
      <c r="L416" s="87"/>
      <c r="M416" s="40"/>
    </row>
    <row r="417" spans="3:13">
      <c r="C417" s="40"/>
      <c r="D417" s="85"/>
      <c r="J417" s="86"/>
      <c r="K417" s="86"/>
      <c r="L417" s="87"/>
      <c r="M417" s="40"/>
    </row>
    <row r="418" spans="3:13">
      <c r="C418" s="40"/>
      <c r="D418" s="85"/>
      <c r="J418" s="86"/>
      <c r="K418" s="86"/>
      <c r="L418" s="87"/>
      <c r="M418" s="40"/>
    </row>
    <row r="419" spans="3:13">
      <c r="C419" s="40"/>
      <c r="D419" s="85"/>
      <c r="J419" s="86"/>
      <c r="K419" s="86"/>
      <c r="L419" s="87"/>
      <c r="M419" s="40"/>
    </row>
    <row r="420" spans="3:13">
      <c r="C420" s="40"/>
      <c r="D420" s="85"/>
      <c r="J420" s="86"/>
      <c r="K420" s="86"/>
      <c r="L420" s="87"/>
      <c r="M420" s="40"/>
    </row>
    <row r="421" spans="3:13">
      <c r="C421" s="40"/>
      <c r="D421" s="85"/>
      <c r="J421" s="86"/>
      <c r="K421" s="86"/>
      <c r="L421" s="87"/>
      <c r="M421" s="40"/>
    </row>
    <row r="422" spans="3:13">
      <c r="C422" s="40"/>
      <c r="D422" s="85"/>
      <c r="J422" s="86"/>
      <c r="K422" s="86"/>
      <c r="L422" s="87"/>
      <c r="M422" s="40"/>
    </row>
    <row r="423" spans="3:13">
      <c r="C423" s="40"/>
      <c r="D423" s="85"/>
      <c r="J423" s="86"/>
      <c r="K423" s="86"/>
      <c r="L423" s="87"/>
      <c r="M423" s="40"/>
    </row>
    <row r="424" spans="3:13">
      <c r="C424" s="40"/>
      <c r="D424" s="85"/>
      <c r="J424" s="86"/>
      <c r="K424" s="86"/>
      <c r="L424" s="87"/>
      <c r="M424" s="40"/>
    </row>
    <row r="425" spans="3:13">
      <c r="C425" s="40"/>
      <c r="D425" s="85"/>
      <c r="J425" s="86"/>
      <c r="K425" s="86"/>
      <c r="L425" s="87"/>
      <c r="M425" s="40"/>
    </row>
    <row r="426" spans="3:13">
      <c r="C426" s="40"/>
      <c r="D426" s="85"/>
      <c r="J426" s="86"/>
      <c r="K426" s="86"/>
      <c r="L426" s="87"/>
      <c r="M426" s="40"/>
    </row>
    <row r="427" spans="3:13">
      <c r="C427" s="40"/>
      <c r="D427" s="85"/>
      <c r="J427" s="86"/>
      <c r="K427" s="86"/>
      <c r="L427" s="87"/>
      <c r="M427" s="40"/>
    </row>
    <row r="428" spans="3:13">
      <c r="C428" s="40"/>
      <c r="D428" s="85"/>
      <c r="J428" s="86"/>
      <c r="K428" s="86"/>
      <c r="L428" s="87"/>
      <c r="M428" s="40"/>
    </row>
    <row r="429" spans="3:13">
      <c r="C429" s="40"/>
      <c r="D429" s="85"/>
      <c r="J429" s="86"/>
      <c r="K429" s="86"/>
      <c r="L429" s="87"/>
      <c r="M429" s="40"/>
    </row>
    <row r="430" spans="3:13">
      <c r="C430" s="40"/>
      <c r="D430" s="85"/>
      <c r="J430" s="86"/>
      <c r="K430" s="86"/>
      <c r="L430" s="87"/>
      <c r="M430" s="40"/>
    </row>
    <row r="431" spans="3:13">
      <c r="C431" s="40"/>
      <c r="D431" s="85"/>
      <c r="J431" s="86"/>
      <c r="K431" s="86"/>
      <c r="L431" s="87"/>
      <c r="M431" s="40"/>
    </row>
    <row r="432" spans="3:13">
      <c r="C432" s="40"/>
      <c r="D432" s="85"/>
      <c r="J432" s="86"/>
      <c r="K432" s="86"/>
      <c r="L432" s="87"/>
      <c r="M432" s="40"/>
    </row>
    <row r="433" spans="3:13">
      <c r="C433" s="40"/>
      <c r="D433" s="85"/>
      <c r="J433" s="86"/>
      <c r="K433" s="86"/>
      <c r="L433" s="87"/>
      <c r="M433" s="40"/>
    </row>
    <row r="434" spans="3:13">
      <c r="C434" s="40"/>
      <c r="D434" s="85"/>
      <c r="J434" s="86"/>
      <c r="K434" s="86"/>
      <c r="L434" s="87"/>
      <c r="M434" s="40"/>
    </row>
    <row r="435" spans="3:13">
      <c r="C435" s="40"/>
      <c r="D435" s="85"/>
      <c r="J435" s="86"/>
      <c r="K435" s="86"/>
      <c r="L435" s="87"/>
      <c r="M435" s="40"/>
    </row>
    <row r="436" spans="3:13">
      <c r="C436" s="40"/>
      <c r="D436" s="85"/>
      <c r="J436" s="86"/>
      <c r="K436" s="86"/>
      <c r="L436" s="87"/>
      <c r="M436" s="40"/>
    </row>
    <row r="437" spans="3:13">
      <c r="C437" s="40"/>
      <c r="D437" s="85"/>
      <c r="J437" s="86"/>
      <c r="K437" s="86"/>
      <c r="L437" s="87"/>
      <c r="M437" s="40"/>
    </row>
    <row r="438" spans="3:13">
      <c r="C438" s="40"/>
      <c r="D438" s="85"/>
      <c r="J438" s="86"/>
      <c r="K438" s="86"/>
      <c r="L438" s="87"/>
      <c r="M438" s="40"/>
    </row>
    <row r="439" spans="3:13">
      <c r="C439" s="40"/>
      <c r="D439" s="85"/>
      <c r="J439" s="86"/>
      <c r="K439" s="86"/>
      <c r="L439" s="87"/>
      <c r="M439" s="40"/>
    </row>
    <row r="440" spans="3:13">
      <c r="C440" s="40"/>
      <c r="D440" s="85"/>
      <c r="J440" s="86"/>
      <c r="K440" s="86"/>
      <c r="L440" s="87"/>
      <c r="M440" s="40"/>
    </row>
    <row r="441" spans="3:13">
      <c r="C441" s="40"/>
      <c r="D441" s="85"/>
      <c r="J441" s="86"/>
      <c r="K441" s="86"/>
      <c r="L441" s="87"/>
      <c r="M441" s="40"/>
    </row>
    <row r="442" spans="3:13">
      <c r="C442" s="40"/>
      <c r="D442" s="85"/>
      <c r="J442" s="86"/>
      <c r="K442" s="86"/>
      <c r="L442" s="87"/>
      <c r="M442" s="40"/>
    </row>
    <row r="443" spans="3:13">
      <c r="C443" s="40"/>
      <c r="D443" s="85"/>
      <c r="J443" s="86"/>
      <c r="K443" s="86"/>
      <c r="L443" s="87"/>
      <c r="M443" s="40"/>
    </row>
    <row r="444" spans="3:13">
      <c r="C444" s="40"/>
      <c r="D444" s="85"/>
      <c r="J444" s="86"/>
      <c r="K444" s="86"/>
      <c r="L444" s="87"/>
      <c r="M444" s="40"/>
    </row>
    <row r="445" spans="3:13">
      <c r="C445" s="40"/>
      <c r="D445" s="85"/>
      <c r="J445" s="86"/>
      <c r="K445" s="86"/>
      <c r="L445" s="87"/>
      <c r="M445" s="40"/>
    </row>
    <row r="446" spans="3:13">
      <c r="C446" s="40"/>
      <c r="D446" s="85"/>
      <c r="J446" s="86"/>
      <c r="K446" s="86"/>
      <c r="L446" s="87"/>
      <c r="M446" s="40"/>
    </row>
    <row r="447" spans="3:13">
      <c r="C447" s="40"/>
      <c r="D447" s="85"/>
      <c r="J447" s="86"/>
      <c r="K447" s="86"/>
      <c r="L447" s="87"/>
      <c r="M447" s="40"/>
    </row>
    <row r="448" spans="3:13">
      <c r="C448" s="40"/>
      <c r="D448" s="85"/>
      <c r="J448" s="86"/>
      <c r="K448" s="86"/>
      <c r="L448" s="87"/>
      <c r="M448" s="40"/>
    </row>
    <row r="449" spans="3:13">
      <c r="C449" s="40"/>
      <c r="D449" s="85"/>
      <c r="J449" s="86"/>
      <c r="K449" s="86"/>
      <c r="L449" s="87"/>
      <c r="M449" s="40"/>
    </row>
    <row r="450" spans="3:13">
      <c r="C450" s="40"/>
      <c r="D450" s="85"/>
      <c r="J450" s="86"/>
      <c r="K450" s="86"/>
      <c r="L450" s="87"/>
      <c r="M450" s="40"/>
    </row>
    <row r="451" spans="3:13">
      <c r="C451" s="40"/>
      <c r="D451" s="85"/>
      <c r="J451" s="86"/>
      <c r="K451" s="86"/>
      <c r="L451" s="87"/>
      <c r="M451" s="40"/>
    </row>
    <row r="452" spans="3:13">
      <c r="C452" s="40"/>
      <c r="D452" s="85"/>
      <c r="J452" s="86"/>
      <c r="K452" s="86"/>
      <c r="L452" s="87"/>
      <c r="M452" s="40"/>
    </row>
    <row r="453" spans="3:13">
      <c r="C453" s="40"/>
      <c r="D453" s="85"/>
      <c r="J453" s="86"/>
      <c r="K453" s="86"/>
      <c r="L453" s="87"/>
      <c r="M453" s="40"/>
    </row>
    <row r="454" spans="3:13">
      <c r="C454" s="40"/>
      <c r="D454" s="85"/>
      <c r="J454" s="86"/>
      <c r="K454" s="86"/>
      <c r="L454" s="87"/>
      <c r="M454" s="40"/>
    </row>
    <row r="455" spans="3:13">
      <c r="C455" s="40"/>
      <c r="D455" s="85"/>
      <c r="J455" s="86"/>
      <c r="K455" s="86"/>
      <c r="L455" s="87"/>
      <c r="M455" s="40"/>
    </row>
    <row r="456" spans="3:13">
      <c r="C456" s="40"/>
      <c r="D456" s="85"/>
      <c r="J456" s="86"/>
      <c r="K456" s="86"/>
      <c r="L456" s="87"/>
      <c r="M456" s="40"/>
    </row>
    <row r="457" spans="3:13">
      <c r="C457" s="40"/>
      <c r="D457" s="85"/>
      <c r="J457" s="86"/>
      <c r="K457" s="86"/>
      <c r="L457" s="87"/>
      <c r="M457" s="40"/>
    </row>
    <row r="458" spans="3:13">
      <c r="C458" s="40"/>
      <c r="D458" s="85"/>
      <c r="J458" s="86"/>
      <c r="K458" s="86"/>
      <c r="L458" s="87"/>
      <c r="M458" s="40"/>
    </row>
    <row r="459" spans="3:13">
      <c r="C459" s="40"/>
      <c r="D459" s="85"/>
      <c r="J459" s="86"/>
      <c r="K459" s="86"/>
      <c r="L459" s="87"/>
      <c r="M459" s="40"/>
    </row>
    <row r="460" spans="3:13">
      <c r="C460" s="40"/>
      <c r="D460" s="85"/>
      <c r="J460" s="86"/>
      <c r="K460" s="86"/>
      <c r="L460" s="87"/>
      <c r="M460" s="40"/>
    </row>
    <row r="461" spans="3:13">
      <c r="C461" s="40"/>
      <c r="D461" s="85"/>
      <c r="J461" s="86"/>
      <c r="K461" s="86"/>
      <c r="L461" s="87"/>
      <c r="M461" s="40"/>
    </row>
    <row r="462" spans="3:13">
      <c r="C462" s="40"/>
      <c r="D462" s="85"/>
      <c r="J462" s="86"/>
      <c r="K462" s="86"/>
      <c r="L462" s="87"/>
      <c r="M462" s="40"/>
    </row>
    <row r="463" spans="3:13">
      <c r="C463" s="40"/>
      <c r="D463" s="85"/>
      <c r="J463" s="86"/>
      <c r="K463" s="86"/>
      <c r="L463" s="87"/>
      <c r="M463" s="40"/>
    </row>
    <row r="464" spans="3:13">
      <c r="C464" s="40"/>
      <c r="D464" s="85"/>
      <c r="J464" s="86"/>
      <c r="K464" s="86"/>
      <c r="L464" s="87"/>
      <c r="M464" s="40"/>
    </row>
    <row r="465" spans="3:13">
      <c r="C465" s="40"/>
      <c r="D465" s="85"/>
      <c r="J465" s="86"/>
      <c r="K465" s="86"/>
      <c r="L465" s="87"/>
      <c r="M465" s="40"/>
    </row>
    <row r="466" spans="3:13">
      <c r="C466" s="40"/>
      <c r="D466" s="85"/>
      <c r="J466" s="86"/>
      <c r="K466" s="86"/>
      <c r="L466" s="87"/>
      <c r="M466" s="40"/>
    </row>
    <row r="467" spans="3:13">
      <c r="C467" s="40"/>
      <c r="D467" s="85"/>
      <c r="J467" s="86"/>
      <c r="K467" s="86"/>
      <c r="L467" s="87"/>
      <c r="M467" s="40"/>
    </row>
    <row r="468" spans="3:13">
      <c r="C468" s="40"/>
      <c r="D468" s="85"/>
      <c r="J468" s="86"/>
      <c r="K468" s="86"/>
      <c r="L468" s="87"/>
      <c r="M468" s="40"/>
    </row>
    <row r="469" spans="3:13">
      <c r="C469" s="40"/>
      <c r="D469" s="85"/>
      <c r="J469" s="86"/>
      <c r="K469" s="86"/>
      <c r="L469" s="87"/>
      <c r="M469" s="40"/>
    </row>
    <row r="470" spans="3:13">
      <c r="C470" s="40"/>
      <c r="D470" s="85"/>
      <c r="J470" s="86"/>
      <c r="K470" s="86"/>
      <c r="L470" s="87"/>
      <c r="M470" s="40"/>
    </row>
    <row r="471" spans="3:13">
      <c r="C471" s="40"/>
      <c r="D471" s="85"/>
      <c r="J471" s="86"/>
      <c r="K471" s="86"/>
      <c r="L471" s="87"/>
      <c r="M471" s="40"/>
    </row>
    <row r="472" spans="3:13">
      <c r="C472" s="40"/>
      <c r="D472" s="85"/>
      <c r="J472" s="86"/>
      <c r="K472" s="86"/>
      <c r="L472" s="87"/>
      <c r="M472" s="40"/>
    </row>
    <row r="473" spans="3:13">
      <c r="C473" s="40"/>
      <c r="D473" s="85"/>
      <c r="J473" s="86"/>
      <c r="K473" s="86"/>
      <c r="L473" s="87"/>
      <c r="M473" s="40"/>
    </row>
    <row r="474" spans="3:13">
      <c r="C474" s="40"/>
      <c r="D474" s="85"/>
      <c r="J474" s="86"/>
      <c r="K474" s="86"/>
      <c r="L474" s="87"/>
      <c r="M474" s="40"/>
    </row>
    <row r="475" spans="3:13">
      <c r="C475" s="40"/>
      <c r="D475" s="85"/>
      <c r="J475" s="86"/>
      <c r="K475" s="86"/>
      <c r="L475" s="87"/>
      <c r="M475" s="40"/>
    </row>
    <row r="476" spans="3:13">
      <c r="C476" s="40"/>
      <c r="D476" s="85"/>
      <c r="J476" s="86"/>
      <c r="K476" s="86"/>
      <c r="L476" s="87"/>
      <c r="M476" s="40"/>
    </row>
    <row r="477" spans="3:13">
      <c r="C477" s="40"/>
      <c r="D477" s="85"/>
      <c r="J477" s="86"/>
      <c r="K477" s="86"/>
      <c r="L477" s="87"/>
      <c r="M477" s="40"/>
    </row>
    <row r="478" spans="3:13">
      <c r="C478" s="40"/>
      <c r="D478" s="85"/>
      <c r="J478" s="86"/>
      <c r="K478" s="86"/>
      <c r="L478" s="87"/>
      <c r="M478" s="40"/>
    </row>
    <row r="479" spans="3:13">
      <c r="C479" s="40"/>
      <c r="D479" s="85"/>
      <c r="J479" s="86"/>
      <c r="K479" s="86"/>
      <c r="L479" s="87"/>
      <c r="M479" s="40"/>
    </row>
    <row r="480" spans="3:13">
      <c r="C480" s="40"/>
      <c r="D480" s="85"/>
      <c r="J480" s="86"/>
      <c r="K480" s="86"/>
      <c r="L480" s="87"/>
      <c r="M480" s="40"/>
    </row>
    <row r="481" spans="3:13">
      <c r="C481" s="40"/>
      <c r="D481" s="85"/>
      <c r="J481" s="86"/>
      <c r="K481" s="86"/>
      <c r="L481" s="87"/>
      <c r="M481" s="40"/>
    </row>
    <row r="482" spans="3:13">
      <c r="C482" s="40"/>
      <c r="D482" s="85"/>
      <c r="J482" s="86"/>
      <c r="K482" s="86"/>
      <c r="L482" s="87"/>
      <c r="M482" s="40"/>
    </row>
    <row r="483" spans="3:13">
      <c r="C483" s="40"/>
      <c r="D483" s="85"/>
      <c r="J483" s="86"/>
      <c r="K483" s="86"/>
      <c r="L483" s="87"/>
      <c r="M483" s="40"/>
    </row>
    <row r="484" spans="3:13">
      <c r="C484" s="40"/>
      <c r="D484" s="85"/>
      <c r="J484" s="86"/>
      <c r="K484" s="86"/>
      <c r="L484" s="87"/>
      <c r="M484" s="40"/>
    </row>
    <row r="485" spans="3:13">
      <c r="C485" s="40"/>
      <c r="D485" s="85"/>
      <c r="J485" s="86"/>
      <c r="K485" s="86"/>
      <c r="L485" s="87"/>
      <c r="M485" s="40"/>
    </row>
    <row r="486" spans="3:13">
      <c r="C486" s="40"/>
      <c r="D486" s="85"/>
      <c r="J486" s="86"/>
      <c r="K486" s="86"/>
      <c r="L486" s="87"/>
      <c r="M486" s="40"/>
    </row>
    <row r="487" spans="3:13">
      <c r="C487" s="40"/>
      <c r="D487" s="85"/>
      <c r="J487" s="86"/>
      <c r="K487" s="86"/>
      <c r="L487" s="87"/>
      <c r="M487" s="40"/>
    </row>
    <row r="488" spans="3:13">
      <c r="C488" s="40"/>
      <c r="D488" s="85"/>
      <c r="J488" s="86"/>
      <c r="K488" s="86"/>
      <c r="L488" s="87"/>
      <c r="M488" s="40"/>
    </row>
    <row r="489" spans="3:13">
      <c r="C489" s="40"/>
      <c r="D489" s="85"/>
      <c r="J489" s="86"/>
      <c r="K489" s="86"/>
      <c r="L489" s="87"/>
      <c r="M489" s="40"/>
    </row>
    <row r="490" spans="3:13">
      <c r="C490" s="40"/>
      <c r="D490" s="85"/>
      <c r="J490" s="86"/>
      <c r="K490" s="86"/>
      <c r="L490" s="87"/>
      <c r="M490" s="40"/>
    </row>
    <row r="491" spans="3:13">
      <c r="C491" s="40"/>
      <c r="D491" s="85"/>
      <c r="J491" s="86"/>
      <c r="K491" s="86"/>
      <c r="L491" s="87"/>
      <c r="M491" s="40"/>
    </row>
    <row r="492" spans="3:13">
      <c r="C492" s="40"/>
      <c r="D492" s="85"/>
      <c r="J492" s="86"/>
      <c r="K492" s="86"/>
      <c r="L492" s="87"/>
      <c r="M492" s="40"/>
    </row>
    <row r="493" spans="3:13">
      <c r="C493" s="40"/>
      <c r="D493" s="85"/>
      <c r="J493" s="86"/>
      <c r="K493" s="86"/>
      <c r="L493" s="87"/>
      <c r="M493" s="40"/>
    </row>
    <row r="494" spans="3:13">
      <c r="C494" s="40"/>
      <c r="D494" s="85"/>
      <c r="J494" s="86"/>
      <c r="K494" s="86"/>
      <c r="L494" s="87"/>
      <c r="M494" s="40"/>
    </row>
    <row r="495" spans="3:13">
      <c r="C495" s="40"/>
      <c r="D495" s="85"/>
      <c r="J495" s="86"/>
      <c r="K495" s="86"/>
      <c r="L495" s="87"/>
      <c r="M495" s="40"/>
    </row>
    <row r="496" spans="3:13">
      <c r="C496" s="40"/>
      <c r="D496" s="85"/>
      <c r="J496" s="86"/>
      <c r="K496" s="86"/>
      <c r="L496" s="87"/>
      <c r="M496" s="40"/>
    </row>
    <row r="497" spans="3:13">
      <c r="C497" s="40"/>
      <c r="D497" s="85"/>
      <c r="J497" s="86"/>
      <c r="K497" s="86"/>
      <c r="L497" s="87"/>
      <c r="M497" s="40"/>
    </row>
    <row r="498" spans="3:13">
      <c r="C498" s="40"/>
      <c r="D498" s="85"/>
      <c r="J498" s="86"/>
      <c r="K498" s="86"/>
      <c r="L498" s="87"/>
      <c r="M498" s="40"/>
    </row>
    <row r="499" spans="3:13">
      <c r="C499" s="40"/>
      <c r="D499" s="85"/>
      <c r="J499" s="86"/>
      <c r="K499" s="86"/>
      <c r="L499" s="87"/>
      <c r="M499" s="40"/>
    </row>
    <row r="500" spans="3:13">
      <c r="C500" s="40"/>
      <c r="D500" s="85"/>
      <c r="J500" s="86"/>
      <c r="K500" s="86"/>
      <c r="L500" s="87"/>
      <c r="M500" s="40"/>
    </row>
    <row r="501" spans="3:13">
      <c r="C501" s="40"/>
      <c r="D501" s="85"/>
      <c r="J501" s="86"/>
      <c r="K501" s="86"/>
      <c r="L501" s="87"/>
      <c r="M501" s="40"/>
    </row>
    <row r="502" spans="3:13">
      <c r="C502" s="40"/>
      <c r="D502" s="85"/>
      <c r="J502" s="86"/>
      <c r="K502" s="86"/>
      <c r="L502" s="87"/>
      <c r="M502" s="40"/>
    </row>
    <row r="503" spans="3:13">
      <c r="C503" s="40"/>
      <c r="D503" s="85"/>
      <c r="J503" s="86"/>
      <c r="K503" s="86"/>
      <c r="L503" s="87"/>
      <c r="M503" s="40"/>
    </row>
    <row r="504" spans="3:13">
      <c r="C504" s="40"/>
      <c r="D504" s="85"/>
      <c r="J504" s="86"/>
      <c r="K504" s="86"/>
      <c r="L504" s="87"/>
      <c r="M504" s="40"/>
    </row>
    <row r="505" spans="3:13">
      <c r="C505" s="40"/>
      <c r="D505" s="85"/>
      <c r="J505" s="86"/>
      <c r="K505" s="86"/>
      <c r="L505" s="87"/>
      <c r="M505" s="40"/>
    </row>
    <row r="506" spans="3:13">
      <c r="C506" s="40"/>
      <c r="D506" s="85"/>
      <c r="J506" s="86"/>
      <c r="K506" s="86"/>
      <c r="L506" s="87"/>
      <c r="M506" s="40"/>
    </row>
    <row r="507" spans="3:13">
      <c r="C507" s="40"/>
      <c r="D507" s="85"/>
      <c r="J507" s="86"/>
      <c r="K507" s="86"/>
      <c r="L507" s="87"/>
      <c r="M507" s="40"/>
    </row>
    <row r="508" spans="3:13">
      <c r="C508" s="40"/>
      <c r="D508" s="85"/>
      <c r="J508" s="86"/>
      <c r="K508" s="86"/>
      <c r="L508" s="87"/>
      <c r="M508" s="40"/>
    </row>
    <row r="509" spans="3:13">
      <c r="C509" s="40"/>
      <c r="D509" s="85"/>
      <c r="J509" s="86"/>
      <c r="K509" s="86"/>
      <c r="L509" s="87"/>
      <c r="M509" s="40"/>
    </row>
    <row r="510" spans="3:13">
      <c r="C510" s="40"/>
      <c r="D510" s="85"/>
      <c r="J510" s="86"/>
      <c r="K510" s="86"/>
      <c r="L510" s="87"/>
      <c r="M510" s="40"/>
    </row>
    <row r="511" spans="3:13">
      <c r="C511" s="40"/>
      <c r="D511" s="85"/>
      <c r="J511" s="86"/>
      <c r="K511" s="86"/>
      <c r="L511" s="87"/>
      <c r="M511" s="40"/>
    </row>
    <row r="512" spans="3:13">
      <c r="C512" s="40"/>
      <c r="D512" s="85"/>
      <c r="J512" s="86"/>
      <c r="K512" s="86"/>
      <c r="L512" s="87"/>
      <c r="M512" s="40"/>
    </row>
    <row r="513" spans="3:13">
      <c r="C513" s="40"/>
      <c r="D513" s="85"/>
      <c r="J513" s="86"/>
      <c r="K513" s="86"/>
      <c r="L513" s="87"/>
      <c r="M513" s="40"/>
    </row>
    <row r="514" spans="3:13">
      <c r="C514" s="40"/>
      <c r="D514" s="85"/>
      <c r="J514" s="86"/>
      <c r="K514" s="86"/>
      <c r="L514" s="87"/>
      <c r="M514" s="40"/>
    </row>
    <row r="515" spans="3:13">
      <c r="C515" s="40"/>
      <c r="D515" s="85"/>
      <c r="J515" s="86"/>
      <c r="K515" s="86"/>
      <c r="L515" s="87"/>
      <c r="M515" s="40"/>
    </row>
    <row r="516" spans="3:13">
      <c r="C516" s="40"/>
      <c r="D516" s="85"/>
      <c r="J516" s="86"/>
      <c r="K516" s="86"/>
      <c r="L516" s="87"/>
      <c r="M516" s="40"/>
    </row>
    <row r="517" spans="3:13">
      <c r="C517" s="40"/>
      <c r="D517" s="85"/>
      <c r="J517" s="86"/>
      <c r="K517" s="86"/>
      <c r="L517" s="87"/>
      <c r="M517" s="40"/>
    </row>
    <row r="518" spans="3:13">
      <c r="C518" s="40"/>
      <c r="D518" s="85"/>
      <c r="J518" s="86"/>
      <c r="K518" s="86"/>
      <c r="L518" s="87"/>
      <c r="M518" s="40"/>
    </row>
    <row r="519" spans="3:13">
      <c r="C519" s="40"/>
      <c r="D519" s="85"/>
      <c r="J519" s="86"/>
      <c r="K519" s="86"/>
      <c r="L519" s="87"/>
      <c r="M519" s="40"/>
    </row>
    <row r="520" spans="3:13">
      <c r="C520" s="40"/>
      <c r="D520" s="85"/>
      <c r="J520" s="86"/>
      <c r="K520" s="86"/>
      <c r="L520" s="87"/>
      <c r="M520" s="40"/>
    </row>
    <row r="521" spans="3:13">
      <c r="C521" s="40"/>
      <c r="D521" s="85"/>
      <c r="J521" s="86"/>
      <c r="K521" s="86"/>
      <c r="L521" s="87"/>
      <c r="M521" s="40"/>
    </row>
    <row r="522" spans="3:13">
      <c r="C522" s="40"/>
      <c r="D522" s="85"/>
      <c r="J522" s="86"/>
      <c r="K522" s="86"/>
      <c r="L522" s="87"/>
      <c r="M522" s="40"/>
    </row>
    <row r="523" spans="3:13">
      <c r="C523" s="40"/>
      <c r="D523" s="85"/>
      <c r="J523" s="86"/>
      <c r="K523" s="86"/>
      <c r="L523" s="87"/>
      <c r="M523" s="40"/>
    </row>
    <row r="524" spans="3:13">
      <c r="C524" s="40"/>
      <c r="D524" s="85"/>
      <c r="J524" s="86"/>
      <c r="K524" s="86"/>
      <c r="L524" s="87"/>
      <c r="M524" s="40"/>
    </row>
    <row r="525" spans="3:13">
      <c r="C525" s="40"/>
      <c r="D525" s="85"/>
      <c r="J525" s="86"/>
      <c r="K525" s="86"/>
      <c r="L525" s="87"/>
      <c r="M525" s="40"/>
    </row>
    <row r="526" spans="3:13">
      <c r="C526" s="40"/>
      <c r="D526" s="85"/>
      <c r="J526" s="86"/>
      <c r="K526" s="86"/>
      <c r="L526" s="87"/>
      <c r="M526" s="40"/>
    </row>
    <row r="527" spans="3:13">
      <c r="C527" s="40"/>
      <c r="D527" s="85"/>
      <c r="J527" s="86"/>
      <c r="K527" s="86"/>
      <c r="L527" s="87"/>
      <c r="M527" s="40"/>
    </row>
    <row r="528" spans="3:13">
      <c r="C528" s="40"/>
      <c r="D528" s="85"/>
      <c r="J528" s="86"/>
      <c r="K528" s="86"/>
      <c r="L528" s="87"/>
      <c r="M528" s="40"/>
    </row>
    <row r="529" spans="3:13">
      <c r="C529" s="40"/>
      <c r="D529" s="85"/>
      <c r="J529" s="86"/>
      <c r="K529" s="86"/>
      <c r="L529" s="87"/>
      <c r="M529" s="40"/>
    </row>
    <row r="530" spans="3:13">
      <c r="C530" s="40"/>
      <c r="D530" s="85"/>
      <c r="J530" s="86"/>
      <c r="K530" s="86"/>
      <c r="L530" s="87"/>
      <c r="M530" s="40"/>
    </row>
    <row r="531" spans="3:13">
      <c r="C531" s="40"/>
      <c r="D531" s="85"/>
      <c r="J531" s="86"/>
      <c r="K531" s="86"/>
      <c r="L531" s="87"/>
      <c r="M531" s="40"/>
    </row>
    <row r="532" spans="3:13">
      <c r="C532" s="40"/>
      <c r="D532" s="85"/>
      <c r="J532" s="86"/>
      <c r="K532" s="86"/>
      <c r="L532" s="87"/>
      <c r="M532" s="40"/>
    </row>
    <row r="533" spans="3:13">
      <c r="C533" s="40"/>
      <c r="D533" s="85"/>
      <c r="J533" s="86"/>
      <c r="K533" s="86"/>
      <c r="L533" s="87"/>
      <c r="M533" s="40"/>
    </row>
    <row r="534" spans="3:13">
      <c r="C534" s="40"/>
      <c r="D534" s="85"/>
      <c r="J534" s="86"/>
      <c r="K534" s="86"/>
      <c r="L534" s="87"/>
      <c r="M534" s="40"/>
    </row>
    <row r="535" spans="3:13">
      <c r="C535" s="40"/>
      <c r="D535" s="85"/>
      <c r="J535" s="86"/>
      <c r="K535" s="86"/>
      <c r="L535" s="87"/>
      <c r="M535" s="40"/>
    </row>
    <row r="536" spans="3:13">
      <c r="C536" s="40"/>
      <c r="D536" s="85"/>
      <c r="J536" s="86"/>
      <c r="K536" s="86"/>
      <c r="L536" s="87"/>
      <c r="M536" s="40"/>
    </row>
    <row r="537" spans="3:13">
      <c r="C537" s="40"/>
      <c r="D537" s="85"/>
      <c r="J537" s="86"/>
      <c r="K537" s="86"/>
      <c r="L537" s="87"/>
      <c r="M537" s="40"/>
    </row>
    <row r="538" spans="3:13">
      <c r="C538" s="40"/>
      <c r="D538" s="85"/>
      <c r="J538" s="86"/>
      <c r="K538" s="86"/>
      <c r="L538" s="87"/>
      <c r="M538" s="40"/>
    </row>
    <row r="539" spans="3:13">
      <c r="C539" s="40"/>
      <c r="D539" s="85"/>
      <c r="J539" s="86"/>
      <c r="K539" s="86"/>
      <c r="L539" s="87"/>
      <c r="M539" s="40"/>
    </row>
    <row r="540" spans="3:13">
      <c r="C540" s="40"/>
      <c r="D540" s="85"/>
      <c r="J540" s="86"/>
      <c r="K540" s="86"/>
      <c r="L540" s="87"/>
      <c r="M540" s="40"/>
    </row>
    <row r="541" spans="3:13">
      <c r="C541" s="40"/>
      <c r="D541" s="85"/>
      <c r="J541" s="86"/>
      <c r="K541" s="86"/>
      <c r="L541" s="87"/>
      <c r="M541" s="40"/>
    </row>
    <row r="542" spans="3:13">
      <c r="C542" s="40"/>
      <c r="D542" s="85"/>
      <c r="J542" s="86"/>
      <c r="K542" s="86"/>
      <c r="L542" s="87"/>
      <c r="M542" s="40"/>
    </row>
    <row r="543" spans="3:13">
      <c r="C543" s="40"/>
      <c r="D543" s="85"/>
      <c r="J543" s="86"/>
      <c r="K543" s="86"/>
      <c r="L543" s="87"/>
      <c r="M543" s="40"/>
    </row>
    <row r="544" spans="3:13">
      <c r="C544" s="40"/>
      <c r="D544" s="85"/>
      <c r="J544" s="86"/>
      <c r="K544" s="86"/>
      <c r="L544" s="87"/>
      <c r="M544" s="40"/>
    </row>
    <row r="545" spans="3:13">
      <c r="C545" s="40"/>
      <c r="D545" s="85"/>
      <c r="J545" s="86"/>
      <c r="K545" s="86"/>
      <c r="L545" s="87"/>
      <c r="M545" s="40"/>
    </row>
    <row r="546" spans="3:13">
      <c r="C546" s="40"/>
      <c r="D546" s="85"/>
      <c r="J546" s="86"/>
      <c r="K546" s="86"/>
      <c r="L546" s="87"/>
      <c r="M546" s="40"/>
    </row>
    <row r="547" spans="3:13">
      <c r="C547" s="40"/>
      <c r="D547" s="85"/>
      <c r="J547" s="86"/>
      <c r="K547" s="86"/>
      <c r="L547" s="87"/>
      <c r="M547" s="40"/>
    </row>
    <row r="548" spans="3:13">
      <c r="C548" s="40"/>
      <c r="D548" s="85"/>
      <c r="J548" s="86"/>
      <c r="K548" s="86"/>
      <c r="L548" s="87"/>
      <c r="M548" s="40"/>
    </row>
    <row r="549" spans="3:13">
      <c r="C549" s="40"/>
      <c r="D549" s="85"/>
      <c r="J549" s="86"/>
      <c r="K549" s="86"/>
      <c r="L549" s="87"/>
      <c r="M549" s="40"/>
    </row>
    <row r="550" spans="3:13">
      <c r="C550" s="40"/>
      <c r="D550" s="85"/>
      <c r="J550" s="86"/>
      <c r="K550" s="86"/>
      <c r="L550" s="87"/>
      <c r="M550" s="40"/>
    </row>
    <row r="551" spans="3:13">
      <c r="C551" s="40"/>
      <c r="D551" s="85"/>
      <c r="J551" s="86"/>
      <c r="K551" s="86"/>
      <c r="L551" s="87"/>
      <c r="M551" s="40"/>
    </row>
    <row r="552" spans="3:13">
      <c r="C552" s="40"/>
      <c r="D552" s="85"/>
      <c r="J552" s="86"/>
      <c r="K552" s="86"/>
      <c r="L552" s="87"/>
      <c r="M552" s="40"/>
    </row>
    <row r="553" spans="3:13">
      <c r="C553" s="40"/>
      <c r="D553" s="85"/>
      <c r="J553" s="86"/>
      <c r="K553" s="86"/>
      <c r="L553" s="87"/>
      <c r="M553" s="40"/>
    </row>
    <row r="554" spans="3:13">
      <c r="C554" s="40"/>
      <c r="D554" s="85"/>
      <c r="J554" s="86"/>
      <c r="K554" s="86"/>
      <c r="L554" s="87"/>
      <c r="M554" s="40"/>
    </row>
    <row r="555" spans="3:13">
      <c r="C555" s="40"/>
      <c r="D555" s="85"/>
      <c r="J555" s="86"/>
      <c r="K555" s="86"/>
      <c r="L555" s="87"/>
      <c r="M555" s="40"/>
    </row>
    <row r="556" spans="3:13">
      <c r="C556" s="40"/>
      <c r="D556" s="85"/>
      <c r="J556" s="86"/>
      <c r="K556" s="86"/>
      <c r="L556" s="87"/>
      <c r="M556" s="40"/>
    </row>
    <row r="557" spans="3:13">
      <c r="C557" s="40"/>
      <c r="D557" s="85"/>
      <c r="J557" s="86"/>
      <c r="K557" s="86"/>
      <c r="L557" s="87"/>
      <c r="M557" s="40"/>
    </row>
    <row r="558" spans="3:13">
      <c r="C558" s="40"/>
      <c r="D558" s="85"/>
      <c r="J558" s="86"/>
      <c r="K558" s="86"/>
      <c r="L558" s="87"/>
      <c r="M558" s="40"/>
    </row>
    <row r="559" spans="3:13">
      <c r="C559" s="40"/>
      <c r="D559" s="85"/>
      <c r="J559" s="86"/>
      <c r="K559" s="86"/>
      <c r="L559" s="87"/>
      <c r="M559" s="40"/>
    </row>
    <row r="560" spans="3:13">
      <c r="C560" s="40"/>
      <c r="D560" s="85"/>
      <c r="J560" s="86"/>
      <c r="K560" s="86"/>
      <c r="L560" s="87"/>
      <c r="M560" s="40"/>
    </row>
    <row r="561" spans="3:13">
      <c r="C561" s="40"/>
      <c r="D561" s="85"/>
      <c r="J561" s="86"/>
      <c r="K561" s="86"/>
      <c r="L561" s="87"/>
      <c r="M561" s="40"/>
    </row>
    <row r="562" spans="3:13">
      <c r="C562" s="40"/>
      <c r="D562" s="85"/>
      <c r="J562" s="86"/>
      <c r="K562" s="86"/>
      <c r="L562" s="87"/>
      <c r="M562" s="40"/>
    </row>
    <row r="563" spans="3:13">
      <c r="C563" s="40"/>
      <c r="D563" s="85"/>
      <c r="J563" s="86"/>
      <c r="K563" s="86"/>
      <c r="L563" s="87"/>
      <c r="M563" s="40"/>
    </row>
    <row r="564" spans="3:13">
      <c r="C564" s="40"/>
      <c r="D564" s="85"/>
      <c r="J564" s="86"/>
      <c r="K564" s="86"/>
      <c r="L564" s="87"/>
      <c r="M564" s="40"/>
    </row>
    <row r="565" spans="3:13">
      <c r="C565" s="40"/>
      <c r="D565" s="85"/>
      <c r="J565" s="86"/>
      <c r="K565" s="86"/>
      <c r="L565" s="87"/>
      <c r="M565" s="40"/>
    </row>
    <row r="566" spans="3:13">
      <c r="C566" s="40"/>
      <c r="D566" s="85"/>
      <c r="J566" s="86"/>
      <c r="K566" s="86"/>
      <c r="L566" s="87"/>
      <c r="M566" s="40"/>
    </row>
    <row r="567" spans="3:13">
      <c r="C567" s="40"/>
      <c r="D567" s="85"/>
      <c r="J567" s="86"/>
      <c r="K567" s="86"/>
      <c r="L567" s="87"/>
      <c r="M567" s="40"/>
    </row>
    <row r="568" spans="3:13">
      <c r="C568" s="40"/>
      <c r="D568" s="85"/>
      <c r="J568" s="86"/>
      <c r="K568" s="86"/>
      <c r="L568" s="87"/>
      <c r="M568" s="40"/>
    </row>
    <row r="569" spans="3:13">
      <c r="C569" s="40"/>
      <c r="D569" s="85"/>
      <c r="J569" s="86"/>
      <c r="K569" s="86"/>
      <c r="L569" s="87"/>
      <c r="M569" s="40"/>
    </row>
    <row r="570" spans="3:13">
      <c r="C570" s="40"/>
      <c r="D570" s="85"/>
      <c r="J570" s="86"/>
      <c r="K570" s="86"/>
      <c r="L570" s="87"/>
      <c r="M570" s="40"/>
    </row>
    <row r="571" spans="3:13">
      <c r="C571" s="40"/>
      <c r="D571" s="85"/>
      <c r="J571" s="86"/>
      <c r="K571" s="86"/>
      <c r="L571" s="87"/>
      <c r="M571" s="40"/>
    </row>
    <row r="572" spans="3:13">
      <c r="C572" s="40"/>
      <c r="D572" s="85"/>
      <c r="J572" s="86"/>
      <c r="K572" s="86"/>
      <c r="L572" s="87"/>
      <c r="M572" s="40"/>
    </row>
    <row r="573" spans="3:13">
      <c r="C573" s="40"/>
      <c r="D573" s="85"/>
      <c r="J573" s="86"/>
      <c r="K573" s="86"/>
      <c r="L573" s="87"/>
      <c r="M573" s="40"/>
    </row>
    <row r="574" spans="3:13">
      <c r="C574" s="40"/>
      <c r="D574" s="85"/>
      <c r="J574" s="86"/>
      <c r="K574" s="86"/>
      <c r="L574" s="87"/>
      <c r="M574" s="40"/>
    </row>
    <row r="575" spans="3:13">
      <c r="C575" s="40"/>
      <c r="D575" s="85"/>
      <c r="J575" s="86"/>
      <c r="K575" s="86"/>
      <c r="L575" s="87"/>
      <c r="M575" s="40"/>
    </row>
    <row r="576" spans="3:13">
      <c r="C576" s="40"/>
      <c r="D576" s="85"/>
      <c r="J576" s="86"/>
      <c r="K576" s="86"/>
      <c r="L576" s="87"/>
      <c r="M576" s="40"/>
    </row>
    <row r="577" spans="3:13">
      <c r="C577" s="40"/>
      <c r="D577" s="85"/>
      <c r="J577" s="86"/>
      <c r="K577" s="86"/>
      <c r="L577" s="87"/>
      <c r="M577" s="40"/>
    </row>
    <row r="578" spans="3:13">
      <c r="C578" s="40"/>
      <c r="D578" s="85"/>
      <c r="J578" s="86"/>
      <c r="K578" s="86"/>
      <c r="L578" s="87"/>
      <c r="M578" s="40"/>
    </row>
    <row r="579" spans="3:13">
      <c r="C579" s="40"/>
      <c r="D579" s="85"/>
      <c r="J579" s="86"/>
      <c r="K579" s="86"/>
      <c r="L579" s="87"/>
      <c r="M579" s="40"/>
    </row>
    <row r="580" spans="3:13">
      <c r="C580" s="40"/>
      <c r="D580" s="85"/>
      <c r="J580" s="86"/>
      <c r="K580" s="86"/>
      <c r="L580" s="87"/>
      <c r="M580" s="40"/>
    </row>
    <row r="581" spans="3:13">
      <c r="C581" s="40"/>
      <c r="D581" s="85"/>
      <c r="J581" s="86"/>
      <c r="K581" s="86"/>
      <c r="L581" s="87"/>
      <c r="M581" s="40"/>
    </row>
    <row r="582" spans="3:13">
      <c r="C582" s="40"/>
      <c r="D582" s="85"/>
      <c r="J582" s="86"/>
      <c r="K582" s="86"/>
      <c r="L582" s="87"/>
      <c r="M582" s="40"/>
    </row>
    <row r="583" spans="3:13">
      <c r="C583" s="40"/>
      <c r="D583" s="85"/>
      <c r="J583" s="86"/>
      <c r="K583" s="86"/>
      <c r="L583" s="87"/>
      <c r="M583" s="40"/>
    </row>
    <row r="584" spans="3:13">
      <c r="C584" s="40"/>
      <c r="D584" s="85"/>
      <c r="J584" s="86"/>
      <c r="K584" s="86"/>
      <c r="L584" s="87"/>
      <c r="M584" s="40"/>
    </row>
    <row r="585" spans="3:13">
      <c r="C585" s="40"/>
      <c r="D585" s="85"/>
      <c r="J585" s="86"/>
      <c r="K585" s="86"/>
      <c r="L585" s="87"/>
      <c r="M585" s="40"/>
    </row>
    <row r="586" spans="3:13">
      <c r="C586" s="40"/>
      <c r="D586" s="85"/>
      <c r="J586" s="86"/>
      <c r="K586" s="86"/>
      <c r="L586" s="87"/>
      <c r="M586" s="40"/>
    </row>
    <row r="587" spans="3:13">
      <c r="C587" s="40"/>
      <c r="D587" s="85"/>
      <c r="J587" s="86"/>
      <c r="K587" s="86"/>
      <c r="L587" s="87"/>
      <c r="M587" s="40"/>
    </row>
    <row r="588" spans="3:13">
      <c r="C588" s="40"/>
      <c r="D588" s="85"/>
      <c r="J588" s="86"/>
      <c r="K588" s="86"/>
      <c r="L588" s="87"/>
      <c r="M588" s="40"/>
    </row>
    <row r="589" spans="3:13">
      <c r="C589" s="40"/>
      <c r="D589" s="85"/>
      <c r="J589" s="86"/>
      <c r="K589" s="86"/>
      <c r="L589" s="87"/>
      <c r="M589" s="40"/>
    </row>
    <row r="590" spans="3:13">
      <c r="C590" s="40"/>
      <c r="D590" s="85"/>
      <c r="J590" s="86"/>
      <c r="K590" s="86"/>
      <c r="L590" s="87"/>
      <c r="M590" s="40"/>
    </row>
    <row r="591" spans="3:13">
      <c r="C591" s="40"/>
      <c r="D591" s="85"/>
      <c r="J591" s="86"/>
      <c r="K591" s="86"/>
      <c r="L591" s="87"/>
      <c r="M591" s="40"/>
    </row>
    <row r="592" spans="3:13">
      <c r="C592" s="40"/>
      <c r="D592" s="85"/>
      <c r="J592" s="86"/>
      <c r="K592" s="86"/>
      <c r="L592" s="87"/>
      <c r="M592" s="40"/>
    </row>
    <row r="593" spans="3:13">
      <c r="C593" s="40"/>
      <c r="D593" s="85"/>
      <c r="J593" s="86"/>
      <c r="K593" s="86"/>
      <c r="L593" s="87"/>
      <c r="M593" s="40"/>
    </row>
    <row r="594" spans="3:13">
      <c r="C594" s="40"/>
      <c r="D594" s="85"/>
      <c r="J594" s="86"/>
      <c r="K594" s="86"/>
      <c r="L594" s="87"/>
      <c r="M594" s="40"/>
    </row>
    <row r="595" spans="3:13">
      <c r="C595" s="40"/>
      <c r="D595" s="85"/>
      <c r="J595" s="86"/>
      <c r="K595" s="86"/>
      <c r="L595" s="87"/>
      <c r="M595" s="40"/>
    </row>
    <row r="596" spans="3:13">
      <c r="C596" s="40"/>
      <c r="D596" s="85"/>
      <c r="J596" s="86"/>
      <c r="K596" s="86"/>
      <c r="L596" s="87"/>
      <c r="M596" s="40"/>
    </row>
    <row r="597" spans="3:13">
      <c r="C597" s="40"/>
      <c r="D597" s="85"/>
      <c r="J597" s="86"/>
      <c r="K597" s="86"/>
      <c r="L597" s="87"/>
      <c r="M597" s="40"/>
    </row>
    <row r="598" spans="3:13">
      <c r="C598" s="40"/>
      <c r="D598" s="85"/>
      <c r="J598" s="86"/>
      <c r="K598" s="86"/>
      <c r="L598" s="87"/>
      <c r="M598" s="40"/>
    </row>
    <row r="599" spans="3:13">
      <c r="C599" s="40"/>
      <c r="D599" s="85"/>
      <c r="J599" s="86"/>
      <c r="K599" s="86"/>
      <c r="L599" s="87"/>
      <c r="M599" s="40"/>
    </row>
    <row r="600" spans="3:13">
      <c r="C600" s="40"/>
      <c r="D600" s="85"/>
      <c r="J600" s="86"/>
      <c r="K600" s="86"/>
      <c r="L600" s="87"/>
      <c r="M600" s="40"/>
    </row>
    <row r="601" spans="3:13">
      <c r="C601" s="40"/>
      <c r="D601" s="85"/>
      <c r="J601" s="86"/>
      <c r="K601" s="86"/>
      <c r="L601" s="87"/>
      <c r="M601" s="40"/>
    </row>
    <row r="602" spans="3:13">
      <c r="C602" s="40"/>
      <c r="D602" s="85"/>
      <c r="J602" s="86"/>
      <c r="K602" s="86"/>
      <c r="L602" s="87"/>
      <c r="M602" s="40"/>
    </row>
    <row r="603" spans="3:13">
      <c r="C603" s="40"/>
      <c r="D603" s="85"/>
      <c r="J603" s="86"/>
      <c r="K603" s="86"/>
      <c r="L603" s="87"/>
      <c r="M603" s="40"/>
    </row>
    <row r="604" spans="3:13">
      <c r="C604" s="40"/>
      <c r="D604" s="85"/>
      <c r="J604" s="86"/>
      <c r="K604" s="86"/>
      <c r="L604" s="87"/>
      <c r="M604" s="40"/>
    </row>
    <row r="605" spans="3:13">
      <c r="C605" s="40"/>
      <c r="D605" s="85"/>
      <c r="J605" s="86"/>
      <c r="K605" s="86"/>
      <c r="L605" s="87"/>
      <c r="M605" s="40"/>
    </row>
    <row r="606" spans="3:13">
      <c r="C606" s="40"/>
      <c r="D606" s="85"/>
      <c r="J606" s="86"/>
      <c r="K606" s="86"/>
      <c r="L606" s="87"/>
      <c r="M606" s="40"/>
    </row>
    <row r="607" spans="3:13">
      <c r="C607" s="40"/>
      <c r="D607" s="85"/>
      <c r="J607" s="86"/>
      <c r="K607" s="86"/>
      <c r="L607" s="87"/>
      <c r="M607" s="40"/>
    </row>
    <row r="608" spans="3:13">
      <c r="C608" s="40"/>
      <c r="D608" s="85"/>
      <c r="J608" s="86"/>
      <c r="K608" s="86"/>
      <c r="L608" s="87"/>
      <c r="M608" s="40"/>
    </row>
    <row r="609" spans="3:13">
      <c r="C609" s="40"/>
      <c r="D609" s="85"/>
      <c r="J609" s="86"/>
      <c r="K609" s="86"/>
      <c r="L609" s="87"/>
      <c r="M609" s="40"/>
    </row>
    <row r="610" spans="3:13">
      <c r="C610" s="40"/>
      <c r="D610" s="85"/>
      <c r="J610" s="86"/>
      <c r="K610" s="86"/>
      <c r="L610" s="87"/>
      <c r="M610" s="40"/>
    </row>
    <row r="611" spans="3:13">
      <c r="C611" s="40"/>
      <c r="D611" s="85"/>
      <c r="J611" s="86"/>
      <c r="K611" s="86"/>
      <c r="L611" s="87"/>
      <c r="M611" s="40"/>
    </row>
    <row r="612" spans="3:13">
      <c r="C612" s="40"/>
      <c r="D612" s="85"/>
      <c r="J612" s="86"/>
      <c r="K612" s="86"/>
      <c r="L612" s="87"/>
      <c r="M612" s="40"/>
    </row>
    <row r="613" spans="3:13">
      <c r="C613" s="40"/>
      <c r="D613" s="85"/>
      <c r="J613" s="86"/>
      <c r="K613" s="86"/>
      <c r="L613" s="87"/>
      <c r="M613" s="40"/>
    </row>
    <row r="614" spans="3:13">
      <c r="C614" s="40"/>
      <c r="D614" s="85"/>
      <c r="J614" s="86"/>
      <c r="K614" s="86"/>
      <c r="L614" s="87"/>
      <c r="M614" s="40"/>
    </row>
    <row r="615" spans="3:13">
      <c r="C615" s="40"/>
      <c r="D615" s="85"/>
      <c r="J615" s="86"/>
      <c r="K615" s="86"/>
      <c r="L615" s="87"/>
      <c r="M615" s="40"/>
    </row>
    <row r="616" spans="3:13">
      <c r="C616" s="40"/>
      <c r="D616" s="85"/>
      <c r="J616" s="86"/>
      <c r="K616" s="86"/>
      <c r="L616" s="87"/>
      <c r="M616" s="40"/>
    </row>
    <row r="617" spans="3:13">
      <c r="C617" s="40"/>
      <c r="D617" s="85"/>
      <c r="J617" s="86"/>
      <c r="K617" s="86"/>
      <c r="L617" s="87"/>
      <c r="M617" s="40"/>
    </row>
    <row r="618" spans="3:13">
      <c r="C618" s="40"/>
      <c r="D618" s="85"/>
      <c r="J618" s="86"/>
      <c r="K618" s="86"/>
      <c r="L618" s="87"/>
      <c r="M618" s="40"/>
    </row>
    <row r="619" spans="3:13">
      <c r="C619" s="40"/>
      <c r="D619" s="85"/>
      <c r="J619" s="86"/>
      <c r="K619" s="86"/>
      <c r="L619" s="87"/>
      <c r="M619" s="40"/>
    </row>
    <row r="620" spans="3:13">
      <c r="C620" s="40"/>
      <c r="D620" s="85"/>
      <c r="J620" s="86"/>
      <c r="K620" s="86"/>
      <c r="L620" s="87"/>
      <c r="M620" s="40"/>
    </row>
    <row r="621" spans="3:13">
      <c r="C621" s="40"/>
      <c r="D621" s="85"/>
      <c r="J621" s="86"/>
      <c r="K621" s="86"/>
      <c r="L621" s="87"/>
      <c r="M621" s="40"/>
    </row>
    <row r="622" spans="3:13">
      <c r="C622" s="40"/>
      <c r="D622" s="85"/>
      <c r="J622" s="86"/>
      <c r="K622" s="86"/>
      <c r="L622" s="87"/>
      <c r="M622" s="40"/>
    </row>
    <row r="623" spans="3:13">
      <c r="C623" s="40"/>
      <c r="D623" s="85"/>
      <c r="J623" s="86"/>
      <c r="K623" s="86"/>
      <c r="L623" s="87"/>
      <c r="M623" s="40"/>
    </row>
    <row r="624" spans="3:13">
      <c r="C624" s="40"/>
      <c r="D624" s="85"/>
      <c r="J624" s="86"/>
      <c r="K624" s="86"/>
      <c r="L624" s="87"/>
      <c r="M624" s="40"/>
    </row>
    <row r="625" spans="3:13">
      <c r="C625" s="40"/>
      <c r="D625" s="85"/>
      <c r="J625" s="86"/>
      <c r="K625" s="86"/>
      <c r="L625" s="87"/>
      <c r="M625" s="40"/>
    </row>
    <row r="626" spans="3:13">
      <c r="C626" s="40"/>
      <c r="D626" s="85"/>
      <c r="J626" s="86"/>
      <c r="K626" s="86"/>
      <c r="L626" s="87"/>
      <c r="M626" s="40"/>
    </row>
    <row r="627" spans="3:13">
      <c r="C627" s="40"/>
      <c r="D627" s="85"/>
      <c r="J627" s="86"/>
      <c r="K627" s="86"/>
      <c r="L627" s="87"/>
      <c r="M627" s="40"/>
    </row>
    <row r="628" spans="3:13">
      <c r="C628" s="40"/>
      <c r="D628" s="85"/>
      <c r="J628" s="86"/>
      <c r="K628" s="86"/>
      <c r="L628" s="87"/>
      <c r="M628" s="40"/>
    </row>
    <row r="629" spans="3:13">
      <c r="C629" s="40"/>
      <c r="D629" s="85"/>
      <c r="J629" s="86"/>
      <c r="K629" s="86"/>
      <c r="L629" s="87"/>
      <c r="M629" s="40"/>
    </row>
    <row r="630" spans="3:13">
      <c r="C630" s="40"/>
      <c r="D630" s="85"/>
      <c r="J630" s="86"/>
      <c r="K630" s="86"/>
      <c r="L630" s="87"/>
      <c r="M630" s="40"/>
    </row>
    <row r="631" spans="3:13">
      <c r="C631" s="40"/>
      <c r="D631" s="85"/>
      <c r="J631" s="86"/>
      <c r="K631" s="86"/>
      <c r="L631" s="87"/>
      <c r="M631" s="40"/>
    </row>
    <row r="632" spans="3:13">
      <c r="C632" s="40"/>
      <c r="D632" s="85"/>
      <c r="J632" s="86"/>
      <c r="K632" s="86"/>
      <c r="L632" s="87"/>
      <c r="M632" s="40"/>
    </row>
    <row r="633" spans="3:13">
      <c r="C633" s="40"/>
      <c r="D633" s="85"/>
      <c r="J633" s="86"/>
      <c r="K633" s="86"/>
      <c r="L633" s="87"/>
      <c r="M633" s="40"/>
    </row>
    <row r="634" spans="3:13">
      <c r="C634" s="40"/>
      <c r="D634" s="85"/>
      <c r="J634" s="86"/>
      <c r="K634" s="86"/>
      <c r="L634" s="87"/>
      <c r="M634" s="40"/>
    </row>
    <row r="635" spans="3:13">
      <c r="C635" s="40"/>
      <c r="D635" s="85"/>
      <c r="J635" s="86"/>
      <c r="K635" s="86"/>
      <c r="L635" s="87"/>
      <c r="M635" s="40"/>
    </row>
    <row r="636" spans="3:13">
      <c r="C636" s="40"/>
      <c r="D636" s="85"/>
      <c r="J636" s="86"/>
      <c r="K636" s="86"/>
      <c r="L636" s="87"/>
      <c r="M636" s="40"/>
    </row>
    <row r="637" spans="3:13">
      <c r="C637" s="40"/>
      <c r="D637" s="85"/>
      <c r="J637" s="86"/>
      <c r="K637" s="86"/>
      <c r="L637" s="87"/>
      <c r="M637" s="40"/>
    </row>
    <row r="638" spans="3:13">
      <c r="C638" s="40"/>
      <c r="D638" s="85"/>
      <c r="J638" s="86"/>
      <c r="K638" s="86"/>
      <c r="L638" s="87"/>
      <c r="M638" s="40"/>
    </row>
    <row r="639" spans="3:13">
      <c r="C639" s="40"/>
      <c r="D639" s="85"/>
      <c r="J639" s="86"/>
      <c r="K639" s="86"/>
      <c r="L639" s="87"/>
      <c r="M639" s="40"/>
    </row>
    <row r="640" spans="3:13">
      <c r="C640" s="40"/>
      <c r="D640" s="85"/>
      <c r="J640" s="86"/>
      <c r="K640" s="86"/>
      <c r="L640" s="87"/>
      <c r="M640" s="40"/>
    </row>
    <row r="641" spans="3:13">
      <c r="C641" s="40"/>
      <c r="D641" s="85"/>
      <c r="J641" s="86"/>
      <c r="K641" s="86"/>
      <c r="L641" s="87"/>
      <c r="M641" s="40"/>
    </row>
    <row r="642" spans="3:13">
      <c r="C642" s="40"/>
      <c r="D642" s="85"/>
      <c r="J642" s="86"/>
      <c r="K642" s="86"/>
      <c r="L642" s="87"/>
      <c r="M642" s="40"/>
    </row>
    <row r="643" spans="3:13">
      <c r="C643" s="40"/>
      <c r="D643" s="85"/>
      <c r="J643" s="86"/>
      <c r="K643" s="86"/>
      <c r="L643" s="87"/>
      <c r="M643" s="40"/>
    </row>
    <row r="644" spans="3:13">
      <c r="C644" s="40"/>
      <c r="D644" s="85"/>
      <c r="J644" s="86"/>
      <c r="K644" s="86"/>
      <c r="L644" s="87"/>
      <c r="M644" s="40"/>
    </row>
    <row r="645" spans="3:13">
      <c r="C645" s="40"/>
      <c r="D645" s="85"/>
      <c r="J645" s="86"/>
      <c r="K645" s="86"/>
      <c r="L645" s="87"/>
      <c r="M645" s="40"/>
    </row>
    <row r="646" spans="3:13">
      <c r="C646" s="40"/>
      <c r="D646" s="85"/>
      <c r="J646" s="86"/>
      <c r="K646" s="86"/>
      <c r="L646" s="87"/>
      <c r="M646" s="40"/>
    </row>
    <row r="647" spans="3:13">
      <c r="C647" s="40"/>
      <c r="D647" s="85"/>
      <c r="J647" s="86"/>
      <c r="K647" s="86"/>
      <c r="L647" s="87"/>
      <c r="M647" s="40"/>
    </row>
    <row r="648" spans="3:13">
      <c r="C648" s="40"/>
      <c r="D648" s="85"/>
      <c r="J648" s="86"/>
      <c r="K648" s="86"/>
      <c r="L648" s="87"/>
      <c r="M648" s="40"/>
    </row>
    <row r="649" spans="3:13">
      <c r="C649" s="40"/>
      <c r="D649" s="85"/>
      <c r="J649" s="86"/>
      <c r="K649" s="86"/>
      <c r="L649" s="87"/>
      <c r="M649" s="40"/>
    </row>
    <row r="650" spans="3:13">
      <c r="C650" s="40"/>
      <c r="D650" s="85"/>
      <c r="J650" s="86"/>
      <c r="K650" s="86"/>
      <c r="L650" s="87"/>
      <c r="M650" s="40"/>
    </row>
    <row r="651" spans="3:13">
      <c r="C651" s="40"/>
      <c r="D651" s="85"/>
      <c r="J651" s="86"/>
      <c r="K651" s="86"/>
      <c r="L651" s="87"/>
      <c r="M651" s="40"/>
    </row>
    <row r="652" spans="3:13">
      <c r="C652" s="40"/>
      <c r="D652" s="85"/>
      <c r="J652" s="86"/>
      <c r="K652" s="86"/>
      <c r="L652" s="87"/>
      <c r="M652" s="40"/>
    </row>
    <row r="653" spans="3:13">
      <c r="C653" s="40"/>
      <c r="D653" s="85"/>
      <c r="J653" s="86"/>
      <c r="K653" s="86"/>
      <c r="L653" s="87"/>
      <c r="M653" s="40"/>
    </row>
    <row r="654" spans="3:13">
      <c r="C654" s="40"/>
      <c r="D654" s="85"/>
      <c r="J654" s="86"/>
      <c r="K654" s="86"/>
      <c r="L654" s="87"/>
      <c r="M654" s="40"/>
    </row>
    <row r="655" spans="3:13">
      <c r="C655" s="40"/>
      <c r="D655" s="85"/>
      <c r="J655" s="86"/>
      <c r="K655" s="86"/>
      <c r="L655" s="87"/>
      <c r="M655" s="40"/>
    </row>
    <row r="656" spans="3:13">
      <c r="C656" s="40"/>
      <c r="D656" s="85"/>
      <c r="J656" s="86"/>
      <c r="K656" s="86"/>
      <c r="L656" s="87"/>
      <c r="M656" s="40"/>
    </row>
    <row r="657" spans="3:13">
      <c r="C657" s="40"/>
      <c r="D657" s="85"/>
      <c r="J657" s="86"/>
      <c r="K657" s="86"/>
      <c r="L657" s="87"/>
      <c r="M657" s="40"/>
    </row>
    <row r="658" spans="3:13">
      <c r="C658" s="40"/>
      <c r="D658" s="85"/>
      <c r="J658" s="86"/>
      <c r="K658" s="86"/>
      <c r="L658" s="87"/>
      <c r="M658" s="40"/>
    </row>
    <row r="659" spans="3:13">
      <c r="C659" s="40"/>
      <c r="D659" s="85"/>
      <c r="J659" s="86"/>
      <c r="K659" s="86"/>
      <c r="L659" s="87"/>
      <c r="M659" s="40"/>
    </row>
    <row r="660" spans="3:13">
      <c r="C660" s="40"/>
      <c r="D660" s="85"/>
      <c r="J660" s="86"/>
      <c r="K660" s="86"/>
      <c r="L660" s="87"/>
      <c r="M660" s="40"/>
    </row>
    <row r="661" spans="3:13">
      <c r="C661" s="40"/>
      <c r="D661" s="85"/>
      <c r="J661" s="86"/>
      <c r="K661" s="86"/>
      <c r="L661" s="87"/>
      <c r="M661" s="40"/>
    </row>
    <row r="662" spans="3:13">
      <c r="C662" s="40"/>
      <c r="D662" s="85"/>
      <c r="J662" s="86"/>
      <c r="K662" s="86"/>
      <c r="L662" s="87"/>
      <c r="M662" s="40"/>
    </row>
    <row r="663" spans="3:13">
      <c r="C663" s="40"/>
      <c r="D663" s="85"/>
      <c r="J663" s="86"/>
      <c r="K663" s="86"/>
      <c r="L663" s="87"/>
      <c r="M663" s="40"/>
    </row>
    <row r="664" spans="3:13">
      <c r="C664" s="40"/>
      <c r="D664" s="85"/>
      <c r="J664" s="86"/>
      <c r="K664" s="86"/>
      <c r="L664" s="87"/>
      <c r="M664" s="40"/>
    </row>
    <row r="665" spans="3:13">
      <c r="C665" s="40"/>
      <c r="D665" s="85"/>
      <c r="J665" s="86"/>
      <c r="K665" s="86"/>
      <c r="L665" s="87"/>
      <c r="M665" s="40"/>
    </row>
    <row r="666" spans="3:13">
      <c r="C666" s="40"/>
      <c r="D666" s="85"/>
      <c r="J666" s="86"/>
      <c r="K666" s="86"/>
      <c r="L666" s="87"/>
      <c r="M666" s="40"/>
    </row>
    <row r="667" spans="3:13">
      <c r="C667" s="40"/>
      <c r="D667" s="85"/>
      <c r="J667" s="86"/>
      <c r="K667" s="86"/>
      <c r="L667" s="87"/>
      <c r="M667" s="40"/>
    </row>
    <row r="668" spans="3:13">
      <c r="C668" s="40"/>
      <c r="D668" s="85"/>
      <c r="J668" s="86"/>
      <c r="K668" s="86"/>
      <c r="L668" s="87"/>
      <c r="M668" s="40"/>
    </row>
    <row r="669" spans="3:13">
      <c r="C669" s="40"/>
      <c r="D669" s="85"/>
      <c r="J669" s="86"/>
      <c r="K669" s="86"/>
      <c r="L669" s="87"/>
      <c r="M669" s="40"/>
    </row>
    <row r="670" spans="3:13">
      <c r="C670" s="40"/>
      <c r="D670" s="85"/>
      <c r="J670" s="86"/>
      <c r="K670" s="86"/>
      <c r="L670" s="87"/>
      <c r="M670" s="40"/>
    </row>
    <row r="671" spans="3:13">
      <c r="C671" s="40"/>
      <c r="D671" s="85"/>
      <c r="J671" s="86"/>
      <c r="K671" s="86"/>
      <c r="L671" s="87"/>
      <c r="M671" s="40"/>
    </row>
    <row r="672" spans="3:13">
      <c r="C672" s="40"/>
      <c r="D672" s="85"/>
      <c r="J672" s="86"/>
      <c r="K672" s="86"/>
      <c r="L672" s="87"/>
      <c r="M672" s="40"/>
    </row>
    <row r="673" spans="3:13">
      <c r="C673" s="40"/>
      <c r="D673" s="85"/>
      <c r="J673" s="86"/>
      <c r="K673" s="86"/>
      <c r="L673" s="87"/>
      <c r="M673" s="40"/>
    </row>
    <row r="674" spans="3:13">
      <c r="C674" s="40"/>
      <c r="D674" s="85"/>
      <c r="J674" s="86"/>
      <c r="K674" s="86"/>
      <c r="L674" s="87"/>
      <c r="M674" s="40"/>
    </row>
    <row r="675" spans="3:13">
      <c r="C675" s="40"/>
      <c r="D675" s="85"/>
      <c r="J675" s="86"/>
      <c r="K675" s="86"/>
      <c r="L675" s="87"/>
      <c r="M675" s="40"/>
    </row>
    <row r="676" spans="3:13">
      <c r="C676" s="40"/>
      <c r="D676" s="85"/>
      <c r="J676" s="86"/>
      <c r="K676" s="86"/>
      <c r="L676" s="87"/>
      <c r="M676" s="40"/>
    </row>
    <row r="677" spans="3:13">
      <c r="C677" s="40"/>
      <c r="D677" s="85"/>
      <c r="J677" s="86"/>
      <c r="K677" s="86"/>
      <c r="L677" s="87"/>
      <c r="M677" s="40"/>
    </row>
    <row r="678" spans="3:13">
      <c r="C678" s="40"/>
      <c r="D678" s="85"/>
      <c r="J678" s="86"/>
      <c r="K678" s="86"/>
      <c r="L678" s="87"/>
      <c r="M678" s="40"/>
    </row>
    <row r="679" spans="3:13">
      <c r="C679" s="40"/>
      <c r="D679" s="85"/>
      <c r="J679" s="86"/>
      <c r="K679" s="86"/>
      <c r="L679" s="87"/>
      <c r="M679" s="40"/>
    </row>
    <row r="680" spans="3:13">
      <c r="C680" s="40"/>
      <c r="D680" s="85"/>
      <c r="J680" s="86"/>
      <c r="K680" s="86"/>
      <c r="L680" s="87"/>
      <c r="M680" s="40"/>
    </row>
    <row r="681" spans="3:13">
      <c r="C681" s="40"/>
      <c r="D681" s="85"/>
      <c r="J681" s="86"/>
      <c r="K681" s="86"/>
      <c r="L681" s="87"/>
      <c r="M681" s="40"/>
    </row>
    <row r="682" spans="3:13">
      <c r="C682" s="40"/>
      <c r="D682" s="85"/>
      <c r="J682" s="86"/>
      <c r="K682" s="86"/>
      <c r="L682" s="87"/>
      <c r="M682" s="40"/>
    </row>
    <row r="683" spans="3:13">
      <c r="C683" s="40"/>
      <c r="D683" s="85"/>
      <c r="J683" s="86"/>
      <c r="K683" s="86"/>
      <c r="L683" s="87"/>
      <c r="M683" s="40"/>
    </row>
    <row r="684" spans="3:13">
      <c r="C684" s="40"/>
      <c r="D684" s="85"/>
      <c r="J684" s="86"/>
      <c r="K684" s="86"/>
      <c r="L684" s="87"/>
      <c r="M684" s="40"/>
    </row>
    <row r="685" spans="3:13">
      <c r="C685" s="40"/>
      <c r="D685" s="85"/>
      <c r="J685" s="86"/>
      <c r="K685" s="86"/>
      <c r="L685" s="87"/>
      <c r="M685" s="40"/>
    </row>
    <row r="686" spans="3:13">
      <c r="C686" s="40"/>
      <c r="D686" s="85"/>
      <c r="J686" s="86"/>
      <c r="K686" s="86"/>
      <c r="L686" s="87"/>
      <c r="M686" s="40"/>
    </row>
    <row r="687" spans="3:13">
      <c r="C687" s="40"/>
      <c r="D687" s="85"/>
      <c r="J687" s="86"/>
      <c r="K687" s="86"/>
      <c r="L687" s="87"/>
      <c r="M687" s="40"/>
    </row>
    <row r="688" spans="3:13">
      <c r="C688" s="40"/>
      <c r="D688" s="85"/>
      <c r="J688" s="86"/>
      <c r="K688" s="86"/>
      <c r="L688" s="87"/>
      <c r="M688" s="40"/>
    </row>
    <row r="689" spans="3:13">
      <c r="C689" s="40"/>
      <c r="D689" s="85"/>
      <c r="J689" s="86"/>
      <c r="K689" s="86"/>
      <c r="L689" s="87"/>
      <c r="M689" s="40"/>
    </row>
    <row r="690" spans="3:13">
      <c r="C690" s="40"/>
      <c r="D690" s="85"/>
      <c r="J690" s="86"/>
      <c r="K690" s="86"/>
      <c r="L690" s="87"/>
      <c r="M690" s="40"/>
    </row>
    <row r="691" spans="3:13">
      <c r="C691" s="40"/>
      <c r="D691" s="85"/>
      <c r="J691" s="86"/>
      <c r="K691" s="86"/>
      <c r="L691" s="87"/>
      <c r="M691" s="40"/>
    </row>
    <row r="692" spans="3:13">
      <c r="C692" s="40"/>
      <c r="D692" s="85"/>
      <c r="J692" s="86"/>
      <c r="K692" s="86"/>
      <c r="L692" s="87"/>
      <c r="M692" s="40"/>
    </row>
    <row r="693" spans="3:13">
      <c r="C693" s="40"/>
      <c r="D693" s="85"/>
      <c r="J693" s="86"/>
      <c r="K693" s="86"/>
      <c r="L693" s="87"/>
      <c r="M693" s="40"/>
    </row>
    <row r="694" spans="3:13">
      <c r="C694" s="40"/>
      <c r="D694" s="85"/>
      <c r="J694" s="86"/>
      <c r="K694" s="86"/>
      <c r="L694" s="87"/>
      <c r="M694" s="40"/>
    </row>
    <row r="695" spans="3:13">
      <c r="C695" s="40"/>
      <c r="D695" s="85"/>
      <c r="J695" s="86"/>
      <c r="K695" s="86"/>
      <c r="L695" s="87"/>
      <c r="M695" s="40"/>
    </row>
    <row r="696" spans="3:13">
      <c r="C696" s="40"/>
      <c r="D696" s="85"/>
      <c r="J696" s="86"/>
      <c r="K696" s="86"/>
      <c r="L696" s="87"/>
      <c r="M696" s="40"/>
    </row>
    <row r="697" spans="3:13">
      <c r="C697" s="40"/>
      <c r="D697" s="85"/>
      <c r="J697" s="86"/>
      <c r="K697" s="86"/>
      <c r="L697" s="87"/>
      <c r="M697" s="40"/>
    </row>
    <row r="698" spans="3:13">
      <c r="C698" s="40"/>
      <c r="D698" s="85"/>
      <c r="J698" s="86"/>
      <c r="K698" s="86"/>
      <c r="L698" s="87"/>
      <c r="M698" s="40"/>
    </row>
    <row r="699" spans="3:13">
      <c r="C699" s="40"/>
      <c r="D699" s="85"/>
      <c r="J699" s="86"/>
      <c r="K699" s="86"/>
      <c r="L699" s="87"/>
      <c r="M699" s="40"/>
    </row>
    <row r="700" spans="3:13">
      <c r="C700" s="40"/>
      <c r="D700" s="85"/>
      <c r="J700" s="86"/>
      <c r="K700" s="86"/>
      <c r="L700" s="87"/>
      <c r="M700" s="40"/>
    </row>
    <row r="701" spans="3:13">
      <c r="C701" s="40"/>
      <c r="D701" s="85"/>
      <c r="J701" s="86"/>
      <c r="K701" s="86"/>
      <c r="L701" s="87"/>
      <c r="M701" s="40"/>
    </row>
    <row r="702" spans="3:13">
      <c r="C702" s="40"/>
      <c r="D702" s="85"/>
      <c r="J702" s="86"/>
      <c r="K702" s="86"/>
      <c r="L702" s="87"/>
      <c r="M702" s="40"/>
    </row>
    <row r="703" spans="3:13">
      <c r="C703" s="40"/>
      <c r="D703" s="85"/>
      <c r="J703" s="86"/>
      <c r="K703" s="86"/>
      <c r="L703" s="87"/>
      <c r="M703" s="40"/>
    </row>
    <row r="704" spans="3:13">
      <c r="C704" s="40"/>
      <c r="D704" s="85"/>
      <c r="J704" s="86"/>
      <c r="K704" s="86"/>
      <c r="L704" s="87"/>
      <c r="M704" s="40"/>
    </row>
    <row r="705" spans="3:13">
      <c r="C705" s="40"/>
      <c r="D705" s="85"/>
      <c r="J705" s="86"/>
      <c r="K705" s="86"/>
      <c r="L705" s="87"/>
      <c r="M705" s="40"/>
    </row>
    <row r="706" spans="3:13">
      <c r="C706" s="40"/>
      <c r="D706" s="85"/>
      <c r="J706" s="86"/>
      <c r="K706" s="86"/>
      <c r="L706" s="87"/>
      <c r="M706" s="40"/>
    </row>
    <row r="707" spans="3:13">
      <c r="C707" s="40"/>
      <c r="D707" s="85"/>
      <c r="J707" s="86"/>
      <c r="K707" s="86"/>
      <c r="L707" s="87"/>
      <c r="M707" s="40"/>
    </row>
    <row r="708" spans="3:13">
      <c r="C708" s="40"/>
      <c r="D708" s="85"/>
      <c r="J708" s="86"/>
      <c r="K708" s="86"/>
      <c r="L708" s="87"/>
      <c r="M708" s="40"/>
    </row>
    <row r="709" spans="3:13">
      <c r="C709" s="40"/>
      <c r="D709" s="85"/>
      <c r="J709" s="86"/>
      <c r="K709" s="86"/>
      <c r="L709" s="87"/>
      <c r="M709" s="40"/>
    </row>
    <row r="710" spans="3:13">
      <c r="C710" s="40"/>
      <c r="D710" s="85"/>
      <c r="J710" s="86"/>
      <c r="K710" s="86"/>
      <c r="L710" s="87"/>
      <c r="M710" s="40"/>
    </row>
    <row r="711" spans="3:13">
      <c r="C711" s="40"/>
      <c r="D711" s="85"/>
      <c r="J711" s="86"/>
      <c r="K711" s="86"/>
      <c r="L711" s="87"/>
      <c r="M711" s="40"/>
    </row>
    <row r="712" spans="3:13">
      <c r="C712" s="40"/>
      <c r="D712" s="85"/>
      <c r="J712" s="86"/>
      <c r="K712" s="86"/>
      <c r="L712" s="87"/>
      <c r="M712" s="40"/>
    </row>
    <row r="713" spans="3:13">
      <c r="C713" s="40"/>
      <c r="D713" s="85"/>
      <c r="J713" s="86"/>
      <c r="K713" s="86"/>
      <c r="L713" s="87"/>
      <c r="M713" s="40"/>
    </row>
    <row r="714" spans="3:13">
      <c r="C714" s="40"/>
      <c r="D714" s="85"/>
      <c r="J714" s="86"/>
      <c r="K714" s="86"/>
      <c r="L714" s="87"/>
      <c r="M714" s="40"/>
    </row>
    <row r="715" spans="3:13">
      <c r="C715" s="40"/>
      <c r="D715" s="85"/>
      <c r="J715" s="86"/>
      <c r="K715" s="86"/>
      <c r="L715" s="87"/>
      <c r="M715" s="40"/>
    </row>
    <row r="716" spans="3:13">
      <c r="C716" s="40"/>
      <c r="D716" s="85"/>
      <c r="J716" s="86"/>
      <c r="K716" s="86"/>
      <c r="L716" s="87"/>
      <c r="M716" s="40"/>
    </row>
    <row r="717" spans="3:13">
      <c r="C717" s="40"/>
      <c r="D717" s="85"/>
      <c r="J717" s="86"/>
      <c r="K717" s="86"/>
      <c r="L717" s="87"/>
      <c r="M717" s="40"/>
    </row>
    <row r="718" spans="3:13">
      <c r="C718" s="40"/>
      <c r="D718" s="85"/>
      <c r="J718" s="86"/>
      <c r="K718" s="86"/>
      <c r="L718" s="87"/>
      <c r="M718" s="40"/>
    </row>
    <row r="719" spans="3:13">
      <c r="C719" s="40"/>
      <c r="D719" s="85"/>
      <c r="J719" s="86"/>
      <c r="K719" s="86"/>
      <c r="L719" s="87"/>
      <c r="M719" s="40"/>
    </row>
    <row r="720" spans="3:13">
      <c r="C720" s="40"/>
      <c r="D720" s="85"/>
      <c r="J720" s="86"/>
      <c r="K720" s="86"/>
      <c r="L720" s="87"/>
      <c r="M720" s="40"/>
    </row>
    <row r="721" spans="3:13">
      <c r="C721" s="40"/>
      <c r="D721" s="85"/>
      <c r="J721" s="86"/>
      <c r="K721" s="86"/>
      <c r="L721" s="87"/>
      <c r="M721" s="40"/>
    </row>
    <row r="722" spans="3:13">
      <c r="C722" s="40"/>
      <c r="D722" s="85"/>
      <c r="J722" s="86"/>
      <c r="K722" s="86"/>
      <c r="L722" s="87"/>
      <c r="M722" s="40"/>
    </row>
    <row r="723" spans="3:13">
      <c r="C723" s="40"/>
      <c r="D723" s="85"/>
      <c r="J723" s="86"/>
      <c r="K723" s="86"/>
      <c r="L723" s="87"/>
      <c r="M723" s="40"/>
    </row>
    <row r="724" spans="3:13">
      <c r="C724" s="40"/>
      <c r="D724" s="85"/>
      <c r="J724" s="86"/>
      <c r="K724" s="86"/>
      <c r="L724" s="87"/>
      <c r="M724" s="40"/>
    </row>
    <row r="725" spans="3:13">
      <c r="C725" s="40"/>
      <c r="D725" s="85"/>
      <c r="J725" s="86"/>
      <c r="K725" s="86"/>
      <c r="L725" s="87"/>
      <c r="M725" s="40"/>
    </row>
    <row r="726" spans="3:13">
      <c r="C726" s="40"/>
      <c r="D726" s="85"/>
      <c r="J726" s="86"/>
      <c r="K726" s="86"/>
      <c r="L726" s="87"/>
      <c r="M726" s="40"/>
    </row>
    <row r="727" spans="3:13">
      <c r="C727" s="40"/>
      <c r="D727" s="85"/>
      <c r="J727" s="86"/>
      <c r="K727" s="86"/>
      <c r="L727" s="87"/>
      <c r="M727" s="40"/>
    </row>
    <row r="728" spans="3:13">
      <c r="C728" s="40"/>
      <c r="D728" s="85"/>
      <c r="J728" s="86"/>
      <c r="K728" s="86"/>
      <c r="L728" s="87"/>
      <c r="M728" s="40"/>
    </row>
    <row r="729" spans="3:13">
      <c r="C729" s="40"/>
      <c r="D729" s="85"/>
      <c r="J729" s="86"/>
      <c r="K729" s="86"/>
      <c r="L729" s="87"/>
      <c r="M729" s="40"/>
    </row>
    <row r="730" spans="3:13">
      <c r="C730" s="40"/>
      <c r="D730" s="85"/>
      <c r="J730" s="86"/>
      <c r="K730" s="86"/>
      <c r="L730" s="87"/>
      <c r="M730" s="40"/>
    </row>
    <row r="731" spans="3:13">
      <c r="C731" s="40"/>
      <c r="D731" s="85"/>
      <c r="J731" s="86"/>
      <c r="K731" s="86"/>
      <c r="L731" s="87"/>
      <c r="M731" s="40"/>
    </row>
    <row r="732" spans="3:13">
      <c r="C732" s="40"/>
      <c r="D732" s="85"/>
      <c r="J732" s="86"/>
      <c r="K732" s="86"/>
      <c r="L732" s="87"/>
      <c r="M732" s="40"/>
    </row>
    <row r="733" spans="3:13">
      <c r="C733" s="40"/>
      <c r="D733" s="85"/>
      <c r="J733" s="86"/>
      <c r="K733" s="86"/>
      <c r="L733" s="87"/>
      <c r="M733" s="40"/>
    </row>
    <row r="734" spans="3:13">
      <c r="C734" s="40"/>
      <c r="D734" s="85"/>
      <c r="J734" s="86"/>
      <c r="K734" s="86"/>
      <c r="L734" s="87"/>
      <c r="M734" s="40"/>
    </row>
    <row r="735" spans="3:13">
      <c r="C735" s="40"/>
      <c r="D735" s="85"/>
      <c r="J735" s="86"/>
      <c r="K735" s="86"/>
      <c r="L735" s="87"/>
      <c r="M735" s="40"/>
    </row>
    <row r="736" spans="3:13">
      <c r="C736" s="40"/>
      <c r="D736" s="85"/>
      <c r="J736" s="86"/>
      <c r="K736" s="86"/>
      <c r="L736" s="87"/>
      <c r="M736" s="40"/>
    </row>
    <row r="737" spans="3:13">
      <c r="C737" s="40"/>
      <c r="D737" s="85"/>
      <c r="J737" s="86"/>
      <c r="K737" s="86"/>
      <c r="L737" s="87"/>
      <c r="M737" s="40"/>
    </row>
    <row r="738" spans="3:13">
      <c r="C738" s="40"/>
      <c r="D738" s="85"/>
      <c r="J738" s="86"/>
      <c r="K738" s="86"/>
      <c r="L738" s="87"/>
      <c r="M738" s="40"/>
    </row>
    <row r="739" spans="3:13">
      <c r="C739" s="40"/>
      <c r="D739" s="85"/>
      <c r="J739" s="86"/>
      <c r="K739" s="86"/>
      <c r="L739" s="87"/>
      <c r="M739" s="40"/>
    </row>
    <row r="740" spans="3:13">
      <c r="C740" s="40"/>
      <c r="D740" s="85"/>
      <c r="J740" s="86"/>
      <c r="K740" s="86"/>
      <c r="L740" s="87"/>
      <c r="M740" s="40"/>
    </row>
    <row r="741" spans="3:13">
      <c r="C741" s="40"/>
      <c r="D741" s="85"/>
      <c r="J741" s="86"/>
      <c r="K741" s="86"/>
      <c r="L741" s="87"/>
      <c r="M741" s="40"/>
    </row>
    <row r="742" spans="3:13">
      <c r="C742" s="40"/>
      <c r="D742" s="85"/>
      <c r="J742" s="86"/>
      <c r="K742" s="86"/>
      <c r="L742" s="87"/>
      <c r="M742" s="40"/>
    </row>
    <row r="743" spans="3:13">
      <c r="C743" s="40"/>
      <c r="D743" s="85"/>
      <c r="J743" s="86"/>
      <c r="K743" s="86"/>
      <c r="L743" s="87"/>
      <c r="M743" s="40"/>
    </row>
    <row r="744" spans="3:13">
      <c r="C744" s="40"/>
      <c r="D744" s="85"/>
      <c r="J744" s="86"/>
      <c r="K744" s="86"/>
      <c r="L744" s="87"/>
      <c r="M744" s="40"/>
    </row>
    <row r="745" spans="3:13">
      <c r="C745" s="40"/>
      <c r="D745" s="85"/>
      <c r="J745" s="86"/>
      <c r="K745" s="86"/>
      <c r="L745" s="87"/>
      <c r="M745" s="40"/>
    </row>
    <row r="746" spans="3:13">
      <c r="C746" s="40"/>
      <c r="D746" s="85"/>
      <c r="J746" s="86"/>
      <c r="K746" s="86"/>
      <c r="L746" s="87"/>
      <c r="M746" s="40"/>
    </row>
    <row r="747" spans="3:13">
      <c r="C747" s="40"/>
      <c r="D747" s="85"/>
      <c r="J747" s="86"/>
      <c r="K747" s="86"/>
      <c r="L747" s="87"/>
      <c r="M747" s="40"/>
    </row>
    <row r="748" spans="3:13">
      <c r="C748" s="40"/>
      <c r="D748" s="85"/>
      <c r="J748" s="86"/>
      <c r="K748" s="86"/>
      <c r="L748" s="87"/>
      <c r="M748" s="40"/>
    </row>
    <row r="749" spans="3:13">
      <c r="C749" s="40"/>
      <c r="D749" s="85"/>
      <c r="J749" s="86"/>
      <c r="K749" s="86"/>
      <c r="L749" s="87"/>
      <c r="M749" s="40"/>
    </row>
    <row r="750" spans="3:13">
      <c r="C750" s="40"/>
      <c r="D750" s="85"/>
      <c r="J750" s="86"/>
      <c r="K750" s="86"/>
      <c r="L750" s="87"/>
      <c r="M750" s="40"/>
    </row>
    <row r="751" spans="3:13">
      <c r="C751" s="40"/>
      <c r="D751" s="85"/>
      <c r="J751" s="86"/>
      <c r="K751" s="86"/>
      <c r="L751" s="87"/>
      <c r="M751" s="40"/>
    </row>
    <row r="752" spans="3:13">
      <c r="C752" s="40"/>
      <c r="D752" s="85"/>
      <c r="J752" s="86"/>
      <c r="K752" s="86"/>
      <c r="L752" s="87"/>
      <c r="M752" s="40"/>
    </row>
    <row r="753" spans="3:13">
      <c r="C753" s="40"/>
      <c r="D753" s="85"/>
      <c r="J753" s="86"/>
      <c r="K753" s="86"/>
      <c r="L753" s="87"/>
      <c r="M753" s="40"/>
    </row>
    <row r="754" spans="3:13">
      <c r="C754" s="40"/>
      <c r="D754" s="85"/>
      <c r="J754" s="86"/>
      <c r="K754" s="86"/>
      <c r="L754" s="87"/>
      <c r="M754" s="40"/>
    </row>
    <row r="755" spans="3:13">
      <c r="C755" s="40"/>
      <c r="D755" s="85"/>
      <c r="J755" s="86"/>
      <c r="K755" s="86"/>
      <c r="L755" s="87"/>
      <c r="M755" s="40"/>
    </row>
    <row r="756" spans="3:13">
      <c r="C756" s="40"/>
      <c r="D756" s="85"/>
      <c r="J756" s="86"/>
      <c r="K756" s="86"/>
      <c r="L756" s="87"/>
      <c r="M756" s="40"/>
    </row>
    <row r="757" spans="3:13">
      <c r="C757" s="40"/>
      <c r="D757" s="85"/>
      <c r="J757" s="86"/>
      <c r="K757" s="86"/>
      <c r="L757" s="87"/>
      <c r="M757" s="40"/>
    </row>
    <row r="758" spans="3:13">
      <c r="C758" s="40"/>
      <c r="D758" s="85"/>
      <c r="J758" s="86"/>
      <c r="K758" s="86"/>
      <c r="L758" s="87"/>
      <c r="M758" s="40"/>
    </row>
    <row r="759" spans="3:13">
      <c r="C759" s="40"/>
      <c r="D759" s="85"/>
      <c r="J759" s="86"/>
      <c r="K759" s="86"/>
      <c r="L759" s="87"/>
      <c r="M759" s="40"/>
    </row>
    <row r="760" spans="3:13">
      <c r="C760" s="40"/>
      <c r="D760" s="85"/>
      <c r="J760" s="86"/>
      <c r="K760" s="86"/>
      <c r="L760" s="87"/>
      <c r="M760" s="40"/>
    </row>
    <row r="761" spans="3:13">
      <c r="C761" s="40"/>
      <c r="D761" s="85"/>
      <c r="J761" s="86"/>
      <c r="K761" s="86"/>
      <c r="L761" s="87"/>
      <c r="M761" s="40"/>
    </row>
    <row r="762" spans="3:13">
      <c r="C762" s="40"/>
      <c r="D762" s="85"/>
      <c r="J762" s="86"/>
      <c r="K762" s="86"/>
      <c r="L762" s="87"/>
      <c r="M762" s="40"/>
    </row>
    <row r="763" spans="3:13">
      <c r="C763" s="40"/>
      <c r="D763" s="85"/>
      <c r="J763" s="86"/>
      <c r="K763" s="86"/>
      <c r="L763" s="87"/>
      <c r="M763" s="40"/>
    </row>
    <row r="764" spans="3:13">
      <c r="C764" s="40"/>
      <c r="D764" s="85"/>
      <c r="J764" s="86"/>
      <c r="K764" s="86"/>
      <c r="L764" s="87"/>
      <c r="M764" s="40"/>
    </row>
    <row r="765" spans="3:13">
      <c r="C765" s="40"/>
      <c r="D765" s="85"/>
      <c r="J765" s="86"/>
      <c r="K765" s="86"/>
      <c r="L765" s="87"/>
      <c r="M765" s="40"/>
    </row>
    <row r="766" spans="3:13">
      <c r="C766" s="40"/>
      <c r="D766" s="85"/>
      <c r="J766" s="86"/>
      <c r="K766" s="86"/>
      <c r="L766" s="87"/>
      <c r="M766" s="40"/>
    </row>
    <row r="767" spans="3:13">
      <c r="C767" s="40"/>
      <c r="D767" s="85"/>
      <c r="J767" s="86"/>
      <c r="K767" s="86"/>
      <c r="L767" s="87"/>
      <c r="M767" s="40"/>
    </row>
    <row r="768" spans="3:13">
      <c r="C768" s="40"/>
      <c r="D768" s="85"/>
      <c r="J768" s="86"/>
      <c r="K768" s="86"/>
      <c r="L768" s="87"/>
      <c r="M768" s="40"/>
    </row>
    <row r="769" spans="3:13">
      <c r="C769" s="40"/>
      <c r="D769" s="85"/>
      <c r="J769" s="86"/>
      <c r="K769" s="86"/>
      <c r="L769" s="87"/>
      <c r="M769" s="40"/>
    </row>
    <row r="770" spans="3:13">
      <c r="C770" s="40"/>
      <c r="D770" s="85"/>
      <c r="J770" s="86"/>
      <c r="K770" s="86"/>
      <c r="L770" s="87"/>
      <c r="M770" s="40"/>
    </row>
    <row r="771" spans="3:13">
      <c r="C771" s="40"/>
      <c r="D771" s="85"/>
      <c r="J771" s="86"/>
      <c r="K771" s="86"/>
      <c r="L771" s="87"/>
      <c r="M771" s="40"/>
    </row>
    <row r="772" spans="3:13">
      <c r="C772" s="40"/>
      <c r="D772" s="85"/>
      <c r="J772" s="86"/>
      <c r="K772" s="86"/>
      <c r="L772" s="87"/>
      <c r="M772" s="40"/>
    </row>
    <row r="773" spans="3:13">
      <c r="C773" s="40"/>
      <c r="D773" s="85"/>
      <c r="J773" s="86"/>
      <c r="K773" s="86"/>
      <c r="L773" s="87"/>
      <c r="M773" s="40"/>
    </row>
    <row r="774" spans="3:13">
      <c r="C774" s="40"/>
      <c r="D774" s="85"/>
      <c r="J774" s="86"/>
      <c r="K774" s="86"/>
      <c r="L774" s="87"/>
      <c r="M774" s="40"/>
    </row>
    <row r="775" spans="3:13">
      <c r="C775" s="40"/>
      <c r="D775" s="85"/>
      <c r="J775" s="86"/>
      <c r="K775" s="86"/>
      <c r="L775" s="87"/>
      <c r="M775" s="40"/>
    </row>
    <row r="776" spans="3:13">
      <c r="C776" s="40"/>
      <c r="D776" s="85"/>
      <c r="J776" s="86"/>
      <c r="K776" s="86"/>
      <c r="L776" s="87"/>
      <c r="M776" s="40"/>
    </row>
    <row r="777" spans="3:13">
      <c r="C777" s="40"/>
      <c r="D777" s="85"/>
      <c r="J777" s="86"/>
      <c r="K777" s="86"/>
      <c r="L777" s="87"/>
      <c r="M777" s="40"/>
    </row>
    <row r="778" spans="3:13">
      <c r="C778" s="40"/>
      <c r="D778" s="85"/>
      <c r="J778" s="86"/>
      <c r="K778" s="86"/>
      <c r="L778" s="87"/>
      <c r="M778" s="40"/>
    </row>
    <row r="779" spans="3:13">
      <c r="C779" s="40"/>
      <c r="D779" s="85"/>
      <c r="J779" s="86"/>
      <c r="K779" s="86"/>
      <c r="L779" s="87"/>
      <c r="M779" s="40"/>
    </row>
    <row r="780" spans="3:13">
      <c r="C780" s="40"/>
      <c r="D780" s="85"/>
      <c r="J780" s="86"/>
      <c r="K780" s="86"/>
      <c r="L780" s="87"/>
      <c r="M780" s="40"/>
    </row>
    <row r="781" spans="3:13">
      <c r="C781" s="40"/>
      <c r="D781" s="85"/>
      <c r="J781" s="86"/>
      <c r="K781" s="86"/>
      <c r="L781" s="87"/>
      <c r="M781" s="40"/>
    </row>
    <row r="782" spans="3:13">
      <c r="C782" s="40"/>
      <c r="D782" s="85"/>
      <c r="J782" s="86"/>
      <c r="K782" s="86"/>
      <c r="L782" s="87"/>
      <c r="M782" s="40"/>
    </row>
    <row r="783" spans="3:13">
      <c r="C783" s="40"/>
      <c r="D783" s="85"/>
      <c r="J783" s="86"/>
      <c r="K783" s="86"/>
      <c r="L783" s="87"/>
      <c r="M783" s="40"/>
    </row>
    <row r="784" spans="3:13">
      <c r="C784" s="40"/>
      <c r="D784" s="85"/>
      <c r="J784" s="86"/>
      <c r="K784" s="86"/>
      <c r="L784" s="87"/>
      <c r="M784" s="40"/>
    </row>
    <row r="785" spans="3:13">
      <c r="C785" s="40"/>
      <c r="D785" s="85"/>
      <c r="J785" s="86"/>
      <c r="K785" s="86"/>
      <c r="L785" s="87"/>
      <c r="M785" s="40"/>
    </row>
    <row r="786" spans="3:13">
      <c r="C786" s="40"/>
      <c r="D786" s="85"/>
      <c r="J786" s="86"/>
      <c r="K786" s="86"/>
      <c r="L786" s="87"/>
      <c r="M786" s="40"/>
    </row>
    <row r="787" spans="3:13">
      <c r="C787" s="40"/>
      <c r="D787" s="85"/>
      <c r="J787" s="86"/>
      <c r="K787" s="86"/>
      <c r="L787" s="87"/>
      <c r="M787" s="40"/>
    </row>
    <row r="788" spans="3:13">
      <c r="C788" s="40"/>
      <c r="D788" s="85"/>
      <c r="J788" s="86"/>
      <c r="K788" s="86"/>
      <c r="L788" s="87"/>
      <c r="M788" s="40"/>
    </row>
    <row r="789" spans="3:13">
      <c r="C789" s="40"/>
      <c r="D789" s="85"/>
      <c r="J789" s="86"/>
      <c r="K789" s="86"/>
      <c r="L789" s="87"/>
      <c r="M789" s="40"/>
    </row>
    <row r="790" spans="3:13">
      <c r="C790" s="40"/>
      <c r="D790" s="85"/>
      <c r="J790" s="86"/>
      <c r="K790" s="86"/>
      <c r="L790" s="87"/>
      <c r="M790" s="40"/>
    </row>
    <row r="791" spans="3:13">
      <c r="C791" s="40"/>
      <c r="D791" s="85"/>
      <c r="J791" s="86"/>
      <c r="K791" s="86"/>
      <c r="L791" s="87"/>
      <c r="M791" s="40"/>
    </row>
    <row r="792" spans="3:13">
      <c r="C792" s="40"/>
      <c r="D792" s="85"/>
      <c r="J792" s="86"/>
      <c r="K792" s="86"/>
      <c r="L792" s="87"/>
      <c r="M792" s="40"/>
    </row>
    <row r="793" spans="3:13">
      <c r="C793" s="40"/>
      <c r="D793" s="85"/>
      <c r="J793" s="86"/>
      <c r="K793" s="86"/>
      <c r="L793" s="87"/>
      <c r="M793" s="40"/>
    </row>
    <row r="794" spans="3:13">
      <c r="C794" s="40"/>
      <c r="D794" s="85"/>
      <c r="J794" s="86"/>
      <c r="K794" s="86"/>
      <c r="L794" s="87"/>
      <c r="M794" s="40"/>
    </row>
    <row r="795" spans="3:13">
      <c r="C795" s="40"/>
      <c r="D795" s="85"/>
      <c r="J795" s="86"/>
      <c r="K795" s="86"/>
      <c r="L795" s="87"/>
      <c r="M795" s="40"/>
    </row>
    <row r="796" spans="3:13">
      <c r="C796" s="40"/>
      <c r="D796" s="85"/>
      <c r="J796" s="86"/>
      <c r="K796" s="86"/>
      <c r="L796" s="87"/>
      <c r="M796" s="40"/>
    </row>
    <row r="797" spans="3:13">
      <c r="C797" s="40"/>
      <c r="D797" s="85"/>
      <c r="J797" s="86"/>
      <c r="K797" s="86"/>
      <c r="L797" s="87"/>
      <c r="M797" s="40"/>
    </row>
    <row r="798" spans="3:13">
      <c r="C798" s="40"/>
      <c r="D798" s="85"/>
      <c r="J798" s="86"/>
      <c r="K798" s="86"/>
      <c r="L798" s="87"/>
      <c r="M798" s="40"/>
    </row>
    <row r="799" spans="3:13">
      <c r="C799" s="40"/>
      <c r="D799" s="85"/>
      <c r="J799" s="86"/>
      <c r="K799" s="86"/>
      <c r="L799" s="87"/>
      <c r="M799" s="40"/>
    </row>
    <row r="800" spans="3:13">
      <c r="C800" s="40"/>
      <c r="D800" s="85"/>
      <c r="J800" s="86"/>
      <c r="K800" s="86"/>
      <c r="L800" s="87"/>
      <c r="M800" s="40"/>
    </row>
    <row r="801" spans="3:13">
      <c r="C801" s="40"/>
      <c r="D801" s="85"/>
      <c r="J801" s="86"/>
      <c r="K801" s="86"/>
      <c r="L801" s="87"/>
      <c r="M801" s="40"/>
    </row>
    <row r="802" spans="3:13">
      <c r="C802" s="40"/>
      <c r="D802" s="85"/>
      <c r="J802" s="86"/>
      <c r="K802" s="86"/>
      <c r="L802" s="87"/>
      <c r="M802" s="40"/>
    </row>
    <row r="803" spans="3:13">
      <c r="C803" s="40"/>
      <c r="D803" s="85"/>
      <c r="J803" s="86"/>
      <c r="K803" s="86"/>
      <c r="L803" s="87"/>
      <c r="M803" s="40"/>
    </row>
    <row r="804" spans="3:13">
      <c r="C804" s="40"/>
      <c r="D804" s="85"/>
      <c r="J804" s="86"/>
      <c r="K804" s="86"/>
      <c r="L804" s="87"/>
      <c r="M804" s="40"/>
    </row>
    <row r="805" spans="3:13">
      <c r="C805" s="40"/>
      <c r="D805" s="85"/>
      <c r="J805" s="86"/>
      <c r="K805" s="86"/>
      <c r="L805" s="87"/>
      <c r="M805" s="40"/>
    </row>
    <row r="806" spans="3:13">
      <c r="C806" s="40"/>
      <c r="D806" s="85"/>
      <c r="J806" s="86"/>
      <c r="K806" s="86"/>
      <c r="L806" s="87"/>
      <c r="M806" s="40"/>
    </row>
    <row r="807" spans="3:13">
      <c r="C807" s="40"/>
      <c r="D807" s="85"/>
      <c r="J807" s="86"/>
      <c r="K807" s="86"/>
      <c r="L807" s="87"/>
      <c r="M807" s="40"/>
    </row>
    <row r="808" spans="3:13">
      <c r="C808" s="40"/>
      <c r="D808" s="85"/>
      <c r="J808" s="86"/>
      <c r="K808" s="86"/>
      <c r="L808" s="87"/>
      <c r="M808" s="40"/>
    </row>
    <row r="809" spans="3:13">
      <c r="C809" s="40"/>
      <c r="D809" s="85"/>
      <c r="J809" s="86"/>
      <c r="K809" s="86"/>
      <c r="L809" s="87"/>
      <c r="M809" s="40"/>
    </row>
    <row r="810" spans="3:13">
      <c r="C810" s="40"/>
      <c r="D810" s="85"/>
      <c r="J810" s="86"/>
      <c r="K810" s="86"/>
      <c r="L810" s="87"/>
      <c r="M810" s="40"/>
    </row>
    <row r="811" spans="3:13">
      <c r="C811" s="40"/>
      <c r="D811" s="85"/>
      <c r="J811" s="86"/>
      <c r="K811" s="86"/>
      <c r="L811" s="87"/>
      <c r="M811" s="40"/>
    </row>
    <row r="812" spans="3:13">
      <c r="C812" s="40"/>
      <c r="D812" s="85"/>
      <c r="J812" s="86"/>
      <c r="K812" s="86"/>
      <c r="L812" s="87"/>
      <c r="M812" s="40"/>
    </row>
    <row r="813" spans="3:13">
      <c r="C813" s="40"/>
      <c r="D813" s="85"/>
      <c r="J813" s="86"/>
      <c r="K813" s="86"/>
      <c r="L813" s="87"/>
      <c r="M813" s="40"/>
    </row>
    <row r="814" spans="3:13">
      <c r="C814" s="40"/>
      <c r="D814" s="85"/>
      <c r="J814" s="86"/>
      <c r="K814" s="86"/>
      <c r="L814" s="87"/>
      <c r="M814" s="40"/>
    </row>
    <row r="815" spans="3:13">
      <c r="C815" s="40"/>
      <c r="D815" s="85"/>
      <c r="J815" s="86"/>
      <c r="K815" s="86"/>
      <c r="L815" s="87"/>
      <c r="M815" s="40"/>
    </row>
    <row r="816" spans="3:13">
      <c r="C816" s="40"/>
      <c r="D816" s="85"/>
      <c r="J816" s="86"/>
      <c r="K816" s="86"/>
      <c r="L816" s="87"/>
      <c r="M816" s="40"/>
    </row>
    <row r="817" spans="3:13">
      <c r="C817" s="40"/>
      <c r="D817" s="85"/>
      <c r="J817" s="86"/>
      <c r="K817" s="86"/>
      <c r="L817" s="87"/>
      <c r="M817" s="40"/>
    </row>
    <row r="818" spans="3:13">
      <c r="C818" s="40"/>
      <c r="D818" s="85"/>
      <c r="J818" s="86"/>
      <c r="K818" s="86"/>
      <c r="L818" s="87"/>
      <c r="M818" s="40"/>
    </row>
    <row r="819" spans="3:13">
      <c r="C819" s="40"/>
      <c r="D819" s="85"/>
      <c r="J819" s="86"/>
      <c r="K819" s="86"/>
      <c r="L819" s="87"/>
      <c r="M819" s="40"/>
    </row>
    <row r="820" spans="3:13">
      <c r="C820" s="40"/>
      <c r="D820" s="85"/>
      <c r="J820" s="86"/>
      <c r="K820" s="86"/>
      <c r="L820" s="87"/>
      <c r="M820" s="40"/>
    </row>
    <row r="821" spans="3:13">
      <c r="C821" s="40"/>
      <c r="D821" s="85"/>
      <c r="J821" s="86"/>
      <c r="K821" s="86"/>
      <c r="L821" s="87"/>
      <c r="M821" s="40"/>
    </row>
    <row r="822" spans="3:13">
      <c r="C822" s="40"/>
      <c r="D822" s="85"/>
      <c r="J822" s="86"/>
      <c r="K822" s="86"/>
      <c r="L822" s="87"/>
      <c r="M822" s="40"/>
    </row>
    <row r="823" spans="3:13">
      <c r="C823" s="40"/>
      <c r="D823" s="85"/>
      <c r="J823" s="86"/>
      <c r="K823" s="86"/>
      <c r="L823" s="87"/>
      <c r="M823" s="40"/>
    </row>
    <row r="824" spans="3:13">
      <c r="C824" s="40"/>
      <c r="D824" s="85"/>
      <c r="J824" s="86"/>
      <c r="K824" s="86"/>
      <c r="L824" s="87"/>
      <c r="M824" s="40"/>
    </row>
    <row r="825" spans="3:13">
      <c r="C825" s="40"/>
      <c r="D825" s="85"/>
      <c r="J825" s="86"/>
      <c r="K825" s="86"/>
      <c r="L825" s="87"/>
      <c r="M825" s="40"/>
    </row>
    <row r="826" spans="3:13">
      <c r="C826" s="40"/>
      <c r="D826" s="85"/>
      <c r="J826" s="86"/>
      <c r="K826" s="86"/>
      <c r="L826" s="87"/>
      <c r="M826" s="40"/>
    </row>
    <row r="827" spans="3:13">
      <c r="C827" s="40"/>
      <c r="D827" s="85"/>
      <c r="J827" s="86"/>
      <c r="K827" s="86"/>
      <c r="L827" s="87"/>
      <c r="M827" s="40"/>
    </row>
    <row r="828" spans="3:13">
      <c r="C828" s="40"/>
      <c r="D828" s="85"/>
      <c r="J828" s="86"/>
      <c r="K828" s="86"/>
      <c r="L828" s="87"/>
      <c r="M828" s="40"/>
    </row>
    <row r="829" spans="3:13">
      <c r="C829" s="40"/>
      <c r="D829" s="85"/>
      <c r="J829" s="86"/>
      <c r="K829" s="86"/>
      <c r="L829" s="87"/>
      <c r="M829" s="40"/>
    </row>
    <row r="830" spans="3:13">
      <c r="C830" s="40"/>
      <c r="D830" s="85"/>
      <c r="J830" s="86"/>
      <c r="K830" s="86"/>
      <c r="L830" s="87"/>
      <c r="M830" s="40"/>
    </row>
    <row r="831" spans="3:13">
      <c r="C831" s="40"/>
      <c r="D831" s="85"/>
      <c r="J831" s="86"/>
      <c r="K831" s="86"/>
      <c r="L831" s="87"/>
      <c r="M831" s="40"/>
    </row>
    <row r="832" spans="3:13">
      <c r="C832" s="40"/>
      <c r="D832" s="85"/>
      <c r="J832" s="86"/>
      <c r="K832" s="86"/>
      <c r="L832" s="87"/>
      <c r="M832" s="40"/>
    </row>
    <row r="833" spans="3:13">
      <c r="C833" s="40"/>
      <c r="D833" s="85"/>
      <c r="J833" s="86"/>
      <c r="K833" s="86"/>
      <c r="L833" s="87"/>
      <c r="M833" s="40"/>
    </row>
    <row r="834" spans="3:13">
      <c r="C834" s="40"/>
      <c r="D834" s="85"/>
      <c r="J834" s="86"/>
      <c r="K834" s="86"/>
      <c r="L834" s="87"/>
      <c r="M834" s="40"/>
    </row>
    <row r="835" spans="3:13">
      <c r="C835" s="40"/>
      <c r="D835" s="85"/>
      <c r="J835" s="86"/>
      <c r="K835" s="86"/>
      <c r="L835" s="87"/>
      <c r="M835" s="40"/>
    </row>
    <row r="836" spans="3:13">
      <c r="C836" s="40"/>
      <c r="D836" s="85"/>
      <c r="J836" s="86"/>
      <c r="K836" s="86"/>
      <c r="L836" s="87"/>
      <c r="M836" s="40"/>
    </row>
    <row r="837" spans="3:13">
      <c r="C837" s="40"/>
      <c r="D837" s="85"/>
      <c r="J837" s="86"/>
      <c r="K837" s="86"/>
      <c r="L837" s="87"/>
      <c r="M837" s="40"/>
    </row>
    <row r="838" spans="3:13">
      <c r="C838" s="40"/>
      <c r="D838" s="85"/>
      <c r="J838" s="86"/>
      <c r="K838" s="86"/>
      <c r="L838" s="87"/>
      <c r="M838" s="40"/>
    </row>
    <row r="839" spans="3:13">
      <c r="C839" s="40"/>
      <c r="D839" s="85"/>
      <c r="J839" s="86"/>
      <c r="K839" s="86"/>
      <c r="L839" s="87"/>
      <c r="M839" s="40"/>
    </row>
    <row r="840" spans="3:13">
      <c r="C840" s="40"/>
      <c r="D840" s="85"/>
      <c r="J840" s="86"/>
      <c r="K840" s="86"/>
      <c r="L840" s="87"/>
      <c r="M840" s="40"/>
    </row>
    <row r="841" spans="3:13">
      <c r="C841" s="40"/>
      <c r="D841" s="85"/>
      <c r="J841" s="86"/>
      <c r="K841" s="86"/>
      <c r="L841" s="87"/>
      <c r="M841" s="40"/>
    </row>
    <row r="842" spans="3:13">
      <c r="C842" s="40"/>
      <c r="D842" s="85"/>
      <c r="J842" s="86"/>
      <c r="K842" s="86"/>
      <c r="L842" s="87"/>
      <c r="M842" s="40"/>
    </row>
    <row r="843" spans="3:13">
      <c r="C843" s="40"/>
      <c r="D843" s="85"/>
      <c r="J843" s="86"/>
      <c r="K843" s="86"/>
      <c r="L843" s="87"/>
      <c r="M843" s="40"/>
    </row>
    <row r="844" spans="3:13">
      <c r="C844" s="40"/>
      <c r="D844" s="85"/>
      <c r="J844" s="86"/>
      <c r="K844" s="86"/>
      <c r="L844" s="87"/>
      <c r="M844" s="40"/>
    </row>
    <row r="845" spans="3:13">
      <c r="C845" s="40"/>
      <c r="D845" s="85"/>
      <c r="J845" s="86"/>
      <c r="K845" s="86"/>
      <c r="L845" s="87"/>
      <c r="M845" s="40"/>
    </row>
    <row r="846" spans="3:13">
      <c r="C846" s="40"/>
      <c r="D846" s="85"/>
      <c r="J846" s="86"/>
      <c r="K846" s="86"/>
      <c r="L846" s="87"/>
      <c r="M846" s="40"/>
    </row>
    <row r="847" spans="3:13">
      <c r="C847" s="40"/>
      <c r="D847" s="85"/>
      <c r="J847" s="86"/>
      <c r="K847" s="86"/>
      <c r="L847" s="87"/>
      <c r="M847" s="40"/>
    </row>
    <row r="848" spans="3:13">
      <c r="C848" s="40"/>
      <c r="D848" s="85"/>
      <c r="J848" s="86"/>
      <c r="K848" s="86"/>
      <c r="L848" s="87"/>
      <c r="M848" s="40"/>
    </row>
    <row r="849" spans="3:13">
      <c r="C849" s="40"/>
      <c r="D849" s="85"/>
      <c r="J849" s="86"/>
      <c r="K849" s="86"/>
      <c r="L849" s="87"/>
      <c r="M849" s="40"/>
    </row>
    <row r="850" spans="3:13">
      <c r="C850" s="40"/>
      <c r="D850" s="85"/>
      <c r="J850" s="86"/>
      <c r="K850" s="86"/>
      <c r="L850" s="87"/>
      <c r="M850" s="40"/>
    </row>
    <row r="851" spans="3:13">
      <c r="C851" s="40"/>
      <c r="D851" s="85"/>
      <c r="J851" s="86"/>
      <c r="K851" s="86"/>
      <c r="L851" s="87"/>
      <c r="M851" s="40"/>
    </row>
    <row r="852" spans="3:13">
      <c r="C852" s="40"/>
      <c r="D852" s="85"/>
      <c r="J852" s="86"/>
      <c r="K852" s="86"/>
      <c r="L852" s="87"/>
      <c r="M852" s="40"/>
    </row>
    <row r="853" spans="3:13">
      <c r="C853" s="40"/>
      <c r="D853" s="85"/>
      <c r="J853" s="86"/>
      <c r="K853" s="86"/>
      <c r="L853" s="87"/>
      <c r="M853" s="40"/>
    </row>
    <row r="854" spans="3:13">
      <c r="C854" s="40"/>
      <c r="D854" s="85"/>
      <c r="J854" s="86"/>
      <c r="K854" s="86"/>
      <c r="L854" s="87"/>
      <c r="M854" s="40"/>
    </row>
    <row r="855" spans="3:13">
      <c r="C855" s="40"/>
      <c r="D855" s="85"/>
      <c r="J855" s="86"/>
      <c r="K855" s="86"/>
      <c r="L855" s="87"/>
      <c r="M855" s="40"/>
    </row>
    <row r="856" spans="3:13">
      <c r="C856" s="40"/>
      <c r="D856" s="85"/>
      <c r="J856" s="86"/>
      <c r="K856" s="86"/>
      <c r="L856" s="87"/>
      <c r="M856" s="40"/>
    </row>
    <row r="857" spans="3:13">
      <c r="C857" s="40"/>
      <c r="D857" s="85"/>
      <c r="J857" s="86"/>
      <c r="K857" s="86"/>
      <c r="L857" s="87"/>
      <c r="M857" s="40"/>
    </row>
    <row r="858" spans="3:13">
      <c r="C858" s="40"/>
      <c r="D858" s="85"/>
      <c r="J858" s="86"/>
      <c r="K858" s="86"/>
      <c r="L858" s="87"/>
      <c r="M858" s="40"/>
    </row>
    <row r="859" spans="3:13">
      <c r="C859" s="40"/>
      <c r="D859" s="85"/>
      <c r="J859" s="86"/>
      <c r="K859" s="86"/>
      <c r="L859" s="87"/>
      <c r="M859" s="40"/>
    </row>
    <row r="860" spans="3:13">
      <c r="C860" s="40"/>
      <c r="D860" s="85"/>
      <c r="J860" s="86"/>
      <c r="K860" s="86"/>
      <c r="L860" s="87"/>
      <c r="M860" s="40"/>
    </row>
    <row r="861" spans="3:13">
      <c r="C861" s="40"/>
      <c r="D861" s="85"/>
      <c r="J861" s="86"/>
      <c r="K861" s="86"/>
      <c r="L861" s="87"/>
      <c r="M861" s="40"/>
    </row>
    <row r="862" spans="3:13">
      <c r="C862" s="40"/>
      <c r="D862" s="85"/>
      <c r="J862" s="86"/>
      <c r="K862" s="86"/>
      <c r="L862" s="87"/>
      <c r="M862" s="40"/>
    </row>
    <row r="863" spans="3:13">
      <c r="C863" s="40"/>
      <c r="D863" s="85"/>
      <c r="J863" s="86"/>
      <c r="K863" s="86"/>
      <c r="L863" s="87"/>
      <c r="M863" s="40"/>
    </row>
    <row r="864" spans="3:13">
      <c r="C864" s="40"/>
      <c r="D864" s="85"/>
      <c r="J864" s="86"/>
      <c r="K864" s="86"/>
      <c r="L864" s="87"/>
      <c r="M864" s="40"/>
    </row>
    <row r="865" spans="3:13">
      <c r="C865" s="40"/>
      <c r="D865" s="85"/>
      <c r="J865" s="86"/>
      <c r="K865" s="86"/>
      <c r="L865" s="87"/>
      <c r="M865" s="40"/>
    </row>
    <row r="866" spans="3:13">
      <c r="C866" s="40"/>
      <c r="D866" s="85"/>
      <c r="J866" s="86"/>
      <c r="K866" s="86"/>
      <c r="L866" s="87"/>
      <c r="M866" s="40"/>
    </row>
    <row r="867" spans="3:13">
      <c r="C867" s="40"/>
      <c r="D867" s="85"/>
      <c r="J867" s="86"/>
      <c r="K867" s="86"/>
      <c r="L867" s="87"/>
      <c r="M867" s="40"/>
    </row>
    <row r="868" spans="3:13">
      <c r="C868" s="40"/>
      <c r="D868" s="85"/>
      <c r="J868" s="86"/>
      <c r="K868" s="86"/>
      <c r="L868" s="87"/>
      <c r="M868" s="40"/>
    </row>
    <row r="869" spans="3:13">
      <c r="C869" s="40"/>
      <c r="D869" s="85"/>
      <c r="J869" s="86"/>
      <c r="K869" s="86"/>
      <c r="L869" s="87"/>
      <c r="M869" s="40"/>
    </row>
    <row r="870" spans="3:13">
      <c r="C870" s="40"/>
      <c r="D870" s="85"/>
      <c r="J870" s="86"/>
      <c r="K870" s="86"/>
      <c r="L870" s="87"/>
      <c r="M870" s="40"/>
    </row>
    <row r="871" spans="3:13">
      <c r="C871" s="40"/>
      <c r="D871" s="85"/>
      <c r="J871" s="86"/>
      <c r="K871" s="86"/>
      <c r="L871" s="87"/>
      <c r="M871" s="40"/>
    </row>
    <row r="872" spans="3:13">
      <c r="C872" s="40"/>
      <c r="D872" s="85"/>
      <c r="J872" s="86"/>
      <c r="K872" s="86"/>
      <c r="L872" s="87"/>
      <c r="M872" s="40"/>
    </row>
    <row r="873" spans="3:13">
      <c r="C873" s="40"/>
      <c r="D873" s="85"/>
      <c r="J873" s="86"/>
      <c r="K873" s="86"/>
      <c r="L873" s="87"/>
      <c r="M873" s="40"/>
    </row>
    <row r="874" spans="3:13">
      <c r="C874" s="40"/>
      <c r="D874" s="85"/>
      <c r="J874" s="86"/>
      <c r="K874" s="86"/>
      <c r="L874" s="87"/>
      <c r="M874" s="40"/>
    </row>
    <row r="875" spans="3:13">
      <c r="C875" s="40"/>
      <c r="D875" s="85"/>
      <c r="J875" s="86"/>
      <c r="K875" s="86"/>
      <c r="L875" s="87"/>
      <c r="M875" s="40"/>
    </row>
    <row r="876" spans="3:13">
      <c r="C876" s="40"/>
      <c r="D876" s="85"/>
      <c r="J876" s="86"/>
      <c r="K876" s="86"/>
      <c r="L876" s="87"/>
      <c r="M876" s="40"/>
    </row>
    <row r="877" spans="3:13">
      <c r="C877" s="40"/>
      <c r="D877" s="85"/>
      <c r="J877" s="86"/>
      <c r="K877" s="86"/>
      <c r="L877" s="87"/>
      <c r="M877" s="40"/>
    </row>
    <row r="878" spans="3:13">
      <c r="C878" s="40"/>
      <c r="D878" s="85"/>
      <c r="J878" s="86"/>
      <c r="K878" s="86"/>
      <c r="L878" s="87"/>
      <c r="M878" s="40"/>
    </row>
    <row r="879" spans="3:13">
      <c r="C879" s="40"/>
      <c r="D879" s="85"/>
      <c r="J879" s="86"/>
      <c r="K879" s="86"/>
      <c r="L879" s="87"/>
      <c r="M879" s="40"/>
    </row>
    <row r="880" spans="3:13">
      <c r="C880" s="40"/>
      <c r="D880" s="85"/>
      <c r="J880" s="86"/>
      <c r="K880" s="86"/>
      <c r="L880" s="87"/>
      <c r="M880" s="40"/>
    </row>
    <row r="881" spans="3:13">
      <c r="C881" s="40"/>
      <c r="D881" s="85"/>
      <c r="J881" s="86"/>
      <c r="K881" s="86"/>
      <c r="L881" s="87"/>
      <c r="M881" s="40"/>
    </row>
    <row r="882" spans="3:13">
      <c r="C882" s="40"/>
      <c r="D882" s="85"/>
      <c r="J882" s="86"/>
      <c r="K882" s="86"/>
      <c r="L882" s="87"/>
      <c r="M882" s="40"/>
    </row>
    <row r="883" spans="3:13">
      <c r="C883" s="40"/>
      <c r="D883" s="85"/>
      <c r="J883" s="86"/>
      <c r="K883" s="86"/>
      <c r="L883" s="87"/>
      <c r="M883" s="40"/>
    </row>
    <row r="884" spans="3:13">
      <c r="C884" s="40"/>
      <c r="D884" s="85"/>
      <c r="J884" s="86"/>
      <c r="K884" s="86"/>
      <c r="L884" s="87"/>
      <c r="M884" s="40"/>
    </row>
    <row r="885" spans="3:13">
      <c r="C885" s="40"/>
      <c r="D885" s="85"/>
      <c r="J885" s="86"/>
      <c r="K885" s="86"/>
      <c r="L885" s="87"/>
      <c r="M885" s="40"/>
    </row>
    <row r="886" spans="3:13">
      <c r="C886" s="40"/>
      <c r="D886" s="85"/>
      <c r="J886" s="86"/>
      <c r="K886" s="86"/>
      <c r="L886" s="87"/>
      <c r="M886" s="40"/>
    </row>
    <row r="887" spans="3:13">
      <c r="C887" s="40"/>
      <c r="D887" s="85"/>
      <c r="J887" s="86"/>
      <c r="K887" s="86"/>
      <c r="L887" s="87"/>
      <c r="M887" s="40"/>
    </row>
    <row r="888" spans="3:13">
      <c r="C888" s="40"/>
      <c r="D888" s="85"/>
      <c r="J888" s="86"/>
      <c r="K888" s="86"/>
      <c r="L888" s="87"/>
      <c r="M888" s="40"/>
    </row>
    <row r="889" spans="3:13">
      <c r="C889" s="40"/>
      <c r="D889" s="85"/>
      <c r="J889" s="86"/>
      <c r="K889" s="86"/>
      <c r="L889" s="87"/>
      <c r="M889" s="40"/>
    </row>
    <row r="890" spans="3:13">
      <c r="C890" s="40"/>
      <c r="D890" s="85"/>
      <c r="J890" s="86"/>
      <c r="K890" s="86"/>
      <c r="L890" s="87"/>
      <c r="M890" s="40"/>
    </row>
    <row r="891" spans="3:13">
      <c r="C891" s="40"/>
      <c r="D891" s="85"/>
      <c r="J891" s="86"/>
      <c r="K891" s="86"/>
      <c r="L891" s="87"/>
      <c r="M891" s="40"/>
    </row>
    <row r="892" spans="3:13">
      <c r="C892" s="40"/>
      <c r="D892" s="85"/>
      <c r="J892" s="86"/>
      <c r="K892" s="86"/>
      <c r="L892" s="87"/>
      <c r="M892" s="40"/>
    </row>
    <row r="893" spans="3:13">
      <c r="C893" s="40"/>
      <c r="D893" s="85"/>
      <c r="J893" s="86"/>
      <c r="K893" s="86"/>
      <c r="L893" s="87"/>
      <c r="M893" s="40"/>
    </row>
    <row r="894" spans="3:13">
      <c r="C894" s="40"/>
      <c r="D894" s="85"/>
      <c r="J894" s="86"/>
      <c r="K894" s="86"/>
      <c r="L894" s="87"/>
      <c r="M894" s="40"/>
    </row>
    <row r="895" spans="3:13">
      <c r="C895" s="40"/>
      <c r="D895" s="85"/>
      <c r="J895" s="86"/>
      <c r="K895" s="86"/>
      <c r="L895" s="87"/>
      <c r="M895" s="40"/>
    </row>
    <row r="896" spans="3:13">
      <c r="C896" s="40"/>
      <c r="D896" s="85"/>
      <c r="J896" s="86"/>
      <c r="K896" s="86"/>
      <c r="L896" s="87"/>
      <c r="M896" s="40"/>
    </row>
    <row r="897" spans="3:13">
      <c r="C897" s="40"/>
      <c r="D897" s="85"/>
      <c r="J897" s="86"/>
      <c r="K897" s="86"/>
      <c r="L897" s="87"/>
      <c r="M897" s="40"/>
    </row>
    <row r="898" spans="3:13">
      <c r="C898" s="40"/>
      <c r="D898" s="85"/>
      <c r="J898" s="86"/>
      <c r="K898" s="86"/>
      <c r="L898" s="87"/>
      <c r="M898" s="40"/>
    </row>
    <row r="899" spans="3:13">
      <c r="C899" s="40"/>
      <c r="D899" s="85"/>
      <c r="J899" s="86"/>
      <c r="K899" s="86"/>
      <c r="L899" s="87"/>
      <c r="M899" s="40"/>
    </row>
    <row r="900" spans="3:13">
      <c r="C900" s="40"/>
      <c r="D900" s="85"/>
      <c r="J900" s="86"/>
      <c r="K900" s="86"/>
      <c r="L900" s="87"/>
      <c r="M900" s="40"/>
    </row>
    <row r="901" spans="3:13">
      <c r="C901" s="40"/>
      <c r="D901" s="85"/>
      <c r="J901" s="86"/>
      <c r="K901" s="86"/>
      <c r="L901" s="87"/>
      <c r="M901" s="40"/>
    </row>
    <row r="902" spans="3:13">
      <c r="C902" s="40"/>
      <c r="D902" s="85"/>
      <c r="J902" s="86"/>
      <c r="K902" s="86"/>
      <c r="L902" s="87"/>
      <c r="M902" s="40"/>
    </row>
    <row r="903" spans="3:13">
      <c r="C903" s="40"/>
      <c r="D903" s="85"/>
      <c r="J903" s="86"/>
      <c r="K903" s="86"/>
      <c r="L903" s="87"/>
      <c r="M903" s="40"/>
    </row>
    <row r="904" spans="3:13">
      <c r="C904" s="40"/>
      <c r="D904" s="85"/>
      <c r="J904" s="86"/>
      <c r="K904" s="86"/>
      <c r="L904" s="87"/>
      <c r="M904" s="40"/>
    </row>
    <row r="905" spans="3:13">
      <c r="C905" s="40"/>
      <c r="D905" s="85"/>
      <c r="J905" s="86"/>
      <c r="K905" s="86"/>
      <c r="L905" s="87"/>
      <c r="M905" s="40"/>
    </row>
    <row r="906" spans="3:13">
      <c r="C906" s="40"/>
      <c r="D906" s="85"/>
      <c r="J906" s="86"/>
      <c r="K906" s="86"/>
      <c r="L906" s="87"/>
      <c r="M906" s="40"/>
    </row>
    <row r="907" spans="3:13">
      <c r="C907" s="40"/>
      <c r="D907" s="85"/>
      <c r="J907" s="86"/>
      <c r="K907" s="86"/>
      <c r="L907" s="87"/>
      <c r="M907" s="40"/>
    </row>
    <row r="908" spans="3:13">
      <c r="C908" s="40"/>
      <c r="D908" s="85"/>
      <c r="J908" s="86"/>
      <c r="K908" s="86"/>
      <c r="L908" s="87"/>
      <c r="M908" s="40"/>
    </row>
    <row r="909" spans="3:13">
      <c r="C909" s="40"/>
      <c r="D909" s="85"/>
      <c r="J909" s="86"/>
      <c r="K909" s="86"/>
      <c r="L909" s="87"/>
      <c r="M909" s="40"/>
    </row>
    <row r="910" spans="3:13">
      <c r="C910" s="40"/>
      <c r="D910" s="85"/>
      <c r="J910" s="86"/>
      <c r="K910" s="86"/>
      <c r="L910" s="87"/>
      <c r="M910" s="40"/>
    </row>
    <row r="911" spans="3:13">
      <c r="C911" s="40"/>
      <c r="D911" s="85"/>
      <c r="J911" s="86"/>
      <c r="K911" s="86"/>
      <c r="L911" s="87"/>
      <c r="M911" s="40"/>
    </row>
    <row r="912" spans="3:13">
      <c r="C912" s="40"/>
      <c r="D912" s="85"/>
      <c r="J912" s="86"/>
      <c r="K912" s="86"/>
      <c r="L912" s="87"/>
      <c r="M912" s="40"/>
    </row>
    <row r="913" spans="3:13">
      <c r="C913" s="40"/>
      <c r="D913" s="85"/>
      <c r="J913" s="86"/>
      <c r="K913" s="86"/>
      <c r="L913" s="87"/>
      <c r="M913" s="40"/>
    </row>
    <row r="914" spans="3:13">
      <c r="C914" s="40"/>
      <c r="D914" s="85"/>
      <c r="J914" s="86"/>
      <c r="K914" s="86"/>
      <c r="L914" s="87"/>
      <c r="M914" s="40"/>
    </row>
    <row r="915" spans="3:13">
      <c r="C915" s="40"/>
      <c r="D915" s="85"/>
      <c r="J915" s="86"/>
      <c r="K915" s="86"/>
      <c r="L915" s="87"/>
      <c r="M915" s="40"/>
    </row>
    <row r="916" spans="3:13">
      <c r="C916" s="40"/>
      <c r="D916" s="85"/>
      <c r="J916" s="86"/>
      <c r="K916" s="86"/>
      <c r="L916" s="87"/>
      <c r="M916" s="40"/>
    </row>
    <row r="917" spans="3:13">
      <c r="C917" s="40"/>
      <c r="D917" s="85"/>
      <c r="J917" s="86"/>
      <c r="K917" s="86"/>
      <c r="L917" s="87"/>
      <c r="M917" s="40"/>
    </row>
    <row r="918" spans="3:13">
      <c r="C918" s="40"/>
      <c r="D918" s="85"/>
      <c r="J918" s="86"/>
      <c r="K918" s="86"/>
      <c r="L918" s="87"/>
      <c r="M918" s="40"/>
    </row>
    <row r="919" spans="3:13">
      <c r="C919" s="40"/>
      <c r="D919" s="85"/>
      <c r="J919" s="86"/>
      <c r="K919" s="86"/>
      <c r="L919" s="87"/>
      <c r="M919" s="40"/>
    </row>
    <row r="920" spans="3:13">
      <c r="C920" s="40"/>
      <c r="D920" s="85"/>
      <c r="J920" s="86"/>
      <c r="K920" s="86"/>
      <c r="L920" s="87"/>
      <c r="M920" s="40"/>
    </row>
    <row r="921" spans="3:13">
      <c r="C921" s="40"/>
      <c r="D921" s="85"/>
      <c r="J921" s="86"/>
      <c r="K921" s="86"/>
      <c r="L921" s="87"/>
      <c r="M921" s="40"/>
    </row>
    <row r="922" spans="3:13">
      <c r="C922" s="40"/>
      <c r="D922" s="85"/>
      <c r="J922" s="86"/>
      <c r="K922" s="86"/>
      <c r="L922" s="87"/>
      <c r="M922" s="40"/>
    </row>
    <row r="923" spans="3:13">
      <c r="C923" s="40"/>
      <c r="D923" s="85"/>
      <c r="J923" s="86"/>
      <c r="K923" s="86"/>
      <c r="L923" s="87"/>
      <c r="M923" s="40"/>
    </row>
    <row r="924" spans="3:13">
      <c r="C924" s="40"/>
      <c r="D924" s="85"/>
      <c r="J924" s="86"/>
      <c r="K924" s="86"/>
      <c r="L924" s="87"/>
      <c r="M924" s="40"/>
    </row>
    <row r="925" spans="3:13">
      <c r="C925" s="40"/>
      <c r="D925" s="85"/>
      <c r="J925" s="86"/>
      <c r="K925" s="86"/>
      <c r="L925" s="87"/>
      <c r="M925" s="40"/>
    </row>
    <row r="926" spans="3:13">
      <c r="C926" s="40"/>
      <c r="D926" s="85"/>
      <c r="J926" s="86"/>
      <c r="K926" s="86"/>
      <c r="L926" s="87"/>
      <c r="M926" s="40"/>
    </row>
    <row r="927" spans="3:13">
      <c r="C927" s="40"/>
      <c r="D927" s="85"/>
      <c r="J927" s="86"/>
      <c r="K927" s="86"/>
      <c r="L927" s="87"/>
      <c r="M927" s="40"/>
    </row>
    <row r="928" spans="3:13">
      <c r="C928" s="40"/>
      <c r="D928" s="85"/>
      <c r="J928" s="86"/>
      <c r="K928" s="86"/>
      <c r="L928" s="87"/>
      <c r="M928" s="40"/>
    </row>
    <row r="929" spans="3:13">
      <c r="C929" s="40"/>
      <c r="D929" s="85"/>
      <c r="J929" s="86"/>
      <c r="K929" s="86"/>
      <c r="L929" s="87"/>
      <c r="M929" s="40"/>
    </row>
    <row r="930" spans="3:13">
      <c r="C930" s="40"/>
      <c r="D930" s="85"/>
      <c r="J930" s="86"/>
      <c r="K930" s="86"/>
      <c r="L930" s="87"/>
      <c r="M930" s="40"/>
    </row>
    <row r="931" spans="3:13">
      <c r="C931" s="40"/>
      <c r="D931" s="85"/>
      <c r="J931" s="86"/>
      <c r="K931" s="86"/>
      <c r="L931" s="87"/>
      <c r="M931" s="40"/>
    </row>
    <row r="932" spans="3:13">
      <c r="C932" s="40"/>
      <c r="D932" s="85"/>
      <c r="J932" s="86"/>
      <c r="K932" s="86"/>
      <c r="L932" s="87"/>
      <c r="M932" s="40"/>
    </row>
    <row r="933" spans="3:13">
      <c r="C933" s="40"/>
      <c r="D933" s="85"/>
      <c r="J933" s="86"/>
      <c r="K933" s="86"/>
      <c r="L933" s="87"/>
      <c r="M933" s="40"/>
    </row>
    <row r="934" spans="3:13">
      <c r="C934" s="40"/>
      <c r="D934" s="85"/>
      <c r="J934" s="86"/>
      <c r="K934" s="86"/>
      <c r="L934" s="87"/>
      <c r="M934" s="40"/>
    </row>
    <row r="935" spans="3:13">
      <c r="C935" s="40"/>
      <c r="D935" s="85"/>
      <c r="J935" s="86"/>
      <c r="K935" s="86"/>
      <c r="L935" s="87"/>
      <c r="M935" s="40"/>
    </row>
    <row r="936" spans="3:13">
      <c r="C936" s="40"/>
      <c r="D936" s="85"/>
      <c r="J936" s="86"/>
      <c r="K936" s="86"/>
      <c r="L936" s="87"/>
      <c r="M936" s="40"/>
    </row>
    <row r="937" spans="3:13">
      <c r="C937" s="40"/>
      <c r="D937" s="85"/>
      <c r="J937" s="86"/>
      <c r="K937" s="86"/>
      <c r="L937" s="87"/>
      <c r="M937" s="40"/>
    </row>
    <row r="938" spans="3:13">
      <c r="C938" s="40"/>
      <c r="D938" s="85"/>
      <c r="J938" s="86"/>
      <c r="K938" s="86"/>
      <c r="L938" s="87"/>
      <c r="M938" s="40"/>
    </row>
    <row r="939" spans="3:13">
      <c r="C939" s="40"/>
      <c r="D939" s="85"/>
      <c r="J939" s="86"/>
      <c r="K939" s="86"/>
      <c r="L939" s="87"/>
      <c r="M939" s="40"/>
    </row>
    <row r="940" spans="3:13">
      <c r="C940" s="40"/>
      <c r="D940" s="85"/>
      <c r="J940" s="86"/>
      <c r="K940" s="86"/>
      <c r="L940" s="87"/>
      <c r="M940" s="40"/>
    </row>
    <row r="941" spans="3:13">
      <c r="C941" s="40"/>
      <c r="D941" s="85"/>
      <c r="J941" s="86"/>
      <c r="K941" s="86"/>
      <c r="L941" s="87"/>
      <c r="M941" s="40"/>
    </row>
    <row r="942" spans="3:13">
      <c r="C942" s="40"/>
      <c r="D942" s="85"/>
      <c r="J942" s="86"/>
      <c r="K942" s="86"/>
      <c r="L942" s="87"/>
      <c r="M942" s="40"/>
    </row>
    <row r="943" spans="3:13">
      <c r="C943" s="40"/>
      <c r="D943" s="85"/>
      <c r="J943" s="86"/>
      <c r="K943" s="86"/>
      <c r="L943" s="87"/>
      <c r="M943" s="40"/>
    </row>
    <row r="944" spans="3:13">
      <c r="C944" s="40"/>
      <c r="D944" s="85"/>
      <c r="J944" s="86"/>
      <c r="K944" s="86"/>
      <c r="L944" s="87"/>
      <c r="M944" s="40"/>
    </row>
    <row r="945" spans="3:13">
      <c r="C945" s="40"/>
      <c r="D945" s="85"/>
      <c r="J945" s="86"/>
      <c r="K945" s="86"/>
      <c r="L945" s="87"/>
      <c r="M945" s="40"/>
    </row>
    <row r="946" spans="3:13">
      <c r="C946" s="40"/>
      <c r="D946" s="85"/>
      <c r="J946" s="86"/>
      <c r="K946" s="86"/>
      <c r="L946" s="87"/>
      <c r="M946" s="40"/>
    </row>
    <row r="947" spans="3:13">
      <c r="C947" s="40"/>
      <c r="D947" s="85"/>
      <c r="J947" s="86"/>
      <c r="K947" s="86"/>
      <c r="L947" s="87"/>
      <c r="M947" s="40"/>
    </row>
    <row r="948" spans="3:13">
      <c r="C948" s="40"/>
      <c r="D948" s="85"/>
      <c r="J948" s="86"/>
      <c r="K948" s="86"/>
      <c r="L948" s="87"/>
      <c r="M948" s="40"/>
    </row>
    <row r="949" spans="3:13">
      <c r="C949" s="40"/>
      <c r="D949" s="85"/>
      <c r="J949" s="86"/>
      <c r="K949" s="86"/>
      <c r="L949" s="87"/>
      <c r="M949" s="40"/>
    </row>
    <row r="950" spans="3:13">
      <c r="C950" s="40"/>
      <c r="D950" s="85"/>
      <c r="J950" s="86"/>
      <c r="K950" s="86"/>
      <c r="L950" s="87"/>
      <c r="M950" s="40"/>
    </row>
    <row r="951" spans="3:13">
      <c r="C951" s="40"/>
      <c r="D951" s="85"/>
      <c r="J951" s="86"/>
      <c r="K951" s="86"/>
      <c r="L951" s="87"/>
      <c r="M951" s="40"/>
    </row>
    <row r="952" spans="3:13">
      <c r="C952" s="40"/>
      <c r="D952" s="85"/>
      <c r="J952" s="86"/>
      <c r="K952" s="86"/>
      <c r="L952" s="87"/>
      <c r="M952" s="40"/>
    </row>
    <row r="953" spans="3:13">
      <c r="C953" s="40"/>
      <c r="D953" s="85"/>
      <c r="J953" s="86"/>
      <c r="K953" s="86"/>
      <c r="L953" s="87"/>
      <c r="M953" s="40"/>
    </row>
    <row r="954" spans="3:13">
      <c r="C954" s="40"/>
      <c r="D954" s="85"/>
      <c r="J954" s="86"/>
      <c r="K954" s="86"/>
      <c r="L954" s="87"/>
      <c r="M954" s="40"/>
    </row>
    <row r="955" spans="3:13">
      <c r="C955" s="40"/>
      <c r="D955" s="85"/>
      <c r="J955" s="86"/>
      <c r="K955" s="86"/>
      <c r="L955" s="87"/>
      <c r="M955" s="40"/>
    </row>
    <row r="956" spans="3:13">
      <c r="C956" s="40"/>
      <c r="D956" s="85"/>
      <c r="J956" s="86"/>
      <c r="K956" s="86"/>
      <c r="L956" s="87"/>
      <c r="M956" s="40"/>
    </row>
    <row r="957" spans="3:13">
      <c r="C957" s="40"/>
      <c r="D957" s="85"/>
      <c r="J957" s="86"/>
      <c r="K957" s="86"/>
      <c r="L957" s="87"/>
      <c r="M957" s="40"/>
    </row>
    <row r="958" spans="3:13">
      <c r="C958" s="40"/>
      <c r="D958" s="85"/>
      <c r="J958" s="86"/>
      <c r="K958" s="86"/>
      <c r="L958" s="87"/>
      <c r="M958" s="40"/>
    </row>
    <row r="959" spans="3:13">
      <c r="C959" s="40"/>
      <c r="D959" s="85"/>
      <c r="J959" s="86"/>
      <c r="K959" s="86"/>
      <c r="L959" s="87"/>
      <c r="M959" s="40"/>
    </row>
    <row r="960" spans="3:13">
      <c r="C960" s="40"/>
      <c r="D960" s="85"/>
      <c r="J960" s="86"/>
      <c r="K960" s="86"/>
      <c r="L960" s="87"/>
      <c r="M960" s="40"/>
    </row>
    <row r="961" spans="3:13">
      <c r="C961" s="40"/>
      <c r="D961" s="85"/>
      <c r="J961" s="86"/>
      <c r="K961" s="86"/>
      <c r="L961" s="87"/>
      <c r="M961" s="40"/>
    </row>
    <row r="962" spans="3:13">
      <c r="C962" s="40"/>
      <c r="D962" s="85"/>
      <c r="J962" s="86"/>
      <c r="K962" s="86"/>
      <c r="L962" s="87"/>
      <c r="M962" s="40"/>
    </row>
    <row r="963" spans="3:13">
      <c r="C963" s="40"/>
      <c r="D963" s="85"/>
      <c r="J963" s="86"/>
      <c r="K963" s="86"/>
      <c r="L963" s="87"/>
      <c r="M963" s="40"/>
    </row>
    <row r="964" spans="3:13">
      <c r="C964" s="40"/>
      <c r="D964" s="85"/>
      <c r="J964" s="86"/>
      <c r="K964" s="86"/>
      <c r="L964" s="87"/>
      <c r="M964" s="40"/>
    </row>
    <row r="965" spans="3:13">
      <c r="C965" s="40"/>
      <c r="D965" s="85"/>
      <c r="J965" s="86"/>
      <c r="K965" s="86"/>
      <c r="L965" s="87"/>
      <c r="M965" s="40"/>
    </row>
    <row r="966" spans="3:13">
      <c r="C966" s="40"/>
      <c r="D966" s="85"/>
      <c r="J966" s="86"/>
      <c r="K966" s="86"/>
      <c r="L966" s="87"/>
      <c r="M966" s="40"/>
    </row>
    <row r="967" spans="3:13">
      <c r="C967" s="40"/>
      <c r="D967" s="85"/>
      <c r="J967" s="86"/>
      <c r="K967" s="86"/>
      <c r="L967" s="87"/>
      <c r="M967" s="40"/>
    </row>
    <row r="968" spans="3:13">
      <c r="C968" s="40"/>
      <c r="D968" s="85"/>
      <c r="J968" s="86"/>
      <c r="K968" s="86"/>
      <c r="L968" s="87"/>
      <c r="M968" s="40"/>
    </row>
    <row r="969" spans="3:13">
      <c r="C969" s="40"/>
      <c r="D969" s="85"/>
      <c r="J969" s="86"/>
      <c r="K969" s="86"/>
      <c r="L969" s="87"/>
      <c r="M969" s="40"/>
    </row>
    <row r="970" spans="3:13">
      <c r="C970" s="40"/>
      <c r="D970" s="85"/>
      <c r="J970" s="86"/>
      <c r="K970" s="86"/>
      <c r="L970" s="87"/>
      <c r="M970" s="40"/>
    </row>
    <row r="971" spans="3:13">
      <c r="C971" s="40"/>
      <c r="D971" s="85"/>
      <c r="J971" s="86"/>
      <c r="K971" s="86"/>
      <c r="L971" s="87"/>
      <c r="M971" s="40"/>
    </row>
    <row r="972" spans="3:13">
      <c r="C972" s="40"/>
      <c r="D972" s="85"/>
      <c r="J972" s="86"/>
      <c r="K972" s="86"/>
      <c r="L972" s="87"/>
      <c r="M972" s="40"/>
    </row>
    <row r="973" spans="3:13">
      <c r="C973" s="40"/>
      <c r="D973" s="85"/>
      <c r="J973" s="86"/>
      <c r="K973" s="86"/>
      <c r="L973" s="87"/>
      <c r="M973" s="40"/>
    </row>
    <row r="974" spans="3:13">
      <c r="C974" s="40"/>
      <c r="D974" s="85"/>
      <c r="J974" s="86"/>
      <c r="K974" s="86"/>
      <c r="L974" s="87"/>
      <c r="M974" s="40"/>
    </row>
    <row r="975" spans="3:13">
      <c r="C975" s="40"/>
      <c r="D975" s="85"/>
      <c r="J975" s="86"/>
      <c r="K975" s="86"/>
      <c r="L975" s="87"/>
      <c r="M975" s="40"/>
    </row>
    <row r="976" spans="3:13">
      <c r="C976" s="40"/>
      <c r="D976" s="85"/>
      <c r="J976" s="86"/>
      <c r="K976" s="86"/>
      <c r="L976" s="87"/>
      <c r="M976" s="40"/>
    </row>
    <row r="977" spans="3:13">
      <c r="C977" s="40"/>
      <c r="D977" s="85"/>
      <c r="J977" s="86"/>
      <c r="K977" s="86"/>
      <c r="L977" s="87"/>
      <c r="M977" s="40"/>
    </row>
    <row r="978" spans="3:13">
      <c r="C978" s="40"/>
      <c r="D978" s="85"/>
      <c r="J978" s="86"/>
      <c r="K978" s="86"/>
      <c r="L978" s="87"/>
      <c r="M978" s="40"/>
    </row>
    <row r="979" spans="3:13">
      <c r="C979" s="40"/>
      <c r="D979" s="85"/>
      <c r="J979" s="86"/>
      <c r="K979" s="86"/>
      <c r="L979" s="87"/>
      <c r="M979" s="40"/>
    </row>
    <row r="980" spans="3:13">
      <c r="C980" s="40"/>
      <c r="D980" s="85"/>
      <c r="J980" s="86"/>
      <c r="K980" s="86"/>
      <c r="L980" s="87"/>
      <c r="M980" s="40"/>
    </row>
    <row r="981" spans="3:13">
      <c r="C981" s="40"/>
      <c r="D981" s="85"/>
      <c r="J981" s="86"/>
      <c r="K981" s="86"/>
      <c r="L981" s="87"/>
      <c r="M981" s="40"/>
    </row>
    <row r="982" spans="3:13">
      <c r="C982" s="40"/>
      <c r="D982" s="85"/>
      <c r="J982" s="86"/>
      <c r="K982" s="86"/>
      <c r="L982" s="87"/>
      <c r="M982" s="40"/>
    </row>
    <row r="983" spans="3:13">
      <c r="C983" s="40"/>
      <c r="D983" s="85"/>
      <c r="J983" s="86"/>
      <c r="K983" s="86"/>
      <c r="L983" s="87"/>
      <c r="M983" s="40"/>
    </row>
    <row r="984" spans="3:13">
      <c r="C984" s="40"/>
      <c r="D984" s="85"/>
      <c r="J984" s="86"/>
      <c r="K984" s="86"/>
      <c r="L984" s="87"/>
      <c r="M984" s="40"/>
    </row>
    <row r="985" spans="3:13">
      <c r="C985" s="40"/>
      <c r="D985" s="85"/>
      <c r="J985" s="86"/>
      <c r="K985" s="86"/>
      <c r="L985" s="87"/>
      <c r="M985" s="40"/>
    </row>
    <row r="986" spans="3:13">
      <c r="C986" s="40"/>
      <c r="D986" s="85"/>
      <c r="J986" s="86"/>
      <c r="K986" s="86"/>
      <c r="L986" s="87"/>
      <c r="M986" s="40"/>
    </row>
    <row r="987" spans="3:13">
      <c r="C987" s="40"/>
      <c r="D987" s="85"/>
      <c r="J987" s="86"/>
      <c r="K987" s="86"/>
      <c r="L987" s="87"/>
      <c r="M987" s="40"/>
    </row>
    <row r="988" spans="3:13">
      <c r="C988" s="40"/>
      <c r="D988" s="85"/>
      <c r="J988" s="86"/>
      <c r="K988" s="86"/>
      <c r="L988" s="87"/>
      <c r="M988" s="40"/>
    </row>
    <row r="989" spans="3:13">
      <c r="C989" s="40"/>
      <c r="D989" s="85"/>
      <c r="J989" s="86"/>
      <c r="K989" s="86"/>
      <c r="L989" s="87"/>
      <c r="M989" s="40"/>
    </row>
    <row r="990" spans="3:13">
      <c r="C990" s="40"/>
      <c r="D990" s="85"/>
      <c r="J990" s="86"/>
      <c r="K990" s="86"/>
      <c r="L990" s="87"/>
      <c r="M990" s="40"/>
    </row>
    <row r="991" spans="3:13">
      <c r="C991" s="40"/>
      <c r="D991" s="85"/>
      <c r="J991" s="86"/>
      <c r="K991" s="86"/>
      <c r="L991" s="87"/>
      <c r="M991" s="40"/>
    </row>
    <row r="992" spans="3:13">
      <c r="C992" s="40"/>
      <c r="D992" s="85"/>
      <c r="J992" s="86"/>
      <c r="K992" s="86"/>
      <c r="L992" s="87"/>
      <c r="M992" s="40"/>
    </row>
    <row r="993" spans="3:13">
      <c r="C993" s="40"/>
      <c r="D993" s="85"/>
      <c r="J993" s="86"/>
      <c r="K993" s="86"/>
      <c r="L993" s="87"/>
      <c r="M993" s="40"/>
    </row>
    <row r="994" spans="3:13">
      <c r="C994" s="40"/>
      <c r="D994" s="85"/>
      <c r="J994" s="86"/>
      <c r="K994" s="86"/>
      <c r="L994" s="87"/>
      <c r="M994" s="40"/>
    </row>
    <row r="995" spans="3:13">
      <c r="C995" s="40"/>
      <c r="D995" s="85"/>
      <c r="J995" s="86"/>
      <c r="K995" s="86"/>
      <c r="L995" s="87"/>
      <c r="M995" s="40"/>
    </row>
    <row r="996" spans="3:13">
      <c r="C996" s="40"/>
      <c r="D996" s="85"/>
      <c r="J996" s="86"/>
      <c r="K996" s="86"/>
      <c r="L996" s="87"/>
      <c r="M996" s="40"/>
    </row>
    <row r="997" spans="3:13">
      <c r="C997" s="40"/>
      <c r="D997" s="85"/>
      <c r="J997" s="86"/>
      <c r="K997" s="86"/>
      <c r="L997" s="87"/>
      <c r="M997" s="40"/>
    </row>
    <row r="998" spans="3:13">
      <c r="C998" s="40"/>
      <c r="D998" s="85"/>
      <c r="J998" s="86"/>
      <c r="K998" s="86"/>
      <c r="L998" s="87"/>
      <c r="M998" s="40"/>
    </row>
    <row r="999" spans="3:13">
      <c r="C999" s="40"/>
      <c r="D999" s="85"/>
      <c r="J999" s="86"/>
      <c r="K999" s="86"/>
      <c r="L999" s="87"/>
      <c r="M999" s="40"/>
    </row>
    <row r="1000" spans="3:13">
      <c r="C1000" s="40"/>
      <c r="D1000" s="85"/>
      <c r="J1000" s="86"/>
      <c r="K1000" s="86"/>
      <c r="L1000" s="87"/>
      <c r="M1000" s="4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outlinePr summaryBelow="0" summaryRight="0"/>
  </sheetPr>
  <dimension ref="A1:D345"/>
  <sheetViews>
    <sheetView topLeftCell="A21" workbookViewId="0">
      <selection activeCell="G12" sqref="G12"/>
    </sheetView>
  </sheetViews>
  <sheetFormatPr baseColWidth="10" defaultColWidth="12.5703125" defaultRowHeight="15" customHeight="1"/>
  <sheetData>
    <row r="1" spans="1:4" ht="45" customHeight="1">
      <c r="A1" s="33" t="s">
        <v>32</v>
      </c>
      <c r="B1" s="33" t="s">
        <v>33</v>
      </c>
      <c r="C1" s="88" t="s">
        <v>393</v>
      </c>
      <c r="D1" s="88" t="s">
        <v>394</v>
      </c>
    </row>
    <row r="2" spans="1:4" ht="12.75">
      <c r="A2" s="42">
        <v>10101</v>
      </c>
      <c r="B2" s="42" t="s">
        <v>47</v>
      </c>
      <c r="C2" s="45">
        <v>23.860048857796976</v>
      </c>
      <c r="D2" s="45">
        <v>11.441519380470394</v>
      </c>
    </row>
    <row r="3" spans="1:4" ht="12.75">
      <c r="A3" s="42">
        <v>10102</v>
      </c>
      <c r="B3" s="42" t="s">
        <v>50</v>
      </c>
      <c r="C3" s="45">
        <v>48.100414986419224</v>
      </c>
      <c r="D3" s="45">
        <v>16.733613731706143</v>
      </c>
    </row>
    <row r="4" spans="1:4" ht="12.75">
      <c r="A4" s="42">
        <v>10103</v>
      </c>
      <c r="B4" s="42" t="s">
        <v>53</v>
      </c>
      <c r="C4" s="45">
        <v>48.100414986419224</v>
      </c>
      <c r="D4" s="45">
        <v>16.733613731706143</v>
      </c>
    </row>
    <row r="5" spans="1:4" ht="12.75">
      <c r="A5" s="42">
        <v>10201</v>
      </c>
      <c r="B5" s="42" t="s">
        <v>56</v>
      </c>
      <c r="C5" s="45">
        <v>48.100414986419224</v>
      </c>
      <c r="D5" s="45">
        <v>16.733613731706143</v>
      </c>
    </row>
    <row r="6" spans="1:4" ht="12.75">
      <c r="A6" s="42">
        <v>10202</v>
      </c>
      <c r="B6" s="42" t="s">
        <v>58</v>
      </c>
      <c r="C6" s="45">
        <v>48.100414986419224</v>
      </c>
      <c r="D6" s="45">
        <v>16.733613731706143</v>
      </c>
    </row>
    <row r="7" spans="1:4" ht="12.75">
      <c r="A7" s="42">
        <v>10301</v>
      </c>
      <c r="B7" s="42" t="s">
        <v>60</v>
      </c>
      <c r="C7" s="45">
        <v>41.860320735486759</v>
      </c>
      <c r="D7" s="45">
        <v>14.734124907934612</v>
      </c>
    </row>
    <row r="8" spans="1:4" ht="12.75">
      <c r="A8" s="42">
        <v>10302</v>
      </c>
      <c r="B8" s="42" t="s">
        <v>62</v>
      </c>
      <c r="C8" s="45">
        <v>44.100354569154824</v>
      </c>
      <c r="D8" s="45">
        <v>15.696841749009794</v>
      </c>
    </row>
    <row r="9" spans="1:4" ht="12.75">
      <c r="A9" s="42">
        <v>10303</v>
      </c>
      <c r="B9" s="42" t="s">
        <v>64</v>
      </c>
      <c r="C9" s="45">
        <v>48.100414986419224</v>
      </c>
      <c r="D9" s="45">
        <v>15.167062658950671</v>
      </c>
    </row>
    <row r="10" spans="1:4" ht="12.75">
      <c r="A10" s="42">
        <v>10304</v>
      </c>
      <c r="B10" s="42" t="s">
        <v>65</v>
      </c>
      <c r="C10" s="45">
        <v>48.100414986419224</v>
      </c>
      <c r="D10" s="45">
        <v>16.733613731706143</v>
      </c>
    </row>
    <row r="11" spans="1:4" ht="12.75">
      <c r="A11" s="42">
        <v>10401</v>
      </c>
      <c r="B11" s="42" t="s">
        <v>66</v>
      </c>
      <c r="C11" s="45">
        <v>40.580301401962167</v>
      </c>
      <c r="D11" s="45">
        <v>14.181559620453594</v>
      </c>
    </row>
    <row r="12" spans="1:4" ht="12.75">
      <c r="A12" s="42">
        <v>10402</v>
      </c>
      <c r="B12" s="42" t="s">
        <v>68</v>
      </c>
      <c r="C12" s="45">
        <v>48.100414986419224</v>
      </c>
      <c r="D12" s="45">
        <v>15.497462521568188</v>
      </c>
    </row>
    <row r="13" spans="1:4" ht="12.75">
      <c r="A13" s="42">
        <v>10403</v>
      </c>
      <c r="B13" s="42" t="s">
        <v>69</v>
      </c>
      <c r="C13" s="45">
        <v>43.140340069011366</v>
      </c>
      <c r="D13" s="45">
        <v>16.596896547174754</v>
      </c>
    </row>
    <row r="14" spans="1:4" ht="12.75">
      <c r="A14" s="42">
        <v>10404</v>
      </c>
      <c r="B14" s="42" t="s">
        <v>70</v>
      </c>
      <c r="C14" s="45">
        <v>48.100414986419224</v>
      </c>
      <c r="D14" s="45">
        <v>16.733613731706143</v>
      </c>
    </row>
    <row r="15" spans="1:4" ht="12.75">
      <c r="A15" s="42">
        <v>10405</v>
      </c>
      <c r="B15" s="42" t="s">
        <v>71</v>
      </c>
      <c r="C15" s="45">
        <v>48.100414986419224</v>
      </c>
      <c r="D15" s="45">
        <v>16.733613731706143</v>
      </c>
    </row>
    <row r="16" spans="1:4" ht="12.75">
      <c r="A16" s="42">
        <v>10501</v>
      </c>
      <c r="B16" s="42" t="s">
        <v>72</v>
      </c>
      <c r="C16" s="45">
        <v>37.433587207047488</v>
      </c>
      <c r="D16" s="45">
        <v>13.731532221371115</v>
      </c>
    </row>
    <row r="17" spans="1:4" ht="12.75">
      <c r="A17" s="42">
        <v>10502</v>
      </c>
      <c r="B17" s="42" t="s">
        <v>73</v>
      </c>
      <c r="C17" s="45">
        <v>48.100414986419224</v>
      </c>
      <c r="D17" s="45">
        <v>16.733613731706143</v>
      </c>
    </row>
    <row r="18" spans="1:4" ht="12.75">
      <c r="A18" s="42">
        <v>10601</v>
      </c>
      <c r="B18" s="42" t="s">
        <v>74</v>
      </c>
      <c r="C18" s="45">
        <v>43.913685083015821</v>
      </c>
      <c r="D18" s="45">
        <v>15.480372873501766</v>
      </c>
    </row>
    <row r="19" spans="1:4" ht="12.75">
      <c r="A19" s="42">
        <v>10602</v>
      </c>
      <c r="B19" s="42" t="s">
        <v>75</v>
      </c>
      <c r="C19" s="45">
        <v>48.100414986419224</v>
      </c>
      <c r="D19" s="45">
        <v>16.733613731706143</v>
      </c>
    </row>
    <row r="20" spans="1:4" ht="12.75">
      <c r="A20" s="42">
        <v>10701</v>
      </c>
      <c r="B20" s="42" t="s">
        <v>76</v>
      </c>
      <c r="C20" s="45">
        <v>39.353616207334404</v>
      </c>
      <c r="D20" s="45">
        <v>14.660069766313448</v>
      </c>
    </row>
    <row r="21" spans="1:4" ht="12.75">
      <c r="A21" s="42">
        <v>10702</v>
      </c>
      <c r="B21" s="42" t="s">
        <v>77</v>
      </c>
      <c r="C21" s="45">
        <v>48.100414986419224</v>
      </c>
      <c r="D21" s="45">
        <v>16.181048444225123</v>
      </c>
    </row>
    <row r="22" spans="1:4" ht="12.75">
      <c r="A22" s="42">
        <v>10703</v>
      </c>
      <c r="B22" s="42" t="s">
        <v>78</v>
      </c>
      <c r="C22" s="45">
        <v>48.100414986419224</v>
      </c>
      <c r="D22" s="45">
        <v>15.776593439986438</v>
      </c>
    </row>
    <row r="23" spans="1:4" ht="12.75">
      <c r="A23" s="42">
        <v>10704</v>
      </c>
      <c r="B23" s="42" t="s">
        <v>79</v>
      </c>
      <c r="C23" s="45">
        <v>45.11370320819514</v>
      </c>
      <c r="D23" s="45">
        <v>15.679752100943368</v>
      </c>
    </row>
    <row r="24" spans="1:4" ht="12.75">
      <c r="A24" s="42">
        <v>10801</v>
      </c>
      <c r="B24" s="42" t="s">
        <v>80</v>
      </c>
      <c r="C24" s="45">
        <v>40.84697209644645</v>
      </c>
      <c r="D24" s="45">
        <v>14.603104272758703</v>
      </c>
    </row>
    <row r="25" spans="1:4" ht="12.75">
      <c r="A25" s="42">
        <v>10901</v>
      </c>
      <c r="B25" s="42" t="s">
        <v>81</v>
      </c>
      <c r="C25" s="45">
        <v>48.100414986419224</v>
      </c>
      <c r="D25" s="45">
        <v>14.437904341449947</v>
      </c>
    </row>
    <row r="26" spans="1:4" ht="12.75">
      <c r="A26" s="42">
        <v>10902</v>
      </c>
      <c r="B26" s="42" t="s">
        <v>82</v>
      </c>
      <c r="C26" s="45">
        <v>44.313691124742256</v>
      </c>
      <c r="D26" s="45">
        <v>15.463283225435344</v>
      </c>
    </row>
    <row r="27" spans="1:4" ht="12.75">
      <c r="A27" s="42">
        <v>10903</v>
      </c>
      <c r="B27" s="42" t="s">
        <v>83</v>
      </c>
      <c r="C27" s="45">
        <v>48.100414986419224</v>
      </c>
      <c r="D27" s="45">
        <v>16.733613731706143</v>
      </c>
    </row>
    <row r="28" spans="1:4" ht="12.75">
      <c r="A28" s="42">
        <v>11001</v>
      </c>
      <c r="B28" s="42" t="s">
        <v>84</v>
      </c>
      <c r="C28" s="45">
        <v>40.366964846374714</v>
      </c>
      <c r="D28" s="45">
        <v>14.523352581782062</v>
      </c>
    </row>
    <row r="29" spans="1:4" ht="12.75">
      <c r="A29" s="42">
        <v>11002</v>
      </c>
      <c r="B29" s="42" t="s">
        <v>85</v>
      </c>
      <c r="C29" s="45">
        <v>48.100414986419224</v>
      </c>
      <c r="D29" s="45">
        <v>16.733613731706143</v>
      </c>
    </row>
    <row r="30" spans="1:4" ht="12.75">
      <c r="A30" s="42">
        <v>11003</v>
      </c>
      <c r="B30" s="42" t="s">
        <v>86</v>
      </c>
      <c r="C30" s="45">
        <v>48.100414986419224</v>
      </c>
      <c r="D30" s="45">
        <v>16.733613731706143</v>
      </c>
    </row>
    <row r="31" spans="1:4" ht="12.75">
      <c r="A31" s="42">
        <v>20101</v>
      </c>
      <c r="B31" s="42" t="s">
        <v>87</v>
      </c>
      <c r="C31" s="45">
        <v>21.225472627595892</v>
      </c>
      <c r="D31" s="45">
        <v>14.230977522699416</v>
      </c>
    </row>
    <row r="32" spans="1:4" ht="12.75">
      <c r="A32" s="42">
        <v>20102</v>
      </c>
      <c r="B32" s="42" t="s">
        <v>88</v>
      </c>
      <c r="C32" s="45">
        <v>47.16445861110352</v>
      </c>
      <c r="D32" s="45">
        <v>21.46520999893686</v>
      </c>
    </row>
    <row r="33" spans="1:4" ht="12.75">
      <c r="A33" s="42">
        <v>20103</v>
      </c>
      <c r="B33" s="42" t="s">
        <v>89</v>
      </c>
      <c r="C33" s="45">
        <v>47.16445861110352</v>
      </c>
      <c r="D33" s="45">
        <v>21.46520999893686</v>
      </c>
    </row>
    <row r="34" spans="1:4" ht="12.75">
      <c r="A34" s="42">
        <v>20104</v>
      </c>
      <c r="B34" s="42" t="s">
        <v>90</v>
      </c>
      <c r="C34" s="45">
        <v>26.742736783362133</v>
      </c>
      <c r="D34" s="45">
        <v>15.173619936269748</v>
      </c>
    </row>
    <row r="35" spans="1:4" ht="12.75">
      <c r="A35" s="42">
        <v>20105</v>
      </c>
      <c r="B35" s="42" t="s">
        <v>91</v>
      </c>
      <c r="C35" s="45">
        <v>21.094731770824179</v>
      </c>
      <c r="D35" s="45">
        <v>14.165211772915441</v>
      </c>
    </row>
    <row r="36" spans="1:4" ht="12.75">
      <c r="A36" s="42">
        <v>20201</v>
      </c>
      <c r="B36" s="42" t="s">
        <v>92</v>
      </c>
      <c r="C36" s="45">
        <v>42.248602396487151</v>
      </c>
      <c r="D36" s="45">
        <v>20.011056198157821</v>
      </c>
    </row>
    <row r="37" spans="1:4" ht="12.75">
      <c r="A37" s="42">
        <v>20202</v>
      </c>
      <c r="B37" s="42" t="s">
        <v>93</v>
      </c>
      <c r="C37" s="45">
        <v>47.16445861110352</v>
      </c>
      <c r="D37" s="45">
        <v>21.46520999893686</v>
      </c>
    </row>
    <row r="38" spans="1:4" ht="12.75">
      <c r="A38" s="42">
        <v>20203</v>
      </c>
      <c r="B38" s="42" t="s">
        <v>94</v>
      </c>
      <c r="C38" s="45">
        <v>47.16445861110352</v>
      </c>
      <c r="D38" s="45">
        <v>21.46520999893686</v>
      </c>
    </row>
    <row r="39" spans="1:4" ht="12.75">
      <c r="A39" s="42">
        <v>20204</v>
      </c>
      <c r="B39" s="42" t="s">
        <v>95</v>
      </c>
      <c r="C39" s="45">
        <v>47.16445861110352</v>
      </c>
      <c r="D39" s="45">
        <v>21.46520999893686</v>
      </c>
    </row>
    <row r="40" spans="1:4" ht="12.75">
      <c r="A40" s="42">
        <v>20205</v>
      </c>
      <c r="B40" s="42" t="s">
        <v>96</v>
      </c>
      <c r="C40" s="45">
        <v>47.16445861110352</v>
      </c>
      <c r="D40" s="45">
        <v>21.46520999893686</v>
      </c>
    </row>
    <row r="41" spans="1:4" ht="12.75">
      <c r="A41" s="42">
        <v>20206</v>
      </c>
      <c r="B41" s="42" t="s">
        <v>97</v>
      </c>
      <c r="C41" s="45">
        <v>47.16445861110352</v>
      </c>
      <c r="D41" s="45">
        <v>21.46520999893686</v>
      </c>
    </row>
    <row r="42" spans="1:4" ht="12.75">
      <c r="A42" s="42">
        <v>20301</v>
      </c>
      <c r="B42" s="42" t="s">
        <v>98</v>
      </c>
      <c r="C42" s="45">
        <v>47.16445861110352</v>
      </c>
      <c r="D42" s="45">
        <v>20.274119197293725</v>
      </c>
    </row>
    <row r="43" spans="1:4" ht="12.75">
      <c r="A43" s="42">
        <v>20302</v>
      </c>
      <c r="B43" s="42" t="s">
        <v>99</v>
      </c>
      <c r="C43" s="45">
        <v>47.16445861110352</v>
      </c>
      <c r="D43" s="45">
        <v>21.46520999893686</v>
      </c>
    </row>
    <row r="44" spans="1:4" ht="12.75">
      <c r="A44" s="42">
        <v>20303</v>
      </c>
      <c r="B44" s="42" t="s">
        <v>100</v>
      </c>
      <c r="C44" s="45">
        <v>47.16445861110352</v>
      </c>
      <c r="D44" s="45">
        <v>21.46520999893686</v>
      </c>
    </row>
    <row r="45" spans="1:4" ht="12.75">
      <c r="A45" s="42">
        <v>20304</v>
      </c>
      <c r="B45" s="42" t="s">
        <v>101</v>
      </c>
      <c r="C45" s="45">
        <v>47.16445861110352</v>
      </c>
      <c r="D45" s="45">
        <v>21.46520999893686</v>
      </c>
    </row>
    <row r="46" spans="1:4" ht="12.75">
      <c r="A46" s="42">
        <v>20305</v>
      </c>
      <c r="B46" s="42" t="s">
        <v>102</v>
      </c>
      <c r="C46" s="45">
        <v>47.16445861110352</v>
      </c>
      <c r="D46" s="45">
        <v>21.46520999893686</v>
      </c>
    </row>
    <row r="47" spans="1:4" ht="12.75">
      <c r="A47" s="42">
        <v>20306</v>
      </c>
      <c r="B47" s="42" t="s">
        <v>103</v>
      </c>
      <c r="C47" s="45">
        <v>40.496674915746219</v>
      </c>
      <c r="D47" s="45">
        <v>19.141486839903013</v>
      </c>
    </row>
    <row r="48" spans="1:4" ht="12.75">
      <c r="A48" s="42">
        <v>20307</v>
      </c>
      <c r="B48" s="42" t="s">
        <v>104</v>
      </c>
      <c r="C48" s="45">
        <v>47.16445861110352</v>
      </c>
      <c r="D48" s="45">
        <v>21.46520999893686</v>
      </c>
    </row>
    <row r="49" spans="1:4" ht="12.75">
      <c r="A49" s="42">
        <v>20308</v>
      </c>
      <c r="B49" s="42" t="s">
        <v>105</v>
      </c>
      <c r="C49" s="45">
        <v>47.16445861110352</v>
      </c>
      <c r="D49" s="45">
        <v>21.46520999893686</v>
      </c>
    </row>
    <row r="50" spans="1:4" ht="12.75">
      <c r="A50" s="42">
        <v>20401</v>
      </c>
      <c r="B50" s="42" t="s">
        <v>106</v>
      </c>
      <c r="C50" s="45">
        <v>47.16445861110352</v>
      </c>
      <c r="D50" s="45">
        <v>21.46520999893686</v>
      </c>
    </row>
    <row r="51" spans="1:4" ht="12.75">
      <c r="A51" s="42">
        <v>20402</v>
      </c>
      <c r="B51" s="42" t="s">
        <v>107</v>
      </c>
      <c r="C51" s="45">
        <v>47.16445861110352</v>
      </c>
      <c r="D51" s="45">
        <v>21.46520999893686</v>
      </c>
    </row>
    <row r="52" spans="1:4" ht="12.75">
      <c r="A52" s="42">
        <v>20403</v>
      </c>
      <c r="B52" s="42" t="s">
        <v>108</v>
      </c>
      <c r="C52" s="45">
        <v>47.16445861110352</v>
      </c>
      <c r="D52" s="45">
        <v>21.46520999893686</v>
      </c>
    </row>
    <row r="53" spans="1:4" ht="12.75">
      <c r="A53" s="42">
        <v>20404</v>
      </c>
      <c r="B53" s="42" t="s">
        <v>109</v>
      </c>
      <c r="C53" s="45">
        <v>47.16445861110352</v>
      </c>
      <c r="D53" s="45">
        <v>21.46520999893686</v>
      </c>
    </row>
    <row r="54" spans="1:4" ht="12.75">
      <c r="A54" s="42">
        <v>20405</v>
      </c>
      <c r="B54" s="42" t="s">
        <v>110</v>
      </c>
      <c r="C54" s="45">
        <v>47.16445861110352</v>
      </c>
      <c r="D54" s="45">
        <v>21.46520999893686</v>
      </c>
    </row>
    <row r="55" spans="1:4" ht="12.75">
      <c r="A55" s="42">
        <v>20501</v>
      </c>
      <c r="B55" s="42" t="s">
        <v>111</v>
      </c>
      <c r="C55" s="45">
        <v>47.16445861110352</v>
      </c>
      <c r="D55" s="45">
        <v>21.46520999893686</v>
      </c>
    </row>
    <row r="56" spans="1:4" ht="12.75">
      <c r="A56" s="42">
        <v>20502</v>
      </c>
      <c r="B56" s="42" t="s">
        <v>112</v>
      </c>
      <c r="C56" s="45">
        <v>47.16445861110352</v>
      </c>
      <c r="D56" s="45">
        <v>21.46520999893686</v>
      </c>
    </row>
    <row r="57" spans="1:4" ht="12.75">
      <c r="A57" s="42">
        <v>20503</v>
      </c>
      <c r="B57" s="42" t="s">
        <v>113</v>
      </c>
      <c r="C57" s="45">
        <v>47.16445861110352</v>
      </c>
      <c r="D57" s="45">
        <v>21.46520999893686</v>
      </c>
    </row>
    <row r="58" spans="1:4" ht="12.75">
      <c r="A58" s="42">
        <v>20601</v>
      </c>
      <c r="B58" s="42" t="s">
        <v>114</v>
      </c>
      <c r="C58" s="45">
        <v>44.078974391291119</v>
      </c>
      <c r="D58" s="45">
        <v>20.515260279834973</v>
      </c>
    </row>
    <row r="59" spans="1:4" ht="12.75">
      <c r="A59" s="42">
        <v>20602</v>
      </c>
      <c r="B59" s="42" t="s">
        <v>115</v>
      </c>
      <c r="C59" s="45">
        <v>39.26771086209213</v>
      </c>
      <c r="D59" s="45">
        <v>19.433779061165129</v>
      </c>
    </row>
    <row r="60" spans="1:4" ht="12.75">
      <c r="A60" s="42">
        <v>20603</v>
      </c>
      <c r="B60" s="42" t="s">
        <v>116</v>
      </c>
      <c r="C60" s="45">
        <v>47.16445861110352</v>
      </c>
      <c r="D60" s="45">
        <v>21.46520999893686</v>
      </c>
    </row>
    <row r="61" spans="1:4" ht="12.75">
      <c r="A61" s="42">
        <v>20604</v>
      </c>
      <c r="B61" s="42" t="s">
        <v>117</v>
      </c>
      <c r="C61" s="45">
        <v>47.16445861110352</v>
      </c>
      <c r="D61" s="45">
        <v>21.46520999893686</v>
      </c>
    </row>
    <row r="62" spans="1:4" ht="12.75">
      <c r="A62" s="42">
        <v>20605</v>
      </c>
      <c r="B62" s="42" t="s">
        <v>118</v>
      </c>
      <c r="C62" s="45">
        <v>47.16445861110352</v>
      </c>
      <c r="D62" s="45">
        <v>21.46520999893686</v>
      </c>
    </row>
    <row r="63" spans="1:4" ht="12.75">
      <c r="A63" s="42">
        <v>20606</v>
      </c>
      <c r="B63" s="42" t="s">
        <v>119</v>
      </c>
      <c r="C63" s="45">
        <v>40.444378573037532</v>
      </c>
      <c r="D63" s="45">
        <v>19.273018339470969</v>
      </c>
    </row>
    <row r="64" spans="1:4" ht="12.75">
      <c r="A64" s="42">
        <v>20607</v>
      </c>
      <c r="B64" s="42" t="s">
        <v>120</v>
      </c>
      <c r="C64" s="45">
        <v>37.437338867288162</v>
      </c>
      <c r="D64" s="45">
        <v>18.030776399106962</v>
      </c>
    </row>
    <row r="65" spans="1:4" ht="12.75">
      <c r="A65" s="42">
        <v>20608</v>
      </c>
      <c r="B65" s="42" t="s">
        <v>121</v>
      </c>
      <c r="C65" s="45">
        <v>47.16445861110352</v>
      </c>
      <c r="D65" s="45">
        <v>19.981826976031606</v>
      </c>
    </row>
    <row r="66" spans="1:4" ht="12.75">
      <c r="A66" s="42">
        <v>20701</v>
      </c>
      <c r="B66" s="42" t="s">
        <v>122</v>
      </c>
      <c r="C66" s="45">
        <v>40.418230401683189</v>
      </c>
      <c r="D66" s="45">
        <v>19.29494025606563</v>
      </c>
    </row>
    <row r="67" spans="1:4" ht="12.75">
      <c r="A67" s="42">
        <v>20702</v>
      </c>
      <c r="B67" s="42" t="s">
        <v>123</v>
      </c>
      <c r="C67" s="45">
        <v>47.16445861110352</v>
      </c>
      <c r="D67" s="45">
        <v>21.46520999893686</v>
      </c>
    </row>
    <row r="68" spans="1:4" ht="12.75">
      <c r="A68" s="42">
        <v>20801</v>
      </c>
      <c r="B68" s="42" t="s">
        <v>124</v>
      </c>
      <c r="C68" s="45">
        <v>28.233182550559651</v>
      </c>
      <c r="D68" s="45">
        <v>15.612058268162926</v>
      </c>
    </row>
    <row r="69" spans="1:4" ht="12.75">
      <c r="A69" s="42">
        <v>20802</v>
      </c>
      <c r="B69" s="42" t="s">
        <v>125</v>
      </c>
      <c r="C69" s="45">
        <v>47.16445861110352</v>
      </c>
      <c r="D69" s="45">
        <v>21.46520999893686</v>
      </c>
    </row>
    <row r="70" spans="1:4" ht="12.75">
      <c r="A70" s="42">
        <v>20803</v>
      </c>
      <c r="B70" s="42" t="s">
        <v>126</v>
      </c>
      <c r="C70" s="45">
        <v>44.392752447543231</v>
      </c>
      <c r="D70" s="45">
        <v>21.362907721495116</v>
      </c>
    </row>
    <row r="71" spans="1:4" ht="12.75">
      <c r="A71" s="42">
        <v>20804</v>
      </c>
      <c r="B71" s="42" t="s">
        <v>127</v>
      </c>
      <c r="C71" s="45">
        <v>33.253631450593382</v>
      </c>
      <c r="D71" s="45">
        <v>16.949295180437119</v>
      </c>
    </row>
    <row r="72" spans="1:4" ht="12.75">
      <c r="A72" s="42">
        <v>20805</v>
      </c>
      <c r="B72" s="42" t="s">
        <v>128</v>
      </c>
      <c r="C72" s="45">
        <v>47.16445861110352</v>
      </c>
      <c r="D72" s="45">
        <v>21.46520999893686</v>
      </c>
    </row>
    <row r="73" spans="1:4" ht="12.75">
      <c r="A73" s="42">
        <v>20806</v>
      </c>
      <c r="B73" s="42" t="s">
        <v>129</v>
      </c>
      <c r="C73" s="45">
        <v>47.16445861110352</v>
      </c>
      <c r="D73" s="45">
        <v>21.46520999893686</v>
      </c>
    </row>
    <row r="74" spans="1:4" ht="12.75">
      <c r="A74" s="42">
        <v>20807</v>
      </c>
      <c r="B74" s="42" t="s">
        <v>130</v>
      </c>
      <c r="C74" s="45">
        <v>47.16445861110352</v>
      </c>
      <c r="D74" s="45">
        <v>21.46520999893686</v>
      </c>
    </row>
    <row r="75" spans="1:4" ht="12.75">
      <c r="A75" s="42">
        <v>20901</v>
      </c>
      <c r="B75" s="42" t="s">
        <v>131</v>
      </c>
      <c r="C75" s="45">
        <v>47.16445861110352</v>
      </c>
      <c r="D75" s="45">
        <v>21.46520999893686</v>
      </c>
    </row>
    <row r="76" spans="1:4" ht="12.75">
      <c r="A76" s="42">
        <v>20902</v>
      </c>
      <c r="B76" s="42" t="s">
        <v>132</v>
      </c>
      <c r="C76" s="45">
        <v>47.16445861110352</v>
      </c>
      <c r="D76" s="45">
        <v>21.46520999893686</v>
      </c>
    </row>
    <row r="77" spans="1:4" ht="12.75">
      <c r="A77" s="42">
        <v>20903</v>
      </c>
      <c r="B77" s="42" t="s">
        <v>133</v>
      </c>
      <c r="C77" s="45">
        <v>47.16445861110352</v>
      </c>
      <c r="D77" s="45">
        <v>20.259504586230616</v>
      </c>
    </row>
    <row r="78" spans="1:4" ht="12.75">
      <c r="A78" s="42">
        <v>20904</v>
      </c>
      <c r="B78" s="42" t="s">
        <v>134</v>
      </c>
      <c r="C78" s="45">
        <v>47.16445861110352</v>
      </c>
      <c r="D78" s="45">
        <v>21.46520999893686</v>
      </c>
    </row>
    <row r="79" spans="1:4" ht="12.75">
      <c r="A79" s="42">
        <v>20905</v>
      </c>
      <c r="B79" s="42" t="s">
        <v>135</v>
      </c>
      <c r="C79" s="45">
        <v>47.16445861110352</v>
      </c>
      <c r="D79" s="45">
        <v>21.46520999893686</v>
      </c>
    </row>
    <row r="80" spans="1:4" ht="12.75">
      <c r="A80" s="42">
        <v>21001</v>
      </c>
      <c r="B80" s="42" t="s">
        <v>136</v>
      </c>
      <c r="C80" s="45">
        <v>47.16445861110352</v>
      </c>
      <c r="D80" s="45">
        <v>21.46520999893686</v>
      </c>
    </row>
    <row r="81" spans="1:4" ht="12.75">
      <c r="A81" s="42">
        <v>21002</v>
      </c>
      <c r="B81" s="42" t="s">
        <v>137</v>
      </c>
      <c r="C81" s="45">
        <v>37.698820580831587</v>
      </c>
      <c r="D81" s="45">
        <v>18.483829342063245</v>
      </c>
    </row>
    <row r="82" spans="1:4" ht="12.75">
      <c r="A82" s="42">
        <v>21003</v>
      </c>
      <c r="B82" s="42" t="s">
        <v>138</v>
      </c>
      <c r="C82" s="45">
        <v>47.16445861110352</v>
      </c>
      <c r="D82" s="45">
        <v>20.551796807492735</v>
      </c>
    </row>
    <row r="83" spans="1:4" ht="12.75">
      <c r="A83" s="42">
        <v>21004</v>
      </c>
      <c r="B83" s="42" t="s">
        <v>139</v>
      </c>
      <c r="C83" s="45">
        <v>40.026007831368062</v>
      </c>
      <c r="D83" s="45">
        <v>19.397242533507363</v>
      </c>
    </row>
    <row r="84" spans="1:4" ht="12.75">
      <c r="A84" s="42">
        <v>21005</v>
      </c>
      <c r="B84" s="42" t="s">
        <v>140</v>
      </c>
      <c r="C84" s="45">
        <v>47.16445861110352</v>
      </c>
      <c r="D84" s="45">
        <v>20.011056198157821</v>
      </c>
    </row>
    <row r="85" spans="1:4" ht="12.75">
      <c r="A85" s="42">
        <v>21006</v>
      </c>
      <c r="B85" s="42" t="s">
        <v>141</v>
      </c>
      <c r="C85" s="45">
        <v>40.078304174076749</v>
      </c>
      <c r="D85" s="45">
        <v>18.206151731864232</v>
      </c>
    </row>
    <row r="86" spans="1:4" ht="12.75">
      <c r="A86" s="42">
        <v>21101</v>
      </c>
      <c r="B86" s="42" t="s">
        <v>142</v>
      </c>
      <c r="C86" s="45">
        <v>43.268381079306515</v>
      </c>
      <c r="D86" s="45">
        <v>20.44218722451944</v>
      </c>
    </row>
    <row r="87" spans="1:4" ht="12.75">
      <c r="A87" s="42">
        <v>21102</v>
      </c>
      <c r="B87" s="42" t="s">
        <v>143</v>
      </c>
      <c r="C87" s="45">
        <v>47.16445861110352</v>
      </c>
      <c r="D87" s="45">
        <v>20.676021001529136</v>
      </c>
    </row>
    <row r="88" spans="1:4" ht="12.75">
      <c r="A88" s="42">
        <v>21103</v>
      </c>
      <c r="B88" s="42" t="s">
        <v>144</v>
      </c>
      <c r="C88" s="45">
        <v>47.16445861110352</v>
      </c>
      <c r="D88" s="45">
        <v>21.46520999893686</v>
      </c>
    </row>
    <row r="89" spans="1:4" ht="12.75">
      <c r="A89" s="42">
        <v>21104</v>
      </c>
      <c r="B89" s="42" t="s">
        <v>145</v>
      </c>
      <c r="C89" s="45">
        <v>41.804083483463337</v>
      </c>
      <c r="D89" s="45">
        <v>19.448393672228239</v>
      </c>
    </row>
    <row r="90" spans="1:4" ht="12.75">
      <c r="A90" s="42">
        <v>21105</v>
      </c>
      <c r="B90" s="42" t="s">
        <v>146</v>
      </c>
      <c r="C90" s="45">
        <v>46.170828099638513</v>
      </c>
      <c r="D90" s="45">
        <v>21.004849750449022</v>
      </c>
    </row>
    <row r="91" spans="1:4" ht="12.75">
      <c r="A91" s="42">
        <v>21201</v>
      </c>
      <c r="B91" s="42" t="s">
        <v>147</v>
      </c>
      <c r="C91" s="45">
        <v>47.16445861110352</v>
      </c>
      <c r="D91" s="45">
        <v>19.331476783723389</v>
      </c>
    </row>
    <row r="92" spans="1:4" ht="12.75">
      <c r="A92" s="42">
        <v>21202</v>
      </c>
      <c r="B92" s="42" t="s">
        <v>148</v>
      </c>
      <c r="C92" s="45">
        <v>47.16445861110352</v>
      </c>
      <c r="D92" s="45">
        <v>19.57261786626464</v>
      </c>
    </row>
    <row r="93" spans="1:4" ht="12.75">
      <c r="A93" s="42">
        <v>21203</v>
      </c>
      <c r="B93" s="42" t="s">
        <v>149</v>
      </c>
      <c r="C93" s="45">
        <v>44.994160388693096</v>
      </c>
      <c r="D93" s="45">
        <v>20.449494530050991</v>
      </c>
    </row>
    <row r="94" spans="1:4" ht="12.75">
      <c r="A94" s="42">
        <v>21204</v>
      </c>
      <c r="B94" s="42" t="s">
        <v>150</v>
      </c>
      <c r="C94" s="45">
        <v>47.16445861110352</v>
      </c>
      <c r="D94" s="45">
        <v>21.46520999893686</v>
      </c>
    </row>
    <row r="95" spans="1:4" ht="12.75">
      <c r="A95" s="42">
        <v>21301</v>
      </c>
      <c r="B95" s="42" t="s">
        <v>151</v>
      </c>
      <c r="C95" s="45">
        <v>38.849340120422653</v>
      </c>
      <c r="D95" s="45">
        <v>19.338784089254943</v>
      </c>
    </row>
    <row r="96" spans="1:4" ht="12.75">
      <c r="A96" s="42">
        <v>21302</v>
      </c>
      <c r="B96" s="42" t="s">
        <v>152</v>
      </c>
      <c r="C96" s="45">
        <v>47.16445861110352</v>
      </c>
      <c r="D96" s="45">
        <v>21.46520999893686</v>
      </c>
    </row>
    <row r="97" spans="1:4" ht="12.75">
      <c r="A97" s="42">
        <v>21303</v>
      </c>
      <c r="B97" s="42" t="s">
        <v>153</v>
      </c>
      <c r="C97" s="45">
        <v>47.16445861110352</v>
      </c>
      <c r="D97" s="45">
        <v>21.46520999893686</v>
      </c>
    </row>
    <row r="98" spans="1:4" ht="12.75">
      <c r="A98" s="42">
        <v>21304</v>
      </c>
      <c r="B98" s="42" t="s">
        <v>154</v>
      </c>
      <c r="C98" s="45">
        <v>47.16445861110352</v>
      </c>
      <c r="D98" s="45">
        <v>21.46520999893686</v>
      </c>
    </row>
    <row r="99" spans="1:4" ht="12.75">
      <c r="A99" s="42">
        <v>21305</v>
      </c>
      <c r="B99" s="42" t="s">
        <v>155</v>
      </c>
      <c r="C99" s="45">
        <v>34.979410759979977</v>
      </c>
      <c r="D99" s="45">
        <v>17.58503076168223</v>
      </c>
    </row>
    <row r="100" spans="1:4" ht="12.75">
      <c r="A100" s="42">
        <v>21306</v>
      </c>
      <c r="B100" s="42" t="s">
        <v>156</v>
      </c>
      <c r="C100" s="45">
        <v>39.189266348029093</v>
      </c>
      <c r="D100" s="45">
        <v>17.270816623825453</v>
      </c>
    </row>
    <row r="101" spans="1:4" ht="12.75">
      <c r="A101" s="42">
        <v>21307</v>
      </c>
      <c r="B101" s="42" t="s">
        <v>157</v>
      </c>
      <c r="C101" s="45">
        <v>37.777265094894609</v>
      </c>
      <c r="D101" s="45">
        <v>16.635081042580342</v>
      </c>
    </row>
    <row r="102" spans="1:4" ht="12.75">
      <c r="A102" s="42">
        <v>21401</v>
      </c>
      <c r="B102" s="42" t="s">
        <v>158</v>
      </c>
      <c r="C102" s="45">
        <v>43.45141827878691</v>
      </c>
      <c r="D102" s="45">
        <v>20.727172140250012</v>
      </c>
    </row>
    <row r="103" spans="1:4" ht="12.75">
      <c r="A103" s="42">
        <v>21402</v>
      </c>
      <c r="B103" s="42" t="s">
        <v>159</v>
      </c>
      <c r="C103" s="45">
        <v>45.334086616299565</v>
      </c>
      <c r="D103" s="45">
        <v>20.588333335150502</v>
      </c>
    </row>
    <row r="104" spans="1:4" ht="12.75">
      <c r="A104" s="42">
        <v>21501</v>
      </c>
      <c r="B104" s="42" t="s">
        <v>160</v>
      </c>
      <c r="C104" s="45">
        <v>39.999859660013719</v>
      </c>
      <c r="D104" s="45">
        <v>18.659204674820515</v>
      </c>
    </row>
    <row r="105" spans="1:4" ht="12.75">
      <c r="A105" s="42">
        <v>21502</v>
      </c>
      <c r="B105" s="42" t="s">
        <v>161</v>
      </c>
      <c r="C105" s="45">
        <v>37.097412639681707</v>
      </c>
      <c r="D105" s="45">
        <v>18.286532092711319</v>
      </c>
    </row>
    <row r="106" spans="1:4" ht="12.75">
      <c r="A106" s="42">
        <v>21601</v>
      </c>
      <c r="B106" s="42" t="s">
        <v>162</v>
      </c>
      <c r="C106" s="45">
        <v>42.928454851700053</v>
      </c>
      <c r="D106" s="45">
        <v>20.135280392194215</v>
      </c>
    </row>
    <row r="107" spans="1:4" ht="12.75">
      <c r="A107" s="42">
        <v>21602</v>
      </c>
      <c r="B107" s="42" t="s">
        <v>163</v>
      </c>
      <c r="C107" s="45">
        <v>47.16445861110352</v>
      </c>
      <c r="D107" s="45">
        <v>21.46520999893686</v>
      </c>
    </row>
    <row r="108" spans="1:4" ht="12.75">
      <c r="A108" s="42">
        <v>21701</v>
      </c>
      <c r="B108" s="42" t="s">
        <v>164</v>
      </c>
      <c r="C108" s="45">
        <v>38.064894979792378</v>
      </c>
      <c r="D108" s="45">
        <v>18.900345757361762</v>
      </c>
    </row>
    <row r="109" spans="1:4" ht="12.75">
      <c r="A109" s="42">
        <v>21702</v>
      </c>
      <c r="B109" s="42" t="s">
        <v>165</v>
      </c>
      <c r="C109" s="45">
        <v>47.16445861110352</v>
      </c>
      <c r="D109" s="45">
        <v>21.46520999893686</v>
      </c>
    </row>
    <row r="110" spans="1:4" ht="12.75">
      <c r="A110" s="42">
        <v>21703</v>
      </c>
      <c r="B110" s="42" t="s">
        <v>166</v>
      </c>
      <c r="C110" s="45">
        <v>37.986450465729348</v>
      </c>
      <c r="D110" s="45">
        <v>17.891937594007455</v>
      </c>
    </row>
    <row r="111" spans="1:4" ht="12.75">
      <c r="A111" s="42">
        <v>21801</v>
      </c>
      <c r="B111" s="42" t="s">
        <v>167</v>
      </c>
      <c r="C111" s="45">
        <v>47.16445861110352</v>
      </c>
      <c r="D111" s="45">
        <v>21.46520999893686</v>
      </c>
    </row>
    <row r="112" spans="1:4" ht="12.75">
      <c r="A112" s="42">
        <v>21802</v>
      </c>
      <c r="B112" s="42" t="s">
        <v>168</v>
      </c>
      <c r="C112" s="45">
        <v>47.16445861110352</v>
      </c>
      <c r="D112" s="45">
        <v>21.46520999893686</v>
      </c>
    </row>
    <row r="113" spans="1:4" ht="12.75">
      <c r="A113" s="42">
        <v>21803</v>
      </c>
      <c r="B113" s="42" t="s">
        <v>169</v>
      </c>
      <c r="C113" s="45">
        <v>47.16445861110352</v>
      </c>
      <c r="D113" s="45">
        <v>21.46520999893686</v>
      </c>
    </row>
    <row r="114" spans="1:4" ht="12.75">
      <c r="A114" s="42">
        <v>21901</v>
      </c>
      <c r="B114" s="42" t="s">
        <v>170</v>
      </c>
      <c r="C114" s="45">
        <v>47.16445861110352</v>
      </c>
      <c r="D114" s="45">
        <v>21.46520999893686</v>
      </c>
    </row>
    <row r="115" spans="1:4" ht="12.75">
      <c r="A115" s="42">
        <v>21902</v>
      </c>
      <c r="B115" s="42" t="s">
        <v>171</v>
      </c>
      <c r="C115" s="45">
        <v>47.16445861110352</v>
      </c>
      <c r="D115" s="45">
        <v>21.46520999893686</v>
      </c>
    </row>
    <row r="116" spans="1:4" ht="12.75">
      <c r="A116" s="42">
        <v>22001</v>
      </c>
      <c r="B116" s="42" t="s">
        <v>172</v>
      </c>
      <c r="C116" s="45">
        <v>40.104452345431085</v>
      </c>
      <c r="D116" s="45">
        <v>18.96611150714574</v>
      </c>
    </row>
    <row r="117" spans="1:4" ht="12.75">
      <c r="A117" s="42">
        <v>22002</v>
      </c>
      <c r="B117" s="42" t="s">
        <v>173</v>
      </c>
      <c r="C117" s="45">
        <v>47.16445861110352</v>
      </c>
      <c r="D117" s="45">
        <v>21.46520999893686</v>
      </c>
    </row>
    <row r="118" spans="1:4" ht="12.75">
      <c r="A118" s="42">
        <v>30101</v>
      </c>
      <c r="B118" s="42" t="s">
        <v>55</v>
      </c>
      <c r="C118" s="45">
        <v>21.200462629128602</v>
      </c>
      <c r="D118" s="45">
        <v>10.955909491112356</v>
      </c>
    </row>
    <row r="119" spans="1:4" ht="12.75">
      <c r="A119" s="42">
        <v>30201</v>
      </c>
      <c r="B119" s="42" t="s">
        <v>174</v>
      </c>
      <c r="C119" s="45">
        <v>39.216172040748923</v>
      </c>
      <c r="D119" s="45">
        <v>14.467455191231469</v>
      </c>
    </row>
    <row r="120" spans="1:4" ht="12.75">
      <c r="A120" s="42">
        <v>30202</v>
      </c>
      <c r="B120" s="42" t="s">
        <v>175</v>
      </c>
      <c r="C120" s="45">
        <v>39.9019823551005</v>
      </c>
      <c r="D120" s="45">
        <v>14.128175413442181</v>
      </c>
    </row>
    <row r="121" spans="1:4" ht="12.75">
      <c r="A121" s="42">
        <v>30203</v>
      </c>
      <c r="B121" s="42" t="s">
        <v>176</v>
      </c>
      <c r="C121" s="45">
        <v>47.577782411881635</v>
      </c>
      <c r="D121" s="45">
        <v>16.610572454267121</v>
      </c>
    </row>
    <row r="122" spans="1:4" ht="12.75">
      <c r="A122" s="42">
        <v>30301</v>
      </c>
      <c r="B122" s="42" t="s">
        <v>177</v>
      </c>
      <c r="C122" s="45">
        <v>46.865594777747297</v>
      </c>
      <c r="D122" s="45">
        <v>16.610572454267121</v>
      </c>
    </row>
    <row r="123" spans="1:4" ht="12.75">
      <c r="A123" s="42">
        <v>30302</v>
      </c>
      <c r="B123" s="42" t="s">
        <v>178</v>
      </c>
      <c r="C123" s="45">
        <v>47.577782411881635</v>
      </c>
      <c r="D123" s="45">
        <v>16.610572454267121</v>
      </c>
    </row>
    <row r="124" spans="1:4" ht="12.75">
      <c r="A124" s="42">
        <v>30303</v>
      </c>
      <c r="B124" s="42" t="s">
        <v>179</v>
      </c>
      <c r="C124" s="45">
        <v>47.577782411881635</v>
      </c>
      <c r="D124" s="45">
        <v>16.610572454267121</v>
      </c>
    </row>
    <row r="125" spans="1:4" ht="12.75">
      <c r="A125" s="42">
        <v>30401</v>
      </c>
      <c r="B125" s="42" t="s">
        <v>180</v>
      </c>
      <c r="C125" s="45">
        <v>35.892629748122047</v>
      </c>
      <c r="D125" s="45">
        <v>14.303469965299977</v>
      </c>
    </row>
    <row r="126" spans="1:4" ht="12.75">
      <c r="A126" s="42">
        <v>30402</v>
      </c>
      <c r="B126" s="42" t="s">
        <v>181</v>
      </c>
      <c r="C126" s="45">
        <v>47.577782411881635</v>
      </c>
      <c r="D126" s="45">
        <v>16.610572454267121</v>
      </c>
    </row>
    <row r="127" spans="1:4" ht="12.75">
      <c r="A127" s="42">
        <v>30403</v>
      </c>
      <c r="B127" s="42" t="s">
        <v>182</v>
      </c>
      <c r="C127" s="45">
        <v>44.14873084012374</v>
      </c>
      <c r="D127" s="45">
        <v>12.935041528216525</v>
      </c>
    </row>
    <row r="128" spans="1:4" ht="12.75">
      <c r="A128" s="42">
        <v>30404</v>
      </c>
      <c r="B128" s="42" t="s">
        <v>183</v>
      </c>
      <c r="C128" s="45">
        <v>47.577782411881635</v>
      </c>
      <c r="D128" s="45">
        <v>16.610572454267121</v>
      </c>
    </row>
    <row r="129" spans="1:4" ht="12.75">
      <c r="A129" s="42">
        <v>30501</v>
      </c>
      <c r="B129" s="42" t="s">
        <v>184</v>
      </c>
      <c r="C129" s="45">
        <v>38.398475127483572</v>
      </c>
      <c r="D129" s="45">
        <v>14.467455191231469</v>
      </c>
    </row>
    <row r="130" spans="1:4" ht="12.75">
      <c r="A130" s="42">
        <v>30502</v>
      </c>
      <c r="B130" s="42" t="s">
        <v>185</v>
      </c>
      <c r="C130" s="45">
        <v>47.577782411881635</v>
      </c>
      <c r="D130" s="45">
        <v>16.610572454267121</v>
      </c>
    </row>
    <row r="131" spans="1:4" ht="12.75">
      <c r="A131" s="42">
        <v>30601</v>
      </c>
      <c r="B131" s="42" t="s">
        <v>186</v>
      </c>
      <c r="C131" s="45">
        <v>47.577782411881635</v>
      </c>
      <c r="D131" s="45">
        <v>16.610572454267121</v>
      </c>
    </row>
    <row r="132" spans="1:4" ht="12.75">
      <c r="A132" s="42">
        <v>30602</v>
      </c>
      <c r="B132" s="42" t="s">
        <v>187</v>
      </c>
      <c r="C132" s="45">
        <v>47.577782411881635</v>
      </c>
      <c r="D132" s="45">
        <v>16.610572454267121</v>
      </c>
    </row>
    <row r="133" spans="1:4" ht="12.75">
      <c r="A133" s="42">
        <v>30701</v>
      </c>
      <c r="B133" s="42" t="s">
        <v>188</v>
      </c>
      <c r="C133" s="45">
        <v>35.391460672249728</v>
      </c>
      <c r="D133" s="45">
        <v>14.026391480105394</v>
      </c>
    </row>
    <row r="134" spans="1:4" ht="12.75">
      <c r="A134" s="42">
        <v>30702</v>
      </c>
      <c r="B134" s="42" t="s">
        <v>189</v>
      </c>
      <c r="C134" s="45">
        <v>47.577782411881635</v>
      </c>
      <c r="D134" s="45">
        <v>16.610572454267121</v>
      </c>
    </row>
    <row r="135" spans="1:4" ht="12.75">
      <c r="A135" s="42">
        <v>30703</v>
      </c>
      <c r="B135" s="42" t="s">
        <v>190</v>
      </c>
      <c r="C135" s="45">
        <v>47.577782411881635</v>
      </c>
      <c r="D135" s="45">
        <v>16.610572454267121</v>
      </c>
    </row>
    <row r="136" spans="1:4" ht="12.75">
      <c r="A136" s="42">
        <v>30801</v>
      </c>
      <c r="B136" s="42" t="s">
        <v>191</v>
      </c>
      <c r="C136" s="45">
        <v>34.652895718332651</v>
      </c>
      <c r="D136" s="45">
        <v>13.641874398610872</v>
      </c>
    </row>
    <row r="137" spans="1:4" ht="12.75">
      <c r="A137" s="42">
        <v>30802</v>
      </c>
      <c r="B137" s="42" t="s">
        <v>192</v>
      </c>
      <c r="C137" s="45">
        <v>47.577782411881635</v>
      </c>
      <c r="D137" s="45">
        <v>16.610572454267121</v>
      </c>
    </row>
    <row r="138" spans="1:4" ht="12.75">
      <c r="A138" s="42">
        <v>30803</v>
      </c>
      <c r="B138" s="42" t="s">
        <v>193</v>
      </c>
      <c r="C138" s="45">
        <v>33.386784368760495</v>
      </c>
      <c r="D138" s="45">
        <v>14.953756206062778</v>
      </c>
    </row>
    <row r="139" spans="1:4" ht="12.75">
      <c r="A139" s="42">
        <v>30901</v>
      </c>
      <c r="B139" s="42" t="s">
        <v>194</v>
      </c>
      <c r="C139" s="45">
        <v>24.392118322841714</v>
      </c>
      <c r="D139" s="45">
        <v>11.216023987417476</v>
      </c>
    </row>
    <row r="140" spans="1:4" ht="12.75">
      <c r="A140" s="42">
        <v>30902</v>
      </c>
      <c r="B140" s="42" t="s">
        <v>195</v>
      </c>
      <c r="C140" s="45">
        <v>40.851565867279611</v>
      </c>
      <c r="D140" s="45">
        <v>12.9633148430323</v>
      </c>
    </row>
    <row r="141" spans="1:4" ht="12.75">
      <c r="A141" s="42">
        <v>30903</v>
      </c>
      <c r="B141" s="42" t="s">
        <v>196</v>
      </c>
      <c r="C141" s="45">
        <v>25.394456474586331</v>
      </c>
      <c r="D141" s="45">
        <v>11.295189268901645</v>
      </c>
    </row>
    <row r="142" spans="1:4" ht="12.75">
      <c r="A142" s="42">
        <v>30904</v>
      </c>
      <c r="B142" s="42" t="s">
        <v>197</v>
      </c>
      <c r="C142" s="45">
        <v>30.010487436568109</v>
      </c>
      <c r="D142" s="45">
        <v>11.855000902253964</v>
      </c>
    </row>
    <row r="143" spans="1:4" ht="12.75">
      <c r="A143" s="42">
        <v>30905</v>
      </c>
      <c r="B143" s="42" t="s">
        <v>198</v>
      </c>
      <c r="C143" s="45">
        <v>21.279594588476858</v>
      </c>
      <c r="D143" s="45">
        <v>10.955909491112356</v>
      </c>
    </row>
    <row r="144" spans="1:4" ht="12.75">
      <c r="A144" s="42">
        <v>31001</v>
      </c>
      <c r="B144" s="42" t="s">
        <v>199</v>
      </c>
      <c r="C144" s="45">
        <v>25.394456474586331</v>
      </c>
      <c r="D144" s="45">
        <v>11.657087698543547</v>
      </c>
    </row>
    <row r="145" spans="1:4" ht="12.75">
      <c r="A145" s="42">
        <v>31002</v>
      </c>
      <c r="B145" s="42" t="s">
        <v>200</v>
      </c>
      <c r="C145" s="45">
        <v>42.117677216851753</v>
      </c>
      <c r="D145" s="45">
        <v>15.502258513488789</v>
      </c>
    </row>
    <row r="146" spans="1:4" ht="12.75">
      <c r="A146" s="42">
        <v>31003</v>
      </c>
      <c r="B146" s="42" t="s">
        <v>201</v>
      </c>
      <c r="C146" s="45">
        <v>44.702654555561551</v>
      </c>
      <c r="D146" s="45">
        <v>15.932012898688551</v>
      </c>
    </row>
    <row r="147" spans="1:4" ht="12.75">
      <c r="A147" s="42">
        <v>31101</v>
      </c>
      <c r="B147" s="42" t="s">
        <v>202</v>
      </c>
      <c r="C147" s="45">
        <v>47.577782411881635</v>
      </c>
      <c r="D147" s="45">
        <v>16.610572454267121</v>
      </c>
    </row>
    <row r="148" spans="1:4" ht="12.75">
      <c r="A148" s="42">
        <v>31201</v>
      </c>
      <c r="B148" s="42" t="s">
        <v>203</v>
      </c>
      <c r="C148" s="45">
        <v>47.577782411881635</v>
      </c>
      <c r="D148" s="45">
        <v>16.610572454267121</v>
      </c>
    </row>
    <row r="149" spans="1:4" ht="12.75">
      <c r="A149" s="42">
        <v>31202</v>
      </c>
      <c r="B149" s="42" t="s">
        <v>204</v>
      </c>
      <c r="C149" s="45">
        <v>47.577782411881635</v>
      </c>
      <c r="D149" s="45">
        <v>16.610572454267121</v>
      </c>
    </row>
    <row r="150" spans="1:4" ht="12.75">
      <c r="A150" s="42">
        <v>31203</v>
      </c>
      <c r="B150" s="42" t="s">
        <v>205</v>
      </c>
      <c r="C150" s="45">
        <v>47.577782411881635</v>
      </c>
      <c r="D150" s="45">
        <v>16.610572454267121</v>
      </c>
    </row>
    <row r="151" spans="1:4" ht="12.75">
      <c r="A151" s="42">
        <v>31204</v>
      </c>
      <c r="B151" s="42" t="s">
        <v>206</v>
      </c>
      <c r="C151" s="45">
        <v>40.244887512276293</v>
      </c>
      <c r="D151" s="45">
        <v>14.433527213452539</v>
      </c>
    </row>
    <row r="152" spans="1:4" ht="12.75">
      <c r="A152" s="42">
        <v>31205</v>
      </c>
      <c r="B152" s="42" t="s">
        <v>207</v>
      </c>
      <c r="C152" s="45">
        <v>41.405489582717415</v>
      </c>
      <c r="D152" s="45">
        <v>14.637095080126109</v>
      </c>
    </row>
    <row r="153" spans="1:4" ht="12.75">
      <c r="A153" s="42">
        <v>31206</v>
      </c>
      <c r="B153" s="42" t="s">
        <v>208</v>
      </c>
      <c r="C153" s="45">
        <v>37.475268935087222</v>
      </c>
      <c r="D153" s="45">
        <v>13.172537372669026</v>
      </c>
    </row>
    <row r="154" spans="1:4" ht="12.75">
      <c r="A154" s="42">
        <v>31301</v>
      </c>
      <c r="B154" s="42" t="s">
        <v>209</v>
      </c>
      <c r="C154" s="45">
        <v>43.436543205989409</v>
      </c>
      <c r="D154" s="45">
        <v>14.925482891247004</v>
      </c>
    </row>
    <row r="155" spans="1:4" ht="12.75">
      <c r="A155" s="42">
        <v>31302</v>
      </c>
      <c r="B155" s="42" t="s">
        <v>210</v>
      </c>
      <c r="C155" s="45">
        <v>47.577782411881635</v>
      </c>
      <c r="D155" s="45">
        <v>16.610572454267121</v>
      </c>
    </row>
    <row r="156" spans="1:4" ht="12.75">
      <c r="A156" s="42">
        <v>31303</v>
      </c>
      <c r="B156" s="42" t="s">
        <v>211</v>
      </c>
      <c r="C156" s="45">
        <v>47.577782411881635</v>
      </c>
      <c r="D156" s="45">
        <v>16.610572454267121</v>
      </c>
    </row>
    <row r="157" spans="1:4" ht="12.75">
      <c r="A157" s="42">
        <v>31304</v>
      </c>
      <c r="B157" s="42" t="s">
        <v>212</v>
      </c>
      <c r="C157" s="45">
        <v>47.577782411881635</v>
      </c>
      <c r="D157" s="45">
        <v>16.610572454267121</v>
      </c>
    </row>
    <row r="158" spans="1:4" ht="12.75">
      <c r="A158" s="42">
        <v>31401</v>
      </c>
      <c r="B158" s="42" t="s">
        <v>213</v>
      </c>
      <c r="C158" s="45">
        <v>30.77542971026795</v>
      </c>
      <c r="D158" s="45">
        <v>12.380884557827358</v>
      </c>
    </row>
    <row r="159" spans="1:4" ht="12.75">
      <c r="A159" s="42">
        <v>31402</v>
      </c>
      <c r="B159" s="42" t="s">
        <v>214</v>
      </c>
      <c r="C159" s="45">
        <v>47.577782411881635</v>
      </c>
      <c r="D159" s="45">
        <v>14.993338846804857</v>
      </c>
    </row>
    <row r="160" spans="1:4" ht="12.75">
      <c r="A160" s="42">
        <v>31403</v>
      </c>
      <c r="B160" s="42" t="s">
        <v>215</v>
      </c>
      <c r="C160" s="45">
        <v>35.523347271163495</v>
      </c>
      <c r="D160" s="45">
        <v>13.04813478747962</v>
      </c>
    </row>
    <row r="161" spans="1:4" ht="12.75">
      <c r="A161" s="42">
        <v>31404</v>
      </c>
      <c r="B161" s="42" t="s">
        <v>216</v>
      </c>
      <c r="C161" s="45">
        <v>47.577782411881635</v>
      </c>
      <c r="D161" s="45">
        <v>16.610572454267121</v>
      </c>
    </row>
    <row r="162" spans="1:4" ht="12.75">
      <c r="A162" s="42">
        <v>31405</v>
      </c>
      <c r="B162" s="42" t="s">
        <v>217</v>
      </c>
      <c r="C162" s="45">
        <v>47.577782411881635</v>
      </c>
      <c r="D162" s="45">
        <v>16.610572454267121</v>
      </c>
    </row>
    <row r="163" spans="1:4" ht="12.75">
      <c r="A163" s="42">
        <v>31501</v>
      </c>
      <c r="B163" s="42" t="s">
        <v>218</v>
      </c>
      <c r="C163" s="45">
        <v>47.577782411881635</v>
      </c>
      <c r="D163" s="45">
        <v>16.610572454267121</v>
      </c>
    </row>
    <row r="164" spans="1:4" ht="12.75">
      <c r="A164" s="42">
        <v>31601</v>
      </c>
      <c r="B164" s="42" t="s">
        <v>219</v>
      </c>
      <c r="C164" s="45">
        <v>45.678615387523415</v>
      </c>
      <c r="D164" s="45">
        <v>15.835883628314921</v>
      </c>
    </row>
    <row r="165" spans="1:4" ht="12.75">
      <c r="A165" s="42">
        <v>31602</v>
      </c>
      <c r="B165" s="42" t="s">
        <v>220</v>
      </c>
      <c r="C165" s="45">
        <v>40.21851019249354</v>
      </c>
      <c r="D165" s="45">
        <v>14.851972272725988</v>
      </c>
    </row>
    <row r="166" spans="1:4" ht="12.75">
      <c r="A166" s="42">
        <v>40101</v>
      </c>
      <c r="B166" s="42" t="s">
        <v>57</v>
      </c>
      <c r="C166" s="45">
        <v>22.792590228271965</v>
      </c>
      <c r="D166" s="45">
        <v>20.424945551288037</v>
      </c>
    </row>
    <row r="167" spans="1:4" ht="12.75">
      <c r="A167" s="42">
        <v>40102</v>
      </c>
      <c r="B167" s="42" t="s">
        <v>221</v>
      </c>
      <c r="C167" s="45">
        <v>44.770212840823746</v>
      </c>
      <c r="D167" s="45">
        <v>27.57235875581619</v>
      </c>
    </row>
    <row r="168" spans="1:4" ht="12.75">
      <c r="A168" s="42">
        <v>40103</v>
      </c>
      <c r="B168" s="42" t="s">
        <v>222</v>
      </c>
      <c r="C168" s="45">
        <v>51.150812954145223</v>
      </c>
      <c r="D168" s="45">
        <v>30.966852932597995</v>
      </c>
    </row>
    <row r="169" spans="1:4" ht="12.75">
      <c r="A169" s="42">
        <v>40104</v>
      </c>
      <c r="B169" s="42" t="s">
        <v>223</v>
      </c>
      <c r="C169" s="45">
        <v>51.150812954145223</v>
      </c>
      <c r="D169" s="45">
        <v>30.966852932597995</v>
      </c>
    </row>
    <row r="170" spans="1:4" ht="12.75">
      <c r="A170" s="42">
        <v>40201</v>
      </c>
      <c r="B170" s="42" t="s">
        <v>224</v>
      </c>
      <c r="C170" s="45">
        <v>39.977673200151152</v>
      </c>
      <c r="D170" s="45">
        <v>27.045263386750687</v>
      </c>
    </row>
    <row r="171" spans="1:4" ht="12.75">
      <c r="A171" s="42">
        <v>40202</v>
      </c>
      <c r="B171" s="42" t="s">
        <v>225</v>
      </c>
      <c r="C171" s="45">
        <v>51.150812954145223</v>
      </c>
      <c r="D171" s="45">
        <v>30.966852932597995</v>
      </c>
    </row>
    <row r="172" spans="1:4" ht="12.75">
      <c r="A172" s="42">
        <v>40301</v>
      </c>
      <c r="B172" s="42" t="s">
        <v>226</v>
      </c>
      <c r="C172" s="45">
        <v>51.150812954145223</v>
      </c>
      <c r="D172" s="45">
        <v>30.966852932597995</v>
      </c>
    </row>
    <row r="173" spans="1:4" ht="12.75">
      <c r="A173" s="42">
        <v>40302</v>
      </c>
      <c r="B173" s="42" t="s">
        <v>227</v>
      </c>
      <c r="C173" s="45">
        <v>51.150812954145223</v>
      </c>
      <c r="D173" s="45">
        <v>30.966852932597995</v>
      </c>
    </row>
    <row r="174" spans="1:4" ht="12.75">
      <c r="A174" s="42">
        <v>40401</v>
      </c>
      <c r="B174" s="42" t="s">
        <v>228</v>
      </c>
      <c r="C174" s="45">
        <v>51.150812954145223</v>
      </c>
      <c r="D174" s="45">
        <v>30.966852932597995</v>
      </c>
    </row>
    <row r="175" spans="1:4" ht="12.75">
      <c r="A175" s="42">
        <v>40402</v>
      </c>
      <c r="B175" s="42" t="s">
        <v>229</v>
      </c>
      <c r="C175" s="45">
        <v>51.150812954145223</v>
      </c>
      <c r="D175" s="45">
        <v>30.966852932597995</v>
      </c>
    </row>
    <row r="176" spans="1:4" ht="12.75">
      <c r="A176" s="42">
        <v>40501</v>
      </c>
      <c r="B176" s="42" t="s">
        <v>230</v>
      </c>
      <c r="C176" s="45">
        <v>51.150812954145223</v>
      </c>
      <c r="D176" s="45">
        <v>21.626722992757372</v>
      </c>
    </row>
    <row r="177" spans="1:4" ht="12.75">
      <c r="A177" s="42">
        <v>40502</v>
      </c>
      <c r="B177" s="42" t="s">
        <v>231</v>
      </c>
      <c r="C177" s="45">
        <v>51.150812954145223</v>
      </c>
      <c r="D177" s="45">
        <v>24.947423817870007</v>
      </c>
    </row>
    <row r="178" spans="1:4" ht="12.75">
      <c r="A178" s="42">
        <v>40503</v>
      </c>
      <c r="B178" s="42" t="s">
        <v>232</v>
      </c>
      <c r="C178" s="45">
        <v>51.150812954145223</v>
      </c>
      <c r="D178" s="45">
        <v>30.966852932597995</v>
      </c>
    </row>
    <row r="179" spans="1:4" ht="12.75">
      <c r="A179" s="42">
        <v>40504</v>
      </c>
      <c r="B179" s="42" t="s">
        <v>233</v>
      </c>
      <c r="C179" s="45">
        <v>51.150812954145223</v>
      </c>
      <c r="D179" s="45">
        <v>30.966852932597995</v>
      </c>
    </row>
    <row r="180" spans="1:4" ht="12.75">
      <c r="A180" s="42">
        <v>40505</v>
      </c>
      <c r="B180" s="42" t="s">
        <v>234</v>
      </c>
      <c r="C180" s="45">
        <v>51.150812954145223</v>
      </c>
      <c r="D180" s="45">
        <v>30.966852932597995</v>
      </c>
    </row>
    <row r="181" spans="1:4" ht="12.75">
      <c r="A181" s="42">
        <v>40601</v>
      </c>
      <c r="B181" s="42" t="s">
        <v>235</v>
      </c>
      <c r="C181" s="45">
        <v>42.444838577302136</v>
      </c>
      <c r="D181" s="45">
        <v>25.632647797655153</v>
      </c>
    </row>
    <row r="182" spans="1:4" ht="12.75">
      <c r="A182" s="42">
        <v>40602</v>
      </c>
      <c r="B182" s="42" t="s">
        <v>236</v>
      </c>
      <c r="C182" s="45">
        <v>51.150812954145223</v>
      </c>
      <c r="D182" s="45">
        <v>30.966852932597995</v>
      </c>
    </row>
    <row r="183" spans="1:4" ht="12.75">
      <c r="A183" s="42">
        <v>40603</v>
      </c>
      <c r="B183" s="42" t="s">
        <v>237</v>
      </c>
      <c r="C183" s="45">
        <v>51.150812954145223</v>
      </c>
      <c r="D183" s="45">
        <v>30.966852932597995</v>
      </c>
    </row>
    <row r="184" spans="1:4" ht="12.75">
      <c r="A184" s="42">
        <v>40701</v>
      </c>
      <c r="B184" s="42" t="s">
        <v>238</v>
      </c>
      <c r="C184" s="45">
        <v>28.265727214365501</v>
      </c>
      <c r="D184" s="45">
        <v>22.438449861118237</v>
      </c>
    </row>
    <row r="185" spans="1:4" ht="12.75">
      <c r="A185" s="42">
        <v>40702</v>
      </c>
      <c r="B185" s="42" t="s">
        <v>239</v>
      </c>
      <c r="C185" s="45">
        <v>35.411999341285565</v>
      </c>
      <c r="D185" s="45">
        <v>25.453435372172891</v>
      </c>
    </row>
    <row r="186" spans="1:4" ht="12.75">
      <c r="A186" s="42">
        <v>40801</v>
      </c>
      <c r="B186" s="42" t="s">
        <v>240</v>
      </c>
      <c r="C186" s="45">
        <v>51.150812954145223</v>
      </c>
      <c r="D186" s="45">
        <v>30.966852932597995</v>
      </c>
    </row>
    <row r="187" spans="1:4" ht="12.75">
      <c r="A187" s="42">
        <v>40802</v>
      </c>
      <c r="B187" s="42" t="s">
        <v>241</v>
      </c>
      <c r="C187" s="45">
        <v>51.150812954145223</v>
      </c>
      <c r="D187" s="45">
        <v>30.966852932597995</v>
      </c>
    </row>
    <row r="188" spans="1:4" ht="12.75">
      <c r="A188" s="42">
        <v>40901</v>
      </c>
      <c r="B188" s="42" t="s">
        <v>242</v>
      </c>
      <c r="C188" s="45">
        <v>51.150812954145223</v>
      </c>
      <c r="D188" s="45">
        <v>29.058767696580894</v>
      </c>
    </row>
    <row r="189" spans="1:4" ht="12.75">
      <c r="A189" s="42">
        <v>40902</v>
      </c>
      <c r="B189" s="42" t="s">
        <v>243</v>
      </c>
      <c r="C189" s="45">
        <v>51.150812954145223</v>
      </c>
      <c r="D189" s="45">
        <v>30.966852932597995</v>
      </c>
    </row>
    <row r="190" spans="1:4" ht="12.75">
      <c r="A190" s="42">
        <v>40903</v>
      </c>
      <c r="B190" s="42" t="s">
        <v>244</v>
      </c>
      <c r="C190" s="45">
        <v>51.150812954145223</v>
      </c>
      <c r="D190" s="45">
        <v>30.966852932597995</v>
      </c>
    </row>
    <row r="191" spans="1:4" ht="12.75">
      <c r="A191" s="42">
        <v>41001</v>
      </c>
      <c r="B191" s="42" t="s">
        <v>245</v>
      </c>
      <c r="C191" s="45">
        <v>51.150812954145223</v>
      </c>
      <c r="D191" s="45">
        <v>30.966852932597995</v>
      </c>
    </row>
    <row r="192" spans="1:4" ht="12.75">
      <c r="A192" s="42">
        <v>41101</v>
      </c>
      <c r="B192" s="42" t="s">
        <v>246</v>
      </c>
      <c r="C192" s="45">
        <v>37.453791377548441</v>
      </c>
      <c r="D192" s="45">
        <v>26.570877554591739</v>
      </c>
    </row>
    <row r="193" spans="1:4" ht="12.75">
      <c r="A193" s="42">
        <v>41201</v>
      </c>
      <c r="B193" s="42" t="s">
        <v>247</v>
      </c>
      <c r="C193" s="45">
        <v>51.150812954145223</v>
      </c>
      <c r="D193" s="45">
        <v>30.966852932597995</v>
      </c>
    </row>
    <row r="194" spans="1:4" ht="12.75">
      <c r="A194" s="42">
        <v>41202</v>
      </c>
      <c r="B194" s="42" t="s">
        <v>248</v>
      </c>
      <c r="C194" s="45">
        <v>51.150812954145223</v>
      </c>
      <c r="D194" s="45">
        <v>30.966852932597995</v>
      </c>
    </row>
    <row r="195" spans="1:4" ht="12.75">
      <c r="A195" s="42">
        <v>41301</v>
      </c>
      <c r="B195" s="42" t="s">
        <v>203</v>
      </c>
      <c r="C195" s="45">
        <v>51.150812954145223</v>
      </c>
      <c r="D195" s="45">
        <v>30.966852932597995</v>
      </c>
    </row>
    <row r="196" spans="1:4" ht="12.75">
      <c r="A196" s="42">
        <v>41401</v>
      </c>
      <c r="B196" s="42" t="s">
        <v>249</v>
      </c>
      <c r="C196" s="45">
        <v>42.161256350043395</v>
      </c>
      <c r="D196" s="45">
        <v>27.593442570578809</v>
      </c>
    </row>
    <row r="197" spans="1:4" ht="12.75">
      <c r="A197" s="42">
        <v>41501</v>
      </c>
      <c r="B197" s="42" t="s">
        <v>250</v>
      </c>
      <c r="C197" s="45">
        <v>51.150812954145223</v>
      </c>
      <c r="D197" s="45">
        <v>30.966852932597995</v>
      </c>
    </row>
    <row r="198" spans="1:4" ht="12.75">
      <c r="A198" s="42">
        <v>41502</v>
      </c>
      <c r="B198" s="42" t="s">
        <v>251</v>
      </c>
      <c r="C198" s="45">
        <v>51.150812954145223</v>
      </c>
      <c r="D198" s="45">
        <v>30.966852932597995</v>
      </c>
    </row>
    <row r="199" spans="1:4" ht="12.75">
      <c r="A199" s="42">
        <v>41503</v>
      </c>
      <c r="B199" s="42" t="s">
        <v>252</v>
      </c>
      <c r="C199" s="45">
        <v>51.150812954145223</v>
      </c>
      <c r="D199" s="45">
        <v>30.966852932597995</v>
      </c>
    </row>
    <row r="200" spans="1:4" ht="12.75">
      <c r="A200" s="42">
        <v>41601</v>
      </c>
      <c r="B200" s="42" t="s">
        <v>253</v>
      </c>
      <c r="C200" s="45">
        <v>51.150812954145223</v>
      </c>
      <c r="D200" s="45">
        <v>30.966852932597995</v>
      </c>
    </row>
    <row r="201" spans="1:4" ht="12.75">
      <c r="A201" s="42">
        <v>50101</v>
      </c>
      <c r="B201" s="42" t="s">
        <v>59</v>
      </c>
      <c r="C201" s="45">
        <v>27.1889053373439</v>
      </c>
      <c r="D201" s="45">
        <v>21.683981504065535</v>
      </c>
    </row>
    <row r="202" spans="1:4" ht="12.75">
      <c r="A202" s="42">
        <v>50102</v>
      </c>
      <c r="B202" s="42" t="s">
        <v>254</v>
      </c>
      <c r="C202" s="45">
        <v>55.430706900053593</v>
      </c>
      <c r="D202" s="45">
        <v>31.385412992457507</v>
      </c>
    </row>
    <row r="203" spans="1:4" ht="12.75">
      <c r="A203" s="42">
        <v>50103</v>
      </c>
      <c r="B203" s="42" t="s">
        <v>255</v>
      </c>
      <c r="C203" s="45">
        <v>55.430706900053593</v>
      </c>
      <c r="D203" s="45">
        <v>31.385412992457507</v>
      </c>
    </row>
    <row r="204" spans="1:4" ht="12.75">
      <c r="A204" s="42">
        <v>50104</v>
      </c>
      <c r="B204" s="42" t="s">
        <v>256</v>
      </c>
      <c r="C204" s="45">
        <v>55.430706900053593</v>
      </c>
      <c r="D204" s="45">
        <v>31.385412992457507</v>
      </c>
    </row>
    <row r="205" spans="1:4" ht="12.75">
      <c r="A205" s="42">
        <v>50201</v>
      </c>
      <c r="B205" s="42" t="s">
        <v>257</v>
      </c>
      <c r="C205" s="45">
        <v>44.121693869501733</v>
      </c>
      <c r="D205" s="45">
        <v>27.058232647965493</v>
      </c>
    </row>
    <row r="206" spans="1:4" ht="12.75">
      <c r="A206" s="42">
        <v>50202</v>
      </c>
      <c r="B206" s="42" t="s">
        <v>258</v>
      </c>
      <c r="C206" s="45">
        <v>50.851785863226887</v>
      </c>
      <c r="D206" s="45">
        <v>29.504959311888136</v>
      </c>
    </row>
    <row r="207" spans="1:4" ht="12.75">
      <c r="A207" s="42">
        <v>50203</v>
      </c>
      <c r="B207" s="42" t="s">
        <v>259</v>
      </c>
      <c r="C207" s="45">
        <v>29.862503526631979</v>
      </c>
      <c r="D207" s="45">
        <v>22.057935360996943</v>
      </c>
    </row>
    <row r="208" spans="1:4" ht="12.75">
      <c r="A208" s="42">
        <v>50204</v>
      </c>
      <c r="B208" s="42" t="s">
        <v>260</v>
      </c>
      <c r="C208" s="45">
        <v>55.430706900053593</v>
      </c>
      <c r="D208" s="45">
        <v>28.970739516271834</v>
      </c>
    </row>
    <row r="209" spans="1:4" ht="12.75">
      <c r="A209" s="42">
        <v>50301</v>
      </c>
      <c r="B209" s="42" t="s">
        <v>261</v>
      </c>
      <c r="C209" s="45">
        <v>51.435675122956461</v>
      </c>
      <c r="D209" s="45">
        <v>29.355377769115574</v>
      </c>
    </row>
    <row r="210" spans="1:4" ht="12.75">
      <c r="A210" s="42">
        <v>50302</v>
      </c>
      <c r="B210" s="42" t="s">
        <v>262</v>
      </c>
      <c r="C210" s="45">
        <v>55.430706900053593</v>
      </c>
      <c r="D210" s="45">
        <v>31.385412992457507</v>
      </c>
    </row>
    <row r="211" spans="1:4" ht="12.75">
      <c r="A211" s="42">
        <v>50303</v>
      </c>
      <c r="B211" s="42" t="s">
        <v>263</v>
      </c>
      <c r="C211" s="45">
        <v>55.430706900053593</v>
      </c>
      <c r="D211" s="45">
        <v>31.385412992457507</v>
      </c>
    </row>
    <row r="212" spans="1:4" ht="12.75">
      <c r="A212" s="42">
        <v>50401</v>
      </c>
      <c r="B212" s="42" t="s">
        <v>264</v>
      </c>
      <c r="C212" s="45">
        <v>49.960586466797537</v>
      </c>
      <c r="D212" s="45">
        <v>27.838193549565283</v>
      </c>
    </row>
    <row r="213" spans="1:4" ht="12.75">
      <c r="A213" s="42">
        <v>50402</v>
      </c>
      <c r="B213" s="42" t="s">
        <v>265</v>
      </c>
      <c r="C213" s="45">
        <v>55.430706900053593</v>
      </c>
      <c r="D213" s="45">
        <v>31.385412992457507</v>
      </c>
    </row>
    <row r="214" spans="1:4" ht="12.75">
      <c r="A214" s="42">
        <v>50403</v>
      </c>
      <c r="B214" s="42" t="s">
        <v>266</v>
      </c>
      <c r="C214" s="45">
        <v>55.430706900053593</v>
      </c>
      <c r="D214" s="45">
        <v>30.712296049980971</v>
      </c>
    </row>
    <row r="215" spans="1:4" ht="12.75">
      <c r="A215" s="42">
        <v>50404</v>
      </c>
      <c r="B215" s="42" t="s">
        <v>267</v>
      </c>
      <c r="C215" s="45">
        <v>55.430706900053593</v>
      </c>
      <c r="D215" s="45">
        <v>31.385412992457507</v>
      </c>
    </row>
    <row r="216" spans="1:4" ht="12.75">
      <c r="A216" s="42">
        <v>50405</v>
      </c>
      <c r="B216" s="42" t="s">
        <v>268</v>
      </c>
      <c r="C216" s="45">
        <v>55.430706900053593</v>
      </c>
      <c r="D216" s="45">
        <v>31.385412992457507</v>
      </c>
    </row>
    <row r="217" spans="1:4" ht="12.75">
      <c r="A217" s="42">
        <v>50501</v>
      </c>
      <c r="B217" s="42" t="s">
        <v>269</v>
      </c>
      <c r="C217" s="45">
        <v>55.430706900053593</v>
      </c>
      <c r="D217" s="45">
        <v>31.385412992457507</v>
      </c>
    </row>
    <row r="218" spans="1:4" ht="12.75">
      <c r="A218" s="42">
        <v>50502</v>
      </c>
      <c r="B218" s="42" t="s">
        <v>270</v>
      </c>
      <c r="C218" s="45">
        <v>55.430706900053593</v>
      </c>
      <c r="D218" s="45">
        <v>31.385412992457507</v>
      </c>
    </row>
    <row r="219" spans="1:4" ht="12.75">
      <c r="A219" s="42">
        <v>50601</v>
      </c>
      <c r="B219" s="42" t="s">
        <v>271</v>
      </c>
      <c r="C219" s="45">
        <v>51.466406136626439</v>
      </c>
      <c r="D219" s="45">
        <v>30.13533867071537</v>
      </c>
    </row>
    <row r="220" spans="1:4" ht="12.75">
      <c r="A220" s="42">
        <v>50602</v>
      </c>
      <c r="B220" s="42" t="s">
        <v>272</v>
      </c>
      <c r="C220" s="45">
        <v>55.430706900053593</v>
      </c>
      <c r="D220" s="45">
        <v>31.385412992457507</v>
      </c>
    </row>
    <row r="221" spans="1:4" ht="12.75">
      <c r="A221" s="42">
        <v>50701</v>
      </c>
      <c r="B221" s="42" t="s">
        <v>273</v>
      </c>
      <c r="C221" s="45">
        <v>53.033687833795305</v>
      </c>
      <c r="D221" s="45">
        <v>29.964388336118155</v>
      </c>
    </row>
    <row r="222" spans="1:4" ht="12.75">
      <c r="A222" s="42">
        <v>50702</v>
      </c>
      <c r="B222" s="42" t="s">
        <v>274</v>
      </c>
      <c r="C222" s="45">
        <v>55.430706900053593</v>
      </c>
      <c r="D222" s="45">
        <v>31.385412992457507</v>
      </c>
    </row>
    <row r="223" spans="1:4" ht="12.75">
      <c r="A223" s="42">
        <v>50801</v>
      </c>
      <c r="B223" s="42" t="s">
        <v>275</v>
      </c>
      <c r="C223" s="45">
        <v>37.115022752746761</v>
      </c>
      <c r="D223" s="45">
        <v>24.707665547253782</v>
      </c>
    </row>
    <row r="224" spans="1:4" ht="12.75">
      <c r="A224" s="42">
        <v>50802</v>
      </c>
      <c r="B224" s="42" t="s">
        <v>276</v>
      </c>
      <c r="C224" s="45">
        <v>42.339295076643005</v>
      </c>
      <c r="D224" s="45">
        <v>31.032827927350748</v>
      </c>
    </row>
    <row r="225" spans="1:4" ht="12.75">
      <c r="A225" s="42">
        <v>50901</v>
      </c>
      <c r="B225" s="42" t="s">
        <v>277</v>
      </c>
      <c r="C225" s="45">
        <v>55.430706900053593</v>
      </c>
      <c r="D225" s="45">
        <v>29.729331626046982</v>
      </c>
    </row>
    <row r="226" spans="1:4" ht="12.75">
      <c r="A226" s="42">
        <v>50902</v>
      </c>
      <c r="B226" s="42" t="s">
        <v>278</v>
      </c>
      <c r="C226" s="45">
        <v>55.430706900053593</v>
      </c>
      <c r="D226" s="45">
        <v>31.385412992457507</v>
      </c>
    </row>
    <row r="227" spans="1:4" ht="12.75">
      <c r="A227" s="42">
        <v>51001</v>
      </c>
      <c r="B227" s="42" t="s">
        <v>279</v>
      </c>
      <c r="C227" s="45">
        <v>55.430706900053593</v>
      </c>
      <c r="D227" s="45">
        <v>31.385412992457507</v>
      </c>
    </row>
    <row r="228" spans="1:4" ht="12.75">
      <c r="A228" s="42">
        <v>51002</v>
      </c>
      <c r="B228" s="42" t="s">
        <v>280</v>
      </c>
      <c r="C228" s="45">
        <v>55.430706900053593</v>
      </c>
      <c r="D228" s="45">
        <v>31.385412992457507</v>
      </c>
    </row>
    <row r="229" spans="1:4" ht="12.75">
      <c r="A229" s="42">
        <v>51003</v>
      </c>
      <c r="B229" s="42" t="s">
        <v>281</v>
      </c>
      <c r="C229" s="45">
        <v>55.430706900053593</v>
      </c>
      <c r="D229" s="45">
        <v>31.385412992457507</v>
      </c>
    </row>
    <row r="230" spans="1:4" ht="12.75">
      <c r="A230" s="42">
        <v>51101</v>
      </c>
      <c r="B230" s="42" t="s">
        <v>282</v>
      </c>
      <c r="C230" s="45">
        <v>55.430706900053593</v>
      </c>
      <c r="D230" s="45">
        <v>31.385412992457507</v>
      </c>
    </row>
    <row r="231" spans="1:4" ht="12.75">
      <c r="A231" s="42">
        <v>51102</v>
      </c>
      <c r="B231" s="42" t="s">
        <v>283</v>
      </c>
      <c r="C231" s="45">
        <v>51.159095999926663</v>
      </c>
      <c r="D231" s="45">
        <v>28.532679283866472</v>
      </c>
    </row>
    <row r="232" spans="1:4" ht="12.75">
      <c r="A232" s="42">
        <v>51103</v>
      </c>
      <c r="B232" s="42" t="s">
        <v>284</v>
      </c>
      <c r="C232" s="45">
        <v>55.430706900053593</v>
      </c>
      <c r="D232" s="45">
        <v>31.385412992457507</v>
      </c>
    </row>
    <row r="233" spans="1:4" ht="12.75">
      <c r="A233" s="42">
        <v>51201</v>
      </c>
      <c r="B233" s="42" t="s">
        <v>285</v>
      </c>
      <c r="C233" s="45">
        <v>37.176484780086717</v>
      </c>
      <c r="D233" s="45">
        <v>23.917020249741658</v>
      </c>
    </row>
    <row r="234" spans="1:4" ht="12.75">
      <c r="A234" s="42">
        <v>51202</v>
      </c>
      <c r="B234" s="42" t="s">
        <v>286</v>
      </c>
      <c r="C234" s="45">
        <v>55.430706900053593</v>
      </c>
      <c r="D234" s="45">
        <v>31.385412992457507</v>
      </c>
    </row>
    <row r="235" spans="1:4" ht="12.75">
      <c r="A235" s="42">
        <v>51203</v>
      </c>
      <c r="B235" s="42" t="s">
        <v>287</v>
      </c>
      <c r="C235" s="45">
        <v>40.833475406814095</v>
      </c>
      <c r="D235" s="45">
        <v>22.902002638070691</v>
      </c>
    </row>
    <row r="236" spans="1:4" ht="12.75">
      <c r="A236" s="42">
        <v>51204</v>
      </c>
      <c r="B236" s="42" t="s">
        <v>288</v>
      </c>
      <c r="C236" s="45">
        <v>55.430706900053593</v>
      </c>
      <c r="D236" s="45">
        <v>31.385412992457507</v>
      </c>
    </row>
    <row r="237" spans="1:4" ht="12.75">
      <c r="A237" s="42">
        <v>51301</v>
      </c>
      <c r="B237" s="42" t="s">
        <v>289</v>
      </c>
      <c r="C237" s="45">
        <v>55.430706900053593</v>
      </c>
      <c r="D237" s="45">
        <v>31.385412992457507</v>
      </c>
    </row>
    <row r="238" spans="1:4" ht="12.75">
      <c r="A238" s="42">
        <v>51302</v>
      </c>
      <c r="B238" s="42" t="s">
        <v>290</v>
      </c>
      <c r="C238" s="45">
        <v>55.430706900053593</v>
      </c>
      <c r="D238" s="45">
        <v>31.385412992457507</v>
      </c>
    </row>
    <row r="239" spans="1:4" ht="12.75">
      <c r="A239" s="42">
        <v>51401</v>
      </c>
      <c r="B239" s="42" t="s">
        <v>291</v>
      </c>
      <c r="C239" s="45">
        <v>55.430706900053593</v>
      </c>
      <c r="D239" s="45">
        <v>31.385412992457507</v>
      </c>
    </row>
    <row r="240" spans="1:4" ht="12.75">
      <c r="A240" s="42">
        <v>51402</v>
      </c>
      <c r="B240" s="42" t="s">
        <v>292</v>
      </c>
      <c r="C240" s="45">
        <v>55.430706900053593</v>
      </c>
      <c r="D240" s="45">
        <v>31.385412992457507</v>
      </c>
    </row>
    <row r="241" spans="1:4" ht="12.75">
      <c r="A241" s="42">
        <v>51501</v>
      </c>
      <c r="B241" s="42" t="s">
        <v>293</v>
      </c>
      <c r="C241" s="45">
        <v>31.399054210130874</v>
      </c>
      <c r="D241" s="45">
        <v>22.442573613840676</v>
      </c>
    </row>
    <row r="242" spans="1:4" ht="12.75">
      <c r="A242" s="42">
        <v>51601</v>
      </c>
      <c r="B242" s="42" t="s">
        <v>294</v>
      </c>
      <c r="C242" s="45">
        <v>55.430706900053593</v>
      </c>
      <c r="D242" s="45">
        <v>31.385412992457507</v>
      </c>
    </row>
    <row r="243" spans="1:4" ht="12.75">
      <c r="A243" s="42">
        <v>60101</v>
      </c>
      <c r="B243" s="42" t="s">
        <v>61</v>
      </c>
      <c r="C243" s="45">
        <v>11.929035576232939</v>
      </c>
      <c r="D243" s="45">
        <v>8.2476021201605825</v>
      </c>
    </row>
    <row r="244" spans="1:4" ht="12.75">
      <c r="A244" s="42">
        <v>60201</v>
      </c>
      <c r="B244" s="42" t="s">
        <v>295</v>
      </c>
      <c r="C244" s="45">
        <v>23.242916653673323</v>
      </c>
      <c r="D244" s="45">
        <v>11.896553512384834</v>
      </c>
    </row>
    <row r="245" spans="1:4" ht="12.75">
      <c r="A245" s="42">
        <v>60202</v>
      </c>
      <c r="B245" s="42" t="s">
        <v>296</v>
      </c>
      <c r="C245" s="45">
        <v>12.547562104384577</v>
      </c>
      <c r="D245" s="45">
        <v>8.3043005879642884</v>
      </c>
    </row>
    <row r="246" spans="1:4" ht="12.75">
      <c r="A246" s="42">
        <v>60301</v>
      </c>
      <c r="B246" s="42" t="s">
        <v>297</v>
      </c>
      <c r="C246" s="45">
        <v>13.913474854052778</v>
      </c>
      <c r="D246" s="45">
        <v>8.9158340621328378</v>
      </c>
    </row>
    <row r="247" spans="1:4" ht="12.75">
      <c r="A247" s="42">
        <v>60302</v>
      </c>
      <c r="B247" s="42" t="s">
        <v>298</v>
      </c>
      <c r="C247" s="45">
        <v>21.348679161208928</v>
      </c>
      <c r="D247" s="45">
        <v>10.859781529688487</v>
      </c>
    </row>
    <row r="248" spans="1:4" ht="12.75">
      <c r="A248" s="42">
        <v>60303</v>
      </c>
      <c r="B248" s="42" t="s">
        <v>299</v>
      </c>
      <c r="C248" s="45">
        <v>13.849045007370314</v>
      </c>
      <c r="D248" s="45">
        <v>8.9644327488217286</v>
      </c>
    </row>
    <row r="249" spans="1:4" ht="12.75">
      <c r="A249" s="42">
        <v>60401</v>
      </c>
      <c r="B249" s="42" t="s">
        <v>300</v>
      </c>
      <c r="C249" s="45">
        <v>23.242916653673323</v>
      </c>
      <c r="D249" s="45">
        <v>11.321469053232954</v>
      </c>
    </row>
    <row r="250" spans="1:4" ht="12.75">
      <c r="A250" s="42">
        <v>60402</v>
      </c>
      <c r="B250" s="42" t="s">
        <v>301</v>
      </c>
      <c r="C250" s="45">
        <v>23.242916653673323</v>
      </c>
      <c r="D250" s="45">
        <v>11.896553512384834</v>
      </c>
    </row>
    <row r="251" spans="1:4" ht="12.75">
      <c r="A251" s="42">
        <v>60501</v>
      </c>
      <c r="B251" s="42" t="s">
        <v>302</v>
      </c>
      <c r="C251" s="45">
        <v>21.464652885237363</v>
      </c>
      <c r="D251" s="45">
        <v>11.110874744247756</v>
      </c>
    </row>
    <row r="252" spans="1:4" ht="12.75">
      <c r="A252" s="42">
        <v>60502</v>
      </c>
      <c r="B252" s="42" t="s">
        <v>303</v>
      </c>
      <c r="C252" s="45">
        <v>23.242916653673323</v>
      </c>
      <c r="D252" s="45">
        <v>11.896553512384834</v>
      </c>
    </row>
    <row r="253" spans="1:4" ht="12.75">
      <c r="A253" s="42">
        <v>60601</v>
      </c>
      <c r="B253" s="42" t="s">
        <v>208</v>
      </c>
      <c r="C253" s="45">
        <v>21.142503651825052</v>
      </c>
      <c r="D253" s="45">
        <v>11.082525510345903</v>
      </c>
    </row>
    <row r="254" spans="1:4" ht="12.75">
      <c r="A254" s="42">
        <v>70101</v>
      </c>
      <c r="B254" s="42" t="s">
        <v>304</v>
      </c>
      <c r="C254" s="45">
        <v>9.6896769578691035</v>
      </c>
      <c r="D254" s="45">
        <v>9.3231908209965972</v>
      </c>
    </row>
    <row r="255" spans="1:4" ht="12.75">
      <c r="A255" s="42">
        <v>70102</v>
      </c>
      <c r="B255" s="42" t="s">
        <v>305</v>
      </c>
      <c r="C255" s="45">
        <v>14.696626932301921</v>
      </c>
      <c r="D255" s="45">
        <v>10.119511724668033</v>
      </c>
    </row>
    <row r="256" spans="1:4" ht="12.75">
      <c r="A256" s="42">
        <v>70103</v>
      </c>
      <c r="B256" s="42" t="s">
        <v>306</v>
      </c>
      <c r="C256" s="45">
        <v>19.441931064840389</v>
      </c>
      <c r="D256" s="45">
        <v>11.827284265071832</v>
      </c>
    </row>
    <row r="257" spans="1:4" ht="12.75">
      <c r="A257" s="42">
        <v>70104</v>
      </c>
      <c r="B257" s="42" t="s">
        <v>307</v>
      </c>
      <c r="C257" s="45">
        <v>11.96123858522461</v>
      </c>
      <c r="D257" s="45">
        <v>9.5774378565061493</v>
      </c>
    </row>
    <row r="258" spans="1:4" ht="12.75">
      <c r="A258" s="42">
        <v>70105</v>
      </c>
      <c r="B258" s="42" t="s">
        <v>308</v>
      </c>
      <c r="C258" s="45">
        <v>14.446874083220949</v>
      </c>
      <c r="D258" s="45">
        <v>10.675976934462527</v>
      </c>
    </row>
    <row r="259" spans="1:4" ht="12.75">
      <c r="A259" s="42">
        <v>70201</v>
      </c>
      <c r="B259" s="42" t="s">
        <v>309</v>
      </c>
      <c r="C259" s="45">
        <v>13.16243085937595</v>
      </c>
      <c r="D259" s="45">
        <v>9.8316848920157067</v>
      </c>
    </row>
    <row r="260" spans="1:4" ht="12.75">
      <c r="A260" s="42">
        <v>70202</v>
      </c>
      <c r="B260" s="42" t="s">
        <v>310</v>
      </c>
      <c r="C260" s="45">
        <v>16.052428113027197</v>
      </c>
      <c r="D260" s="45">
        <v>11.745733329153675</v>
      </c>
    </row>
    <row r="261" spans="1:4" ht="12.75">
      <c r="A261" s="42">
        <v>70301</v>
      </c>
      <c r="B261" s="42" t="s">
        <v>311</v>
      </c>
      <c r="C261" s="45">
        <v>16.088107091467336</v>
      </c>
      <c r="D261" s="45">
        <v>11.817690037316757</v>
      </c>
    </row>
    <row r="262" spans="1:4" ht="12.75">
      <c r="A262" s="42">
        <v>70302</v>
      </c>
      <c r="B262" s="42" t="s">
        <v>312</v>
      </c>
      <c r="C262" s="45">
        <v>16.647077753696177</v>
      </c>
      <c r="D262" s="45">
        <v>12.393343702621408</v>
      </c>
    </row>
    <row r="263" spans="1:4" ht="12.75">
      <c r="A263" s="42">
        <v>70303</v>
      </c>
      <c r="B263" s="42" t="s">
        <v>313</v>
      </c>
      <c r="C263" s="45">
        <v>15.766996285506087</v>
      </c>
      <c r="D263" s="45">
        <v>12.479691752417104</v>
      </c>
    </row>
    <row r="264" spans="1:4" ht="12.75">
      <c r="A264" s="42">
        <v>70401</v>
      </c>
      <c r="B264" s="42" t="s">
        <v>314</v>
      </c>
      <c r="C264" s="45">
        <v>17.622303164393305</v>
      </c>
      <c r="D264" s="45">
        <v>12.167879350377083</v>
      </c>
    </row>
    <row r="265" spans="1:4" ht="12.75">
      <c r="A265" s="42">
        <v>70402</v>
      </c>
      <c r="B265" s="42" t="s">
        <v>315</v>
      </c>
      <c r="C265" s="45">
        <v>13.971154370685765</v>
      </c>
      <c r="D265" s="45">
        <v>10.887049945074235</v>
      </c>
    </row>
    <row r="266" spans="1:4" ht="12.75">
      <c r="A266" s="42">
        <v>70403</v>
      </c>
      <c r="B266" s="42" t="s">
        <v>316</v>
      </c>
      <c r="C266" s="45">
        <v>14.47066006884771</v>
      </c>
      <c r="D266" s="45">
        <v>11.098122955685939</v>
      </c>
    </row>
    <row r="267" spans="1:4" ht="12.75">
      <c r="A267" s="42">
        <v>70404</v>
      </c>
      <c r="B267" s="42" t="s">
        <v>317</v>
      </c>
      <c r="C267" s="45">
        <v>15.457778472358214</v>
      </c>
      <c r="D267" s="45">
        <v>11.227645030379486</v>
      </c>
    </row>
    <row r="268" spans="1:4" ht="12.75">
      <c r="A268" s="42">
        <v>70501</v>
      </c>
      <c r="B268" s="42" t="s">
        <v>318</v>
      </c>
      <c r="C268" s="45">
        <v>15.778889278319468</v>
      </c>
      <c r="D268" s="45">
        <v>12.51327154955988</v>
      </c>
    </row>
    <row r="269" spans="1:4" ht="12.75">
      <c r="A269" s="42">
        <v>70502</v>
      </c>
      <c r="B269" s="42" t="s">
        <v>319</v>
      </c>
      <c r="C269" s="45">
        <v>18.407240690076364</v>
      </c>
      <c r="D269" s="45">
        <v>12.609213827110654</v>
      </c>
    </row>
    <row r="270" spans="1:4" ht="12.75">
      <c r="A270" s="42">
        <v>70503</v>
      </c>
      <c r="B270" s="42" t="s">
        <v>320</v>
      </c>
      <c r="C270" s="45">
        <v>13.507327650963962</v>
      </c>
      <c r="D270" s="45">
        <v>11.011774905890242</v>
      </c>
    </row>
    <row r="271" spans="1:4" ht="12.75">
      <c r="A271" s="42">
        <v>70601</v>
      </c>
      <c r="B271" s="42" t="s">
        <v>321</v>
      </c>
      <c r="C271" s="45">
        <v>12.496423261826692</v>
      </c>
      <c r="D271" s="45">
        <v>10.273019368749273</v>
      </c>
    </row>
    <row r="272" spans="1:4" ht="12.75">
      <c r="A272" s="42">
        <v>70602</v>
      </c>
      <c r="B272" s="42" t="s">
        <v>322</v>
      </c>
      <c r="C272" s="45">
        <v>18.205059812248908</v>
      </c>
      <c r="D272" s="45">
        <v>12.844272407110049</v>
      </c>
    </row>
    <row r="273" spans="1:4" ht="12.75">
      <c r="A273" s="42">
        <v>70603</v>
      </c>
      <c r="B273" s="42" t="s">
        <v>323</v>
      </c>
      <c r="C273" s="45">
        <v>12.282349391185861</v>
      </c>
      <c r="D273" s="45">
        <v>10.133903066300647</v>
      </c>
    </row>
    <row r="274" spans="1:4" ht="12.75">
      <c r="A274" s="42">
        <v>70701</v>
      </c>
      <c r="B274" s="42" t="s">
        <v>324</v>
      </c>
      <c r="C274" s="45">
        <v>21.451846850301543</v>
      </c>
      <c r="D274" s="45">
        <v>14.091522015270131</v>
      </c>
    </row>
    <row r="275" spans="1:4" ht="12.75">
      <c r="A275" s="42">
        <v>70702</v>
      </c>
      <c r="B275" s="42" t="s">
        <v>325</v>
      </c>
      <c r="C275" s="45">
        <v>20.143617640829785</v>
      </c>
      <c r="D275" s="45">
        <v>13.400737616904548</v>
      </c>
    </row>
    <row r="276" spans="1:4" ht="12.75">
      <c r="A276" s="42">
        <v>70703</v>
      </c>
      <c r="B276" s="42" t="s">
        <v>326</v>
      </c>
      <c r="C276" s="45">
        <v>19.67979092110798</v>
      </c>
      <c r="D276" s="45">
        <v>12.829881065477437</v>
      </c>
    </row>
    <row r="277" spans="1:4" ht="12.75">
      <c r="A277" s="42">
        <v>70704</v>
      </c>
      <c r="B277" s="42" t="s">
        <v>327</v>
      </c>
      <c r="C277" s="45">
        <v>17.741233092527104</v>
      </c>
      <c r="D277" s="45">
        <v>11.472297838133963</v>
      </c>
    </row>
    <row r="278" spans="1:4" ht="12.75">
      <c r="A278" s="42">
        <v>70705</v>
      </c>
      <c r="B278" s="42" t="s">
        <v>328</v>
      </c>
      <c r="C278" s="45">
        <v>21.451846850301543</v>
      </c>
      <c r="D278" s="45">
        <v>14.091522015270131</v>
      </c>
    </row>
    <row r="279" spans="1:4" ht="12.75">
      <c r="A279" s="42">
        <v>70706</v>
      </c>
      <c r="B279" s="42" t="s">
        <v>329</v>
      </c>
      <c r="C279" s="45">
        <v>11.283337994861974</v>
      </c>
      <c r="D279" s="45">
        <v>10.225048229973885</v>
      </c>
    </row>
    <row r="280" spans="1:4" ht="12.75">
      <c r="A280" s="42">
        <v>70707</v>
      </c>
      <c r="B280" s="42" t="s">
        <v>330</v>
      </c>
      <c r="C280" s="45">
        <v>13.269467794696368</v>
      </c>
      <c r="D280" s="45">
        <v>10.786310553645921</v>
      </c>
    </row>
    <row r="281" spans="1:4" ht="12.75">
      <c r="A281" s="42">
        <v>70801</v>
      </c>
      <c r="B281" s="42" t="s">
        <v>331</v>
      </c>
      <c r="C281" s="45">
        <v>14.982058759823033</v>
      </c>
      <c r="D281" s="45">
        <v>11.107717183441016</v>
      </c>
    </row>
    <row r="282" spans="1:4" ht="12.75">
      <c r="A282" s="42">
        <v>70802</v>
      </c>
      <c r="B282" s="42" t="s">
        <v>332</v>
      </c>
      <c r="C282" s="45">
        <v>21.451846850301543</v>
      </c>
      <c r="D282" s="45">
        <v>14.091522015270131</v>
      </c>
    </row>
    <row r="283" spans="1:4" ht="12.75">
      <c r="A283" s="42">
        <v>70803</v>
      </c>
      <c r="B283" s="42" t="s">
        <v>333</v>
      </c>
      <c r="C283" s="45">
        <v>21.451846850301543</v>
      </c>
      <c r="D283" s="45">
        <v>14.091522015270131</v>
      </c>
    </row>
    <row r="284" spans="1:4" ht="12.75">
      <c r="A284" s="42">
        <v>70804</v>
      </c>
      <c r="B284" s="42" t="s">
        <v>334</v>
      </c>
      <c r="C284" s="45">
        <v>21.451846850301543</v>
      </c>
      <c r="D284" s="45">
        <v>14.091522015270131</v>
      </c>
    </row>
    <row r="285" spans="1:4" ht="12.75">
      <c r="A285" s="42">
        <v>70805</v>
      </c>
      <c r="B285" s="42" t="s">
        <v>335</v>
      </c>
      <c r="C285" s="45">
        <v>21.451846850301543</v>
      </c>
      <c r="D285" s="45">
        <v>14.091522015270131</v>
      </c>
    </row>
    <row r="286" spans="1:4" ht="12.75">
      <c r="A286" s="42">
        <v>70901</v>
      </c>
      <c r="B286" s="42" t="s">
        <v>336</v>
      </c>
      <c r="C286" s="45">
        <v>16.980081552470807</v>
      </c>
      <c r="D286" s="45">
        <v>11.947212112010302</v>
      </c>
    </row>
    <row r="287" spans="1:4" ht="12.75">
      <c r="A287" s="42">
        <v>70902</v>
      </c>
      <c r="B287" s="42" t="s">
        <v>337</v>
      </c>
      <c r="C287" s="45">
        <v>17.087118487791223</v>
      </c>
      <c r="D287" s="45">
        <v>12.148690894866933</v>
      </c>
    </row>
    <row r="288" spans="1:4" ht="12.75">
      <c r="A288" s="42">
        <v>70903</v>
      </c>
      <c r="B288" s="42" t="s">
        <v>338</v>
      </c>
      <c r="C288" s="45">
        <v>14.256586198206875</v>
      </c>
      <c r="D288" s="45">
        <v>11.155688322216406</v>
      </c>
    </row>
    <row r="289" spans="1:4" ht="12.75">
      <c r="A289" s="42">
        <v>70904</v>
      </c>
      <c r="B289" s="42" t="s">
        <v>339</v>
      </c>
      <c r="C289" s="45">
        <v>21.451846850301543</v>
      </c>
      <c r="D289" s="45">
        <v>14.091522015270131</v>
      </c>
    </row>
    <row r="290" spans="1:4" ht="12.75">
      <c r="A290" s="42">
        <v>71001</v>
      </c>
      <c r="B290" s="42" t="s">
        <v>340</v>
      </c>
      <c r="C290" s="45">
        <v>9.8204998788162818</v>
      </c>
      <c r="D290" s="45">
        <v>9.3279879348741357</v>
      </c>
    </row>
    <row r="291" spans="1:4" ht="12.75">
      <c r="A291" s="42">
        <v>71002</v>
      </c>
      <c r="B291" s="42" t="s">
        <v>341</v>
      </c>
      <c r="C291" s="45">
        <v>17.693661121273582</v>
      </c>
      <c r="D291" s="45">
        <v>11.860864062214606</v>
      </c>
    </row>
    <row r="292" spans="1:4" ht="12.75">
      <c r="A292" s="42">
        <v>71003</v>
      </c>
      <c r="B292" s="42" t="s">
        <v>342</v>
      </c>
      <c r="C292" s="45">
        <v>12.591567204333732</v>
      </c>
      <c r="D292" s="45">
        <v>10.225048229973885</v>
      </c>
    </row>
    <row r="293" spans="1:4" ht="12.75">
      <c r="A293" s="42">
        <v>71004</v>
      </c>
      <c r="B293" s="42" t="s">
        <v>343</v>
      </c>
      <c r="C293" s="45">
        <v>13.947368385059008</v>
      </c>
      <c r="D293" s="45">
        <v>10.651991365074835</v>
      </c>
    </row>
    <row r="294" spans="1:4" ht="12.75">
      <c r="A294" s="42">
        <v>71005</v>
      </c>
      <c r="B294" s="42" t="s">
        <v>269</v>
      </c>
      <c r="C294" s="45">
        <v>16.849258631523629</v>
      </c>
      <c r="D294" s="45">
        <v>11.381152674460727</v>
      </c>
    </row>
    <row r="295" spans="1:4" ht="12.75">
      <c r="A295" s="42">
        <v>71101</v>
      </c>
      <c r="B295" s="42" t="s">
        <v>344</v>
      </c>
      <c r="C295" s="45">
        <v>15.802675263946226</v>
      </c>
      <c r="D295" s="45">
        <v>11.702559304255823</v>
      </c>
    </row>
    <row r="296" spans="1:4" ht="12.75">
      <c r="A296" s="42">
        <v>71102</v>
      </c>
      <c r="B296" s="42" t="s">
        <v>345</v>
      </c>
      <c r="C296" s="45">
        <v>15.374527522664557</v>
      </c>
      <c r="D296" s="45">
        <v>11.534660318541968</v>
      </c>
    </row>
    <row r="297" spans="1:4" ht="12.75">
      <c r="A297" s="42">
        <v>71103</v>
      </c>
      <c r="B297" s="42" t="s">
        <v>346</v>
      </c>
      <c r="C297" s="45">
        <v>11.354695951742251</v>
      </c>
      <c r="D297" s="45">
        <v>9.9660040805867904</v>
      </c>
    </row>
    <row r="298" spans="1:4" ht="12.75">
      <c r="A298" s="42">
        <v>71104</v>
      </c>
      <c r="B298" s="42" t="s">
        <v>347</v>
      </c>
      <c r="C298" s="45">
        <v>17.610410171579929</v>
      </c>
      <c r="D298" s="45">
        <v>11.611414140582587</v>
      </c>
    </row>
    <row r="299" spans="1:4" ht="12.75">
      <c r="A299" s="42">
        <v>71105</v>
      </c>
      <c r="B299" s="42" t="s">
        <v>348</v>
      </c>
      <c r="C299" s="45">
        <v>21.451846850301543</v>
      </c>
      <c r="D299" s="45">
        <v>14.091522015270131</v>
      </c>
    </row>
    <row r="300" spans="1:4" ht="12.75">
      <c r="A300" s="42">
        <v>71106</v>
      </c>
      <c r="B300" s="42" t="s">
        <v>349</v>
      </c>
      <c r="C300" s="45">
        <v>17.610410171579929</v>
      </c>
      <c r="D300" s="45">
        <v>12.086328414458926</v>
      </c>
    </row>
    <row r="301" spans="1:4" ht="12.75">
      <c r="A301" s="42">
        <v>71201</v>
      </c>
      <c r="B301" s="42" t="s">
        <v>350</v>
      </c>
      <c r="C301" s="45">
        <v>16.361645926175072</v>
      </c>
      <c r="D301" s="45">
        <v>11.649791051602898</v>
      </c>
    </row>
    <row r="302" spans="1:4" ht="12.75">
      <c r="A302" s="42">
        <v>71301</v>
      </c>
      <c r="B302" s="42" t="s">
        <v>351</v>
      </c>
      <c r="C302" s="45">
        <v>17.717447106900345</v>
      </c>
      <c r="D302" s="45">
        <v>12.335778336090941</v>
      </c>
    </row>
    <row r="303" spans="1:4" ht="12.75">
      <c r="A303" s="42">
        <v>71302</v>
      </c>
      <c r="B303" s="42" t="s">
        <v>352</v>
      </c>
      <c r="C303" s="45">
        <v>15.338848544224419</v>
      </c>
      <c r="D303" s="45">
        <v>11.194065233236715</v>
      </c>
    </row>
    <row r="304" spans="1:4" ht="12.75">
      <c r="A304" s="42">
        <v>71401</v>
      </c>
      <c r="B304" s="42" t="s">
        <v>353</v>
      </c>
      <c r="C304" s="45">
        <v>11.925559606784471</v>
      </c>
      <c r="D304" s="45">
        <v>10.771919212013305</v>
      </c>
    </row>
    <row r="305" spans="1:4" ht="12.75">
      <c r="A305" s="42">
        <v>71402</v>
      </c>
      <c r="B305" s="42" t="s">
        <v>354</v>
      </c>
      <c r="C305" s="45">
        <v>9.8086068860028988</v>
      </c>
      <c r="D305" s="45">
        <v>9.4095388707922947</v>
      </c>
    </row>
    <row r="306" spans="1:4" ht="12.75">
      <c r="A306" s="42">
        <v>71403</v>
      </c>
      <c r="B306" s="42" t="s">
        <v>355</v>
      </c>
      <c r="C306" s="45">
        <v>15.624280371745533</v>
      </c>
      <c r="D306" s="45">
        <v>12.019168820173382</v>
      </c>
    </row>
    <row r="307" spans="1:4" ht="12.75">
      <c r="A307" s="42">
        <v>71501</v>
      </c>
      <c r="B307" s="42" t="s">
        <v>356</v>
      </c>
      <c r="C307" s="45">
        <v>12.734283118094288</v>
      </c>
      <c r="D307" s="45">
        <v>10.786310553645921</v>
      </c>
    </row>
    <row r="308" spans="1:4" ht="12.75">
      <c r="A308" s="42">
        <v>71502</v>
      </c>
      <c r="B308" s="42" t="s">
        <v>357</v>
      </c>
      <c r="C308" s="45">
        <v>12.341814355252758</v>
      </c>
      <c r="D308" s="45">
        <v>10.05714924426003</v>
      </c>
    </row>
    <row r="309" spans="1:4" ht="12.75">
      <c r="A309" s="42">
        <v>71503</v>
      </c>
      <c r="B309" s="42" t="s">
        <v>303</v>
      </c>
      <c r="C309" s="45">
        <v>19.108927266065759</v>
      </c>
      <c r="D309" s="45">
        <v>13.242432858945772</v>
      </c>
    </row>
    <row r="310" spans="1:4" ht="12.75">
      <c r="A310" s="42">
        <v>80101</v>
      </c>
      <c r="B310" s="42" t="s">
        <v>358</v>
      </c>
      <c r="C310" s="45">
        <v>14.00579902193379</v>
      </c>
      <c r="D310" s="45">
        <v>13.912468907672935</v>
      </c>
    </row>
    <row r="311" spans="1:4" ht="12.75">
      <c r="A311" s="42">
        <v>80102</v>
      </c>
      <c r="B311" s="42" t="s">
        <v>345</v>
      </c>
      <c r="C311" s="45">
        <v>29.590795963144185</v>
      </c>
      <c r="D311" s="45">
        <v>20.603921056863751</v>
      </c>
    </row>
    <row r="312" spans="1:4" ht="12.75">
      <c r="A312" s="42">
        <v>80201</v>
      </c>
      <c r="B312" s="42" t="s">
        <v>359</v>
      </c>
      <c r="C312" s="45">
        <v>15.285409297106851</v>
      </c>
      <c r="D312" s="45">
        <v>14.3543572571478</v>
      </c>
    </row>
    <row r="313" spans="1:4" ht="12.75">
      <c r="A313" s="42">
        <v>80202</v>
      </c>
      <c r="B313" s="42" t="s">
        <v>360</v>
      </c>
      <c r="C313" s="45">
        <v>15.777567095250339</v>
      </c>
      <c r="D313" s="45">
        <v>14.634921288560411</v>
      </c>
    </row>
    <row r="314" spans="1:4" ht="12.75">
      <c r="A314" s="42">
        <v>80301</v>
      </c>
      <c r="B314" s="42" t="s">
        <v>361</v>
      </c>
      <c r="C314" s="45">
        <v>20.584308257118387</v>
      </c>
      <c r="D314" s="45">
        <v>16.514700299024916</v>
      </c>
    </row>
    <row r="315" spans="1:4" ht="12.75">
      <c r="A315" s="42">
        <v>80302</v>
      </c>
      <c r="B315" s="42" t="s">
        <v>362</v>
      </c>
      <c r="C315" s="45">
        <v>20.567902997180273</v>
      </c>
      <c r="D315" s="45">
        <v>17.138955268917982</v>
      </c>
    </row>
    <row r="316" spans="1:4" ht="12.75">
      <c r="A316" s="42">
        <v>80303</v>
      </c>
      <c r="B316" s="42" t="s">
        <v>322</v>
      </c>
      <c r="C316" s="45">
        <v>21.716271192848406</v>
      </c>
      <c r="D316" s="45">
        <v>17.09687066420609</v>
      </c>
    </row>
    <row r="317" spans="1:4" ht="12.75">
      <c r="A317" s="42">
        <v>80304</v>
      </c>
      <c r="B317" s="42" t="s">
        <v>363</v>
      </c>
      <c r="C317" s="45">
        <v>18.58286654466821</v>
      </c>
      <c r="D317" s="45">
        <v>15.883431228346538</v>
      </c>
    </row>
    <row r="318" spans="1:4" ht="12.75">
      <c r="A318" s="42">
        <v>80401</v>
      </c>
      <c r="B318" s="42" t="s">
        <v>364</v>
      </c>
      <c r="C318" s="45">
        <v>18.599271804606325</v>
      </c>
      <c r="D318" s="45">
        <v>15.553768491436719</v>
      </c>
    </row>
    <row r="319" spans="1:4" ht="12.75">
      <c r="A319" s="42">
        <v>80402</v>
      </c>
      <c r="B319" s="42" t="s">
        <v>365</v>
      </c>
      <c r="C319" s="45">
        <v>29.590795963144185</v>
      </c>
      <c r="D319" s="45">
        <v>18.927550969173389</v>
      </c>
    </row>
    <row r="320" spans="1:4" ht="12.75">
      <c r="A320" s="42">
        <v>80501</v>
      </c>
      <c r="B320" s="42" t="s">
        <v>311</v>
      </c>
      <c r="C320" s="45">
        <v>21.38816599408608</v>
      </c>
      <c r="D320" s="45">
        <v>17.223124478341763</v>
      </c>
    </row>
    <row r="321" spans="1:4" ht="12.75">
      <c r="A321" s="42">
        <v>80601</v>
      </c>
      <c r="B321" s="42" t="s">
        <v>366</v>
      </c>
      <c r="C321" s="45">
        <v>29.590795963144185</v>
      </c>
      <c r="D321" s="45">
        <v>20.603921056863751</v>
      </c>
    </row>
    <row r="322" spans="1:4" ht="12.75">
      <c r="A322" s="42">
        <v>80602</v>
      </c>
      <c r="B322" s="42" t="s">
        <v>367</v>
      </c>
      <c r="C322" s="45">
        <v>27.638570030508358</v>
      </c>
      <c r="D322" s="45">
        <v>19.439580326501407</v>
      </c>
    </row>
    <row r="323" spans="1:4" ht="12.75">
      <c r="A323" s="42">
        <v>80701</v>
      </c>
      <c r="B323" s="42" t="s">
        <v>368</v>
      </c>
      <c r="C323" s="45">
        <v>18.861755963616183</v>
      </c>
      <c r="D323" s="45">
        <v>15.687036406357713</v>
      </c>
    </row>
    <row r="324" spans="1:4" ht="12.75">
      <c r="A324" s="42">
        <v>80702</v>
      </c>
      <c r="B324" s="42" t="s">
        <v>346</v>
      </c>
      <c r="C324" s="45">
        <v>18.271166605844002</v>
      </c>
      <c r="D324" s="45">
        <v>15.694050507143027</v>
      </c>
    </row>
    <row r="325" spans="1:4" ht="12.75">
      <c r="A325" s="42">
        <v>80703</v>
      </c>
      <c r="B325" s="42" t="s">
        <v>369</v>
      </c>
      <c r="C325" s="45">
        <v>29.590795963144185</v>
      </c>
      <c r="D325" s="45">
        <v>20.603921056863751</v>
      </c>
    </row>
    <row r="326" spans="1:4" ht="12.75">
      <c r="A326" s="42">
        <v>80801</v>
      </c>
      <c r="B326" s="42" t="s">
        <v>370</v>
      </c>
      <c r="C326" s="45">
        <v>18.353192905534581</v>
      </c>
      <c r="D326" s="45">
        <v>15.238133956097531</v>
      </c>
    </row>
    <row r="327" spans="1:4" ht="12.75">
      <c r="A327" s="42">
        <v>80802</v>
      </c>
      <c r="B327" s="42" t="s">
        <v>371</v>
      </c>
      <c r="C327" s="45">
        <v>23.127123547526395</v>
      </c>
      <c r="D327" s="45">
        <v>18.54878952676636</v>
      </c>
    </row>
    <row r="328" spans="1:4" ht="12.75">
      <c r="A328" s="42">
        <v>80803</v>
      </c>
      <c r="B328" s="42" t="s">
        <v>372</v>
      </c>
      <c r="C328" s="45">
        <v>24.373923302823233</v>
      </c>
      <c r="D328" s="45">
        <v>17.209096276771135</v>
      </c>
    </row>
    <row r="329" spans="1:4" ht="12.75">
      <c r="A329" s="42">
        <v>80901</v>
      </c>
      <c r="B329" s="42" t="s">
        <v>373</v>
      </c>
      <c r="C329" s="45">
        <v>29.590795963144185</v>
      </c>
      <c r="D329" s="45">
        <v>20.603921056863751</v>
      </c>
    </row>
    <row r="330" spans="1:4" ht="12.75">
      <c r="A330" s="42">
        <v>90101</v>
      </c>
      <c r="B330" s="42" t="s">
        <v>374</v>
      </c>
      <c r="C330" s="45">
        <v>9.502594354417182</v>
      </c>
      <c r="D330" s="45">
        <v>7.5256181562943585</v>
      </c>
    </row>
    <row r="331" spans="1:4" ht="12.75">
      <c r="A331" s="42">
        <v>90102</v>
      </c>
      <c r="B331" s="42" t="s">
        <v>375</v>
      </c>
      <c r="C331" s="45">
        <v>16.094399248552701</v>
      </c>
      <c r="D331" s="45">
        <v>8.3085421461651254</v>
      </c>
    </row>
    <row r="332" spans="1:4" ht="12.75">
      <c r="A332" s="42">
        <v>90103</v>
      </c>
      <c r="B332" s="42" t="s">
        <v>376</v>
      </c>
      <c r="C332" s="45">
        <v>19.983010202908282</v>
      </c>
      <c r="D332" s="45">
        <v>11.218727903635969</v>
      </c>
    </row>
    <row r="333" spans="1:4" ht="12.75">
      <c r="A333" s="42">
        <v>90104</v>
      </c>
      <c r="B333" s="42" t="s">
        <v>377</v>
      </c>
      <c r="C333" s="45">
        <v>19.983010202908282</v>
      </c>
      <c r="D333" s="45">
        <v>11.218727903635969</v>
      </c>
    </row>
    <row r="334" spans="1:4" ht="12.75">
      <c r="A334" s="42">
        <v>90201</v>
      </c>
      <c r="B334" s="42" t="s">
        <v>378</v>
      </c>
      <c r="C334" s="45">
        <v>16.89206303406154</v>
      </c>
      <c r="D334" s="45">
        <v>9.3969974491561885</v>
      </c>
    </row>
    <row r="335" spans="1:4" ht="12.75">
      <c r="A335" s="42">
        <v>90202</v>
      </c>
      <c r="B335" s="42" t="s">
        <v>269</v>
      </c>
      <c r="C335" s="45">
        <v>19.983010202908282</v>
      </c>
      <c r="D335" s="45">
        <v>11.218727903635969</v>
      </c>
    </row>
    <row r="336" spans="1:4" ht="12.75">
      <c r="A336" s="42">
        <v>90203</v>
      </c>
      <c r="B336" s="42" t="s">
        <v>379</v>
      </c>
      <c r="C336" s="45">
        <v>19.983010202908282</v>
      </c>
      <c r="D336" s="45">
        <v>11.218727903635969</v>
      </c>
    </row>
    <row r="337" spans="1:4" ht="12.75">
      <c r="A337" s="42">
        <v>90301</v>
      </c>
      <c r="B337" s="42" t="s">
        <v>380</v>
      </c>
      <c r="C337" s="45">
        <v>19.983010202908282</v>
      </c>
      <c r="D337" s="45">
        <v>10.649675832949413</v>
      </c>
    </row>
    <row r="338" spans="1:4" ht="12.75">
      <c r="A338" s="42">
        <v>90302</v>
      </c>
      <c r="B338" s="42" t="s">
        <v>302</v>
      </c>
      <c r="C338" s="45">
        <v>19.983010202908282</v>
      </c>
      <c r="D338" s="45">
        <v>11.218727903635969</v>
      </c>
    </row>
    <row r="339" spans="1:4" ht="12.75">
      <c r="A339" s="42">
        <v>90303</v>
      </c>
      <c r="B339" s="42" t="s">
        <v>381</v>
      </c>
      <c r="C339" s="45">
        <v>17.778356129071355</v>
      </c>
      <c r="D339" s="45">
        <v>9.6223267925824079</v>
      </c>
    </row>
    <row r="340" spans="1:4" ht="12.75">
      <c r="A340" s="42">
        <v>90401</v>
      </c>
      <c r="B340" s="42" t="s">
        <v>322</v>
      </c>
      <c r="C340" s="45">
        <v>19.983010202908282</v>
      </c>
      <c r="D340" s="45">
        <v>11.218727903635969</v>
      </c>
    </row>
    <row r="341" spans="1:4" ht="12.75">
      <c r="A341" s="42">
        <v>90402</v>
      </c>
      <c r="B341" s="42" t="s">
        <v>382</v>
      </c>
      <c r="C341" s="45">
        <v>19.983010202908282</v>
      </c>
      <c r="D341" s="45">
        <v>11.218727903635969</v>
      </c>
    </row>
    <row r="342" spans="1:4" ht="12.75">
      <c r="A342" s="42">
        <v>90501</v>
      </c>
      <c r="B342" s="42" t="s">
        <v>383</v>
      </c>
      <c r="C342" s="45">
        <v>19.983010202908282</v>
      </c>
      <c r="D342" s="45">
        <v>11.218727903635969</v>
      </c>
    </row>
    <row r="343" spans="1:4" ht="12.75">
      <c r="A343" s="42">
        <v>90502</v>
      </c>
      <c r="B343" s="42" t="s">
        <v>384</v>
      </c>
      <c r="C343" s="45">
        <v>19.983010202908282</v>
      </c>
      <c r="D343" s="45">
        <v>11.218727903635969</v>
      </c>
    </row>
    <row r="344" spans="1:4" ht="12.75">
      <c r="A344" s="42">
        <v>90503</v>
      </c>
      <c r="B344" s="42" t="s">
        <v>385</v>
      </c>
      <c r="C344" s="45">
        <v>19.983010202908282</v>
      </c>
      <c r="D344" s="45">
        <v>11.218727903635969</v>
      </c>
    </row>
    <row r="345" spans="1:4" ht="12.75">
      <c r="B345" s="89"/>
      <c r="C345" s="90"/>
      <c r="D345" s="9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outlinePr summaryBelow="0" summaryRight="0"/>
  </sheetPr>
  <dimension ref="A1:Z345"/>
  <sheetViews>
    <sheetView topLeftCell="A20" workbookViewId="0">
      <selection activeCell="G11" sqref="G11"/>
    </sheetView>
  </sheetViews>
  <sheetFormatPr baseColWidth="10" defaultColWidth="12.5703125" defaultRowHeight="15" customHeight="1"/>
  <sheetData>
    <row r="1" spans="1:26" ht="45.75" customHeight="1">
      <c r="A1" s="33" t="s">
        <v>32</v>
      </c>
      <c r="B1" s="33" t="s">
        <v>33</v>
      </c>
      <c r="C1" s="88" t="s">
        <v>395</v>
      </c>
      <c r="D1" s="88" t="s">
        <v>396</v>
      </c>
      <c r="E1" s="91"/>
      <c r="F1" s="91"/>
      <c r="G1" s="91"/>
      <c r="H1" s="91"/>
      <c r="I1" s="91"/>
      <c r="J1" s="91"/>
      <c r="K1" s="91"/>
      <c r="L1" s="91"/>
      <c r="M1" s="91"/>
      <c r="N1" s="91"/>
      <c r="O1" s="91"/>
      <c r="P1" s="91"/>
      <c r="Q1" s="91"/>
      <c r="R1" s="91"/>
      <c r="S1" s="91"/>
      <c r="T1" s="91"/>
      <c r="U1" s="91"/>
      <c r="V1" s="91"/>
      <c r="W1" s="91"/>
      <c r="X1" s="91"/>
      <c r="Y1" s="91"/>
      <c r="Z1" s="91"/>
    </row>
    <row r="2" spans="1:26" ht="12.75">
      <c r="A2" s="42">
        <v>10101</v>
      </c>
      <c r="B2" s="42" t="s">
        <v>47</v>
      </c>
      <c r="C2" s="92">
        <v>6400.458106104039</v>
      </c>
      <c r="D2" s="92">
        <v>2315.3058618319892</v>
      </c>
    </row>
    <row r="3" spans="1:26" ht="12.75">
      <c r="A3" s="42">
        <v>10102</v>
      </c>
      <c r="B3" s="42" t="s">
        <v>50</v>
      </c>
      <c r="C3" s="92">
        <v>515.63644865441404</v>
      </c>
      <c r="D3" s="92">
        <v>109.27049766804112</v>
      </c>
    </row>
    <row r="4" spans="1:26" ht="12.75">
      <c r="A4" s="42">
        <v>10103</v>
      </c>
      <c r="B4" s="42" t="s">
        <v>53</v>
      </c>
      <c r="C4" s="92">
        <v>1166.4350634206662</v>
      </c>
      <c r="D4" s="92">
        <v>204.81943207608319</v>
      </c>
    </row>
    <row r="5" spans="1:26" ht="12.75">
      <c r="A5" s="42">
        <v>10201</v>
      </c>
      <c r="B5" s="42" t="s">
        <v>56</v>
      </c>
      <c r="C5" s="92">
        <v>772.97366883175698</v>
      </c>
      <c r="D5" s="92">
        <v>130.02017869535675</v>
      </c>
    </row>
    <row r="6" spans="1:26" ht="12.75">
      <c r="A6" s="42">
        <v>10202</v>
      </c>
      <c r="B6" s="42" t="s">
        <v>58</v>
      </c>
      <c r="C6" s="92">
        <v>1007.7036939654828</v>
      </c>
      <c r="D6" s="92">
        <v>245.81678571876324</v>
      </c>
    </row>
    <row r="7" spans="1:26" ht="12.75">
      <c r="A7" s="42">
        <v>10301</v>
      </c>
      <c r="B7" s="42" t="s">
        <v>60</v>
      </c>
      <c r="C7" s="92">
        <v>457.95190884622514</v>
      </c>
      <c r="D7" s="92">
        <v>134.522560409443</v>
      </c>
    </row>
    <row r="8" spans="1:26" ht="12.75">
      <c r="A8" s="42">
        <v>10302</v>
      </c>
      <c r="B8" s="42" t="s">
        <v>62</v>
      </c>
      <c r="C8" s="92">
        <v>680.46847100205889</v>
      </c>
      <c r="D8" s="92">
        <v>171.40951189918695</v>
      </c>
    </row>
    <row r="9" spans="1:26" ht="12.75">
      <c r="A9" s="42">
        <v>10303</v>
      </c>
      <c r="B9" s="42" t="s">
        <v>64</v>
      </c>
      <c r="C9" s="92">
        <v>509.38339470617962</v>
      </c>
      <c r="D9" s="92">
        <v>118.30308873981522</v>
      </c>
    </row>
    <row r="10" spans="1:26" ht="12.75">
      <c r="A10" s="42">
        <v>10304</v>
      </c>
      <c r="B10" s="42" t="s">
        <v>65</v>
      </c>
      <c r="C10" s="92">
        <v>501.20632415848837</v>
      </c>
      <c r="D10" s="92">
        <v>101.5730353514563</v>
      </c>
    </row>
    <row r="11" spans="1:26" ht="12.75">
      <c r="A11" s="42">
        <v>10401</v>
      </c>
      <c r="B11" s="42" t="s">
        <v>66</v>
      </c>
      <c r="C11" s="92">
        <v>528.76132726756703</v>
      </c>
      <c r="D11" s="92">
        <v>101.8235980748568</v>
      </c>
    </row>
    <row r="12" spans="1:26" ht="12.75">
      <c r="A12" s="42">
        <v>10402</v>
      </c>
      <c r="B12" s="42" t="s">
        <v>68</v>
      </c>
      <c r="C12" s="92">
        <v>545.93971009585812</v>
      </c>
      <c r="D12" s="92">
        <v>101.35340489105594</v>
      </c>
    </row>
    <row r="13" spans="1:26" ht="12.75">
      <c r="A13" s="42">
        <v>10403</v>
      </c>
      <c r="B13" s="42" t="s">
        <v>69</v>
      </c>
      <c r="C13" s="92">
        <v>418.46129866941027</v>
      </c>
      <c r="D13" s="92">
        <v>94.934248249839598</v>
      </c>
    </row>
    <row r="14" spans="1:26" ht="12.75">
      <c r="A14" s="42">
        <v>10404</v>
      </c>
      <c r="B14" s="42" t="s">
        <v>70</v>
      </c>
      <c r="C14" s="92">
        <v>265.03328657516994</v>
      </c>
      <c r="D14" s="92">
        <v>42.838051153167726</v>
      </c>
    </row>
    <row r="15" spans="1:26" ht="12.75">
      <c r="A15" s="42">
        <v>10405</v>
      </c>
      <c r="B15" s="42" t="s">
        <v>71</v>
      </c>
      <c r="C15" s="92">
        <v>247.23613303019479</v>
      </c>
      <c r="D15" s="92">
        <v>71.787202909019356</v>
      </c>
    </row>
    <row r="16" spans="1:26" ht="12.75">
      <c r="A16" s="42">
        <v>10501</v>
      </c>
      <c r="B16" s="42" t="s">
        <v>72</v>
      </c>
      <c r="C16" s="92">
        <v>1119.6385933627905</v>
      </c>
      <c r="D16" s="92">
        <v>246.06905740697039</v>
      </c>
    </row>
    <row r="17" spans="1:4" ht="12.75">
      <c r="A17" s="42">
        <v>10502</v>
      </c>
      <c r="B17" s="42" t="s">
        <v>73</v>
      </c>
      <c r="C17" s="92">
        <v>610.39426617765992</v>
      </c>
      <c r="D17" s="92">
        <v>107.76447243218756</v>
      </c>
    </row>
    <row r="18" spans="1:4" ht="12.75">
      <c r="A18" s="42">
        <v>10601</v>
      </c>
      <c r="B18" s="42" t="s">
        <v>74</v>
      </c>
      <c r="C18" s="92">
        <v>1034.1672837050226</v>
      </c>
      <c r="D18" s="92">
        <v>151.86245788905234</v>
      </c>
    </row>
    <row r="19" spans="1:4" ht="12.75">
      <c r="A19" s="42">
        <v>10602</v>
      </c>
      <c r="B19" s="42" t="s">
        <v>75</v>
      </c>
      <c r="C19" s="92">
        <v>567.10389268988263</v>
      </c>
      <c r="D19" s="92">
        <v>96.720287369261513</v>
      </c>
    </row>
    <row r="20" spans="1:4" ht="12.75">
      <c r="A20" s="42">
        <v>10701</v>
      </c>
      <c r="B20" s="42" t="s">
        <v>76</v>
      </c>
      <c r="C20" s="92">
        <v>725.28714670117301</v>
      </c>
      <c r="D20" s="92">
        <v>149.97251370938656</v>
      </c>
    </row>
    <row r="21" spans="1:4" ht="12.75">
      <c r="A21" s="42">
        <v>10702</v>
      </c>
      <c r="B21" s="42" t="s">
        <v>77</v>
      </c>
      <c r="C21" s="92">
        <v>2294.3897948521972</v>
      </c>
      <c r="D21" s="92">
        <v>399.99551754124508</v>
      </c>
    </row>
    <row r="22" spans="1:4" ht="12.75">
      <c r="A22" s="42">
        <v>10703</v>
      </c>
      <c r="B22" s="42" t="s">
        <v>78</v>
      </c>
      <c r="C22" s="92">
        <v>898.9967560961752</v>
      </c>
      <c r="D22" s="92">
        <v>221.97666970060919</v>
      </c>
    </row>
    <row r="23" spans="1:4" ht="12.75">
      <c r="A23" s="42">
        <v>10704</v>
      </c>
      <c r="B23" s="42" t="s">
        <v>79</v>
      </c>
      <c r="C23" s="92">
        <v>1006.4867185748336</v>
      </c>
      <c r="D23" s="92">
        <v>201.79840953914115</v>
      </c>
    </row>
    <row r="24" spans="1:4" ht="12.75">
      <c r="A24" s="42">
        <v>10801</v>
      </c>
      <c r="B24" s="42" t="s">
        <v>80</v>
      </c>
      <c r="C24" s="92">
        <v>561.64586632613873</v>
      </c>
      <c r="D24" s="92">
        <v>88.640842935645324</v>
      </c>
    </row>
    <row r="25" spans="1:4" ht="12.75">
      <c r="A25" s="42">
        <v>10901</v>
      </c>
      <c r="B25" s="42" t="s">
        <v>81</v>
      </c>
      <c r="C25" s="92">
        <v>199.1357180437756</v>
      </c>
      <c r="D25" s="92">
        <v>51.976455629219807</v>
      </c>
    </row>
    <row r="26" spans="1:4" ht="12.75">
      <c r="A26" s="42">
        <v>10902</v>
      </c>
      <c r="B26" s="42" t="s">
        <v>82</v>
      </c>
      <c r="C26" s="92">
        <v>1062.6423131713193</v>
      </c>
      <c r="D26" s="92">
        <v>212.00161302071857</v>
      </c>
    </row>
    <row r="27" spans="1:4" ht="12.75">
      <c r="A27" s="42">
        <v>10903</v>
      </c>
      <c r="B27" s="42" t="s">
        <v>83</v>
      </c>
      <c r="C27" s="92">
        <v>200.57873049336817</v>
      </c>
      <c r="D27" s="92">
        <v>52.878219392191411</v>
      </c>
    </row>
    <row r="28" spans="1:4" ht="12.75">
      <c r="A28" s="42">
        <v>11001</v>
      </c>
      <c r="B28" s="42" t="s">
        <v>84</v>
      </c>
      <c r="C28" s="92">
        <v>544.95402542605871</v>
      </c>
      <c r="D28" s="92">
        <v>121.8509281611515</v>
      </c>
    </row>
    <row r="29" spans="1:4" ht="12.75">
      <c r="A29" s="42">
        <v>11002</v>
      </c>
      <c r="B29" s="42" t="s">
        <v>85</v>
      </c>
      <c r="C29" s="92">
        <v>164.98442340341794</v>
      </c>
      <c r="D29" s="92">
        <v>36.311941797802326</v>
      </c>
    </row>
    <row r="30" spans="1:4" ht="12.75">
      <c r="A30" s="42">
        <v>11003</v>
      </c>
      <c r="B30" s="42" t="s">
        <v>86</v>
      </c>
      <c r="C30" s="92">
        <v>445.40984277424201</v>
      </c>
      <c r="D30" s="92">
        <v>92.536883936334959</v>
      </c>
    </row>
    <row r="31" spans="1:4" ht="12.75">
      <c r="A31" s="42">
        <v>20101</v>
      </c>
      <c r="B31" s="42" t="s">
        <v>87</v>
      </c>
      <c r="C31" s="92">
        <v>14485.74830415537</v>
      </c>
      <c r="D31" s="92">
        <v>5612.5552251774225</v>
      </c>
    </row>
    <row r="32" spans="1:4" ht="12.75">
      <c r="A32" s="42">
        <v>20102</v>
      </c>
      <c r="B32" s="42" t="s">
        <v>88</v>
      </c>
      <c r="C32" s="92">
        <v>837.16914034708748</v>
      </c>
      <c r="D32" s="92">
        <v>384.87121528093792</v>
      </c>
    </row>
    <row r="33" spans="1:4" ht="12.75">
      <c r="A33" s="42">
        <v>20103</v>
      </c>
      <c r="B33" s="42" t="s">
        <v>89</v>
      </c>
      <c r="C33" s="92">
        <v>640.49334793878586</v>
      </c>
      <c r="D33" s="92">
        <v>278.83307788618981</v>
      </c>
    </row>
    <row r="34" spans="1:4" ht="12.75">
      <c r="A34" s="42">
        <v>20104</v>
      </c>
      <c r="B34" s="42" t="s">
        <v>90</v>
      </c>
      <c r="C34" s="92">
        <v>560.26033561143663</v>
      </c>
      <c r="D34" s="92">
        <v>480.85201578038834</v>
      </c>
    </row>
    <row r="35" spans="1:4" ht="12.75">
      <c r="A35" s="42">
        <v>20105</v>
      </c>
      <c r="B35" s="42" t="s">
        <v>91</v>
      </c>
      <c r="C35" s="92">
        <v>19202.323383663541</v>
      </c>
      <c r="D35" s="92">
        <v>9390.6854927365621</v>
      </c>
    </row>
    <row r="36" spans="1:4" ht="12.75">
      <c r="A36" s="42">
        <v>20201</v>
      </c>
      <c r="B36" s="42" t="s">
        <v>92</v>
      </c>
      <c r="C36" s="92">
        <v>1824.294651480315</v>
      </c>
      <c r="D36" s="92">
        <v>589.12549447376625</v>
      </c>
    </row>
    <row r="37" spans="1:4" ht="12.75">
      <c r="A37" s="42">
        <v>20202</v>
      </c>
      <c r="B37" s="42" t="s">
        <v>93</v>
      </c>
      <c r="C37" s="92">
        <v>587.19750970823884</v>
      </c>
      <c r="D37" s="92">
        <v>213.36418738943237</v>
      </c>
    </row>
    <row r="38" spans="1:4" ht="12.75">
      <c r="A38" s="42">
        <v>20203</v>
      </c>
      <c r="B38" s="42" t="s">
        <v>94</v>
      </c>
      <c r="C38" s="92">
        <v>191.01605737496925</v>
      </c>
      <c r="D38" s="92">
        <v>82.426406395917553</v>
      </c>
    </row>
    <row r="39" spans="1:4" ht="12.75">
      <c r="A39" s="42">
        <v>20204</v>
      </c>
      <c r="B39" s="42" t="s">
        <v>95</v>
      </c>
      <c r="C39" s="92">
        <v>282.9867516666211</v>
      </c>
      <c r="D39" s="92">
        <v>101.53044329497135</v>
      </c>
    </row>
    <row r="40" spans="1:4" ht="12.75">
      <c r="A40" s="42">
        <v>20205</v>
      </c>
      <c r="B40" s="42" t="s">
        <v>96</v>
      </c>
      <c r="C40" s="92">
        <v>296.66444466384115</v>
      </c>
      <c r="D40" s="92">
        <v>100.88648699500324</v>
      </c>
    </row>
    <row r="41" spans="1:4" ht="12.75">
      <c r="A41" s="42">
        <v>20206</v>
      </c>
      <c r="B41" s="42" t="s">
        <v>97</v>
      </c>
      <c r="C41" s="92">
        <v>136.30528538608917</v>
      </c>
      <c r="D41" s="92">
        <v>64.180977896821219</v>
      </c>
    </row>
    <row r="42" spans="1:4" ht="12.75">
      <c r="A42" s="42">
        <v>20301</v>
      </c>
      <c r="B42" s="42" t="s">
        <v>98</v>
      </c>
      <c r="C42" s="92">
        <v>483.4357007638111</v>
      </c>
      <c r="D42" s="92">
        <v>181.25062562380589</v>
      </c>
    </row>
    <row r="43" spans="1:4" ht="12.75">
      <c r="A43" s="42">
        <v>20302</v>
      </c>
      <c r="B43" s="42" t="s">
        <v>99</v>
      </c>
      <c r="C43" s="92">
        <v>594.74382308601537</v>
      </c>
      <c r="D43" s="92">
        <v>227.10192178875198</v>
      </c>
    </row>
    <row r="44" spans="1:4" ht="12.75">
      <c r="A44" s="42">
        <v>20303</v>
      </c>
      <c r="B44" s="42" t="s">
        <v>100</v>
      </c>
      <c r="C44" s="92">
        <v>364.10962047771915</v>
      </c>
      <c r="D44" s="92">
        <v>166.35537749176066</v>
      </c>
    </row>
    <row r="45" spans="1:4" ht="12.75">
      <c r="A45" s="42">
        <v>20304</v>
      </c>
      <c r="B45" s="42" t="s">
        <v>101</v>
      </c>
      <c r="C45" s="92">
        <v>180.63987648052648</v>
      </c>
      <c r="D45" s="92">
        <v>79.850581196045127</v>
      </c>
    </row>
    <row r="46" spans="1:4" ht="12.75">
      <c r="A46" s="42">
        <v>20305</v>
      </c>
      <c r="B46" s="42" t="s">
        <v>102</v>
      </c>
      <c r="C46" s="92">
        <v>142.90830959164367</v>
      </c>
      <c r="D46" s="92">
        <v>61.819804796938158</v>
      </c>
    </row>
    <row r="47" spans="1:4" ht="12.75">
      <c r="A47" s="42">
        <v>20306</v>
      </c>
      <c r="B47" s="42" t="s">
        <v>103</v>
      </c>
      <c r="C47" s="92">
        <v>171.3009348936065</v>
      </c>
      <c r="D47" s="92">
        <v>71.20633104443921</v>
      </c>
    </row>
    <row r="48" spans="1:4" ht="12.75">
      <c r="A48" s="42">
        <v>20307</v>
      </c>
      <c r="B48" s="42" t="s">
        <v>104</v>
      </c>
      <c r="C48" s="92">
        <v>20.752361788885551</v>
      </c>
      <c r="D48" s="92">
        <v>53.019068697374038</v>
      </c>
    </row>
    <row r="49" spans="1:4" ht="12.75">
      <c r="A49" s="42">
        <v>20308</v>
      </c>
      <c r="B49" s="42" t="s">
        <v>105</v>
      </c>
      <c r="C49" s="92">
        <v>320.24667396939293</v>
      </c>
      <c r="D49" s="92">
        <v>98.954618095098922</v>
      </c>
    </row>
    <row r="50" spans="1:4" ht="12.75">
      <c r="A50" s="42">
        <v>20401</v>
      </c>
      <c r="B50" s="42" t="s">
        <v>106</v>
      </c>
      <c r="C50" s="92">
        <v>475.88938738603451</v>
      </c>
      <c r="D50" s="92">
        <v>156.48138089224972</v>
      </c>
    </row>
    <row r="51" spans="1:4" ht="12.75">
      <c r="A51" s="42">
        <v>20402</v>
      </c>
      <c r="B51" s="42" t="s">
        <v>107</v>
      </c>
      <c r="C51" s="92">
        <v>759.81942822487758</v>
      </c>
      <c r="D51" s="92">
        <v>223.45283608893271</v>
      </c>
    </row>
    <row r="52" spans="1:4" ht="12.75">
      <c r="A52" s="42">
        <v>20403</v>
      </c>
      <c r="B52" s="42" t="s">
        <v>108</v>
      </c>
      <c r="C52" s="92">
        <v>649.45459507489545</v>
      </c>
      <c r="D52" s="92">
        <v>213.57883948942177</v>
      </c>
    </row>
    <row r="53" spans="1:4" ht="12.75">
      <c r="A53" s="42">
        <v>20404</v>
      </c>
      <c r="B53" s="42" t="s">
        <v>109</v>
      </c>
      <c r="C53" s="92">
        <v>245.72682936384933</v>
      </c>
      <c r="D53" s="92">
        <v>75.55753919625775</v>
      </c>
    </row>
    <row r="54" spans="1:4" ht="12.75">
      <c r="A54" s="42">
        <v>20405</v>
      </c>
      <c r="B54" s="42" t="s">
        <v>110</v>
      </c>
      <c r="C54" s="92">
        <v>252.32985356940381</v>
      </c>
      <c r="D54" s="92">
        <v>96.593444995215862</v>
      </c>
    </row>
    <row r="55" spans="1:4" ht="12.75">
      <c r="A55" s="42">
        <v>20501</v>
      </c>
      <c r="B55" s="42" t="s">
        <v>111</v>
      </c>
      <c r="C55" s="92">
        <v>619.74098614990032</v>
      </c>
      <c r="D55" s="92">
        <v>289.35103078566885</v>
      </c>
    </row>
    <row r="56" spans="1:4" ht="12.75">
      <c r="A56" s="42">
        <v>20502</v>
      </c>
      <c r="B56" s="42" t="s">
        <v>112</v>
      </c>
      <c r="C56" s="92">
        <v>500.88655044991935</v>
      </c>
      <c r="D56" s="92">
        <v>151.7590346924836</v>
      </c>
    </row>
    <row r="57" spans="1:4" ht="12.75">
      <c r="A57" s="42">
        <v>20503</v>
      </c>
      <c r="B57" s="42" t="s">
        <v>113</v>
      </c>
      <c r="C57" s="92">
        <v>288.64648669995353</v>
      </c>
      <c r="D57" s="92">
        <v>126.85939109371684</v>
      </c>
    </row>
    <row r="58" spans="1:4" ht="12.75">
      <c r="A58" s="42">
        <v>20601</v>
      </c>
      <c r="B58" s="42" t="s">
        <v>114</v>
      </c>
      <c r="C58" s="92">
        <v>1012.053252024044</v>
      </c>
      <c r="D58" s="92">
        <v>477.18495410896145</v>
      </c>
    </row>
    <row r="59" spans="1:4" ht="12.75">
      <c r="A59" s="42">
        <v>20602</v>
      </c>
      <c r="B59" s="42" t="s">
        <v>115</v>
      </c>
      <c r="C59" s="92">
        <v>642.02707259520639</v>
      </c>
      <c r="D59" s="92">
        <v>268.57482662530208</v>
      </c>
    </row>
    <row r="60" spans="1:4" ht="12.75">
      <c r="A60" s="42">
        <v>20603</v>
      </c>
      <c r="B60" s="42" t="s">
        <v>116</v>
      </c>
      <c r="C60" s="92">
        <v>420.23532622493235</v>
      </c>
      <c r="D60" s="92">
        <v>173.86820099138859</v>
      </c>
    </row>
    <row r="61" spans="1:4" ht="12.75">
      <c r="A61" s="42">
        <v>20604</v>
      </c>
      <c r="B61" s="42" t="s">
        <v>117</v>
      </c>
      <c r="C61" s="92">
        <v>150.92626755553127</v>
      </c>
      <c r="D61" s="92">
        <v>79.635929096055747</v>
      </c>
    </row>
    <row r="62" spans="1:4" ht="12.75">
      <c r="A62" s="42">
        <v>20605</v>
      </c>
      <c r="B62" s="42" t="s">
        <v>118</v>
      </c>
      <c r="C62" s="92">
        <v>122.62759238886915</v>
      </c>
      <c r="D62" s="92">
        <v>46.794157797682352</v>
      </c>
    </row>
    <row r="63" spans="1:4" ht="12.75">
      <c r="A63" s="42">
        <v>20606</v>
      </c>
      <c r="B63" s="42" t="s">
        <v>119</v>
      </c>
      <c r="C63" s="92">
        <v>486.14143044791109</v>
      </c>
      <c r="D63" s="92">
        <v>136.45296984345447</v>
      </c>
    </row>
    <row r="64" spans="1:4" ht="12.75">
      <c r="A64" s="42">
        <v>20607</v>
      </c>
      <c r="B64" s="42" t="s">
        <v>120</v>
      </c>
      <c r="C64" s="92">
        <v>653.28156323417841</v>
      </c>
      <c r="D64" s="92">
        <v>355.56691059038928</v>
      </c>
    </row>
    <row r="65" spans="1:4" ht="12.75">
      <c r="A65" s="42">
        <v>20608</v>
      </c>
      <c r="B65" s="42" t="s">
        <v>121</v>
      </c>
      <c r="C65" s="92">
        <v>494.75517083047589</v>
      </c>
      <c r="D65" s="92">
        <v>233.78737561956979</v>
      </c>
    </row>
    <row r="66" spans="1:4" ht="12.75">
      <c r="A66" s="42">
        <v>20701</v>
      </c>
      <c r="B66" s="42" t="s">
        <v>122</v>
      </c>
      <c r="C66" s="92">
        <v>963.16643047211039</v>
      </c>
      <c r="D66" s="92">
        <v>381.65391826497813</v>
      </c>
    </row>
    <row r="67" spans="1:4" ht="12.75">
      <c r="A67" s="42">
        <v>20702</v>
      </c>
      <c r="B67" s="42" t="s">
        <v>123</v>
      </c>
      <c r="C67" s="92">
        <v>365.52455423605227</v>
      </c>
      <c r="D67" s="92">
        <v>156.26672879226035</v>
      </c>
    </row>
    <row r="68" spans="1:4" ht="12.75">
      <c r="A68" s="42">
        <v>20801</v>
      </c>
      <c r="B68" s="42" t="s">
        <v>124</v>
      </c>
      <c r="C68" s="92">
        <v>2018.6725523650152</v>
      </c>
      <c r="D68" s="92">
        <v>1286.2774807139435</v>
      </c>
    </row>
    <row r="69" spans="1:4" ht="12.75">
      <c r="A69" s="42">
        <v>20802</v>
      </c>
      <c r="B69" s="42" t="s">
        <v>125</v>
      </c>
      <c r="C69" s="92">
        <v>258.93287777495834</v>
      </c>
      <c r="D69" s="92">
        <v>102.81835589490757</v>
      </c>
    </row>
    <row r="70" spans="1:4" ht="12.75">
      <c r="A70" s="42">
        <v>20803</v>
      </c>
      <c r="B70" s="42" t="s">
        <v>126</v>
      </c>
      <c r="C70" s="92">
        <v>440.37610427962886</v>
      </c>
      <c r="D70" s="92">
        <v>202.52036519977369</v>
      </c>
    </row>
    <row r="71" spans="1:4" ht="12.75">
      <c r="A71" s="42">
        <v>20804</v>
      </c>
      <c r="B71" s="42" t="s">
        <v>127</v>
      </c>
      <c r="C71" s="92">
        <v>201.84954290510186</v>
      </c>
      <c r="D71" s="92">
        <v>89.831264456316731</v>
      </c>
    </row>
    <row r="72" spans="1:4" ht="12.75">
      <c r="A72" s="42">
        <v>20805</v>
      </c>
      <c r="B72" s="42" t="s">
        <v>128</v>
      </c>
      <c r="C72" s="92">
        <v>233.4640701249624</v>
      </c>
      <c r="D72" s="92">
        <v>99.598574395067033</v>
      </c>
    </row>
    <row r="73" spans="1:4" ht="12.75">
      <c r="A73" s="42">
        <v>20806</v>
      </c>
      <c r="B73" s="42" t="s">
        <v>129</v>
      </c>
      <c r="C73" s="92">
        <v>588.6124434665719</v>
      </c>
      <c r="D73" s="92">
        <v>245.77665448782705</v>
      </c>
    </row>
    <row r="74" spans="1:4" ht="12.75">
      <c r="A74" s="42">
        <v>20807</v>
      </c>
      <c r="B74" s="42" t="s">
        <v>130</v>
      </c>
      <c r="C74" s="92">
        <v>205.16539495830031</v>
      </c>
      <c r="D74" s="92">
        <v>97.452053395173351</v>
      </c>
    </row>
    <row r="75" spans="1:4" ht="12.75">
      <c r="A75" s="42">
        <v>20901</v>
      </c>
      <c r="B75" s="42" t="s">
        <v>131</v>
      </c>
      <c r="C75" s="92">
        <v>441.45933259992898</v>
      </c>
      <c r="D75" s="92">
        <v>146.60738429273874</v>
      </c>
    </row>
    <row r="76" spans="1:4" ht="12.75">
      <c r="A76" s="42">
        <v>20902</v>
      </c>
      <c r="B76" s="42" t="s">
        <v>132</v>
      </c>
      <c r="C76" s="92">
        <v>550.40923199157805</v>
      </c>
      <c r="D76" s="92">
        <v>232.03892008850747</v>
      </c>
    </row>
    <row r="77" spans="1:4" ht="12.75">
      <c r="A77" s="42">
        <v>20903</v>
      </c>
      <c r="B77" s="42" t="s">
        <v>133</v>
      </c>
      <c r="C77" s="92">
        <v>380.61718099160544</v>
      </c>
      <c r="D77" s="92">
        <v>185.37446696401014</v>
      </c>
    </row>
    <row r="78" spans="1:4" ht="12.75">
      <c r="A78" s="42">
        <v>20904</v>
      </c>
      <c r="B78" s="42" t="s">
        <v>134</v>
      </c>
      <c r="C78" s="92">
        <v>273.08221535828937</v>
      </c>
      <c r="D78" s="92">
        <v>114.8388734943122</v>
      </c>
    </row>
    <row r="79" spans="1:4" ht="12.75">
      <c r="A79" s="42">
        <v>20905</v>
      </c>
      <c r="B79" s="42" t="s">
        <v>135</v>
      </c>
      <c r="C79" s="92">
        <v>623.51414283878853</v>
      </c>
      <c r="D79" s="92">
        <v>243.84478558792273</v>
      </c>
    </row>
    <row r="80" spans="1:4" ht="12.75">
      <c r="A80" s="42">
        <v>21001</v>
      </c>
      <c r="B80" s="42" t="s">
        <v>136</v>
      </c>
      <c r="C80" s="92">
        <v>865.93946009986064</v>
      </c>
      <c r="D80" s="92">
        <v>343.87266418296849</v>
      </c>
    </row>
    <row r="81" spans="1:4" ht="12.75">
      <c r="A81" s="42">
        <v>21002</v>
      </c>
      <c r="B81" s="42" t="s">
        <v>137</v>
      </c>
      <c r="C81" s="92">
        <v>322.70190417191839</v>
      </c>
      <c r="D81" s="92">
        <v>162.65769821015655</v>
      </c>
    </row>
    <row r="82" spans="1:4" ht="12.75">
      <c r="A82" s="42">
        <v>21003</v>
      </c>
      <c r="B82" s="42" t="s">
        <v>138</v>
      </c>
      <c r="C82" s="92">
        <v>525.41206892769321</v>
      </c>
      <c r="D82" s="92">
        <v>293.06862247484639</v>
      </c>
    </row>
    <row r="83" spans="1:4" ht="12.75">
      <c r="A83" s="42">
        <v>21004</v>
      </c>
      <c r="B83" s="42" t="s">
        <v>139</v>
      </c>
      <c r="C83" s="92">
        <v>953.41950654318725</v>
      </c>
      <c r="D83" s="92">
        <v>385.81115399146148</v>
      </c>
    </row>
    <row r="84" spans="1:4" ht="12.75">
      <c r="A84" s="42">
        <v>21005</v>
      </c>
      <c r="B84" s="42" t="s">
        <v>140</v>
      </c>
      <c r="C84" s="92">
        <v>430.61150711937518</v>
      </c>
      <c r="D84" s="92">
        <v>149.88281092420209</v>
      </c>
    </row>
    <row r="85" spans="1:4" ht="12.75">
      <c r="A85" s="42">
        <v>21006</v>
      </c>
      <c r="B85" s="42" t="s">
        <v>141</v>
      </c>
      <c r="C85" s="92">
        <v>157.9085184458624</v>
      </c>
      <c r="D85" s="92">
        <v>149.47250571860533</v>
      </c>
    </row>
    <row r="86" spans="1:4" ht="12.75">
      <c r="A86" s="42">
        <v>21101</v>
      </c>
      <c r="B86" s="42" t="s">
        <v>142</v>
      </c>
      <c r="C86" s="92">
        <v>739.02394883455531</v>
      </c>
      <c r="D86" s="92">
        <v>275.96952753101243</v>
      </c>
    </row>
    <row r="87" spans="1:4" ht="12.75">
      <c r="A87" s="42">
        <v>21102</v>
      </c>
      <c r="B87" s="42" t="s">
        <v>143</v>
      </c>
      <c r="C87" s="92">
        <v>759.81942822487758</v>
      </c>
      <c r="D87" s="92">
        <v>336.81238211490961</v>
      </c>
    </row>
    <row r="88" spans="1:4" ht="12.75">
      <c r="A88" s="42">
        <v>21103</v>
      </c>
      <c r="B88" s="42" t="s">
        <v>144</v>
      </c>
      <c r="C88" s="92">
        <v>266.47919115273487</v>
      </c>
      <c r="D88" s="92">
        <v>108.61396259462052</v>
      </c>
    </row>
    <row r="89" spans="1:4" ht="12.75">
      <c r="A89" s="42">
        <v>21104</v>
      </c>
      <c r="B89" s="42" t="s">
        <v>145</v>
      </c>
      <c r="C89" s="92">
        <v>1183.473603416847</v>
      </c>
      <c r="D89" s="92">
        <v>461.31589790525379</v>
      </c>
    </row>
    <row r="90" spans="1:4" ht="12.75">
      <c r="A90" s="42">
        <v>21105</v>
      </c>
      <c r="B90" s="42" t="s">
        <v>146</v>
      </c>
      <c r="C90" s="92">
        <v>2146.9435066331907</v>
      </c>
      <c r="D90" s="92">
        <v>905.30902424435294</v>
      </c>
    </row>
    <row r="91" spans="1:4" ht="12.75">
      <c r="A91" s="42">
        <v>21201</v>
      </c>
      <c r="B91" s="42" t="s">
        <v>147</v>
      </c>
      <c r="C91" s="92">
        <v>1385.6917939942214</v>
      </c>
      <c r="D91" s="92">
        <v>694.19333130350685</v>
      </c>
    </row>
    <row r="92" spans="1:4" ht="12.75">
      <c r="A92" s="42">
        <v>21202</v>
      </c>
      <c r="B92" s="42" t="s">
        <v>148</v>
      </c>
      <c r="C92" s="92">
        <v>957.91015439151249</v>
      </c>
      <c r="D92" s="92">
        <v>558.79824008185551</v>
      </c>
    </row>
    <row r="93" spans="1:4" ht="12.75">
      <c r="A93" s="42">
        <v>21203</v>
      </c>
      <c r="B93" s="42" t="s">
        <v>149</v>
      </c>
      <c r="C93" s="92">
        <v>824.74295992474447</v>
      </c>
      <c r="D93" s="92">
        <v>288.54236781901949</v>
      </c>
    </row>
    <row r="94" spans="1:4" ht="12.75">
      <c r="A94" s="42">
        <v>21204</v>
      </c>
      <c r="B94" s="42" t="s">
        <v>150</v>
      </c>
      <c r="C94" s="92">
        <v>287.23155294162041</v>
      </c>
      <c r="D94" s="92">
        <v>99.383922295077667</v>
      </c>
    </row>
    <row r="95" spans="1:4" ht="12.75">
      <c r="A95" s="42">
        <v>21301</v>
      </c>
      <c r="B95" s="42" t="s">
        <v>151</v>
      </c>
      <c r="C95" s="92">
        <v>1278.5317833631095</v>
      </c>
      <c r="D95" s="92">
        <v>516.92569870578473</v>
      </c>
    </row>
    <row r="96" spans="1:4" ht="12.75">
      <c r="A96" s="42">
        <v>21302</v>
      </c>
      <c r="B96" s="42" t="s">
        <v>152</v>
      </c>
      <c r="C96" s="92">
        <v>433.44137463604136</v>
      </c>
      <c r="D96" s="92">
        <v>117.84400289416337</v>
      </c>
    </row>
    <row r="97" spans="1:4" ht="12.75">
      <c r="A97" s="42">
        <v>21303</v>
      </c>
      <c r="B97" s="42" t="s">
        <v>153</v>
      </c>
      <c r="C97" s="92">
        <v>378.25895806105024</v>
      </c>
      <c r="D97" s="92">
        <v>166.99933379172879</v>
      </c>
    </row>
    <row r="98" spans="1:4" ht="12.75">
      <c r="A98" s="42">
        <v>21304</v>
      </c>
      <c r="B98" s="42" t="s">
        <v>154</v>
      </c>
      <c r="C98" s="92">
        <v>581.06613008879538</v>
      </c>
      <c r="D98" s="92">
        <v>241.48361248803968</v>
      </c>
    </row>
    <row r="99" spans="1:4" ht="12.75">
      <c r="A99" s="42">
        <v>21305</v>
      </c>
      <c r="B99" s="42" t="s">
        <v>155</v>
      </c>
      <c r="C99" s="92">
        <v>892.32476848708916</v>
      </c>
      <c r="D99" s="92">
        <v>347.12850723560723</v>
      </c>
    </row>
    <row r="100" spans="1:4" ht="12.75">
      <c r="A100" s="42">
        <v>21306</v>
      </c>
      <c r="B100" s="42" t="s">
        <v>156</v>
      </c>
      <c r="C100" s="92">
        <v>395.81159011509385</v>
      </c>
      <c r="D100" s="92">
        <v>194.46939518427462</v>
      </c>
    </row>
    <row r="101" spans="1:4" ht="12.75">
      <c r="A101" s="42">
        <v>21307</v>
      </c>
      <c r="B101" s="42" t="s">
        <v>157</v>
      </c>
      <c r="C101" s="92">
        <v>156.77565014381264</v>
      </c>
      <c r="D101" s="92">
        <v>69.201937137134223</v>
      </c>
    </row>
    <row r="102" spans="1:4" ht="12.75">
      <c r="A102" s="42">
        <v>21401</v>
      </c>
      <c r="B102" s="42" t="s">
        <v>158</v>
      </c>
      <c r="C102" s="92">
        <v>728.24577035246864</v>
      </c>
      <c r="D102" s="92">
        <v>391.12173828651771</v>
      </c>
    </row>
    <row r="103" spans="1:4" ht="12.75">
      <c r="A103" s="42">
        <v>21402</v>
      </c>
      <c r="B103" s="42" t="s">
        <v>159</v>
      </c>
      <c r="C103" s="92">
        <v>710.83847814357728</v>
      </c>
      <c r="D103" s="92">
        <v>348.148716697395</v>
      </c>
    </row>
    <row r="104" spans="1:4" ht="12.75">
      <c r="A104" s="42">
        <v>21501</v>
      </c>
      <c r="B104" s="42" t="s">
        <v>160</v>
      </c>
      <c r="C104" s="92">
        <v>471.19834679496159</v>
      </c>
      <c r="D104" s="92">
        <v>235.66575504298311</v>
      </c>
    </row>
    <row r="105" spans="1:4" ht="12.75">
      <c r="A105" s="42">
        <v>21502</v>
      </c>
      <c r="B105" s="42" t="s">
        <v>161</v>
      </c>
      <c r="C105" s="92">
        <v>407.32959078370516</v>
      </c>
      <c r="D105" s="92">
        <v>188.16841523399947</v>
      </c>
    </row>
    <row r="106" spans="1:4" ht="12.75">
      <c r="A106" s="42">
        <v>21601</v>
      </c>
      <c r="B106" s="42" t="s">
        <v>162</v>
      </c>
      <c r="C106" s="92">
        <v>646.50253006660273</v>
      </c>
      <c r="D106" s="92">
        <v>315.11713813783945</v>
      </c>
    </row>
    <row r="107" spans="1:4" ht="12.75">
      <c r="A107" s="42">
        <v>21602</v>
      </c>
      <c r="B107" s="42" t="s">
        <v>163</v>
      </c>
      <c r="C107" s="92">
        <v>178.28165354997131</v>
      </c>
      <c r="D107" s="92">
        <v>156.26672879226035</v>
      </c>
    </row>
    <row r="108" spans="1:4" ht="12.75">
      <c r="A108" s="42">
        <v>21701</v>
      </c>
      <c r="B108" s="42" t="s">
        <v>164</v>
      </c>
      <c r="C108" s="92">
        <v>536.33437026527463</v>
      </c>
      <c r="D108" s="92">
        <v>185.97940225243977</v>
      </c>
    </row>
    <row r="109" spans="1:4" ht="12.75">
      <c r="A109" s="42">
        <v>21702</v>
      </c>
      <c r="B109" s="42" t="s">
        <v>165</v>
      </c>
      <c r="C109" s="92">
        <v>207.99526247496652</v>
      </c>
      <c r="D109" s="92">
        <v>92.515055095417864</v>
      </c>
    </row>
    <row r="110" spans="1:4" ht="12.75">
      <c r="A110" s="42">
        <v>21703</v>
      </c>
      <c r="B110" s="42" t="s">
        <v>166</v>
      </c>
      <c r="C110" s="92">
        <v>115.8586739204745</v>
      </c>
      <c r="D110" s="92">
        <v>54.928248413602887</v>
      </c>
    </row>
    <row r="111" spans="1:4" ht="12.75">
      <c r="A111" s="42">
        <v>21801</v>
      </c>
      <c r="B111" s="42" t="s">
        <v>167</v>
      </c>
      <c r="C111" s="92">
        <v>353.26179499716534</v>
      </c>
      <c r="D111" s="92">
        <v>116.98539449420588</v>
      </c>
    </row>
    <row r="112" spans="1:4" ht="12.75">
      <c r="A112" s="42">
        <v>21802</v>
      </c>
      <c r="B112" s="42" t="s">
        <v>168</v>
      </c>
      <c r="C112" s="92">
        <v>304.68240262772872</v>
      </c>
      <c r="D112" s="92">
        <v>87.578056795662391</v>
      </c>
    </row>
    <row r="113" spans="1:4" ht="12.75">
      <c r="A113" s="42">
        <v>21803</v>
      </c>
      <c r="B113" s="42" t="s">
        <v>169</v>
      </c>
      <c r="C113" s="92">
        <v>96.687140152762225</v>
      </c>
      <c r="D113" s="92">
        <v>31.124554498458448</v>
      </c>
    </row>
    <row r="114" spans="1:4" ht="12.75">
      <c r="A114" s="42">
        <v>21901</v>
      </c>
      <c r="B114" s="42" t="s">
        <v>170</v>
      </c>
      <c r="C114" s="92">
        <v>160.830803863863</v>
      </c>
      <c r="D114" s="92">
        <v>78.348016496119541</v>
      </c>
    </row>
    <row r="115" spans="1:4" ht="12.75">
      <c r="A115" s="42">
        <v>21902</v>
      </c>
      <c r="B115" s="42" t="s">
        <v>171</v>
      </c>
      <c r="C115" s="92">
        <v>117.91114652775879</v>
      </c>
      <c r="D115" s="92">
        <v>98.525313895120178</v>
      </c>
    </row>
    <row r="116" spans="1:4" ht="12.75">
      <c r="A116" s="42">
        <v>22001</v>
      </c>
      <c r="B116" s="42" t="s">
        <v>172</v>
      </c>
      <c r="C116" s="92">
        <v>2340.094794355904</v>
      </c>
      <c r="D116" s="92">
        <v>944.70201417092937</v>
      </c>
    </row>
    <row r="117" spans="1:4" ht="12.75">
      <c r="A117" s="42">
        <v>22002</v>
      </c>
      <c r="B117" s="42" t="s">
        <v>173</v>
      </c>
      <c r="C117" s="92">
        <v>582.00941926101746</v>
      </c>
      <c r="D117" s="92">
        <v>179.23450349112278</v>
      </c>
    </row>
    <row r="118" spans="1:4" ht="12.75">
      <c r="A118" s="42">
        <v>30101</v>
      </c>
      <c r="B118" s="42" t="s">
        <v>55</v>
      </c>
      <c r="C118" s="92">
        <v>12933.13022227361</v>
      </c>
      <c r="D118" s="92">
        <v>4843.9362633055061</v>
      </c>
    </row>
    <row r="119" spans="1:4" ht="12.75">
      <c r="A119" s="42">
        <v>30201</v>
      </c>
      <c r="B119" s="42" t="s">
        <v>174</v>
      </c>
      <c r="C119" s="92">
        <v>1254.1331818631506</v>
      </c>
      <c r="D119" s="92">
        <v>262.00561351320192</v>
      </c>
    </row>
    <row r="120" spans="1:4" ht="12.75">
      <c r="A120" s="42">
        <v>30202</v>
      </c>
      <c r="B120" s="42" t="s">
        <v>175</v>
      </c>
      <c r="C120" s="92">
        <v>273.32857913243845</v>
      </c>
      <c r="D120" s="92">
        <v>62.870380589817707</v>
      </c>
    </row>
    <row r="121" spans="1:4" ht="12.75">
      <c r="A121" s="42">
        <v>30203</v>
      </c>
      <c r="B121" s="42" t="s">
        <v>176</v>
      </c>
      <c r="C121" s="92">
        <v>358.26070156146875</v>
      </c>
      <c r="D121" s="92">
        <v>95.67689733657862</v>
      </c>
    </row>
    <row r="122" spans="1:4" ht="12.75">
      <c r="A122" s="42">
        <v>30301</v>
      </c>
      <c r="B122" s="42" t="s">
        <v>177</v>
      </c>
      <c r="C122" s="92">
        <v>1631.860010161161</v>
      </c>
      <c r="D122" s="92">
        <v>332.37755480988511</v>
      </c>
    </row>
    <row r="123" spans="1:4" ht="12.75">
      <c r="A123" s="42">
        <v>30302</v>
      </c>
      <c r="B123" s="42" t="s">
        <v>178</v>
      </c>
      <c r="C123" s="92">
        <v>957.74075995117732</v>
      </c>
      <c r="D123" s="92">
        <v>196.8352835830654</v>
      </c>
    </row>
    <row r="124" spans="1:4" ht="12.75">
      <c r="A124" s="42">
        <v>30303</v>
      </c>
      <c r="B124" s="42" t="s">
        <v>179</v>
      </c>
      <c r="C124" s="92">
        <v>1236.070787060685</v>
      </c>
      <c r="D124" s="92">
        <v>332.87587198351315</v>
      </c>
    </row>
    <row r="125" spans="1:4" ht="12.75">
      <c r="A125" s="42">
        <v>30401</v>
      </c>
      <c r="B125" s="42" t="s">
        <v>180</v>
      </c>
      <c r="C125" s="92">
        <v>326.26400441042938</v>
      </c>
      <c r="D125" s="92">
        <v>116.0011414185828</v>
      </c>
    </row>
    <row r="126" spans="1:4" ht="12.75">
      <c r="A126" s="42">
        <v>30402</v>
      </c>
      <c r="B126" s="42" t="s">
        <v>181</v>
      </c>
      <c r="C126" s="92">
        <v>473.39893499822227</v>
      </c>
      <c r="D126" s="92">
        <v>82.720650822250263</v>
      </c>
    </row>
    <row r="127" spans="1:4" ht="12.75">
      <c r="A127" s="42">
        <v>30403</v>
      </c>
      <c r="B127" s="42" t="s">
        <v>182</v>
      </c>
      <c r="C127" s="92">
        <v>639.71510987339298</v>
      </c>
      <c r="D127" s="92">
        <v>325.9630465110564</v>
      </c>
    </row>
    <row r="128" spans="1:4" ht="12.75">
      <c r="A128" s="42">
        <v>30404</v>
      </c>
      <c r="B128" s="42" t="s">
        <v>183</v>
      </c>
      <c r="C128" s="92">
        <v>262.6293589135866</v>
      </c>
      <c r="D128" s="92">
        <v>53.818254751825471</v>
      </c>
    </row>
    <row r="129" spans="1:4" ht="12.75">
      <c r="A129" s="42">
        <v>30501</v>
      </c>
      <c r="B129" s="42" t="s">
        <v>184</v>
      </c>
      <c r="C129" s="92">
        <v>386.28865978248473</v>
      </c>
      <c r="D129" s="92">
        <v>107.05916841511288</v>
      </c>
    </row>
    <row r="130" spans="1:4" ht="12.75">
      <c r="A130" s="42">
        <v>30502</v>
      </c>
      <c r="B130" s="42" t="s">
        <v>185</v>
      </c>
      <c r="C130" s="92">
        <v>596.62539144499567</v>
      </c>
      <c r="D130" s="92">
        <v>94.015840091151915</v>
      </c>
    </row>
    <row r="131" spans="1:4" ht="12.75">
      <c r="A131" s="42">
        <v>30601</v>
      </c>
      <c r="B131" s="42" t="s">
        <v>186</v>
      </c>
      <c r="C131" s="92">
        <v>866.86719554448337</v>
      </c>
      <c r="D131" s="92">
        <v>197.49970648123607</v>
      </c>
    </row>
    <row r="132" spans="1:4" ht="12.75">
      <c r="A132" s="42">
        <v>30602</v>
      </c>
      <c r="B132" s="42" t="s">
        <v>187</v>
      </c>
      <c r="C132" s="92">
        <v>719.85184789176913</v>
      </c>
      <c r="D132" s="92">
        <v>141.68818303489854</v>
      </c>
    </row>
    <row r="133" spans="1:4" ht="12.75">
      <c r="A133" s="42">
        <v>30701</v>
      </c>
      <c r="B133" s="42" t="s">
        <v>188</v>
      </c>
      <c r="C133" s="92">
        <v>825.68277748358605</v>
      </c>
      <c r="D133" s="92">
        <v>225.54437500009473</v>
      </c>
    </row>
    <row r="134" spans="1:4" ht="12.75">
      <c r="A134" s="42">
        <v>30702</v>
      </c>
      <c r="B134" s="42" t="s">
        <v>189</v>
      </c>
      <c r="C134" s="92">
        <v>297.36114007426022</v>
      </c>
      <c r="D134" s="92">
        <v>94.34805154023725</v>
      </c>
    </row>
    <row r="135" spans="1:4" ht="12.75">
      <c r="A135" s="42">
        <v>30703</v>
      </c>
      <c r="B135" s="42" t="s">
        <v>190</v>
      </c>
      <c r="C135" s="92">
        <v>196.02046353695235</v>
      </c>
      <c r="D135" s="92">
        <v>57.804792140849585</v>
      </c>
    </row>
    <row r="136" spans="1:4" ht="12.75">
      <c r="A136" s="42">
        <v>30801</v>
      </c>
      <c r="B136" s="42" t="s">
        <v>191</v>
      </c>
      <c r="C136" s="92">
        <v>741.57196837231879</v>
      </c>
      <c r="D136" s="92">
        <v>224.27241511316277</v>
      </c>
    </row>
    <row r="137" spans="1:4" ht="12.75">
      <c r="A137" s="42">
        <v>30802</v>
      </c>
      <c r="B137" s="42" t="s">
        <v>192</v>
      </c>
      <c r="C137" s="92">
        <v>288.32136141600273</v>
      </c>
      <c r="D137" s="92">
        <v>82.554545097707603</v>
      </c>
    </row>
    <row r="138" spans="1:4" ht="12.75">
      <c r="A138" s="42">
        <v>30803</v>
      </c>
      <c r="B138" s="42" t="s">
        <v>193</v>
      </c>
      <c r="C138" s="92">
        <v>181.95797480974471</v>
      </c>
      <c r="D138" s="92">
        <v>85.834560622800339</v>
      </c>
    </row>
    <row r="139" spans="1:4" ht="12.75">
      <c r="A139" s="42">
        <v>30901</v>
      </c>
      <c r="B139" s="42" t="s">
        <v>194</v>
      </c>
      <c r="C139" s="92">
        <v>3392.6997375240539</v>
      </c>
      <c r="D139" s="92">
        <v>1385.0668022061841</v>
      </c>
    </row>
    <row r="140" spans="1:4" ht="12.75">
      <c r="A140" s="42">
        <v>30902</v>
      </c>
      <c r="B140" s="42" t="s">
        <v>195</v>
      </c>
      <c r="C140" s="92">
        <v>1882.8486708229173</v>
      </c>
      <c r="D140" s="92">
        <v>660.61052440092612</v>
      </c>
    </row>
    <row r="141" spans="1:4" ht="12.75">
      <c r="A141" s="42">
        <v>30903</v>
      </c>
      <c r="B141" s="42" t="s">
        <v>196</v>
      </c>
      <c r="C141" s="92">
        <v>1376.6334854873248</v>
      </c>
      <c r="D141" s="92">
        <v>498.23079865125152</v>
      </c>
    </row>
    <row r="142" spans="1:4" ht="12.75">
      <c r="A142" s="42">
        <v>30904</v>
      </c>
      <c r="B142" s="42" t="s">
        <v>197</v>
      </c>
      <c r="C142" s="92">
        <v>1596.5579316254234</v>
      </c>
      <c r="D142" s="92">
        <v>546.1598915668402</v>
      </c>
    </row>
    <row r="143" spans="1:4" ht="12.75">
      <c r="A143" s="42">
        <v>30905</v>
      </c>
      <c r="B143" s="42" t="s">
        <v>198</v>
      </c>
      <c r="C143" s="92">
        <v>1086.3233037417435</v>
      </c>
      <c r="D143" s="92">
        <v>475.15779462954293</v>
      </c>
    </row>
    <row r="144" spans="1:4" ht="12.75">
      <c r="A144" s="42">
        <v>31001</v>
      </c>
      <c r="B144" s="42" t="s">
        <v>199</v>
      </c>
      <c r="C144" s="92">
        <v>4365.30706798139</v>
      </c>
      <c r="D144" s="92">
        <v>1826.665642361774</v>
      </c>
    </row>
    <row r="145" spans="1:4" ht="12.75">
      <c r="A145" s="42">
        <v>31002</v>
      </c>
      <c r="B145" s="42" t="s">
        <v>200</v>
      </c>
      <c r="C145" s="92">
        <v>1058.838405231653</v>
      </c>
      <c r="D145" s="92">
        <v>284.0013759671146</v>
      </c>
    </row>
    <row r="146" spans="1:4" ht="12.75">
      <c r="A146" s="42">
        <v>31003</v>
      </c>
      <c r="B146" s="42" t="s">
        <v>201</v>
      </c>
      <c r="C146" s="92">
        <v>4143.0420242094442</v>
      </c>
      <c r="D146" s="92">
        <v>1294.4760480184448</v>
      </c>
    </row>
    <row r="147" spans="1:4" ht="12.75">
      <c r="A147" s="42">
        <v>31101</v>
      </c>
      <c r="B147" s="42" t="s">
        <v>202</v>
      </c>
      <c r="C147" s="92">
        <v>1608.1290455215992</v>
      </c>
      <c r="D147" s="92">
        <v>371.08018862832745</v>
      </c>
    </row>
    <row r="148" spans="1:4" ht="12.75">
      <c r="A148" s="42">
        <v>31201</v>
      </c>
      <c r="B148" s="42" t="s">
        <v>203</v>
      </c>
      <c r="C148" s="92">
        <v>965.8289829611972</v>
      </c>
      <c r="D148" s="92">
        <v>257.13166159205502</v>
      </c>
    </row>
    <row r="149" spans="1:4" ht="12.75">
      <c r="A149" s="42">
        <v>31202</v>
      </c>
      <c r="B149" s="42" t="s">
        <v>204</v>
      </c>
      <c r="C149" s="92">
        <v>767.90540812776965</v>
      </c>
      <c r="D149" s="92">
        <v>186.86894011050509</v>
      </c>
    </row>
    <row r="150" spans="1:4" ht="12.75">
      <c r="A150" s="42">
        <v>31203</v>
      </c>
      <c r="B150" s="42" t="s">
        <v>205</v>
      </c>
      <c r="C150" s="92">
        <v>718.42451441941273</v>
      </c>
      <c r="D150" s="92">
        <v>156.47159251919626</v>
      </c>
    </row>
    <row r="151" spans="1:4" ht="12.75">
      <c r="A151" s="42">
        <v>31204</v>
      </c>
      <c r="B151" s="42" t="s">
        <v>206</v>
      </c>
      <c r="C151" s="92">
        <v>1092.2462470831786</v>
      </c>
      <c r="D151" s="92">
        <v>339.04355424400012</v>
      </c>
    </row>
    <row r="152" spans="1:4" ht="12.75">
      <c r="A152" s="42">
        <v>31205</v>
      </c>
      <c r="B152" s="42" t="s">
        <v>207</v>
      </c>
      <c r="C152" s="92">
        <v>2546.023554441294</v>
      </c>
      <c r="D152" s="92">
        <v>854.51361077776221</v>
      </c>
    </row>
    <row r="153" spans="1:4" ht="12.75">
      <c r="A153" s="42">
        <v>31206</v>
      </c>
      <c r="B153" s="42" t="s">
        <v>208</v>
      </c>
      <c r="C153" s="92">
        <v>1412.8176388527884</v>
      </c>
      <c r="D153" s="92">
        <v>535.72709494644926</v>
      </c>
    </row>
    <row r="154" spans="1:4" ht="12.75">
      <c r="A154" s="42">
        <v>31301</v>
      </c>
      <c r="B154" s="42" t="s">
        <v>209</v>
      </c>
      <c r="C154" s="92">
        <v>1258.3566566775132</v>
      </c>
      <c r="D154" s="92">
        <v>263.58402785942212</v>
      </c>
    </row>
    <row r="155" spans="1:4" ht="12.75">
      <c r="A155" s="42">
        <v>31302</v>
      </c>
      <c r="B155" s="42" t="s">
        <v>210</v>
      </c>
      <c r="C155" s="92">
        <v>361.59114633030038</v>
      </c>
      <c r="D155" s="92">
        <v>119.92833311980861</v>
      </c>
    </row>
    <row r="156" spans="1:4" ht="12.75">
      <c r="A156" s="42">
        <v>31303</v>
      </c>
      <c r="B156" s="42" t="s">
        <v>211</v>
      </c>
      <c r="C156" s="92">
        <v>296.88536225014138</v>
      </c>
      <c r="D156" s="92">
        <v>46.841814321033283</v>
      </c>
    </row>
    <row r="157" spans="1:4" ht="12.75">
      <c r="A157" s="42">
        <v>31304</v>
      </c>
      <c r="B157" s="42" t="s">
        <v>212</v>
      </c>
      <c r="C157" s="92">
        <v>483.86604712883621</v>
      </c>
      <c r="D157" s="92">
        <v>140.52544296309986</v>
      </c>
    </row>
    <row r="158" spans="1:4" ht="12.75">
      <c r="A158" s="42">
        <v>31401</v>
      </c>
      <c r="B158" s="42" t="s">
        <v>213</v>
      </c>
      <c r="C158" s="92">
        <v>823.24274474966762</v>
      </c>
      <c r="D158" s="92">
        <v>314.10304123208005</v>
      </c>
    </row>
    <row r="159" spans="1:4" ht="12.75">
      <c r="A159" s="42">
        <v>31402</v>
      </c>
      <c r="B159" s="42" t="s">
        <v>214</v>
      </c>
      <c r="C159" s="92">
        <v>384.90425971212244</v>
      </c>
      <c r="D159" s="92">
        <v>100.30543688512449</v>
      </c>
    </row>
    <row r="160" spans="1:4" ht="12.75">
      <c r="A160" s="42">
        <v>31403</v>
      </c>
      <c r="B160" s="42" t="s">
        <v>215</v>
      </c>
      <c r="C160" s="92">
        <v>472.10528523376286</v>
      </c>
      <c r="D160" s="92">
        <v>124.87064991617997</v>
      </c>
    </row>
    <row r="161" spans="1:4" ht="12.75">
      <c r="A161" s="42">
        <v>31404</v>
      </c>
      <c r="B161" s="42" t="s">
        <v>216</v>
      </c>
      <c r="C161" s="92">
        <v>49.956671532475724</v>
      </c>
      <c r="D161" s="92">
        <v>14.285092310669725</v>
      </c>
    </row>
    <row r="162" spans="1:4" ht="12.75">
      <c r="A162" s="42">
        <v>31405</v>
      </c>
      <c r="B162" s="42" t="s">
        <v>217</v>
      </c>
      <c r="C162" s="92">
        <v>134.1693464015062</v>
      </c>
      <c r="D162" s="92">
        <v>40.52979678841178</v>
      </c>
    </row>
    <row r="163" spans="1:4" ht="12.75">
      <c r="A163" s="42">
        <v>31501</v>
      </c>
      <c r="B163" s="42" t="s">
        <v>218</v>
      </c>
      <c r="C163" s="92">
        <v>488.14804754590557</v>
      </c>
      <c r="D163" s="92">
        <v>122.08770753886334</v>
      </c>
    </row>
    <row r="164" spans="1:4" ht="12.75">
      <c r="A164" s="42">
        <v>31601</v>
      </c>
      <c r="B164" s="42" t="s">
        <v>219</v>
      </c>
      <c r="C164" s="92">
        <v>1297.2726770056649</v>
      </c>
      <c r="D164" s="92">
        <v>235.637948389326</v>
      </c>
    </row>
    <row r="165" spans="1:4" ht="12.75">
      <c r="A165" s="42">
        <v>31602</v>
      </c>
      <c r="B165" s="42" t="s">
        <v>220</v>
      </c>
      <c r="C165" s="92">
        <v>985.35349971609173</v>
      </c>
      <c r="D165" s="92">
        <v>349.91246674542424</v>
      </c>
    </row>
    <row r="166" spans="1:4" ht="12.75">
      <c r="A166" s="42">
        <v>40101</v>
      </c>
      <c r="B166" s="42" t="s">
        <v>57</v>
      </c>
      <c r="C166" s="92">
        <v>6138.7283261804887</v>
      </c>
      <c r="D166" s="92">
        <v>4581.9280355204455</v>
      </c>
    </row>
    <row r="167" spans="1:4" ht="12.75">
      <c r="A167" s="42">
        <v>40102</v>
      </c>
      <c r="B167" s="42" t="s">
        <v>221</v>
      </c>
      <c r="C167" s="92">
        <v>1151.9375763943949</v>
      </c>
      <c r="D167" s="92">
        <v>487.75502639038837</v>
      </c>
    </row>
    <row r="168" spans="1:4" ht="12.75">
      <c r="A168" s="42">
        <v>40103</v>
      </c>
      <c r="B168" s="42" t="s">
        <v>222</v>
      </c>
      <c r="C168" s="92">
        <v>402.04538981958149</v>
      </c>
      <c r="D168" s="92">
        <v>275.91465962944812</v>
      </c>
    </row>
    <row r="169" spans="1:4" ht="12.75">
      <c r="A169" s="42">
        <v>40104</v>
      </c>
      <c r="B169" s="42" t="s">
        <v>223</v>
      </c>
      <c r="C169" s="92">
        <v>795.90664956649971</v>
      </c>
      <c r="D169" s="92">
        <v>389.56300989208279</v>
      </c>
    </row>
    <row r="170" spans="1:4" ht="12.75">
      <c r="A170" s="42">
        <v>40201</v>
      </c>
      <c r="B170" s="42" t="s">
        <v>224</v>
      </c>
      <c r="C170" s="92">
        <v>1312.067234428961</v>
      </c>
      <c r="D170" s="92">
        <v>820.82374378788325</v>
      </c>
    </row>
    <row r="171" spans="1:4" ht="12.75">
      <c r="A171" s="42">
        <v>40202</v>
      </c>
      <c r="B171" s="42" t="s">
        <v>225</v>
      </c>
      <c r="C171" s="92">
        <v>215.85643066649286</v>
      </c>
      <c r="D171" s="92">
        <v>91.352216151164086</v>
      </c>
    </row>
    <row r="172" spans="1:4" ht="12.75">
      <c r="A172" s="42">
        <v>40301</v>
      </c>
      <c r="B172" s="42" t="s">
        <v>226</v>
      </c>
      <c r="C172" s="92">
        <v>475.70256047355053</v>
      </c>
      <c r="D172" s="92">
        <v>334.44201167205836</v>
      </c>
    </row>
    <row r="173" spans="1:4" ht="12.75">
      <c r="A173" s="42">
        <v>40302</v>
      </c>
      <c r="B173" s="42" t="s">
        <v>227</v>
      </c>
      <c r="C173" s="92">
        <v>96.67503648333448</v>
      </c>
      <c r="D173" s="92">
        <v>51.714644397438654</v>
      </c>
    </row>
    <row r="174" spans="1:4" ht="12.75">
      <c r="A174" s="42">
        <v>40401</v>
      </c>
      <c r="B174" s="42" t="s">
        <v>228</v>
      </c>
      <c r="C174" s="92">
        <v>246.03541030943853</v>
      </c>
      <c r="D174" s="92">
        <v>118.60304673185031</v>
      </c>
    </row>
    <row r="175" spans="1:4" ht="12.75">
      <c r="A175" s="42">
        <v>40402</v>
      </c>
      <c r="B175" s="42" t="s">
        <v>229</v>
      </c>
      <c r="C175" s="92">
        <v>253.19652412301886</v>
      </c>
      <c r="D175" s="92">
        <v>125.10608584769591</v>
      </c>
    </row>
    <row r="176" spans="1:4" ht="12.75">
      <c r="A176" s="42">
        <v>40501</v>
      </c>
      <c r="B176" s="42" t="s">
        <v>230</v>
      </c>
      <c r="C176" s="92">
        <v>59.846451156349914</v>
      </c>
      <c r="D176" s="92">
        <v>50.82279903297983</v>
      </c>
    </row>
    <row r="177" spans="1:4" ht="12.75">
      <c r="A177" s="42">
        <v>40502</v>
      </c>
      <c r="B177" s="42" t="s">
        <v>231</v>
      </c>
      <c r="C177" s="92">
        <v>165.72863397143053</v>
      </c>
      <c r="D177" s="92">
        <v>89.561251506153326</v>
      </c>
    </row>
    <row r="178" spans="1:4" ht="12.75">
      <c r="A178" s="42">
        <v>40503</v>
      </c>
      <c r="B178" s="42" t="s">
        <v>232</v>
      </c>
      <c r="C178" s="92">
        <v>102.30162590829045</v>
      </c>
      <c r="D178" s="92">
        <v>34.373206755183773</v>
      </c>
    </row>
    <row r="179" spans="1:4" ht="12.75">
      <c r="A179" s="42">
        <v>40504</v>
      </c>
      <c r="B179" s="42" t="s">
        <v>233</v>
      </c>
      <c r="C179" s="92">
        <v>21.483341440740993</v>
      </c>
      <c r="D179" s="92">
        <v>22.605802640796536</v>
      </c>
    </row>
    <row r="180" spans="1:4" ht="12.75">
      <c r="A180" s="42">
        <v>40505</v>
      </c>
      <c r="B180" s="42" t="s">
        <v>234</v>
      </c>
      <c r="C180" s="92">
        <v>140.66473562389936</v>
      </c>
      <c r="D180" s="92">
        <v>100.95194056026946</v>
      </c>
    </row>
    <row r="181" spans="1:4" ht="12.75">
      <c r="A181" s="42">
        <v>40601</v>
      </c>
      <c r="B181" s="42" t="s">
        <v>235</v>
      </c>
      <c r="C181" s="92">
        <v>290.74714425451964</v>
      </c>
      <c r="D181" s="92">
        <v>192.50118496039019</v>
      </c>
    </row>
    <row r="182" spans="1:4" ht="12.75">
      <c r="A182" s="42">
        <v>40602</v>
      </c>
      <c r="B182" s="42" t="s">
        <v>236</v>
      </c>
      <c r="C182" s="92">
        <v>339.64139801552432</v>
      </c>
      <c r="D182" s="92">
        <v>102.50028320689937</v>
      </c>
    </row>
    <row r="183" spans="1:4" ht="12.75">
      <c r="A183" s="42">
        <v>40603</v>
      </c>
      <c r="B183" s="42" t="s">
        <v>237</v>
      </c>
      <c r="C183" s="92">
        <v>211.76436563016122</v>
      </c>
      <c r="D183" s="92">
        <v>80.204149095428804</v>
      </c>
    </row>
    <row r="184" spans="1:4" ht="12.75">
      <c r="A184" s="42">
        <v>40701</v>
      </c>
      <c r="B184" s="42" t="s">
        <v>238</v>
      </c>
      <c r="C184" s="92">
        <v>826.77252102019088</v>
      </c>
      <c r="D184" s="92">
        <v>325.58190748482559</v>
      </c>
    </row>
    <row r="185" spans="1:4" ht="12.75">
      <c r="A185" s="42">
        <v>40702</v>
      </c>
      <c r="B185" s="42" t="s">
        <v>239</v>
      </c>
      <c r="C185" s="92">
        <v>178.12235668666639</v>
      </c>
      <c r="D185" s="92">
        <v>112.50418434500418</v>
      </c>
    </row>
    <row r="186" spans="1:4" ht="12.75">
      <c r="A186" s="42">
        <v>40801</v>
      </c>
      <c r="B186" s="42" t="s">
        <v>240</v>
      </c>
      <c r="C186" s="92">
        <v>636.3161131495666</v>
      </c>
      <c r="D186" s="92">
        <v>376.86660018971759</v>
      </c>
    </row>
    <row r="187" spans="1:4" ht="12.75">
      <c r="A187" s="42">
        <v>40802</v>
      </c>
      <c r="B187" s="42" t="s">
        <v>241</v>
      </c>
      <c r="C187" s="92">
        <v>197.44213800300054</v>
      </c>
      <c r="D187" s="92">
        <v>71.533430274301367</v>
      </c>
    </row>
    <row r="188" spans="1:4" ht="12.75">
      <c r="A188" s="42">
        <v>40901</v>
      </c>
      <c r="B188" s="42" t="s">
        <v>242</v>
      </c>
      <c r="C188" s="92">
        <v>458.82279219868263</v>
      </c>
      <c r="D188" s="92">
        <v>378.34515540948325</v>
      </c>
    </row>
    <row r="189" spans="1:4" ht="12.75">
      <c r="A189" s="42">
        <v>40902</v>
      </c>
      <c r="B189" s="42" t="s">
        <v>243</v>
      </c>
      <c r="C189" s="92">
        <v>53.196845472311033</v>
      </c>
      <c r="D189" s="92">
        <v>55.120998220024433</v>
      </c>
    </row>
    <row r="190" spans="1:4" ht="12.75">
      <c r="A190" s="42">
        <v>40903</v>
      </c>
      <c r="B190" s="42" t="s">
        <v>244</v>
      </c>
      <c r="C190" s="92">
        <v>141.68775188298227</v>
      </c>
      <c r="D190" s="92">
        <v>67.50773939306363</v>
      </c>
    </row>
    <row r="191" spans="1:4" ht="12.75">
      <c r="A191" s="42">
        <v>41001</v>
      </c>
      <c r="B191" s="42" t="s">
        <v>245</v>
      </c>
      <c r="C191" s="92">
        <v>472.63351169630187</v>
      </c>
      <c r="D191" s="92">
        <v>203.45222376716885</v>
      </c>
    </row>
    <row r="192" spans="1:4" ht="12.75">
      <c r="A192" s="42">
        <v>41101</v>
      </c>
      <c r="B192" s="42" t="s">
        <v>246</v>
      </c>
      <c r="C192" s="92">
        <v>224.72274826529065</v>
      </c>
      <c r="D192" s="92">
        <v>107.08063654500471</v>
      </c>
    </row>
    <row r="193" spans="1:4" ht="12.75">
      <c r="A193" s="42">
        <v>41201</v>
      </c>
      <c r="B193" s="42" t="s">
        <v>247</v>
      </c>
      <c r="C193" s="92">
        <v>249.10445908668723</v>
      </c>
      <c r="D193" s="92">
        <v>114.26768732128659</v>
      </c>
    </row>
    <row r="194" spans="1:4" ht="12.75">
      <c r="A194" s="42">
        <v>41202</v>
      </c>
      <c r="B194" s="42" t="s">
        <v>248</v>
      </c>
      <c r="C194" s="92">
        <v>103.83615029691481</v>
      </c>
      <c r="D194" s="92">
        <v>60.695031747892074</v>
      </c>
    </row>
    <row r="195" spans="1:4" ht="12.75">
      <c r="A195" s="42">
        <v>41301</v>
      </c>
      <c r="B195" s="42" t="s">
        <v>203</v>
      </c>
      <c r="C195" s="92">
        <v>305.37035333624698</v>
      </c>
      <c r="D195" s="92">
        <v>136.25415290343116</v>
      </c>
    </row>
    <row r="196" spans="1:4" ht="12.75">
      <c r="A196" s="42">
        <v>41401</v>
      </c>
      <c r="B196" s="42" t="s">
        <v>249</v>
      </c>
      <c r="C196" s="92">
        <v>549.36117024106545</v>
      </c>
      <c r="D196" s="92">
        <v>298.00917976225116</v>
      </c>
    </row>
    <row r="197" spans="1:4" ht="12.75">
      <c r="A197" s="42">
        <v>41501</v>
      </c>
      <c r="B197" s="42" t="s">
        <v>250</v>
      </c>
      <c r="C197" s="92">
        <v>31.713504031570036</v>
      </c>
      <c r="D197" s="92">
        <v>31.276521461923977</v>
      </c>
    </row>
    <row r="198" spans="1:4" ht="12.75">
      <c r="A198" s="42">
        <v>41502</v>
      </c>
      <c r="B198" s="42" t="s">
        <v>251</v>
      </c>
      <c r="C198" s="92">
        <v>37.340093456526013</v>
      </c>
      <c r="D198" s="92">
        <v>31.586189991249952</v>
      </c>
    </row>
    <row r="199" spans="1:4" ht="12.75">
      <c r="A199" s="42">
        <v>41503</v>
      </c>
      <c r="B199" s="42" t="s">
        <v>252</v>
      </c>
      <c r="C199" s="92">
        <v>47.058747917813605</v>
      </c>
      <c r="D199" s="92">
        <v>28.179836168664174</v>
      </c>
    </row>
    <row r="200" spans="1:4" ht="12.75">
      <c r="A200" s="42">
        <v>41601</v>
      </c>
      <c r="B200" s="42" t="s">
        <v>253</v>
      </c>
      <c r="C200" s="92">
        <v>255.24255664118468</v>
      </c>
      <c r="D200" s="92">
        <v>97.235918208357702</v>
      </c>
    </row>
    <row r="201" spans="1:4" ht="12.75">
      <c r="A201" s="42">
        <v>50101</v>
      </c>
      <c r="B201" s="42" t="s">
        <v>59</v>
      </c>
      <c r="C201" s="92">
        <v>5816.2506297646069</v>
      </c>
      <c r="D201" s="92">
        <v>4147.0614626525339</v>
      </c>
    </row>
    <row r="202" spans="1:4" ht="12.75">
      <c r="A202" s="42">
        <v>50102</v>
      </c>
      <c r="B202" s="42" t="s">
        <v>254</v>
      </c>
      <c r="C202" s="92">
        <v>1998.276983746932</v>
      </c>
      <c r="D202" s="92">
        <v>999.31154967984708</v>
      </c>
    </row>
    <row r="203" spans="1:4" ht="12.75">
      <c r="A203" s="42">
        <v>50103</v>
      </c>
      <c r="B203" s="42" t="s">
        <v>255</v>
      </c>
      <c r="C203" s="92">
        <v>469.49808744345393</v>
      </c>
      <c r="D203" s="92">
        <v>279.64402976279638</v>
      </c>
    </row>
    <row r="204" spans="1:4" ht="12.75">
      <c r="A204" s="42">
        <v>50104</v>
      </c>
      <c r="B204" s="42" t="s">
        <v>256</v>
      </c>
      <c r="C204" s="92">
        <v>150.21721569914524</v>
      </c>
      <c r="D204" s="92">
        <v>65.281659024311608</v>
      </c>
    </row>
    <row r="205" spans="1:4" ht="12.75">
      <c r="A205" s="42">
        <v>50201</v>
      </c>
      <c r="B205" s="42" t="s">
        <v>257</v>
      </c>
      <c r="C205" s="92">
        <v>1108.3369500018835</v>
      </c>
      <c r="D205" s="92">
        <v>503.28312725215818</v>
      </c>
    </row>
    <row r="206" spans="1:4" ht="12.75">
      <c r="A206" s="42">
        <v>50202</v>
      </c>
      <c r="B206" s="42" t="s">
        <v>258</v>
      </c>
      <c r="C206" s="92">
        <v>1034.3253244580349</v>
      </c>
      <c r="D206" s="92">
        <v>409.82388484212623</v>
      </c>
    </row>
    <row r="207" spans="1:4" ht="12.75">
      <c r="A207" s="42">
        <v>50203</v>
      </c>
      <c r="B207" s="42" t="s">
        <v>259</v>
      </c>
      <c r="C207" s="92">
        <v>1438.7754199131286</v>
      </c>
      <c r="D207" s="92">
        <v>722.61796242625996</v>
      </c>
    </row>
    <row r="208" spans="1:4" ht="12.75">
      <c r="A208" s="42">
        <v>50204</v>
      </c>
      <c r="B208" s="42" t="s">
        <v>260</v>
      </c>
      <c r="C208" s="92">
        <v>629.69283038460878</v>
      </c>
      <c r="D208" s="92">
        <v>225.68206083175758</v>
      </c>
    </row>
    <row r="209" spans="1:4" ht="12.75">
      <c r="A209" s="42">
        <v>50301</v>
      </c>
      <c r="B209" s="42" t="s">
        <v>261</v>
      </c>
      <c r="C209" s="92">
        <v>2197.8463980039296</v>
      </c>
      <c r="D209" s="92">
        <v>777.91751088156275</v>
      </c>
    </row>
    <row r="210" spans="1:4" ht="12.75">
      <c r="A210" s="42">
        <v>50302</v>
      </c>
      <c r="B210" s="42" t="s">
        <v>262</v>
      </c>
      <c r="C210" s="92">
        <v>574.81643055355573</v>
      </c>
      <c r="D210" s="92">
        <v>223.46414050629744</v>
      </c>
    </row>
    <row r="211" spans="1:4" ht="12.75">
      <c r="A211" s="42">
        <v>50303</v>
      </c>
      <c r="B211" s="42" t="s">
        <v>263</v>
      </c>
      <c r="C211" s="92">
        <v>895.20591643586556</v>
      </c>
      <c r="D211" s="92">
        <v>400.4778697837578</v>
      </c>
    </row>
    <row r="212" spans="1:4" ht="12.75">
      <c r="A212" s="42">
        <v>50401</v>
      </c>
      <c r="B212" s="42" t="s">
        <v>264</v>
      </c>
      <c r="C212" s="92">
        <v>1022.1935991106776</v>
      </c>
      <c r="D212" s="92">
        <v>449.30844388998366</v>
      </c>
    </row>
    <row r="213" spans="1:4" ht="12.75">
      <c r="A213" s="42">
        <v>50402</v>
      </c>
      <c r="B213" s="42" t="s">
        <v>265</v>
      </c>
      <c r="C213" s="92">
        <v>1539.3107306144884</v>
      </c>
      <c r="D213" s="92">
        <v>389.80682936632229</v>
      </c>
    </row>
    <row r="214" spans="1:4" ht="12.75">
      <c r="A214" s="42">
        <v>50403</v>
      </c>
      <c r="B214" s="42" t="s">
        <v>266</v>
      </c>
      <c r="C214" s="92">
        <v>1676.7788837266212</v>
      </c>
      <c r="D214" s="92">
        <v>911.23382380293538</v>
      </c>
    </row>
    <row r="215" spans="1:4" ht="12.75">
      <c r="A215" s="42">
        <v>50404</v>
      </c>
      <c r="B215" s="42" t="s">
        <v>267</v>
      </c>
      <c r="C215" s="92">
        <v>1387.9849007773419</v>
      </c>
      <c r="D215" s="92">
        <v>402.98870282315437</v>
      </c>
    </row>
    <row r="216" spans="1:4" ht="12.75">
      <c r="A216" s="42">
        <v>50405</v>
      </c>
      <c r="B216" s="42" t="s">
        <v>268</v>
      </c>
      <c r="C216" s="92">
        <v>1527.6702821654771</v>
      </c>
      <c r="D216" s="92">
        <v>607.62159553397726</v>
      </c>
    </row>
    <row r="217" spans="1:4" ht="12.75">
      <c r="A217" s="42">
        <v>50501</v>
      </c>
      <c r="B217" s="42" t="s">
        <v>269</v>
      </c>
      <c r="C217" s="92">
        <v>2205.5878275531322</v>
      </c>
      <c r="D217" s="92">
        <v>904.84145657254999</v>
      </c>
    </row>
    <row r="218" spans="1:4" ht="12.75">
      <c r="A218" s="42">
        <v>50502</v>
      </c>
      <c r="B218" s="42" t="s">
        <v>270</v>
      </c>
      <c r="C218" s="92">
        <v>808.7340136717819</v>
      </c>
      <c r="D218" s="92">
        <v>309.14631797570644</v>
      </c>
    </row>
    <row r="219" spans="1:4" ht="12.75">
      <c r="A219" s="42">
        <v>50601</v>
      </c>
      <c r="B219" s="42" t="s">
        <v>271</v>
      </c>
      <c r="C219" s="92">
        <v>1653.1009651084414</v>
      </c>
      <c r="D219" s="92">
        <v>642.78677384635887</v>
      </c>
    </row>
    <row r="220" spans="1:4" ht="12.75">
      <c r="A220" s="42">
        <v>50602</v>
      </c>
      <c r="B220" s="42" t="s">
        <v>272</v>
      </c>
      <c r="C220" s="92">
        <v>655.74526262763402</v>
      </c>
      <c r="D220" s="92">
        <v>209.96841291954073</v>
      </c>
    </row>
    <row r="221" spans="1:4" ht="12.75">
      <c r="A221" s="42">
        <v>50701</v>
      </c>
      <c r="B221" s="42" t="s">
        <v>273</v>
      </c>
      <c r="C221" s="92">
        <v>1451.5320360109774</v>
      </c>
      <c r="D221" s="92">
        <v>522.2792886985394</v>
      </c>
    </row>
    <row r="222" spans="1:4" ht="12.75">
      <c r="A222" s="42">
        <v>50702</v>
      </c>
      <c r="B222" s="42" t="s">
        <v>274</v>
      </c>
      <c r="C222" s="92">
        <v>646.32204245462492</v>
      </c>
      <c r="D222" s="92">
        <v>224.71955702599575</v>
      </c>
    </row>
    <row r="223" spans="1:4" ht="12.75">
      <c r="A223" s="42">
        <v>50801</v>
      </c>
      <c r="B223" s="42" t="s">
        <v>275</v>
      </c>
      <c r="C223" s="92">
        <v>1768.9019843959106</v>
      </c>
      <c r="D223" s="92">
        <v>859.3326077334865</v>
      </c>
    </row>
    <row r="224" spans="1:4" ht="12.75">
      <c r="A224" s="42">
        <v>50802</v>
      </c>
      <c r="B224" s="42" t="s">
        <v>276</v>
      </c>
      <c r="C224" s="92">
        <v>600.37120418679785</v>
      </c>
      <c r="D224" s="92">
        <v>259.12411319337878</v>
      </c>
    </row>
    <row r="225" spans="1:4" ht="12.75">
      <c r="A225" s="42">
        <v>50901</v>
      </c>
      <c r="B225" s="42" t="s">
        <v>277</v>
      </c>
      <c r="C225" s="92">
        <v>766.05236935874063</v>
      </c>
      <c r="D225" s="92">
        <v>302.94188926941877</v>
      </c>
    </row>
    <row r="226" spans="1:4" ht="12.75">
      <c r="A226" s="42">
        <v>50902</v>
      </c>
      <c r="B226" s="42" t="s">
        <v>278</v>
      </c>
      <c r="C226" s="92">
        <v>48.224715003046619</v>
      </c>
      <c r="D226" s="92">
        <v>31.38541299245751</v>
      </c>
    </row>
    <row r="227" spans="1:4" ht="12.75">
      <c r="A227" s="42">
        <v>51001</v>
      </c>
      <c r="B227" s="42" t="s">
        <v>279</v>
      </c>
      <c r="C227" s="92">
        <v>235.58050432522776</v>
      </c>
      <c r="D227" s="92">
        <v>84.112906819786119</v>
      </c>
    </row>
    <row r="228" spans="1:4" ht="12.75">
      <c r="A228" s="42">
        <v>51002</v>
      </c>
      <c r="B228" s="42" t="s">
        <v>280</v>
      </c>
      <c r="C228" s="92">
        <v>75.385761384072879</v>
      </c>
      <c r="D228" s="92">
        <v>26.049892783739729</v>
      </c>
    </row>
    <row r="229" spans="1:4" ht="12.75">
      <c r="A229" s="42">
        <v>51003</v>
      </c>
      <c r="B229" s="42" t="s">
        <v>281</v>
      </c>
      <c r="C229" s="92">
        <v>152.43444397514739</v>
      </c>
      <c r="D229" s="92">
        <v>52.099785567479458</v>
      </c>
    </row>
    <row r="230" spans="1:4" ht="12.75">
      <c r="A230" s="42">
        <v>51101</v>
      </c>
      <c r="B230" s="42" t="s">
        <v>282</v>
      </c>
      <c r="C230" s="92">
        <v>1406.8313411233603</v>
      </c>
      <c r="D230" s="92">
        <v>358.10756224394009</v>
      </c>
    </row>
    <row r="231" spans="1:4" ht="12.75">
      <c r="A231" s="42">
        <v>51102</v>
      </c>
      <c r="B231" s="42" t="s">
        <v>283</v>
      </c>
      <c r="C231" s="92">
        <v>618.51347063911339</v>
      </c>
      <c r="D231" s="92">
        <v>299.59313248059794</v>
      </c>
    </row>
    <row r="232" spans="1:4" ht="12.75">
      <c r="A232" s="42">
        <v>51103</v>
      </c>
      <c r="B232" s="42" t="s">
        <v>284</v>
      </c>
      <c r="C232" s="92">
        <v>1337.5429574982932</v>
      </c>
      <c r="D232" s="92">
        <v>445.98671862282123</v>
      </c>
    </row>
    <row r="233" spans="1:4" ht="12.75">
      <c r="A233" s="42">
        <v>51201</v>
      </c>
      <c r="B233" s="42" t="s">
        <v>285</v>
      </c>
      <c r="C233" s="92">
        <v>1165.8545627035194</v>
      </c>
      <c r="D233" s="92">
        <v>663.45814172783355</v>
      </c>
    </row>
    <row r="234" spans="1:4" ht="12.75">
      <c r="A234" s="42">
        <v>51202</v>
      </c>
      <c r="B234" s="42" t="s">
        <v>286</v>
      </c>
      <c r="C234" s="92">
        <v>542.11231348252409</v>
      </c>
      <c r="D234" s="92">
        <v>184.54622839565013</v>
      </c>
    </row>
    <row r="235" spans="1:4" ht="12.75">
      <c r="A235" s="42">
        <v>51203</v>
      </c>
      <c r="B235" s="42" t="s">
        <v>287</v>
      </c>
      <c r="C235" s="92">
        <v>563.50196061403449</v>
      </c>
      <c r="D235" s="92">
        <v>329.10177790907585</v>
      </c>
    </row>
    <row r="236" spans="1:4" ht="12.75">
      <c r="A236" s="42">
        <v>51204</v>
      </c>
      <c r="B236" s="42" t="s">
        <v>288</v>
      </c>
      <c r="C236" s="92">
        <v>396.32955433538319</v>
      </c>
      <c r="D236" s="92">
        <v>140.9205043361342</v>
      </c>
    </row>
    <row r="237" spans="1:4" ht="12.75">
      <c r="A237" s="42">
        <v>51301</v>
      </c>
      <c r="B237" s="42" t="s">
        <v>289</v>
      </c>
      <c r="C237" s="92">
        <v>355.86513829834411</v>
      </c>
      <c r="D237" s="92">
        <v>108.90738308382755</v>
      </c>
    </row>
    <row r="238" spans="1:4" ht="12.75">
      <c r="A238" s="42">
        <v>51302</v>
      </c>
      <c r="B238" s="42" t="s">
        <v>290</v>
      </c>
      <c r="C238" s="92">
        <v>460.07486727044483</v>
      </c>
      <c r="D238" s="92">
        <v>106.39655004443095</v>
      </c>
    </row>
    <row r="239" spans="1:4" ht="12.75">
      <c r="A239" s="42">
        <v>51401</v>
      </c>
      <c r="B239" s="42" t="s">
        <v>291</v>
      </c>
      <c r="C239" s="92">
        <v>210.08237915120313</v>
      </c>
      <c r="D239" s="92">
        <v>92.273114197825066</v>
      </c>
    </row>
    <row r="240" spans="1:4" ht="12.75">
      <c r="A240" s="42">
        <v>51402</v>
      </c>
      <c r="B240" s="42" t="s">
        <v>292</v>
      </c>
      <c r="C240" s="92">
        <v>111.41572086910772</v>
      </c>
      <c r="D240" s="92">
        <v>30.129996472759206</v>
      </c>
    </row>
    <row r="241" spans="1:4" ht="12.75">
      <c r="A241" s="42">
        <v>51501</v>
      </c>
      <c r="B241" s="42" t="s">
        <v>293</v>
      </c>
      <c r="C241" s="92">
        <v>1509.3525358809911</v>
      </c>
      <c r="D241" s="92">
        <v>873.46496505067898</v>
      </c>
    </row>
    <row r="242" spans="1:4" ht="12.75">
      <c r="A242" s="42">
        <v>51601</v>
      </c>
      <c r="B242" s="42" t="s">
        <v>294</v>
      </c>
      <c r="C242" s="92">
        <v>97.003737075093795</v>
      </c>
      <c r="D242" s="92">
        <v>48.647390138309134</v>
      </c>
    </row>
    <row r="243" spans="1:4" ht="12.75">
      <c r="A243" s="42">
        <v>60101</v>
      </c>
      <c r="B243" s="42" t="s">
        <v>61</v>
      </c>
      <c r="C243" s="92">
        <v>2248.265335052622</v>
      </c>
      <c r="D243" s="92">
        <v>1212.0676075787992</v>
      </c>
    </row>
    <row r="244" spans="1:4" ht="12.75">
      <c r="A244" s="42">
        <v>60201</v>
      </c>
      <c r="B244" s="42" t="s">
        <v>295</v>
      </c>
      <c r="C244" s="92">
        <v>519.94404554267226</v>
      </c>
      <c r="D244" s="92">
        <v>138.83277948953102</v>
      </c>
    </row>
    <row r="245" spans="1:4" ht="12.75">
      <c r="A245" s="42">
        <v>60202</v>
      </c>
      <c r="B245" s="42" t="s">
        <v>296</v>
      </c>
      <c r="C245" s="92">
        <v>471.78833512486011</v>
      </c>
      <c r="D245" s="92">
        <v>209.76663285197793</v>
      </c>
    </row>
    <row r="246" spans="1:4" ht="12.75">
      <c r="A246" s="42">
        <v>60301</v>
      </c>
      <c r="B246" s="42" t="s">
        <v>297</v>
      </c>
      <c r="C246" s="92">
        <v>1488.1852703894851</v>
      </c>
      <c r="D246" s="92">
        <v>660.75246234466465</v>
      </c>
    </row>
    <row r="247" spans="1:4" ht="12.75">
      <c r="A247" s="42">
        <v>60302</v>
      </c>
      <c r="B247" s="42" t="s">
        <v>298</v>
      </c>
      <c r="C247" s="92">
        <v>319.16275346007347</v>
      </c>
      <c r="D247" s="92">
        <v>135.96446475169986</v>
      </c>
    </row>
    <row r="248" spans="1:4" ht="12.75">
      <c r="A248" s="42">
        <v>60303</v>
      </c>
      <c r="B248" s="42" t="s">
        <v>299</v>
      </c>
      <c r="C248" s="92">
        <v>556.31613794606551</v>
      </c>
      <c r="D248" s="92">
        <v>320.47847077037682</v>
      </c>
    </row>
    <row r="249" spans="1:4" ht="12.75">
      <c r="A249" s="42">
        <v>60401</v>
      </c>
      <c r="B249" s="42" t="s">
        <v>300</v>
      </c>
      <c r="C249" s="92">
        <v>339.11415397709379</v>
      </c>
      <c r="D249" s="92">
        <v>124.08330082343318</v>
      </c>
    </row>
    <row r="250" spans="1:4" ht="12.75">
      <c r="A250" s="42">
        <v>60402</v>
      </c>
      <c r="B250" s="42" t="s">
        <v>301</v>
      </c>
      <c r="C250" s="92">
        <v>158.74912074458879</v>
      </c>
      <c r="D250" s="92">
        <v>46.039662092929312</v>
      </c>
    </row>
    <row r="251" spans="1:4" ht="12.75">
      <c r="A251" s="42">
        <v>60501</v>
      </c>
      <c r="B251" s="42" t="s">
        <v>302</v>
      </c>
      <c r="C251" s="92">
        <v>561.30067294895707</v>
      </c>
      <c r="D251" s="92">
        <v>219.99531993610555</v>
      </c>
    </row>
    <row r="252" spans="1:4" ht="12.75">
      <c r="A252" s="42">
        <v>60502</v>
      </c>
      <c r="B252" s="42" t="s">
        <v>303</v>
      </c>
      <c r="C252" s="92">
        <v>308.43350399424503</v>
      </c>
      <c r="D252" s="92">
        <v>78.041391041244509</v>
      </c>
    </row>
    <row r="253" spans="1:4" ht="12.75">
      <c r="A253" s="42">
        <v>60601</v>
      </c>
      <c r="B253" s="42" t="s">
        <v>208</v>
      </c>
      <c r="C253" s="92">
        <v>546.95656947271414</v>
      </c>
      <c r="D253" s="92">
        <v>178.42866071656903</v>
      </c>
    </row>
    <row r="254" spans="1:4" ht="12.75">
      <c r="A254" s="42">
        <v>70101</v>
      </c>
      <c r="B254" s="42" t="s">
        <v>304</v>
      </c>
      <c r="C254" s="92">
        <v>14395.08098537992</v>
      </c>
      <c r="D254" s="92">
        <v>10913.074551701147</v>
      </c>
    </row>
    <row r="255" spans="1:4" ht="12.75">
      <c r="A255" s="42">
        <v>70102</v>
      </c>
      <c r="B255" s="42" t="s">
        <v>305</v>
      </c>
      <c r="C255" s="92">
        <v>985.11490327219781</v>
      </c>
      <c r="D255" s="92">
        <v>971.8779060371179</v>
      </c>
    </row>
    <row r="256" spans="1:4" ht="12.75">
      <c r="A256" s="42">
        <v>70103</v>
      </c>
      <c r="B256" s="42" t="s">
        <v>306</v>
      </c>
      <c r="C256" s="92">
        <v>323.70815222959249</v>
      </c>
      <c r="D256" s="92">
        <v>190.18273098235505</v>
      </c>
    </row>
    <row r="257" spans="1:4" ht="12.75">
      <c r="A257" s="42">
        <v>70104</v>
      </c>
      <c r="B257" s="42" t="s">
        <v>307</v>
      </c>
      <c r="C257" s="92">
        <v>1036.5609357955648</v>
      </c>
      <c r="D257" s="92">
        <v>1154.177036087556</v>
      </c>
    </row>
    <row r="258" spans="1:4" ht="12.75">
      <c r="A258" s="42">
        <v>70105</v>
      </c>
      <c r="B258" s="42" t="s">
        <v>308</v>
      </c>
      <c r="C258" s="92">
        <v>789.95507487052146</v>
      </c>
      <c r="D258" s="92">
        <v>478.17700689457661</v>
      </c>
    </row>
    <row r="259" spans="1:4" ht="12.75">
      <c r="A259" s="42">
        <v>70201</v>
      </c>
      <c r="B259" s="42" t="s">
        <v>309</v>
      </c>
      <c r="C259" s="92">
        <v>1350.0705332461914</v>
      </c>
      <c r="D259" s="92">
        <v>1269.0738858613875</v>
      </c>
    </row>
    <row r="260" spans="1:4" ht="12.75">
      <c r="A260" s="42">
        <v>70202</v>
      </c>
      <c r="B260" s="42" t="s">
        <v>310</v>
      </c>
      <c r="C260" s="92">
        <v>273.2123264837229</v>
      </c>
      <c r="D260" s="92">
        <v>118.27953462457749</v>
      </c>
    </row>
    <row r="261" spans="1:4" ht="12.75">
      <c r="A261" s="42">
        <v>70301</v>
      </c>
      <c r="B261" s="42" t="s">
        <v>311</v>
      </c>
      <c r="C261" s="92">
        <v>1146.4385113379624</v>
      </c>
      <c r="D261" s="92">
        <v>865.29126453233289</v>
      </c>
    </row>
    <row r="262" spans="1:4" ht="12.75">
      <c r="A262" s="42">
        <v>70302</v>
      </c>
      <c r="B262" s="42" t="s">
        <v>312</v>
      </c>
      <c r="C262" s="92">
        <v>255.03323118662541</v>
      </c>
      <c r="D262" s="92">
        <v>186.02408897634734</v>
      </c>
    </row>
    <row r="263" spans="1:4" ht="12.75">
      <c r="A263" s="42">
        <v>70303</v>
      </c>
      <c r="B263" s="42" t="s">
        <v>313</v>
      </c>
      <c r="C263" s="92">
        <v>142.53364642097503</v>
      </c>
      <c r="D263" s="92">
        <v>106.07737989554538</v>
      </c>
    </row>
    <row r="264" spans="1:4" ht="12.75">
      <c r="A264" s="42">
        <v>70401</v>
      </c>
      <c r="B264" s="42" t="s">
        <v>314</v>
      </c>
      <c r="C264" s="92">
        <v>288.47710280111841</v>
      </c>
      <c r="D264" s="92">
        <v>138.8355033878025</v>
      </c>
    </row>
    <row r="265" spans="1:4" ht="12.75">
      <c r="A265" s="42">
        <v>70402</v>
      </c>
      <c r="B265" s="42" t="s">
        <v>315</v>
      </c>
      <c r="C265" s="92">
        <v>339.63876275137096</v>
      </c>
      <c r="D265" s="92">
        <v>175.71698611349817</v>
      </c>
    </row>
    <row r="266" spans="1:4" ht="12.75">
      <c r="A266" s="42">
        <v>70403</v>
      </c>
      <c r="B266" s="42" t="s">
        <v>316</v>
      </c>
      <c r="C266" s="92">
        <v>798.05690279695114</v>
      </c>
      <c r="D266" s="92">
        <v>526.05102809951347</v>
      </c>
    </row>
    <row r="267" spans="1:4" ht="12.75">
      <c r="A267" s="42">
        <v>70404</v>
      </c>
      <c r="B267" s="42" t="s">
        <v>317</v>
      </c>
      <c r="C267" s="92">
        <v>190.59440856417677</v>
      </c>
      <c r="D267" s="92">
        <v>99.701487869769849</v>
      </c>
    </row>
    <row r="268" spans="1:4" ht="12.75">
      <c r="A268" s="42">
        <v>70501</v>
      </c>
      <c r="B268" s="42" t="s">
        <v>318</v>
      </c>
      <c r="C268" s="92">
        <v>536.6400243556451</v>
      </c>
      <c r="D268" s="92">
        <v>597.75898192247541</v>
      </c>
    </row>
    <row r="269" spans="1:4" ht="12.75">
      <c r="A269" s="42">
        <v>70502</v>
      </c>
      <c r="B269" s="42" t="s">
        <v>319</v>
      </c>
      <c r="C269" s="92">
        <v>1064.1225842933145</v>
      </c>
      <c r="D269" s="92">
        <v>903.32407857420719</v>
      </c>
    </row>
    <row r="270" spans="1:4" ht="12.75">
      <c r="A270" s="42">
        <v>70503</v>
      </c>
      <c r="B270" s="42" t="s">
        <v>320</v>
      </c>
      <c r="C270" s="92">
        <v>228.6790571308199</v>
      </c>
      <c r="D270" s="92">
        <v>180.15263746036436</v>
      </c>
    </row>
    <row r="271" spans="1:4" ht="12.75">
      <c r="A271" s="42">
        <v>70601</v>
      </c>
      <c r="B271" s="42" t="s">
        <v>321</v>
      </c>
      <c r="C271" s="92">
        <v>268.29820743141909</v>
      </c>
      <c r="D271" s="92">
        <v>180.59968050261222</v>
      </c>
    </row>
    <row r="272" spans="1:4" ht="12.75">
      <c r="A272" s="42">
        <v>70602</v>
      </c>
      <c r="B272" s="42" t="s">
        <v>322</v>
      </c>
      <c r="C272" s="92">
        <v>418.8984262798474</v>
      </c>
      <c r="D272" s="92">
        <v>186.7557207993801</v>
      </c>
    </row>
    <row r="273" spans="1:4" ht="12.75">
      <c r="A273" s="42">
        <v>70603</v>
      </c>
      <c r="B273" s="42" t="s">
        <v>323</v>
      </c>
      <c r="C273" s="92">
        <v>104.27714633116796</v>
      </c>
      <c r="D273" s="92">
        <v>51.581566607470293</v>
      </c>
    </row>
    <row r="274" spans="1:4" ht="12.75">
      <c r="A274" s="42">
        <v>70701</v>
      </c>
      <c r="B274" s="42" t="s">
        <v>324</v>
      </c>
      <c r="C274" s="92">
        <v>157.02751894420729</v>
      </c>
      <c r="D274" s="92">
        <v>80.744421147497846</v>
      </c>
    </row>
    <row r="275" spans="1:4" ht="12.75">
      <c r="A275" s="42">
        <v>70702</v>
      </c>
      <c r="B275" s="42" t="s">
        <v>325</v>
      </c>
      <c r="C275" s="92">
        <v>925.3977944197203</v>
      </c>
      <c r="D275" s="92">
        <v>586.41627811574301</v>
      </c>
    </row>
    <row r="276" spans="1:4" ht="12.75">
      <c r="A276" s="42">
        <v>70703</v>
      </c>
      <c r="B276" s="42" t="s">
        <v>326</v>
      </c>
      <c r="C276" s="92">
        <v>733.4658076296945</v>
      </c>
      <c r="D276" s="92">
        <v>455.8456742564133</v>
      </c>
    </row>
    <row r="277" spans="1:4" ht="12.75">
      <c r="A277" s="42">
        <v>70704</v>
      </c>
      <c r="B277" s="42" t="s">
        <v>327</v>
      </c>
      <c r="C277" s="92">
        <v>102.01209028203084</v>
      </c>
      <c r="D277" s="92">
        <v>46.003914330917198</v>
      </c>
    </row>
    <row r="278" spans="1:4" ht="12.75">
      <c r="A278" s="42">
        <v>70705</v>
      </c>
      <c r="B278" s="42" t="s">
        <v>328</v>
      </c>
      <c r="C278" s="92">
        <v>403.50923925417197</v>
      </c>
      <c r="D278" s="92">
        <v>227.29625010630724</v>
      </c>
    </row>
    <row r="279" spans="1:4" ht="12.75">
      <c r="A279" s="42">
        <v>70706</v>
      </c>
      <c r="B279" s="42" t="s">
        <v>329</v>
      </c>
      <c r="C279" s="92">
        <v>393.11149574099113</v>
      </c>
      <c r="D279" s="92">
        <v>237.11886845309436</v>
      </c>
    </row>
    <row r="280" spans="1:4" ht="12.75">
      <c r="A280" s="42">
        <v>70707</v>
      </c>
      <c r="B280" s="42" t="s">
        <v>330</v>
      </c>
      <c r="C280" s="92">
        <v>72.982072870830024</v>
      </c>
      <c r="D280" s="92">
        <v>63.315642949901559</v>
      </c>
    </row>
    <row r="281" spans="1:4" ht="12.75">
      <c r="A281" s="42">
        <v>70801</v>
      </c>
      <c r="B281" s="42" t="s">
        <v>331</v>
      </c>
      <c r="C281" s="92">
        <v>257.39176949375974</v>
      </c>
      <c r="D281" s="92">
        <v>125.96151286022112</v>
      </c>
    </row>
    <row r="282" spans="1:4" ht="12.75">
      <c r="A282" s="42">
        <v>70802</v>
      </c>
      <c r="B282" s="42" t="s">
        <v>332</v>
      </c>
      <c r="C282" s="92">
        <v>45.477915322639276</v>
      </c>
      <c r="D282" s="92">
        <v>21.137283022905198</v>
      </c>
    </row>
    <row r="283" spans="1:4" ht="12.75">
      <c r="A283" s="42">
        <v>70803</v>
      </c>
      <c r="B283" s="42" t="s">
        <v>333</v>
      </c>
      <c r="C283" s="92">
        <v>69.503983794977003</v>
      </c>
      <c r="D283" s="92">
        <v>25.787485287944342</v>
      </c>
    </row>
    <row r="284" spans="1:4" ht="12.75">
      <c r="A284" s="42">
        <v>70804</v>
      </c>
      <c r="B284" s="42" t="s">
        <v>334</v>
      </c>
      <c r="C284" s="92">
        <v>58.134504964317188</v>
      </c>
      <c r="D284" s="92">
        <v>17.332572078782263</v>
      </c>
    </row>
    <row r="285" spans="1:4" ht="12.75">
      <c r="A285" s="42">
        <v>70805</v>
      </c>
      <c r="B285" s="42" t="s">
        <v>335</v>
      </c>
      <c r="C285" s="92">
        <v>54.058654062759885</v>
      </c>
      <c r="D285" s="92">
        <v>20.714537362447096</v>
      </c>
    </row>
    <row r="286" spans="1:4" ht="12.75">
      <c r="A286" s="42">
        <v>70901</v>
      </c>
      <c r="B286" s="42" t="s">
        <v>336</v>
      </c>
      <c r="C286" s="92">
        <v>188.13930360137655</v>
      </c>
      <c r="D286" s="92">
        <v>104.06021749560972</v>
      </c>
    </row>
    <row r="287" spans="1:4" ht="12.75">
      <c r="A287" s="42">
        <v>70902</v>
      </c>
      <c r="B287" s="42" t="s">
        <v>337</v>
      </c>
      <c r="C287" s="92">
        <v>178.38951701254038</v>
      </c>
      <c r="D287" s="92">
        <v>109.09524423590504</v>
      </c>
    </row>
    <row r="288" spans="1:4" ht="12.75">
      <c r="A288" s="42">
        <v>70903</v>
      </c>
      <c r="B288" s="42" t="s">
        <v>338</v>
      </c>
      <c r="C288" s="92">
        <v>160.52916059180941</v>
      </c>
      <c r="D288" s="92">
        <v>123.82814037660211</v>
      </c>
    </row>
    <row r="289" spans="1:4" ht="12.75">
      <c r="A289" s="42">
        <v>70904</v>
      </c>
      <c r="B289" s="42" t="s">
        <v>339</v>
      </c>
      <c r="C289" s="92">
        <v>67.358799109946844</v>
      </c>
      <c r="D289" s="92">
        <v>28.88762013130377</v>
      </c>
    </row>
    <row r="290" spans="1:4" ht="12.75">
      <c r="A290" s="42">
        <v>71001</v>
      </c>
      <c r="B290" s="42" t="s">
        <v>340</v>
      </c>
      <c r="C290" s="92">
        <v>1140.3564459281467</v>
      </c>
      <c r="D290" s="92">
        <v>1002.945262757667</v>
      </c>
    </row>
    <row r="291" spans="1:4" ht="12.75">
      <c r="A291" s="42">
        <v>71002</v>
      </c>
      <c r="B291" s="42" t="s">
        <v>341</v>
      </c>
      <c r="C291" s="92">
        <v>385.72181244376407</v>
      </c>
      <c r="D291" s="92">
        <v>184.67365344868142</v>
      </c>
    </row>
    <row r="292" spans="1:4" ht="12.75">
      <c r="A292" s="42">
        <v>71003</v>
      </c>
      <c r="B292" s="42" t="s">
        <v>342</v>
      </c>
      <c r="C292" s="92">
        <v>375.73236537731856</v>
      </c>
      <c r="D292" s="92">
        <v>221.98579707273305</v>
      </c>
    </row>
    <row r="293" spans="1:4" ht="12.75">
      <c r="A293" s="42">
        <v>71004</v>
      </c>
      <c r="B293" s="42" t="s">
        <v>343</v>
      </c>
      <c r="C293" s="92">
        <v>238.63947306835962</v>
      </c>
      <c r="D293" s="92">
        <v>127.61085655359653</v>
      </c>
    </row>
    <row r="294" spans="1:4" ht="12.75">
      <c r="A294" s="42">
        <v>71005</v>
      </c>
      <c r="B294" s="42" t="s">
        <v>269</v>
      </c>
      <c r="C294" s="92">
        <v>372.20012317035696</v>
      </c>
      <c r="D294" s="92">
        <v>149.20691156218015</v>
      </c>
    </row>
    <row r="295" spans="1:4" ht="12.75">
      <c r="A295" s="42">
        <v>71101</v>
      </c>
      <c r="B295" s="42" t="s">
        <v>344</v>
      </c>
      <c r="C295" s="92">
        <v>392.6964803090637</v>
      </c>
      <c r="D295" s="92">
        <v>350.02354879029167</v>
      </c>
    </row>
    <row r="296" spans="1:4" ht="12.75">
      <c r="A296" s="42">
        <v>71102</v>
      </c>
      <c r="B296" s="42" t="s">
        <v>345</v>
      </c>
      <c r="C296" s="92">
        <v>288.42613632518709</v>
      </c>
      <c r="D296" s="92">
        <v>181.78624662022142</v>
      </c>
    </row>
    <row r="297" spans="1:4" ht="12.75">
      <c r="A297" s="42">
        <v>71103</v>
      </c>
      <c r="B297" s="42" t="s">
        <v>346</v>
      </c>
      <c r="C297" s="92">
        <v>103.66837403940676</v>
      </c>
      <c r="D297" s="92">
        <v>81.222933256782341</v>
      </c>
    </row>
    <row r="298" spans="1:4" ht="12.75">
      <c r="A298" s="42">
        <v>71104</v>
      </c>
      <c r="B298" s="42" t="s">
        <v>347</v>
      </c>
      <c r="C298" s="92">
        <v>1092.5498470448188</v>
      </c>
      <c r="D298" s="92">
        <v>493.13675855054248</v>
      </c>
    </row>
    <row r="299" spans="1:4" ht="12.75">
      <c r="A299" s="42">
        <v>71105</v>
      </c>
      <c r="B299" s="42" t="s">
        <v>348</v>
      </c>
      <c r="C299" s="92">
        <v>197.14247255427119</v>
      </c>
      <c r="D299" s="92">
        <v>101.17712806963955</v>
      </c>
    </row>
    <row r="300" spans="1:4" ht="12.75">
      <c r="A300" s="42">
        <v>71106</v>
      </c>
      <c r="B300" s="42" t="s">
        <v>349</v>
      </c>
      <c r="C300" s="92">
        <v>549.97310965844122</v>
      </c>
      <c r="D300" s="92">
        <v>335.15388693294602</v>
      </c>
    </row>
    <row r="301" spans="1:4" ht="12.75">
      <c r="A301" s="42">
        <v>71201</v>
      </c>
      <c r="B301" s="42" t="s">
        <v>350</v>
      </c>
      <c r="C301" s="92">
        <v>297.45472293786281</v>
      </c>
      <c r="D301" s="92">
        <v>183.36771115222962</v>
      </c>
    </row>
    <row r="302" spans="1:4" ht="12.75">
      <c r="A302" s="42">
        <v>71301</v>
      </c>
      <c r="B302" s="42" t="s">
        <v>351</v>
      </c>
      <c r="C302" s="92">
        <v>362.32179333611202</v>
      </c>
      <c r="D302" s="92">
        <v>186.51696844169501</v>
      </c>
    </row>
    <row r="303" spans="1:4" ht="12.75">
      <c r="A303" s="42">
        <v>71302</v>
      </c>
      <c r="B303" s="42" t="s">
        <v>352</v>
      </c>
      <c r="C303" s="92">
        <v>134.67509021829039</v>
      </c>
      <c r="D303" s="92">
        <v>59.216605083822223</v>
      </c>
    </row>
    <row r="304" spans="1:4" ht="12.75">
      <c r="A304" s="42">
        <v>71401</v>
      </c>
      <c r="B304" s="42" t="s">
        <v>353</v>
      </c>
      <c r="C304" s="92">
        <v>237.19938057894313</v>
      </c>
      <c r="D304" s="92">
        <v>137.66512752953003</v>
      </c>
    </row>
    <row r="305" spans="1:4" ht="12.75">
      <c r="A305" s="42">
        <v>71402</v>
      </c>
      <c r="B305" s="42" t="s">
        <v>354</v>
      </c>
      <c r="C305" s="92">
        <v>174.39703043313156</v>
      </c>
      <c r="D305" s="92">
        <v>127.40515631052767</v>
      </c>
    </row>
    <row r="306" spans="1:4" ht="12.75">
      <c r="A306" s="42">
        <v>71403</v>
      </c>
      <c r="B306" s="42" t="s">
        <v>355</v>
      </c>
      <c r="C306" s="92">
        <v>120.15071605872316</v>
      </c>
      <c r="D306" s="92">
        <v>113.22057028603325</v>
      </c>
    </row>
    <row r="307" spans="1:4" ht="12.75">
      <c r="A307" s="42">
        <v>71501</v>
      </c>
      <c r="B307" s="42" t="s">
        <v>356</v>
      </c>
      <c r="C307" s="92">
        <v>421.75945687128279</v>
      </c>
      <c r="D307" s="92">
        <v>347.10347361632574</v>
      </c>
    </row>
    <row r="308" spans="1:4" ht="12.75">
      <c r="A308" s="42">
        <v>71502</v>
      </c>
      <c r="B308" s="42" t="s">
        <v>357</v>
      </c>
      <c r="C308" s="92">
        <v>123.66497983963264</v>
      </c>
      <c r="D308" s="92">
        <v>64.667469640591989</v>
      </c>
    </row>
    <row r="309" spans="1:4" ht="12.75">
      <c r="A309" s="42">
        <v>71503</v>
      </c>
      <c r="B309" s="42" t="s">
        <v>303</v>
      </c>
      <c r="C309" s="92">
        <v>328.48245970367037</v>
      </c>
      <c r="D309" s="92">
        <v>190.1613358544613</v>
      </c>
    </row>
    <row r="310" spans="1:4" ht="12.75">
      <c r="A310" s="42">
        <v>80101</v>
      </c>
      <c r="B310" s="42" t="s">
        <v>358</v>
      </c>
      <c r="C310" s="92">
        <v>1600.0224802657162</v>
      </c>
      <c r="D310" s="92">
        <v>1423.6629433221713</v>
      </c>
    </row>
    <row r="311" spans="1:4" ht="12.75">
      <c r="A311" s="42">
        <v>80102</v>
      </c>
      <c r="B311" s="42" t="s">
        <v>345</v>
      </c>
      <c r="C311" s="92">
        <v>191.15654192191144</v>
      </c>
      <c r="D311" s="92">
        <v>181.52054451096964</v>
      </c>
    </row>
    <row r="312" spans="1:4" ht="12.75">
      <c r="A312" s="42">
        <v>80201</v>
      </c>
      <c r="B312" s="42" t="s">
        <v>359</v>
      </c>
      <c r="C312" s="92">
        <v>1854.2730018320322</v>
      </c>
      <c r="D312" s="92">
        <v>1477.6375360507946</v>
      </c>
    </row>
    <row r="313" spans="1:4" ht="12.75">
      <c r="A313" s="42">
        <v>80202</v>
      </c>
      <c r="B313" s="42" t="s">
        <v>360</v>
      </c>
      <c r="C313" s="92">
        <v>851.19974478875577</v>
      </c>
      <c r="D313" s="92">
        <v>542.8092305927056</v>
      </c>
    </row>
    <row r="314" spans="1:4" ht="12.75">
      <c r="A314" s="42">
        <v>80301</v>
      </c>
      <c r="B314" s="42" t="s">
        <v>361</v>
      </c>
      <c r="C314" s="92">
        <v>353.84425893986509</v>
      </c>
      <c r="D314" s="92">
        <v>208.25037077070422</v>
      </c>
    </row>
    <row r="315" spans="1:4" ht="12.75">
      <c r="A315" s="42">
        <v>80302</v>
      </c>
      <c r="B315" s="42" t="s">
        <v>362</v>
      </c>
      <c r="C315" s="92">
        <v>1216.5914622832131</v>
      </c>
      <c r="D315" s="92">
        <v>938.3578009732596</v>
      </c>
    </row>
    <row r="316" spans="1:4" ht="12.75">
      <c r="A316" s="42">
        <v>80303</v>
      </c>
      <c r="B316" s="42" t="s">
        <v>322</v>
      </c>
      <c r="C316" s="92">
        <v>289.69505771259776</v>
      </c>
      <c r="D316" s="92">
        <v>209.43666563652459</v>
      </c>
    </row>
    <row r="317" spans="1:4" ht="12.75">
      <c r="A317" s="42">
        <v>80304</v>
      </c>
      <c r="B317" s="42" t="s">
        <v>363</v>
      </c>
      <c r="C317" s="92">
        <v>425.73347253834874</v>
      </c>
      <c r="D317" s="92">
        <v>337.68174791464742</v>
      </c>
    </row>
    <row r="318" spans="1:4" ht="12.75">
      <c r="A318" s="42">
        <v>80401</v>
      </c>
      <c r="B318" s="42" t="s">
        <v>364</v>
      </c>
      <c r="C318" s="92">
        <v>483.76705963781052</v>
      </c>
      <c r="D318" s="92">
        <v>304.07617400758784</v>
      </c>
    </row>
    <row r="319" spans="1:4" ht="12.75">
      <c r="A319" s="42">
        <v>80402</v>
      </c>
      <c r="B319" s="42" t="s">
        <v>365</v>
      </c>
      <c r="C319" s="92">
        <v>303.00975066259645</v>
      </c>
      <c r="D319" s="92">
        <v>158.80215263136472</v>
      </c>
    </row>
    <row r="320" spans="1:4" ht="12.75">
      <c r="A320" s="42">
        <v>80501</v>
      </c>
      <c r="B320" s="42" t="s">
        <v>311</v>
      </c>
      <c r="C320" s="92">
        <v>630.73701516559845</v>
      </c>
      <c r="D320" s="92">
        <v>442.9787615829502</v>
      </c>
    </row>
    <row r="321" spans="1:4" ht="12.75">
      <c r="A321" s="42">
        <v>80601</v>
      </c>
      <c r="B321" s="42" t="s">
        <v>366</v>
      </c>
      <c r="C321" s="92">
        <v>191.45244988154289</v>
      </c>
      <c r="D321" s="92">
        <v>116.20611476071156</v>
      </c>
    </row>
    <row r="322" spans="1:4" ht="12.75">
      <c r="A322" s="42">
        <v>80602</v>
      </c>
      <c r="B322" s="42" t="s">
        <v>367</v>
      </c>
      <c r="C322" s="92">
        <v>458.2474911058286</v>
      </c>
      <c r="D322" s="92">
        <v>254.85289808043345</v>
      </c>
    </row>
    <row r="323" spans="1:4" ht="12.75">
      <c r="A323" s="42">
        <v>80701</v>
      </c>
      <c r="B323" s="42" t="s">
        <v>368</v>
      </c>
      <c r="C323" s="92">
        <v>155.98672181910581</v>
      </c>
      <c r="D323" s="92">
        <v>107.29932901948676</v>
      </c>
    </row>
    <row r="324" spans="1:4" ht="12.75">
      <c r="A324" s="42">
        <v>80702</v>
      </c>
      <c r="B324" s="42" t="s">
        <v>346</v>
      </c>
      <c r="C324" s="92">
        <v>138.67815453835598</v>
      </c>
      <c r="D324" s="92">
        <v>80.19659809150086</v>
      </c>
    </row>
    <row r="325" spans="1:4" ht="12.75">
      <c r="A325" s="42">
        <v>80703</v>
      </c>
      <c r="B325" s="42" t="s">
        <v>369</v>
      </c>
      <c r="C325" s="92">
        <v>49.120721298819348</v>
      </c>
      <c r="D325" s="92">
        <v>23.900548425961951</v>
      </c>
    </row>
    <row r="326" spans="1:4" ht="12.75">
      <c r="A326" s="42">
        <v>80801</v>
      </c>
      <c r="B326" s="42" t="s">
        <v>370</v>
      </c>
      <c r="C326" s="92">
        <v>267.95661642080489</v>
      </c>
      <c r="D326" s="92">
        <v>192.45763186551184</v>
      </c>
    </row>
    <row r="327" spans="1:4" ht="12.75">
      <c r="A327" s="42">
        <v>80802</v>
      </c>
      <c r="B327" s="42" t="s">
        <v>371</v>
      </c>
      <c r="C327" s="92">
        <v>167.67164571956636</v>
      </c>
      <c r="D327" s="92">
        <v>99.05053607293236</v>
      </c>
    </row>
    <row r="328" spans="1:4" ht="12.75">
      <c r="A328" s="42">
        <v>80803</v>
      </c>
      <c r="B328" s="42" t="s">
        <v>372</v>
      </c>
      <c r="C328" s="92">
        <v>122.84457344622909</v>
      </c>
      <c r="D328" s="92">
        <v>69.524748958155385</v>
      </c>
    </row>
    <row r="329" spans="1:4" ht="12.75">
      <c r="A329" s="42">
        <v>80901</v>
      </c>
      <c r="B329" s="42" t="s">
        <v>373</v>
      </c>
      <c r="C329" s="92">
        <v>140.85218878456632</v>
      </c>
      <c r="D329" s="92">
        <v>117.23631081355474</v>
      </c>
    </row>
    <row r="330" spans="1:4" ht="12.75">
      <c r="A330" s="42">
        <v>90101</v>
      </c>
      <c r="B330" s="42" t="s">
        <v>374</v>
      </c>
      <c r="C330" s="92">
        <v>459.64048892315907</v>
      </c>
      <c r="D330" s="92">
        <v>313.96878948060066</v>
      </c>
    </row>
    <row r="331" spans="1:4" ht="12.75">
      <c r="A331" s="42">
        <v>90102</v>
      </c>
      <c r="B331" s="42" t="s">
        <v>375</v>
      </c>
      <c r="C331" s="92">
        <v>136.96333760518348</v>
      </c>
      <c r="D331" s="92">
        <v>75.441562687179342</v>
      </c>
    </row>
    <row r="332" spans="1:4" ht="12.75">
      <c r="A332" s="42">
        <v>90103</v>
      </c>
      <c r="B332" s="42" t="s">
        <v>376</v>
      </c>
      <c r="C332" s="92">
        <v>53.154807139736029</v>
      </c>
      <c r="D332" s="92">
        <v>19.969335668472024</v>
      </c>
    </row>
    <row r="333" spans="1:4" ht="12.75">
      <c r="A333" s="42">
        <v>90104</v>
      </c>
      <c r="B333" s="42" t="s">
        <v>377</v>
      </c>
      <c r="C333" s="92">
        <v>87.125924484680112</v>
      </c>
      <c r="D333" s="92">
        <v>33.095247315726112</v>
      </c>
    </row>
    <row r="334" spans="1:4" ht="12.75">
      <c r="A334" s="42">
        <v>90201</v>
      </c>
      <c r="B334" s="42" t="s">
        <v>378</v>
      </c>
      <c r="C334" s="92">
        <v>140.71088507373261</v>
      </c>
      <c r="D334" s="92">
        <v>64.087522603245205</v>
      </c>
    </row>
    <row r="335" spans="1:4" ht="12.75">
      <c r="A335" s="42">
        <v>90202</v>
      </c>
      <c r="B335" s="42" t="s">
        <v>269</v>
      </c>
      <c r="C335" s="92">
        <v>60.148860710753937</v>
      </c>
      <c r="D335" s="92">
        <v>41.397105964416724</v>
      </c>
    </row>
    <row r="336" spans="1:4" ht="12.75">
      <c r="A336" s="42">
        <v>90203</v>
      </c>
      <c r="B336" s="42" t="s">
        <v>379</v>
      </c>
      <c r="C336" s="92">
        <v>146.87512499137586</v>
      </c>
      <c r="D336" s="92">
        <v>81.896713696542577</v>
      </c>
    </row>
    <row r="337" spans="1:4" ht="12.75">
      <c r="A337" s="42">
        <v>90301</v>
      </c>
      <c r="B337" s="42" t="s">
        <v>380</v>
      </c>
      <c r="C337" s="92">
        <v>202.02823315140276</v>
      </c>
      <c r="D337" s="92">
        <v>155.48526716106142</v>
      </c>
    </row>
    <row r="338" spans="1:4" ht="12.75">
      <c r="A338" s="42">
        <v>90302</v>
      </c>
      <c r="B338" s="42" t="s">
        <v>302</v>
      </c>
      <c r="C338" s="92">
        <v>198.43129131487925</v>
      </c>
      <c r="D338" s="92">
        <v>142.02909526003137</v>
      </c>
    </row>
    <row r="339" spans="1:4" ht="12.75">
      <c r="A339" s="42">
        <v>90303</v>
      </c>
      <c r="B339" s="42" t="s">
        <v>381</v>
      </c>
      <c r="C339" s="92">
        <v>181.51701607781851</v>
      </c>
      <c r="D339" s="92">
        <v>113.25478634869495</v>
      </c>
    </row>
    <row r="340" spans="1:4" ht="12.75">
      <c r="A340" s="42">
        <v>90401</v>
      </c>
      <c r="B340" s="42" t="s">
        <v>322</v>
      </c>
      <c r="C340" s="92">
        <v>63.146312241190174</v>
      </c>
      <c r="D340" s="92">
        <v>30.178378060780755</v>
      </c>
    </row>
    <row r="341" spans="1:4" ht="12.75">
      <c r="A341" s="42">
        <v>90402</v>
      </c>
      <c r="B341" s="42" t="s">
        <v>382</v>
      </c>
      <c r="C341" s="92">
        <v>48.35888469103805</v>
      </c>
      <c r="D341" s="92">
        <v>29.28087982848988</v>
      </c>
    </row>
    <row r="342" spans="1:4" ht="12.75">
      <c r="A342" s="42">
        <v>90501</v>
      </c>
      <c r="B342" s="42" t="s">
        <v>383</v>
      </c>
      <c r="C342" s="92">
        <v>39.166699997700235</v>
      </c>
      <c r="D342" s="92">
        <v>18.623088320035709</v>
      </c>
    </row>
    <row r="343" spans="1:4" ht="12.75">
      <c r="A343" s="42">
        <v>90502</v>
      </c>
      <c r="B343" s="42" t="s">
        <v>384</v>
      </c>
      <c r="C343" s="92">
        <v>71.539176526411651</v>
      </c>
      <c r="D343" s="92">
        <v>29.393067107526239</v>
      </c>
    </row>
    <row r="344" spans="1:4" ht="12.75">
      <c r="A344" s="42">
        <v>90503</v>
      </c>
      <c r="B344" s="42" t="s">
        <v>385</v>
      </c>
      <c r="C344" s="92">
        <v>43.562962242340056</v>
      </c>
      <c r="D344" s="92">
        <v>24.344639550890051</v>
      </c>
    </row>
    <row r="345" spans="1:4" ht="12.75">
      <c r="B345" s="89"/>
      <c r="C345" s="93"/>
      <c r="D345" s="9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0000"/>
    <outlinePr summaryBelow="0" summaryRight="0"/>
  </sheetPr>
  <dimension ref="A1:Z12"/>
  <sheetViews>
    <sheetView workbookViewId="0">
      <selection activeCell="F11" sqref="F11"/>
    </sheetView>
  </sheetViews>
  <sheetFormatPr baseColWidth="10" defaultColWidth="12.5703125" defaultRowHeight="15" customHeight="1"/>
  <sheetData>
    <row r="1" spans="1:26" ht="46.5" customHeight="1">
      <c r="A1" s="94" t="s">
        <v>397</v>
      </c>
      <c r="B1" s="94" t="s">
        <v>46</v>
      </c>
      <c r="C1" s="88" t="s">
        <v>393</v>
      </c>
      <c r="D1" s="88" t="s">
        <v>394</v>
      </c>
      <c r="E1" s="95"/>
      <c r="F1" s="95"/>
      <c r="G1" s="95"/>
      <c r="H1" s="95"/>
      <c r="I1" s="95"/>
      <c r="J1" s="95"/>
      <c r="K1" s="95"/>
      <c r="L1" s="95"/>
      <c r="M1" s="95"/>
      <c r="N1" s="95"/>
      <c r="O1" s="95"/>
      <c r="P1" s="95"/>
      <c r="Q1" s="95"/>
      <c r="R1" s="95"/>
      <c r="S1" s="95"/>
      <c r="T1" s="95"/>
      <c r="U1" s="95"/>
      <c r="V1" s="95"/>
      <c r="W1" s="95"/>
      <c r="X1" s="95"/>
      <c r="Y1" s="95"/>
      <c r="Z1" s="95"/>
    </row>
    <row r="2" spans="1:26" ht="12.75">
      <c r="A2" s="42">
        <v>1</v>
      </c>
      <c r="B2" s="42" t="s">
        <v>49</v>
      </c>
      <c r="C2" s="96">
        <v>36.907799908831393</v>
      </c>
      <c r="D2" s="96">
        <v>13.777709255870327</v>
      </c>
    </row>
    <row r="3" spans="1:26" ht="12.75">
      <c r="A3" s="42">
        <v>2</v>
      </c>
      <c r="B3" s="42" t="s">
        <v>52</v>
      </c>
      <c r="C3" s="96">
        <v>29.926178641372317</v>
      </c>
      <c r="D3" s="96">
        <v>16.912648830343208</v>
      </c>
    </row>
    <row r="4" spans="1:26" ht="12.75">
      <c r="A4" s="42">
        <v>3</v>
      </c>
      <c r="B4" s="42" t="s">
        <v>55</v>
      </c>
      <c r="C4" s="96">
        <v>31.638639091302846</v>
      </c>
      <c r="D4" s="96">
        <v>12.851786793645147</v>
      </c>
    </row>
    <row r="5" spans="1:26" ht="12.75">
      <c r="A5" s="42">
        <v>4</v>
      </c>
      <c r="B5" s="42" t="s">
        <v>57</v>
      </c>
      <c r="C5" s="96">
        <v>33.348348300150704</v>
      </c>
      <c r="D5" s="96">
        <v>24.320684696806218</v>
      </c>
    </row>
    <row r="6" spans="1:26" ht="12.75">
      <c r="A6" s="42">
        <v>5</v>
      </c>
      <c r="B6" s="42" t="s">
        <v>59</v>
      </c>
      <c r="C6" s="96">
        <v>44.069390544788845</v>
      </c>
      <c r="D6" s="96">
        <v>26.718553833912527</v>
      </c>
    </row>
    <row r="7" spans="1:26" ht="12.75">
      <c r="A7" s="42">
        <v>6</v>
      </c>
      <c r="B7" s="42" t="s">
        <v>61</v>
      </c>
      <c r="C7" s="96">
        <v>15.120197692523336</v>
      </c>
      <c r="D7" s="96">
        <v>9.1441598426596187</v>
      </c>
    </row>
    <row r="8" spans="1:26" ht="12.75">
      <c r="A8" s="42">
        <v>7</v>
      </c>
      <c r="B8" s="42" t="s">
        <v>63</v>
      </c>
      <c r="C8" s="96">
        <v>12.333740425224972</v>
      </c>
      <c r="D8" s="96">
        <v>10.280227742690183</v>
      </c>
    </row>
    <row r="9" spans="1:26" ht="12.75">
      <c r="A9" s="42">
        <v>8</v>
      </c>
      <c r="B9" s="42" t="s">
        <v>22</v>
      </c>
      <c r="C9" s="96">
        <v>18.101847008770683</v>
      </c>
      <c r="D9" s="96">
        <v>15.659929166663648</v>
      </c>
    </row>
    <row r="10" spans="1:26" ht="12.75">
      <c r="A10" s="63">
        <v>9</v>
      </c>
      <c r="B10" s="63" t="s">
        <v>23</v>
      </c>
      <c r="C10" s="124">
        <v>15.319248495095939</v>
      </c>
      <c r="D10" s="124">
        <v>9.4460641238615271</v>
      </c>
    </row>
    <row r="11" spans="1:26" ht="15" customHeight="1">
      <c r="A11" s="125">
        <v>10</v>
      </c>
      <c r="B11" s="125" t="s">
        <v>409</v>
      </c>
      <c r="C11" s="126">
        <v>14.583317878798272</v>
      </c>
      <c r="D11" s="126">
        <v>9.1289050324133143</v>
      </c>
    </row>
    <row r="12" spans="1:26" ht="15" customHeight="1">
      <c r="A12" s="125">
        <v>11</v>
      </c>
      <c r="B12" s="125" t="s">
        <v>67</v>
      </c>
      <c r="C12" s="126">
        <v>25.935461729630187</v>
      </c>
      <c r="D12" s="126">
        <v>14.798704106599361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00000"/>
    <outlinePr summaryBelow="0" summaryRight="0"/>
  </sheetPr>
  <dimension ref="A1:H12"/>
  <sheetViews>
    <sheetView workbookViewId="0">
      <selection activeCell="A15" sqref="A15"/>
    </sheetView>
  </sheetViews>
  <sheetFormatPr baseColWidth="10" defaultColWidth="12.5703125" defaultRowHeight="15" customHeight="1"/>
  <sheetData>
    <row r="1" spans="1:8" ht="44.25" customHeight="1">
      <c r="A1" s="94" t="s">
        <v>397</v>
      </c>
      <c r="B1" s="94" t="s">
        <v>46</v>
      </c>
      <c r="C1" s="88" t="s">
        <v>395</v>
      </c>
      <c r="D1" s="88" t="s">
        <v>396</v>
      </c>
    </row>
    <row r="2" spans="1:8" ht="12.75">
      <c r="A2" s="42">
        <v>1</v>
      </c>
      <c r="B2" s="42" t="s">
        <v>49</v>
      </c>
      <c r="C2" s="92">
        <v>25453.464207125569</v>
      </c>
      <c r="D2" s="92">
        <v>6176.1337281289916</v>
      </c>
    </row>
    <row r="3" spans="1:8" ht="12.75">
      <c r="A3" s="42">
        <v>2</v>
      </c>
      <c r="B3" s="42" t="s">
        <v>52</v>
      </c>
      <c r="C3" s="92">
        <v>80523.56591748615</v>
      </c>
      <c r="D3" s="92">
        <v>35301.433650598774</v>
      </c>
    </row>
    <row r="4" spans="1:8" ht="12.75">
      <c r="A4" s="42">
        <v>3</v>
      </c>
      <c r="B4" s="42" t="s">
        <v>55</v>
      </c>
      <c r="C4" s="92">
        <v>60496.558192871082</v>
      </c>
      <c r="D4" s="92">
        <v>19559.519874852358</v>
      </c>
    </row>
    <row r="5" spans="1:8" ht="12.75">
      <c r="A5" s="42">
        <v>4</v>
      </c>
      <c r="B5" s="42" t="s">
        <v>57</v>
      </c>
      <c r="C5" s="92">
        <v>17189.072647829678</v>
      </c>
      <c r="D5" s="92">
        <v>10446.220490972206</v>
      </c>
    </row>
    <row r="6" spans="1:8" ht="12.75">
      <c r="A6" s="42">
        <v>5</v>
      </c>
      <c r="B6" s="42" t="s">
        <v>59</v>
      </c>
      <c r="C6" s="92">
        <v>43309.634251796684</v>
      </c>
      <c r="D6" s="92">
        <v>19625.846533162108</v>
      </c>
    </row>
    <row r="7" spans="1:8" ht="12.75">
      <c r="A7" s="42">
        <v>6</v>
      </c>
      <c r="B7" s="42" t="s">
        <v>61</v>
      </c>
      <c r="C7" s="92">
        <v>7518.2158986533786</v>
      </c>
      <c r="D7" s="92">
        <v>3324.4507523973311</v>
      </c>
    </row>
    <row r="8" spans="1:8" ht="12.75">
      <c r="A8" s="42">
        <v>7</v>
      </c>
      <c r="B8" s="42" t="s">
        <v>63</v>
      </c>
      <c r="C8" s="92">
        <v>36139.092819951693</v>
      </c>
      <c r="D8" s="92">
        <v>26204.506120672133</v>
      </c>
    </row>
    <row r="9" spans="1:8" ht="12.75">
      <c r="A9" s="42">
        <v>8</v>
      </c>
      <c r="B9" s="42" t="s">
        <v>22</v>
      </c>
      <c r="C9" s="92">
        <v>9892.8404087632662</v>
      </c>
      <c r="D9" s="92">
        <v>7285.9386440819289</v>
      </c>
    </row>
    <row r="10" spans="1:8" ht="12.75">
      <c r="A10" s="42">
        <v>9</v>
      </c>
      <c r="B10" s="42" t="s">
        <v>23</v>
      </c>
      <c r="C10" s="92">
        <v>1932.3700051714018</v>
      </c>
      <c r="D10" s="92">
        <v>1172.4454790536929</v>
      </c>
      <c r="G10" s="128"/>
      <c r="H10" s="128"/>
    </row>
    <row r="11" spans="1:8" ht="15" customHeight="1">
      <c r="A11" s="125">
        <v>10</v>
      </c>
      <c r="B11" s="125" t="s">
        <v>409</v>
      </c>
      <c r="C11" s="122">
        <v>2363.6641617956238</v>
      </c>
      <c r="D11" s="122">
        <v>1117.1953978667414</v>
      </c>
    </row>
    <row r="12" spans="1:8" ht="15" customHeight="1">
      <c r="A12" s="125">
        <v>11</v>
      </c>
      <c r="B12" s="125" t="s">
        <v>67</v>
      </c>
      <c r="C12" s="127">
        <v>282454.81434964889</v>
      </c>
      <c r="D12" s="127">
        <v>129096.49527391953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outlinePr summaryBelow="0" summaryRight="0"/>
  </sheetPr>
  <dimension ref="A1:J1000"/>
  <sheetViews>
    <sheetView workbookViewId="0">
      <selection activeCell="D11" sqref="D11"/>
    </sheetView>
  </sheetViews>
  <sheetFormatPr baseColWidth="10" defaultColWidth="12.5703125" defaultRowHeight="15" customHeight="1"/>
  <sheetData>
    <row r="1" spans="1:10" ht="44.25" customHeight="1">
      <c r="A1" s="97" t="s">
        <v>398</v>
      </c>
      <c r="B1" s="97" t="s">
        <v>399</v>
      </c>
      <c r="C1" s="98" t="s">
        <v>400</v>
      </c>
      <c r="D1" s="98" t="s">
        <v>401</v>
      </c>
      <c r="E1" s="99" t="s">
        <v>402</v>
      </c>
      <c r="F1" s="99" t="s">
        <v>403</v>
      </c>
      <c r="G1" s="100" t="s">
        <v>404</v>
      </c>
      <c r="H1" s="100" t="s">
        <v>405</v>
      </c>
      <c r="I1" s="101" t="s">
        <v>406</v>
      </c>
      <c r="J1" s="101" t="s">
        <v>407</v>
      </c>
    </row>
    <row r="2" spans="1:10" ht="45" customHeight="1">
      <c r="A2" s="102">
        <v>2</v>
      </c>
      <c r="B2" s="103" t="s">
        <v>408</v>
      </c>
      <c r="C2" s="102">
        <v>0</v>
      </c>
      <c r="D2" s="102">
        <v>10</v>
      </c>
      <c r="E2" s="102">
        <v>10</v>
      </c>
      <c r="F2" s="102">
        <v>17.5</v>
      </c>
      <c r="G2" s="102">
        <v>17.5</v>
      </c>
      <c r="H2" s="102">
        <v>25</v>
      </c>
      <c r="I2" s="102">
        <v>25</v>
      </c>
      <c r="J2" s="102">
        <v>100</v>
      </c>
    </row>
    <row r="3" spans="1:10" ht="12.75">
      <c r="A3" s="104"/>
      <c r="B3" s="104"/>
      <c r="C3" s="104"/>
      <c r="D3" s="104"/>
      <c r="E3" s="104"/>
      <c r="F3" s="104"/>
      <c r="G3" s="104"/>
      <c r="H3" s="104"/>
      <c r="I3" s="104"/>
      <c r="J3" s="104"/>
    </row>
    <row r="4" spans="1:10" ht="12.75">
      <c r="A4" s="104"/>
      <c r="B4" s="104"/>
      <c r="C4" s="104"/>
      <c r="D4" s="104"/>
      <c r="E4" s="104"/>
      <c r="F4" s="104"/>
      <c r="G4" s="104"/>
      <c r="H4" s="104"/>
      <c r="I4" s="104"/>
      <c r="J4" s="104"/>
    </row>
    <row r="5" spans="1:10" ht="12.75">
      <c r="A5" s="104"/>
      <c r="B5" s="104"/>
      <c r="C5" s="104"/>
      <c r="D5" s="104"/>
      <c r="E5" s="104"/>
      <c r="F5" s="104"/>
      <c r="G5" s="104"/>
      <c r="H5" s="104"/>
      <c r="I5" s="104"/>
      <c r="J5" s="104"/>
    </row>
    <row r="6" spans="1:10" ht="12.75">
      <c r="A6" s="104"/>
      <c r="B6" s="104"/>
      <c r="C6" s="104"/>
      <c r="D6" s="104"/>
      <c r="E6" s="104"/>
      <c r="F6" s="104"/>
      <c r="G6" s="104"/>
      <c r="H6" s="104"/>
      <c r="I6" s="104"/>
      <c r="J6" s="104"/>
    </row>
    <row r="7" spans="1:10" ht="12.75">
      <c r="A7" s="104"/>
      <c r="B7" s="104"/>
      <c r="C7" s="104"/>
      <c r="D7" s="104"/>
      <c r="E7" s="104"/>
      <c r="F7" s="104"/>
      <c r="G7" s="104"/>
      <c r="H7" s="104"/>
      <c r="I7" s="104"/>
      <c r="J7" s="104"/>
    </row>
    <row r="8" spans="1:10" ht="12.75">
      <c r="A8" s="104"/>
      <c r="B8" s="104"/>
      <c r="C8" s="104"/>
      <c r="D8" s="104"/>
      <c r="E8" s="104"/>
      <c r="F8" s="104"/>
      <c r="G8" s="104"/>
      <c r="H8" s="104"/>
      <c r="I8" s="104"/>
      <c r="J8" s="104"/>
    </row>
    <row r="9" spans="1:10" ht="12.75">
      <c r="A9" s="104"/>
      <c r="B9" s="104"/>
      <c r="C9" s="104"/>
      <c r="D9" s="104"/>
      <c r="E9" s="104"/>
      <c r="F9" s="104"/>
      <c r="G9" s="104"/>
      <c r="H9" s="104"/>
      <c r="I9" s="104"/>
      <c r="J9" s="104"/>
    </row>
    <row r="10" spans="1:10" ht="12.75">
      <c r="A10" s="104"/>
      <c r="B10" s="104"/>
      <c r="C10" s="104"/>
      <c r="D10" s="104"/>
      <c r="E10" s="104"/>
      <c r="F10" s="104"/>
      <c r="G10" s="104"/>
      <c r="H10" s="104"/>
      <c r="I10" s="104"/>
      <c r="J10" s="104"/>
    </row>
    <row r="11" spans="1:10" ht="12.75">
      <c r="A11" s="104"/>
      <c r="B11" s="104"/>
      <c r="C11" s="104"/>
      <c r="D11" s="104"/>
      <c r="E11" s="104"/>
      <c r="F11" s="104"/>
      <c r="G11" s="104"/>
      <c r="H11" s="104"/>
      <c r="I11" s="104"/>
      <c r="J11" s="104"/>
    </row>
    <row r="12" spans="1:10" ht="12.75">
      <c r="A12" s="104"/>
      <c r="B12" s="104"/>
      <c r="C12" s="104"/>
      <c r="D12" s="104"/>
      <c r="E12" s="104"/>
      <c r="F12" s="104"/>
      <c r="G12" s="104"/>
      <c r="H12" s="104"/>
      <c r="I12" s="104"/>
      <c r="J12" s="104"/>
    </row>
    <row r="13" spans="1:10" ht="12.75">
      <c r="A13" s="104"/>
      <c r="B13" s="104"/>
      <c r="C13" s="104"/>
      <c r="D13" s="104"/>
      <c r="E13" s="104"/>
      <c r="F13" s="104"/>
      <c r="G13" s="104"/>
      <c r="H13" s="104"/>
      <c r="I13" s="104"/>
      <c r="J13" s="104"/>
    </row>
    <row r="14" spans="1:10" ht="12.75">
      <c r="A14" s="104"/>
      <c r="B14" s="104"/>
      <c r="C14" s="104"/>
      <c r="D14" s="104"/>
      <c r="E14" s="104"/>
      <c r="F14" s="104"/>
      <c r="G14" s="104"/>
      <c r="H14" s="104"/>
      <c r="I14" s="104"/>
      <c r="J14" s="104"/>
    </row>
    <row r="15" spans="1:10" ht="12.75">
      <c r="A15" s="104"/>
      <c r="B15" s="104"/>
      <c r="C15" s="104"/>
      <c r="D15" s="104"/>
      <c r="E15" s="104"/>
      <c r="F15" s="104"/>
      <c r="G15" s="104"/>
      <c r="H15" s="104"/>
      <c r="I15" s="104"/>
      <c r="J15" s="104"/>
    </row>
    <row r="16" spans="1:10" ht="12.75">
      <c r="A16" s="104"/>
      <c r="B16" s="104"/>
      <c r="C16" s="104"/>
      <c r="D16" s="104"/>
      <c r="E16" s="104"/>
      <c r="F16" s="104"/>
      <c r="G16" s="104"/>
      <c r="H16" s="104"/>
      <c r="I16" s="104"/>
      <c r="J16" s="104"/>
    </row>
    <row r="17" spans="1:10" ht="12.75">
      <c r="A17" s="104"/>
      <c r="B17" s="104"/>
      <c r="C17" s="104"/>
      <c r="D17" s="104"/>
      <c r="E17" s="104"/>
      <c r="F17" s="104"/>
      <c r="G17" s="104"/>
      <c r="H17" s="104"/>
      <c r="I17" s="104"/>
      <c r="J17" s="104"/>
    </row>
    <row r="18" spans="1:10" ht="12.75">
      <c r="A18" s="104"/>
      <c r="B18" s="104"/>
      <c r="C18" s="104"/>
      <c r="D18" s="104"/>
      <c r="E18" s="104"/>
      <c r="F18" s="104"/>
      <c r="G18" s="104"/>
      <c r="H18" s="104"/>
      <c r="I18" s="104"/>
      <c r="J18" s="104"/>
    </row>
    <row r="19" spans="1:10" ht="12.75">
      <c r="A19" s="104"/>
      <c r="B19" s="104"/>
      <c r="C19" s="104"/>
      <c r="D19" s="104"/>
      <c r="E19" s="104"/>
      <c r="F19" s="104"/>
      <c r="G19" s="104"/>
      <c r="H19" s="104"/>
      <c r="I19" s="104"/>
      <c r="J19" s="104"/>
    </row>
    <row r="20" spans="1:10" ht="12.75">
      <c r="A20" s="104"/>
      <c r="B20" s="104"/>
      <c r="C20" s="104"/>
      <c r="D20" s="104"/>
      <c r="E20" s="104"/>
      <c r="F20" s="104"/>
      <c r="G20" s="104"/>
      <c r="H20" s="104"/>
      <c r="I20" s="104"/>
      <c r="J20" s="104"/>
    </row>
    <row r="21" spans="1:10" ht="12.75">
      <c r="A21" s="104"/>
      <c r="B21" s="104"/>
      <c r="C21" s="104"/>
      <c r="D21" s="104"/>
      <c r="E21" s="104"/>
      <c r="F21" s="104"/>
      <c r="G21" s="104"/>
      <c r="H21" s="104"/>
      <c r="I21" s="104"/>
      <c r="J21" s="104"/>
    </row>
    <row r="22" spans="1:10" ht="12.75">
      <c r="A22" s="104"/>
      <c r="B22" s="104"/>
      <c r="C22" s="104"/>
      <c r="D22" s="104"/>
      <c r="E22" s="104"/>
      <c r="F22" s="104"/>
      <c r="G22" s="104"/>
      <c r="H22" s="104"/>
      <c r="I22" s="104"/>
      <c r="J22" s="104"/>
    </row>
    <row r="23" spans="1:10" ht="12.75">
      <c r="A23" s="104"/>
      <c r="B23" s="104"/>
      <c r="C23" s="104"/>
      <c r="D23" s="104"/>
      <c r="E23" s="104"/>
      <c r="F23" s="104"/>
      <c r="G23" s="104"/>
      <c r="H23" s="104"/>
      <c r="I23" s="104"/>
      <c r="J23" s="104"/>
    </row>
    <row r="24" spans="1:10" ht="12.75">
      <c r="A24" s="104"/>
      <c r="B24" s="104"/>
      <c r="C24" s="104"/>
      <c r="D24" s="104"/>
      <c r="E24" s="104"/>
      <c r="F24" s="104"/>
      <c r="G24" s="104"/>
      <c r="H24" s="104"/>
      <c r="I24" s="104"/>
      <c r="J24" s="104"/>
    </row>
    <row r="25" spans="1:10" ht="12.75">
      <c r="A25" s="104"/>
      <c r="B25" s="104"/>
      <c r="C25" s="104"/>
      <c r="D25" s="104"/>
      <c r="E25" s="104"/>
      <c r="F25" s="104"/>
      <c r="G25" s="104"/>
      <c r="H25" s="104"/>
      <c r="I25" s="104"/>
      <c r="J25" s="104"/>
    </row>
    <row r="26" spans="1:10" ht="12.75">
      <c r="A26" s="104"/>
      <c r="B26" s="104"/>
      <c r="C26" s="104"/>
      <c r="D26" s="104"/>
      <c r="E26" s="104"/>
      <c r="F26" s="104"/>
      <c r="G26" s="104"/>
      <c r="H26" s="104"/>
      <c r="I26" s="104"/>
      <c r="J26" s="104"/>
    </row>
    <row r="27" spans="1:10" ht="12.75">
      <c r="A27" s="104"/>
      <c r="B27" s="104"/>
      <c r="C27" s="104"/>
      <c r="D27" s="104"/>
      <c r="E27" s="104"/>
      <c r="F27" s="104"/>
      <c r="G27" s="104"/>
      <c r="H27" s="104"/>
      <c r="I27" s="104"/>
      <c r="J27" s="104"/>
    </row>
    <row r="28" spans="1:10" ht="12.75">
      <c r="A28" s="104"/>
      <c r="B28" s="104"/>
      <c r="C28" s="104"/>
      <c r="D28" s="104"/>
      <c r="E28" s="104"/>
      <c r="F28" s="104"/>
      <c r="G28" s="104"/>
      <c r="H28" s="104"/>
      <c r="I28" s="104"/>
      <c r="J28" s="104"/>
    </row>
    <row r="29" spans="1:10" ht="12.75">
      <c r="A29" s="104"/>
      <c r="B29" s="104"/>
      <c r="C29" s="104"/>
      <c r="D29" s="104"/>
      <c r="E29" s="104"/>
      <c r="F29" s="104"/>
      <c r="G29" s="104"/>
      <c r="H29" s="104"/>
      <c r="I29" s="104"/>
      <c r="J29" s="104"/>
    </row>
    <row r="30" spans="1:10" ht="12.75">
      <c r="A30" s="104"/>
      <c r="B30" s="104"/>
      <c r="C30" s="104"/>
      <c r="D30" s="104"/>
      <c r="E30" s="104"/>
      <c r="F30" s="104"/>
      <c r="G30" s="104"/>
      <c r="H30" s="104"/>
      <c r="I30" s="104"/>
      <c r="J30" s="104"/>
    </row>
    <row r="31" spans="1:10" ht="12.75">
      <c r="A31" s="104"/>
      <c r="B31" s="104"/>
      <c r="C31" s="104"/>
      <c r="D31" s="104"/>
      <c r="E31" s="104"/>
      <c r="F31" s="104"/>
      <c r="G31" s="104"/>
      <c r="H31" s="104"/>
      <c r="I31" s="104"/>
      <c r="J31" s="104"/>
    </row>
    <row r="32" spans="1:10" ht="12.75">
      <c r="A32" s="104"/>
      <c r="B32" s="104"/>
      <c r="C32" s="104"/>
      <c r="D32" s="104"/>
      <c r="E32" s="104"/>
      <c r="F32" s="104"/>
      <c r="G32" s="104"/>
      <c r="H32" s="104"/>
      <c r="I32" s="104"/>
      <c r="J32" s="104"/>
    </row>
    <row r="33" spans="1:10" ht="12.75">
      <c r="A33" s="104"/>
      <c r="B33" s="104"/>
      <c r="C33" s="104"/>
      <c r="D33" s="104"/>
      <c r="E33" s="104"/>
      <c r="F33" s="104"/>
      <c r="G33" s="104"/>
      <c r="H33" s="104"/>
      <c r="I33" s="104"/>
      <c r="J33" s="104"/>
    </row>
    <row r="34" spans="1:10" ht="12.75">
      <c r="A34" s="104"/>
      <c r="B34" s="104"/>
      <c r="C34" s="104"/>
      <c r="D34" s="104"/>
      <c r="E34" s="104"/>
      <c r="F34" s="104"/>
      <c r="G34" s="104"/>
      <c r="H34" s="104"/>
      <c r="I34" s="104"/>
      <c r="J34" s="104"/>
    </row>
    <row r="35" spans="1:10" ht="12.75">
      <c r="A35" s="104"/>
      <c r="B35" s="104"/>
      <c r="C35" s="104"/>
      <c r="D35" s="104"/>
      <c r="E35" s="104"/>
      <c r="F35" s="104"/>
      <c r="G35" s="104"/>
      <c r="H35" s="104"/>
      <c r="I35" s="104"/>
      <c r="J35" s="104"/>
    </row>
    <row r="36" spans="1:10" ht="12.75">
      <c r="A36" s="104"/>
      <c r="B36" s="104"/>
      <c r="C36" s="104"/>
      <c r="D36" s="104"/>
      <c r="E36" s="104"/>
      <c r="F36" s="104"/>
      <c r="G36" s="104"/>
      <c r="H36" s="104"/>
      <c r="I36" s="104"/>
      <c r="J36" s="104"/>
    </row>
    <row r="37" spans="1:10" ht="12.75">
      <c r="A37" s="104"/>
      <c r="B37" s="104"/>
      <c r="C37" s="104"/>
      <c r="D37" s="104"/>
      <c r="E37" s="104"/>
      <c r="F37" s="104"/>
      <c r="G37" s="104"/>
      <c r="H37" s="104"/>
      <c r="I37" s="104"/>
      <c r="J37" s="104"/>
    </row>
    <row r="38" spans="1:10" ht="12.75">
      <c r="A38" s="104"/>
      <c r="B38" s="104"/>
      <c r="C38" s="104"/>
      <c r="D38" s="104"/>
      <c r="E38" s="104"/>
      <c r="F38" s="104"/>
      <c r="G38" s="104"/>
      <c r="H38" s="104"/>
      <c r="I38" s="104"/>
      <c r="J38" s="104"/>
    </row>
    <row r="39" spans="1:10" ht="12.75">
      <c r="A39" s="104"/>
      <c r="B39" s="104"/>
      <c r="C39" s="104"/>
      <c r="D39" s="104"/>
      <c r="E39" s="104"/>
      <c r="F39" s="104"/>
      <c r="G39" s="104"/>
      <c r="H39" s="104"/>
      <c r="I39" s="104"/>
      <c r="J39" s="104"/>
    </row>
    <row r="40" spans="1:10" ht="12.75">
      <c r="A40" s="104"/>
      <c r="B40" s="104"/>
      <c r="C40" s="104"/>
      <c r="D40" s="104"/>
      <c r="E40" s="104"/>
      <c r="F40" s="104"/>
      <c r="G40" s="104"/>
      <c r="H40" s="104"/>
      <c r="I40" s="104"/>
      <c r="J40" s="104"/>
    </row>
    <row r="41" spans="1:10" ht="12.75">
      <c r="A41" s="104"/>
      <c r="B41" s="104"/>
      <c r="C41" s="104"/>
      <c r="D41" s="104"/>
      <c r="E41" s="104"/>
      <c r="F41" s="104"/>
      <c r="G41" s="104"/>
      <c r="H41" s="104"/>
      <c r="I41" s="104"/>
      <c r="J41" s="104"/>
    </row>
    <row r="42" spans="1:10" ht="12.75">
      <c r="A42" s="104"/>
      <c r="B42" s="104"/>
      <c r="C42" s="104"/>
      <c r="D42" s="104"/>
      <c r="E42" s="104"/>
      <c r="F42" s="104"/>
      <c r="G42" s="104"/>
      <c r="H42" s="104"/>
      <c r="I42" s="104"/>
      <c r="J42" s="104"/>
    </row>
    <row r="43" spans="1:10" ht="12.75">
      <c r="A43" s="104"/>
      <c r="B43" s="104"/>
      <c r="C43" s="104"/>
      <c r="D43" s="104"/>
      <c r="E43" s="104"/>
      <c r="F43" s="104"/>
      <c r="G43" s="104"/>
      <c r="H43" s="104"/>
      <c r="I43" s="104"/>
      <c r="J43" s="104"/>
    </row>
    <row r="44" spans="1:10" ht="12.75">
      <c r="A44" s="104"/>
      <c r="B44" s="104"/>
      <c r="C44" s="104"/>
      <c r="D44" s="104"/>
      <c r="E44" s="104"/>
      <c r="F44" s="104"/>
      <c r="G44" s="104"/>
      <c r="H44" s="104"/>
      <c r="I44" s="104"/>
      <c r="J44" s="104"/>
    </row>
    <row r="45" spans="1:10" ht="12.75">
      <c r="A45" s="104"/>
      <c r="B45" s="104"/>
      <c r="C45" s="104"/>
      <c r="D45" s="104"/>
      <c r="E45" s="104"/>
      <c r="F45" s="104"/>
      <c r="G45" s="104"/>
      <c r="H45" s="104"/>
      <c r="I45" s="104"/>
      <c r="J45" s="104"/>
    </row>
    <row r="46" spans="1:10" ht="12.75">
      <c r="A46" s="104"/>
      <c r="B46" s="104"/>
      <c r="C46" s="104"/>
      <c r="D46" s="104"/>
      <c r="E46" s="104"/>
      <c r="F46" s="104"/>
      <c r="G46" s="104"/>
      <c r="H46" s="104"/>
      <c r="I46" s="104"/>
      <c r="J46" s="104"/>
    </row>
    <row r="47" spans="1:10" ht="12.75">
      <c r="A47" s="104"/>
      <c r="B47" s="104"/>
      <c r="C47" s="104"/>
      <c r="D47" s="104"/>
      <c r="E47" s="104"/>
      <c r="F47" s="104"/>
      <c r="G47" s="104"/>
      <c r="H47" s="104"/>
      <c r="I47" s="104"/>
      <c r="J47" s="104"/>
    </row>
    <row r="48" spans="1:10" ht="12.75">
      <c r="A48" s="104"/>
      <c r="B48" s="104"/>
      <c r="C48" s="104"/>
      <c r="D48" s="104"/>
      <c r="E48" s="104"/>
      <c r="F48" s="104"/>
      <c r="G48" s="104"/>
      <c r="H48" s="104"/>
      <c r="I48" s="104"/>
      <c r="J48" s="104"/>
    </row>
    <row r="49" spans="1:10" ht="12.75">
      <c r="A49" s="104"/>
      <c r="B49" s="104"/>
      <c r="C49" s="104"/>
      <c r="D49" s="104"/>
      <c r="E49" s="104"/>
      <c r="F49" s="104"/>
      <c r="G49" s="104"/>
      <c r="H49" s="104"/>
      <c r="I49" s="104"/>
      <c r="J49" s="104"/>
    </row>
    <row r="50" spans="1:10" ht="12.75">
      <c r="A50" s="104"/>
      <c r="B50" s="104"/>
      <c r="C50" s="104"/>
      <c r="D50" s="104"/>
      <c r="E50" s="104"/>
      <c r="F50" s="104"/>
      <c r="G50" s="104"/>
      <c r="H50" s="104"/>
      <c r="I50" s="104"/>
      <c r="J50" s="104"/>
    </row>
    <row r="51" spans="1:10" ht="12.75">
      <c r="A51" s="104"/>
      <c r="B51" s="104"/>
      <c r="C51" s="104"/>
      <c r="D51" s="104"/>
      <c r="E51" s="104"/>
      <c r="F51" s="104"/>
      <c r="G51" s="104"/>
      <c r="H51" s="104"/>
      <c r="I51" s="104"/>
      <c r="J51" s="104"/>
    </row>
    <row r="52" spans="1:10" ht="12.75">
      <c r="A52" s="104"/>
      <c r="B52" s="104"/>
      <c r="C52" s="104"/>
      <c r="D52" s="104"/>
      <c r="E52" s="104"/>
      <c r="F52" s="104"/>
      <c r="G52" s="104"/>
      <c r="H52" s="104"/>
      <c r="I52" s="104"/>
      <c r="J52" s="104"/>
    </row>
    <row r="53" spans="1:10" ht="12.75">
      <c r="A53" s="104"/>
      <c r="B53" s="104"/>
      <c r="C53" s="104"/>
      <c r="D53" s="104"/>
      <c r="E53" s="104"/>
      <c r="F53" s="104"/>
      <c r="G53" s="104"/>
      <c r="H53" s="104"/>
      <c r="I53" s="104"/>
      <c r="J53" s="104"/>
    </row>
    <row r="54" spans="1:10" ht="12.75">
      <c r="A54" s="104"/>
      <c r="B54" s="104"/>
      <c r="C54" s="104"/>
      <c r="D54" s="104"/>
      <c r="E54" s="104"/>
      <c r="F54" s="104"/>
      <c r="G54" s="104"/>
      <c r="H54" s="104"/>
      <c r="I54" s="104"/>
      <c r="J54" s="104"/>
    </row>
    <row r="55" spans="1:10" ht="12.75">
      <c r="A55" s="104"/>
      <c r="B55" s="104"/>
      <c r="C55" s="104"/>
      <c r="D55" s="104"/>
      <c r="E55" s="104"/>
      <c r="F55" s="104"/>
      <c r="G55" s="104"/>
      <c r="H55" s="104"/>
      <c r="I55" s="104"/>
      <c r="J55" s="104"/>
    </row>
    <row r="56" spans="1:10" ht="12.75">
      <c r="A56" s="104"/>
      <c r="B56" s="104"/>
      <c r="C56" s="104"/>
      <c r="D56" s="104"/>
      <c r="E56" s="104"/>
      <c r="F56" s="104"/>
      <c r="G56" s="104"/>
      <c r="H56" s="104"/>
      <c r="I56" s="104"/>
      <c r="J56" s="104"/>
    </row>
    <row r="57" spans="1:10" ht="12.75">
      <c r="A57" s="104"/>
      <c r="B57" s="104"/>
      <c r="C57" s="104"/>
      <c r="D57" s="104"/>
      <c r="E57" s="104"/>
      <c r="F57" s="104"/>
      <c r="G57" s="104"/>
      <c r="H57" s="104"/>
      <c r="I57" s="104"/>
      <c r="J57" s="104"/>
    </row>
    <row r="58" spans="1:10" ht="12.75">
      <c r="A58" s="104"/>
      <c r="B58" s="104"/>
      <c r="C58" s="104"/>
      <c r="D58" s="104"/>
      <c r="E58" s="104"/>
      <c r="F58" s="104"/>
      <c r="G58" s="104"/>
      <c r="H58" s="104"/>
      <c r="I58" s="104"/>
      <c r="J58" s="104"/>
    </row>
    <row r="59" spans="1:10" ht="12.75">
      <c r="A59" s="104"/>
      <c r="B59" s="104"/>
      <c r="C59" s="104"/>
      <c r="D59" s="104"/>
      <c r="E59" s="104"/>
      <c r="F59" s="104"/>
      <c r="G59" s="104"/>
      <c r="H59" s="104"/>
      <c r="I59" s="104"/>
      <c r="J59" s="104"/>
    </row>
    <row r="60" spans="1:10" ht="12.75">
      <c r="A60" s="104"/>
      <c r="B60" s="104"/>
      <c r="C60" s="104"/>
      <c r="D60" s="104"/>
      <c r="E60" s="104"/>
      <c r="F60" s="104"/>
      <c r="G60" s="104"/>
      <c r="H60" s="104"/>
      <c r="I60" s="104"/>
      <c r="J60" s="104"/>
    </row>
    <row r="61" spans="1:10" ht="12.75">
      <c r="A61" s="104"/>
      <c r="B61" s="104"/>
      <c r="C61" s="104"/>
      <c r="D61" s="104"/>
      <c r="E61" s="104"/>
      <c r="F61" s="104"/>
      <c r="G61" s="104"/>
      <c r="H61" s="104"/>
      <c r="I61" s="104"/>
      <c r="J61" s="104"/>
    </row>
    <row r="62" spans="1:10" ht="12.75">
      <c r="A62" s="104"/>
      <c r="B62" s="104"/>
      <c r="C62" s="104"/>
      <c r="D62" s="104"/>
      <c r="E62" s="104"/>
      <c r="F62" s="104"/>
      <c r="G62" s="104"/>
      <c r="H62" s="104"/>
      <c r="I62" s="104"/>
      <c r="J62" s="104"/>
    </row>
    <row r="63" spans="1:10" ht="12.75">
      <c r="A63" s="104"/>
      <c r="B63" s="104"/>
      <c r="C63" s="104"/>
      <c r="D63" s="104"/>
      <c r="E63" s="104"/>
      <c r="F63" s="104"/>
      <c r="G63" s="104"/>
      <c r="H63" s="104"/>
      <c r="I63" s="104"/>
      <c r="J63" s="104"/>
    </row>
    <row r="64" spans="1:10" ht="12.75">
      <c r="A64" s="104"/>
      <c r="B64" s="104"/>
      <c r="C64" s="104"/>
      <c r="D64" s="104"/>
      <c r="E64" s="104"/>
      <c r="F64" s="104"/>
      <c r="G64" s="104"/>
      <c r="H64" s="104"/>
      <c r="I64" s="104"/>
      <c r="J64" s="104"/>
    </row>
    <row r="65" spans="1:10" ht="12.75">
      <c r="A65" s="104"/>
      <c r="B65" s="104"/>
      <c r="C65" s="104"/>
      <c r="D65" s="104"/>
      <c r="E65" s="104"/>
      <c r="F65" s="104"/>
      <c r="G65" s="104"/>
      <c r="H65" s="104"/>
      <c r="I65" s="104"/>
      <c r="J65" s="104"/>
    </row>
    <row r="66" spans="1:10" ht="12.75">
      <c r="A66" s="104"/>
      <c r="B66" s="104"/>
      <c r="C66" s="104"/>
      <c r="D66" s="104"/>
      <c r="E66" s="104"/>
      <c r="F66" s="104"/>
      <c r="G66" s="104"/>
      <c r="H66" s="104"/>
      <c r="I66" s="104"/>
      <c r="J66" s="104"/>
    </row>
    <row r="67" spans="1:10" ht="12.75">
      <c r="A67" s="104"/>
      <c r="B67" s="104"/>
      <c r="C67" s="104"/>
      <c r="D67" s="104"/>
      <c r="E67" s="104"/>
      <c r="F67" s="104"/>
      <c r="G67" s="104"/>
      <c r="H67" s="104"/>
      <c r="I67" s="104"/>
      <c r="J67" s="104"/>
    </row>
    <row r="68" spans="1:10" ht="12.75">
      <c r="A68" s="104"/>
      <c r="B68" s="104"/>
      <c r="C68" s="104"/>
      <c r="D68" s="104"/>
      <c r="E68" s="104"/>
      <c r="F68" s="104"/>
      <c r="G68" s="104"/>
      <c r="H68" s="104"/>
      <c r="I68" s="104"/>
      <c r="J68" s="104"/>
    </row>
    <row r="69" spans="1:10" ht="12.75">
      <c r="A69" s="104"/>
      <c r="B69" s="104"/>
      <c r="C69" s="104"/>
      <c r="D69" s="104"/>
      <c r="E69" s="104"/>
      <c r="F69" s="104"/>
      <c r="G69" s="104"/>
      <c r="H69" s="104"/>
      <c r="I69" s="104"/>
      <c r="J69" s="104"/>
    </row>
    <row r="70" spans="1:10" ht="12.75">
      <c r="A70" s="104"/>
      <c r="B70" s="104"/>
      <c r="C70" s="104"/>
      <c r="D70" s="104"/>
      <c r="E70" s="104"/>
      <c r="F70" s="104"/>
      <c r="G70" s="104"/>
      <c r="H70" s="104"/>
      <c r="I70" s="104"/>
      <c r="J70" s="104"/>
    </row>
    <row r="71" spans="1:10" ht="12.75">
      <c r="A71" s="104"/>
      <c r="B71" s="104"/>
      <c r="C71" s="104"/>
      <c r="D71" s="104"/>
      <c r="E71" s="104"/>
      <c r="F71" s="104"/>
      <c r="G71" s="104"/>
      <c r="H71" s="104"/>
      <c r="I71" s="104"/>
      <c r="J71" s="104"/>
    </row>
    <row r="72" spans="1:10" ht="12.75">
      <c r="A72" s="104"/>
      <c r="B72" s="104"/>
      <c r="C72" s="104"/>
      <c r="D72" s="104"/>
      <c r="E72" s="104"/>
      <c r="F72" s="104"/>
      <c r="G72" s="104"/>
      <c r="H72" s="104"/>
      <c r="I72" s="104"/>
      <c r="J72" s="104"/>
    </row>
    <row r="73" spans="1:10" ht="12.75">
      <c r="A73" s="104"/>
      <c r="B73" s="104"/>
      <c r="C73" s="104"/>
      <c r="D73" s="104"/>
      <c r="E73" s="104"/>
      <c r="F73" s="104"/>
      <c r="G73" s="104"/>
      <c r="H73" s="104"/>
      <c r="I73" s="104"/>
      <c r="J73" s="104"/>
    </row>
    <row r="74" spans="1:10" ht="12.75">
      <c r="A74" s="104"/>
      <c r="B74" s="104"/>
      <c r="C74" s="104"/>
      <c r="D74" s="104"/>
      <c r="E74" s="104"/>
      <c r="F74" s="104"/>
      <c r="G74" s="104"/>
      <c r="H74" s="104"/>
      <c r="I74" s="104"/>
      <c r="J74" s="104"/>
    </row>
    <row r="75" spans="1:10" ht="12.75">
      <c r="A75" s="104"/>
      <c r="B75" s="104"/>
      <c r="C75" s="104"/>
      <c r="D75" s="104"/>
      <c r="E75" s="104"/>
      <c r="F75" s="104"/>
      <c r="G75" s="104"/>
      <c r="H75" s="104"/>
      <c r="I75" s="104"/>
      <c r="J75" s="104"/>
    </row>
    <row r="76" spans="1:10" ht="12.75">
      <c r="A76" s="104"/>
      <c r="B76" s="104"/>
      <c r="C76" s="104"/>
      <c r="D76" s="104"/>
      <c r="E76" s="104"/>
      <c r="F76" s="104"/>
      <c r="G76" s="104"/>
      <c r="H76" s="104"/>
      <c r="I76" s="104"/>
      <c r="J76" s="104"/>
    </row>
    <row r="77" spans="1:10" ht="12.75">
      <c r="A77" s="104"/>
      <c r="B77" s="104"/>
      <c r="C77" s="104"/>
      <c r="D77" s="104"/>
      <c r="E77" s="104"/>
      <c r="F77" s="104"/>
      <c r="G77" s="104"/>
      <c r="H77" s="104"/>
      <c r="I77" s="104"/>
      <c r="J77" s="104"/>
    </row>
    <row r="78" spans="1:10" ht="12.75">
      <c r="A78" s="104"/>
      <c r="B78" s="104"/>
      <c r="C78" s="104"/>
      <c r="D78" s="104"/>
      <c r="E78" s="104"/>
      <c r="F78" s="104"/>
      <c r="G78" s="104"/>
      <c r="H78" s="104"/>
      <c r="I78" s="104"/>
      <c r="J78" s="104"/>
    </row>
    <row r="79" spans="1:10" ht="12.75">
      <c r="A79" s="104"/>
      <c r="B79" s="104"/>
      <c r="C79" s="104"/>
      <c r="D79" s="104"/>
      <c r="E79" s="104"/>
      <c r="F79" s="104"/>
      <c r="G79" s="104"/>
      <c r="H79" s="104"/>
      <c r="I79" s="104"/>
      <c r="J79" s="104"/>
    </row>
    <row r="80" spans="1:10" ht="12.75">
      <c r="A80" s="104"/>
      <c r="B80" s="104"/>
      <c r="C80" s="104"/>
      <c r="D80" s="104"/>
      <c r="E80" s="104"/>
      <c r="F80" s="104"/>
      <c r="G80" s="104"/>
      <c r="H80" s="104"/>
      <c r="I80" s="104"/>
      <c r="J80" s="104"/>
    </row>
    <row r="81" spans="1:10" ht="12.75">
      <c r="A81" s="104"/>
      <c r="B81" s="104"/>
      <c r="C81" s="104"/>
      <c r="D81" s="104"/>
      <c r="E81" s="104"/>
      <c r="F81" s="104"/>
      <c r="G81" s="104"/>
      <c r="H81" s="104"/>
      <c r="I81" s="104"/>
      <c r="J81" s="104"/>
    </row>
    <row r="82" spans="1:10" ht="12.75">
      <c r="A82" s="104"/>
      <c r="B82" s="104"/>
      <c r="C82" s="104"/>
      <c r="D82" s="104"/>
      <c r="E82" s="104"/>
      <c r="F82" s="104"/>
      <c r="G82" s="104"/>
      <c r="H82" s="104"/>
      <c r="I82" s="104"/>
      <c r="J82" s="104"/>
    </row>
    <row r="83" spans="1:10" ht="12.75">
      <c r="A83" s="104"/>
      <c r="B83" s="104"/>
      <c r="C83" s="104"/>
      <c r="D83" s="104"/>
      <c r="E83" s="104"/>
      <c r="F83" s="104"/>
      <c r="G83" s="104"/>
      <c r="H83" s="104"/>
      <c r="I83" s="104"/>
      <c r="J83" s="104"/>
    </row>
    <row r="84" spans="1:10" ht="12.75">
      <c r="A84" s="104"/>
      <c r="B84" s="104"/>
      <c r="C84" s="104"/>
      <c r="D84" s="104"/>
      <c r="E84" s="104"/>
      <c r="F84" s="104"/>
      <c r="G84" s="104"/>
      <c r="H84" s="104"/>
      <c r="I84" s="104"/>
      <c r="J84" s="104"/>
    </row>
    <row r="85" spans="1:10" ht="12.75">
      <c r="A85" s="104"/>
      <c r="B85" s="104"/>
      <c r="C85" s="104"/>
      <c r="D85" s="104"/>
      <c r="E85" s="104"/>
      <c r="F85" s="104"/>
      <c r="G85" s="104"/>
      <c r="H85" s="104"/>
      <c r="I85" s="104"/>
      <c r="J85" s="104"/>
    </row>
    <row r="86" spans="1:10" ht="12.75">
      <c r="A86" s="104"/>
      <c r="B86" s="104"/>
      <c r="C86" s="104"/>
      <c r="D86" s="104"/>
      <c r="E86" s="104"/>
      <c r="F86" s="104"/>
      <c r="G86" s="104"/>
      <c r="H86" s="104"/>
      <c r="I86" s="104"/>
      <c r="J86" s="104"/>
    </row>
    <row r="87" spans="1:10" ht="12.75">
      <c r="A87" s="104"/>
      <c r="B87" s="104"/>
      <c r="C87" s="104"/>
      <c r="D87" s="104"/>
      <c r="E87" s="104"/>
      <c r="F87" s="104"/>
      <c r="G87" s="104"/>
      <c r="H87" s="104"/>
      <c r="I87" s="104"/>
      <c r="J87" s="104"/>
    </row>
    <row r="88" spans="1:10" ht="12.75">
      <c r="A88" s="104"/>
      <c r="B88" s="104"/>
      <c r="C88" s="104"/>
      <c r="D88" s="104"/>
      <c r="E88" s="104"/>
      <c r="F88" s="104"/>
      <c r="G88" s="104"/>
      <c r="H88" s="104"/>
      <c r="I88" s="104"/>
      <c r="J88" s="104"/>
    </row>
    <row r="89" spans="1:10" ht="12.75">
      <c r="A89" s="104"/>
      <c r="B89" s="104"/>
      <c r="C89" s="104"/>
      <c r="D89" s="104"/>
      <c r="E89" s="104"/>
      <c r="F89" s="104"/>
      <c r="G89" s="104"/>
      <c r="H89" s="104"/>
      <c r="I89" s="104"/>
      <c r="J89" s="104"/>
    </row>
    <row r="90" spans="1:10" ht="12.75">
      <c r="A90" s="104"/>
      <c r="B90" s="104"/>
      <c r="C90" s="104"/>
      <c r="D90" s="104"/>
      <c r="E90" s="104"/>
      <c r="F90" s="104"/>
      <c r="G90" s="104"/>
      <c r="H90" s="104"/>
      <c r="I90" s="104"/>
      <c r="J90" s="104"/>
    </row>
    <row r="91" spans="1:10" ht="12.75">
      <c r="A91" s="104"/>
      <c r="B91" s="104"/>
      <c r="C91" s="104"/>
      <c r="D91" s="104"/>
      <c r="E91" s="104"/>
      <c r="F91" s="104"/>
      <c r="G91" s="104"/>
      <c r="H91" s="104"/>
      <c r="I91" s="104"/>
      <c r="J91" s="104"/>
    </row>
    <row r="92" spans="1:10" ht="12.75">
      <c r="A92" s="104"/>
      <c r="B92" s="104"/>
      <c r="C92" s="104"/>
      <c r="D92" s="104"/>
      <c r="E92" s="104"/>
      <c r="F92" s="104"/>
      <c r="G92" s="104"/>
      <c r="H92" s="104"/>
      <c r="I92" s="104"/>
      <c r="J92" s="104"/>
    </row>
    <row r="93" spans="1:10" ht="12.75">
      <c r="A93" s="104"/>
      <c r="B93" s="104"/>
      <c r="C93" s="104"/>
      <c r="D93" s="104"/>
      <c r="E93" s="104"/>
      <c r="F93" s="104"/>
      <c r="G93" s="104"/>
      <c r="H93" s="104"/>
      <c r="I93" s="104"/>
      <c r="J93" s="104"/>
    </row>
    <row r="94" spans="1:10" ht="12.75">
      <c r="A94" s="104"/>
      <c r="B94" s="104"/>
      <c r="C94" s="104"/>
      <c r="D94" s="104"/>
      <c r="E94" s="104"/>
      <c r="F94" s="104"/>
      <c r="G94" s="104"/>
      <c r="H94" s="104"/>
      <c r="I94" s="104"/>
      <c r="J94" s="104"/>
    </row>
    <row r="95" spans="1:10" ht="12.75">
      <c r="A95" s="104"/>
      <c r="B95" s="104"/>
      <c r="C95" s="104"/>
      <c r="D95" s="104"/>
      <c r="E95" s="104"/>
      <c r="F95" s="104"/>
      <c r="G95" s="104"/>
      <c r="H95" s="104"/>
      <c r="I95" s="104"/>
      <c r="J95" s="104"/>
    </row>
    <row r="96" spans="1:10" ht="12.75">
      <c r="A96" s="104"/>
      <c r="B96" s="104"/>
      <c r="C96" s="104"/>
      <c r="D96" s="104"/>
      <c r="E96" s="104"/>
      <c r="F96" s="104"/>
      <c r="G96" s="104"/>
      <c r="H96" s="104"/>
      <c r="I96" s="104"/>
      <c r="J96" s="104"/>
    </row>
    <row r="97" spans="1:10" ht="12.75">
      <c r="A97" s="104"/>
      <c r="B97" s="104"/>
      <c r="C97" s="104"/>
      <c r="D97" s="104"/>
      <c r="E97" s="104"/>
      <c r="F97" s="104"/>
      <c r="G97" s="104"/>
      <c r="H97" s="104"/>
      <c r="I97" s="104"/>
      <c r="J97" s="104"/>
    </row>
    <row r="98" spans="1:10" ht="12.75">
      <c r="A98" s="104"/>
      <c r="B98" s="104"/>
      <c r="C98" s="104"/>
      <c r="D98" s="104"/>
      <c r="E98" s="104"/>
      <c r="F98" s="104"/>
      <c r="G98" s="104"/>
      <c r="H98" s="104"/>
      <c r="I98" s="104"/>
      <c r="J98" s="104"/>
    </row>
    <row r="99" spans="1:10" ht="12.75">
      <c r="A99" s="104"/>
      <c r="B99" s="104"/>
      <c r="C99" s="104"/>
      <c r="D99" s="104"/>
      <c r="E99" s="104"/>
      <c r="F99" s="104"/>
      <c r="G99" s="104"/>
      <c r="H99" s="104"/>
      <c r="I99" s="104"/>
      <c r="J99" s="104"/>
    </row>
    <row r="100" spans="1:10" ht="12.75">
      <c r="A100" s="104"/>
      <c r="B100" s="104"/>
      <c r="C100" s="104"/>
      <c r="D100" s="104"/>
      <c r="E100" s="104"/>
      <c r="F100" s="104"/>
      <c r="G100" s="104"/>
      <c r="H100" s="104"/>
      <c r="I100" s="104"/>
      <c r="J100" s="104"/>
    </row>
    <row r="101" spans="1:10" ht="12.75">
      <c r="A101" s="104"/>
      <c r="B101" s="104"/>
      <c r="C101" s="104"/>
      <c r="D101" s="104"/>
      <c r="E101" s="104"/>
      <c r="F101" s="104"/>
      <c r="G101" s="104"/>
      <c r="H101" s="104"/>
      <c r="I101" s="104"/>
      <c r="J101" s="104"/>
    </row>
    <row r="102" spans="1:10" ht="12.75">
      <c r="A102" s="104"/>
      <c r="B102" s="104"/>
      <c r="C102" s="104"/>
      <c r="D102" s="104"/>
      <c r="E102" s="104"/>
      <c r="F102" s="104"/>
      <c r="G102" s="104"/>
      <c r="H102" s="104"/>
      <c r="I102" s="104"/>
      <c r="J102" s="104"/>
    </row>
    <row r="103" spans="1:10" ht="12.75">
      <c r="A103" s="104"/>
      <c r="B103" s="104"/>
      <c r="C103" s="104"/>
      <c r="D103" s="104"/>
      <c r="E103" s="104"/>
      <c r="F103" s="104"/>
      <c r="G103" s="104"/>
      <c r="H103" s="104"/>
      <c r="I103" s="104"/>
      <c r="J103" s="104"/>
    </row>
    <row r="104" spans="1:10" ht="12.75">
      <c r="A104" s="104"/>
      <c r="B104" s="104"/>
      <c r="C104" s="104"/>
      <c r="D104" s="104"/>
      <c r="E104" s="104"/>
      <c r="F104" s="104"/>
      <c r="G104" s="104"/>
      <c r="H104" s="104"/>
      <c r="I104" s="104"/>
      <c r="J104" s="104"/>
    </row>
    <row r="105" spans="1:10" ht="12.75">
      <c r="A105" s="104"/>
      <c r="B105" s="104"/>
      <c r="C105" s="104"/>
      <c r="D105" s="104"/>
      <c r="E105" s="104"/>
      <c r="F105" s="104"/>
      <c r="G105" s="104"/>
      <c r="H105" s="104"/>
      <c r="I105" s="104"/>
      <c r="J105" s="104"/>
    </row>
    <row r="106" spans="1:10" ht="12.75">
      <c r="A106" s="104"/>
      <c r="B106" s="104"/>
      <c r="C106" s="104"/>
      <c r="D106" s="104"/>
      <c r="E106" s="104"/>
      <c r="F106" s="104"/>
      <c r="G106" s="104"/>
      <c r="H106" s="104"/>
      <c r="I106" s="104"/>
      <c r="J106" s="104"/>
    </row>
    <row r="107" spans="1:10" ht="12.75">
      <c r="A107" s="104"/>
      <c r="B107" s="104"/>
      <c r="C107" s="104"/>
      <c r="D107" s="104"/>
      <c r="E107" s="104"/>
      <c r="F107" s="104"/>
      <c r="G107" s="104"/>
      <c r="H107" s="104"/>
      <c r="I107" s="104"/>
      <c r="J107" s="104"/>
    </row>
    <row r="108" spans="1:10" ht="12.75">
      <c r="A108" s="104"/>
      <c r="B108" s="104"/>
      <c r="C108" s="104"/>
      <c r="D108" s="104"/>
      <c r="E108" s="104"/>
      <c r="F108" s="104"/>
      <c r="G108" s="104"/>
      <c r="H108" s="104"/>
      <c r="I108" s="104"/>
      <c r="J108" s="104"/>
    </row>
    <row r="109" spans="1:10" ht="12.75">
      <c r="A109" s="104"/>
      <c r="B109" s="104"/>
      <c r="C109" s="104"/>
      <c r="D109" s="104"/>
      <c r="E109" s="104"/>
      <c r="F109" s="104"/>
      <c r="G109" s="104"/>
      <c r="H109" s="104"/>
      <c r="I109" s="104"/>
      <c r="J109" s="104"/>
    </row>
    <row r="110" spans="1:10" ht="12.75">
      <c r="A110" s="104"/>
      <c r="B110" s="104"/>
      <c r="C110" s="104"/>
      <c r="D110" s="104"/>
      <c r="E110" s="104"/>
      <c r="F110" s="104"/>
      <c r="G110" s="104"/>
      <c r="H110" s="104"/>
      <c r="I110" s="104"/>
      <c r="J110" s="104"/>
    </row>
    <row r="111" spans="1:10" ht="12.75">
      <c r="A111" s="104"/>
      <c r="B111" s="104"/>
      <c r="C111" s="104"/>
      <c r="D111" s="104"/>
      <c r="E111" s="104"/>
      <c r="F111" s="104"/>
      <c r="G111" s="104"/>
      <c r="H111" s="104"/>
      <c r="I111" s="104"/>
      <c r="J111" s="104"/>
    </row>
    <row r="112" spans="1:10" ht="12.75">
      <c r="A112" s="104"/>
      <c r="B112" s="104"/>
      <c r="C112" s="104"/>
      <c r="D112" s="104"/>
      <c r="E112" s="104"/>
      <c r="F112" s="104"/>
      <c r="G112" s="104"/>
      <c r="H112" s="104"/>
      <c r="I112" s="104"/>
      <c r="J112" s="104"/>
    </row>
    <row r="113" spans="1:10" ht="12.75">
      <c r="A113" s="104"/>
      <c r="B113" s="104"/>
      <c r="C113" s="104"/>
      <c r="D113" s="104"/>
      <c r="E113" s="104"/>
      <c r="F113" s="104"/>
      <c r="G113" s="104"/>
      <c r="H113" s="104"/>
      <c r="I113" s="104"/>
      <c r="J113" s="104"/>
    </row>
    <row r="114" spans="1:10" ht="12.75">
      <c r="A114" s="104"/>
      <c r="B114" s="104"/>
      <c r="C114" s="104"/>
      <c r="D114" s="104"/>
      <c r="E114" s="104"/>
      <c r="F114" s="104"/>
      <c r="G114" s="104"/>
      <c r="H114" s="104"/>
      <c r="I114" s="104"/>
      <c r="J114" s="104"/>
    </row>
    <row r="115" spans="1:10" ht="12.75">
      <c r="A115" s="104"/>
      <c r="B115" s="104"/>
      <c r="C115" s="104"/>
      <c r="D115" s="104"/>
      <c r="E115" s="104"/>
      <c r="F115" s="104"/>
      <c r="G115" s="104"/>
      <c r="H115" s="104"/>
      <c r="I115" s="104"/>
      <c r="J115" s="104"/>
    </row>
    <row r="116" spans="1:10" ht="12.75">
      <c r="A116" s="104"/>
      <c r="B116" s="104"/>
      <c r="C116" s="104"/>
      <c r="D116" s="104"/>
      <c r="E116" s="104"/>
      <c r="F116" s="104"/>
      <c r="G116" s="104"/>
      <c r="H116" s="104"/>
      <c r="I116" s="104"/>
      <c r="J116" s="104"/>
    </row>
    <row r="117" spans="1:10" ht="12.75">
      <c r="A117" s="104"/>
      <c r="B117" s="104"/>
      <c r="C117" s="104"/>
      <c r="D117" s="104"/>
      <c r="E117" s="104"/>
      <c r="F117" s="104"/>
      <c r="G117" s="104"/>
      <c r="H117" s="104"/>
      <c r="I117" s="104"/>
      <c r="J117" s="104"/>
    </row>
    <row r="118" spans="1:10" ht="12.75">
      <c r="A118" s="104"/>
      <c r="B118" s="104"/>
      <c r="C118" s="104"/>
      <c r="D118" s="104"/>
      <c r="E118" s="104"/>
      <c r="F118" s="104"/>
      <c r="G118" s="104"/>
      <c r="H118" s="104"/>
      <c r="I118" s="104"/>
      <c r="J118" s="104"/>
    </row>
    <row r="119" spans="1:10" ht="12.75">
      <c r="A119" s="104"/>
      <c r="B119" s="104"/>
      <c r="C119" s="104"/>
      <c r="D119" s="104"/>
      <c r="E119" s="104"/>
      <c r="F119" s="104"/>
      <c r="G119" s="104"/>
      <c r="H119" s="104"/>
      <c r="I119" s="104"/>
      <c r="J119" s="104"/>
    </row>
    <row r="120" spans="1:10" ht="12.75">
      <c r="A120" s="104"/>
      <c r="B120" s="104"/>
      <c r="C120" s="104"/>
      <c r="D120" s="104"/>
      <c r="E120" s="104"/>
      <c r="F120" s="104"/>
      <c r="G120" s="104"/>
      <c r="H120" s="104"/>
      <c r="I120" s="104"/>
      <c r="J120" s="104"/>
    </row>
    <row r="121" spans="1:10" ht="12.75">
      <c r="A121" s="104"/>
      <c r="B121" s="104"/>
      <c r="C121" s="104"/>
      <c r="D121" s="104"/>
      <c r="E121" s="104"/>
      <c r="F121" s="104"/>
      <c r="G121" s="104"/>
      <c r="H121" s="104"/>
      <c r="I121" s="104"/>
      <c r="J121" s="104"/>
    </row>
    <row r="122" spans="1:10" ht="12.75">
      <c r="A122" s="104"/>
      <c r="B122" s="104"/>
      <c r="C122" s="104"/>
      <c r="D122" s="104"/>
      <c r="E122" s="104"/>
      <c r="F122" s="104"/>
      <c r="G122" s="104"/>
      <c r="H122" s="104"/>
      <c r="I122" s="104"/>
      <c r="J122" s="104"/>
    </row>
    <row r="123" spans="1:10" ht="12.75">
      <c r="A123" s="104"/>
      <c r="B123" s="104"/>
      <c r="C123" s="104"/>
      <c r="D123" s="104"/>
      <c r="E123" s="104"/>
      <c r="F123" s="104"/>
      <c r="G123" s="104"/>
      <c r="H123" s="104"/>
      <c r="I123" s="104"/>
      <c r="J123" s="104"/>
    </row>
    <row r="124" spans="1:10" ht="12.75">
      <c r="A124" s="104"/>
      <c r="B124" s="104"/>
      <c r="C124" s="104"/>
      <c r="D124" s="104"/>
      <c r="E124" s="104"/>
      <c r="F124" s="104"/>
      <c r="G124" s="104"/>
      <c r="H124" s="104"/>
      <c r="I124" s="104"/>
      <c r="J124" s="104"/>
    </row>
    <row r="125" spans="1:10" ht="12.75">
      <c r="A125" s="104"/>
      <c r="B125" s="104"/>
      <c r="C125" s="104"/>
      <c r="D125" s="104"/>
      <c r="E125" s="104"/>
      <c r="F125" s="104"/>
      <c r="G125" s="104"/>
      <c r="H125" s="104"/>
      <c r="I125" s="104"/>
      <c r="J125" s="104"/>
    </row>
    <row r="126" spans="1:10" ht="12.75">
      <c r="A126" s="104"/>
      <c r="B126" s="104"/>
      <c r="C126" s="104"/>
      <c r="D126" s="104"/>
      <c r="E126" s="104"/>
      <c r="F126" s="104"/>
      <c r="G126" s="104"/>
      <c r="H126" s="104"/>
      <c r="I126" s="104"/>
      <c r="J126" s="104"/>
    </row>
    <row r="127" spans="1:10" ht="12.75">
      <c r="A127" s="104"/>
      <c r="B127" s="104"/>
      <c r="C127" s="104"/>
      <c r="D127" s="104"/>
      <c r="E127" s="104"/>
      <c r="F127" s="104"/>
      <c r="G127" s="104"/>
      <c r="H127" s="104"/>
      <c r="I127" s="104"/>
      <c r="J127" s="104"/>
    </row>
    <row r="128" spans="1:10" ht="12.75">
      <c r="A128" s="104"/>
      <c r="B128" s="104"/>
      <c r="C128" s="104"/>
      <c r="D128" s="104"/>
      <c r="E128" s="104"/>
      <c r="F128" s="104"/>
      <c r="G128" s="104"/>
      <c r="H128" s="104"/>
      <c r="I128" s="104"/>
      <c r="J128" s="104"/>
    </row>
    <row r="129" spans="1:10" ht="12.75">
      <c r="A129" s="104"/>
      <c r="B129" s="104"/>
      <c r="C129" s="104"/>
      <c r="D129" s="104"/>
      <c r="E129" s="104"/>
      <c r="F129" s="104"/>
      <c r="G129" s="104"/>
      <c r="H129" s="104"/>
      <c r="I129" s="104"/>
      <c r="J129" s="104"/>
    </row>
    <row r="130" spans="1:10" ht="12.75">
      <c r="A130" s="104"/>
      <c r="B130" s="104"/>
      <c r="C130" s="104"/>
      <c r="D130" s="104"/>
      <c r="E130" s="104"/>
      <c r="F130" s="104"/>
      <c r="G130" s="104"/>
      <c r="H130" s="104"/>
      <c r="I130" s="104"/>
      <c r="J130" s="104"/>
    </row>
    <row r="131" spans="1:10" ht="12.75">
      <c r="A131" s="104"/>
      <c r="B131" s="104"/>
      <c r="C131" s="104"/>
      <c r="D131" s="104"/>
      <c r="E131" s="104"/>
      <c r="F131" s="104"/>
      <c r="G131" s="104"/>
      <c r="H131" s="104"/>
      <c r="I131" s="104"/>
      <c r="J131" s="104"/>
    </row>
    <row r="132" spans="1:10" ht="12.75">
      <c r="A132" s="104"/>
      <c r="B132" s="104"/>
      <c r="C132" s="104"/>
      <c r="D132" s="104"/>
      <c r="E132" s="104"/>
      <c r="F132" s="104"/>
      <c r="G132" s="104"/>
      <c r="H132" s="104"/>
      <c r="I132" s="104"/>
      <c r="J132" s="104"/>
    </row>
    <row r="133" spans="1:10" ht="12.75">
      <c r="A133" s="104"/>
      <c r="B133" s="104"/>
      <c r="C133" s="104"/>
      <c r="D133" s="104"/>
      <c r="E133" s="104"/>
      <c r="F133" s="104"/>
      <c r="G133" s="104"/>
      <c r="H133" s="104"/>
      <c r="I133" s="104"/>
      <c r="J133" s="104"/>
    </row>
    <row r="134" spans="1:10" ht="12.75">
      <c r="A134" s="104"/>
      <c r="B134" s="104"/>
      <c r="C134" s="104"/>
      <c r="D134" s="104"/>
      <c r="E134" s="104"/>
      <c r="F134" s="104"/>
      <c r="G134" s="104"/>
      <c r="H134" s="104"/>
      <c r="I134" s="104"/>
      <c r="J134" s="104"/>
    </row>
    <row r="135" spans="1:10" ht="12.75">
      <c r="A135" s="104"/>
      <c r="B135" s="104"/>
      <c r="C135" s="104"/>
      <c r="D135" s="104"/>
      <c r="E135" s="104"/>
      <c r="F135" s="104"/>
      <c r="G135" s="104"/>
      <c r="H135" s="104"/>
      <c r="I135" s="104"/>
      <c r="J135" s="104"/>
    </row>
    <row r="136" spans="1:10" ht="12.75">
      <c r="A136" s="104"/>
      <c r="B136" s="104"/>
      <c r="C136" s="104"/>
      <c r="D136" s="104"/>
      <c r="E136" s="104"/>
      <c r="F136" s="104"/>
      <c r="G136" s="104"/>
      <c r="H136" s="104"/>
      <c r="I136" s="104"/>
      <c r="J136" s="104"/>
    </row>
    <row r="137" spans="1:10" ht="12.75">
      <c r="A137" s="104"/>
      <c r="B137" s="104"/>
      <c r="C137" s="104"/>
      <c r="D137" s="104"/>
      <c r="E137" s="104"/>
      <c r="F137" s="104"/>
      <c r="G137" s="104"/>
      <c r="H137" s="104"/>
      <c r="I137" s="104"/>
      <c r="J137" s="104"/>
    </row>
    <row r="138" spans="1:10" ht="12.75">
      <c r="A138" s="104"/>
      <c r="B138" s="104"/>
      <c r="C138" s="104"/>
      <c r="D138" s="104"/>
      <c r="E138" s="104"/>
      <c r="F138" s="104"/>
      <c r="G138" s="104"/>
      <c r="H138" s="104"/>
      <c r="I138" s="104"/>
      <c r="J138" s="104"/>
    </row>
    <row r="139" spans="1:10" ht="12.75">
      <c r="A139" s="104"/>
      <c r="B139" s="104"/>
      <c r="C139" s="104"/>
      <c r="D139" s="104"/>
      <c r="E139" s="104"/>
      <c r="F139" s="104"/>
      <c r="G139" s="104"/>
      <c r="H139" s="104"/>
      <c r="I139" s="104"/>
      <c r="J139" s="104"/>
    </row>
    <row r="140" spans="1:10" ht="12.75">
      <c r="A140" s="104"/>
      <c r="B140" s="104"/>
      <c r="C140" s="104"/>
      <c r="D140" s="104"/>
      <c r="E140" s="104"/>
      <c r="F140" s="104"/>
      <c r="G140" s="104"/>
      <c r="H140" s="104"/>
      <c r="I140" s="104"/>
      <c r="J140" s="104"/>
    </row>
    <row r="141" spans="1:10" ht="12.75">
      <c r="A141" s="104"/>
      <c r="B141" s="104"/>
      <c r="C141" s="104"/>
      <c r="D141" s="104"/>
      <c r="E141" s="104"/>
      <c r="F141" s="104"/>
      <c r="G141" s="104"/>
      <c r="H141" s="104"/>
      <c r="I141" s="104"/>
      <c r="J141" s="104"/>
    </row>
    <row r="142" spans="1:10" ht="12.75">
      <c r="A142" s="104"/>
      <c r="B142" s="104"/>
      <c r="C142" s="104"/>
      <c r="D142" s="104"/>
      <c r="E142" s="104"/>
      <c r="F142" s="104"/>
      <c r="G142" s="104"/>
      <c r="H142" s="104"/>
      <c r="I142" s="104"/>
      <c r="J142" s="104"/>
    </row>
    <row r="143" spans="1:10" ht="12.75">
      <c r="A143" s="104"/>
      <c r="B143" s="104"/>
      <c r="C143" s="104"/>
      <c r="D143" s="104"/>
      <c r="E143" s="104"/>
      <c r="F143" s="104"/>
      <c r="G143" s="104"/>
      <c r="H143" s="104"/>
      <c r="I143" s="104"/>
      <c r="J143" s="104"/>
    </row>
    <row r="144" spans="1:10" ht="12.75">
      <c r="A144" s="104"/>
      <c r="B144" s="104"/>
      <c r="C144" s="104"/>
      <c r="D144" s="104"/>
      <c r="E144" s="104"/>
      <c r="F144" s="104"/>
      <c r="G144" s="104"/>
      <c r="H144" s="104"/>
      <c r="I144" s="104"/>
      <c r="J144" s="104"/>
    </row>
    <row r="145" spans="1:10" ht="12.75">
      <c r="A145" s="104"/>
      <c r="B145" s="104"/>
      <c r="C145" s="104"/>
      <c r="D145" s="104"/>
      <c r="E145" s="104"/>
      <c r="F145" s="104"/>
      <c r="G145" s="104"/>
      <c r="H145" s="104"/>
      <c r="I145" s="104"/>
      <c r="J145" s="104"/>
    </row>
    <row r="146" spans="1:10" ht="12.75">
      <c r="A146" s="104"/>
      <c r="B146" s="104"/>
      <c r="C146" s="104"/>
      <c r="D146" s="104"/>
      <c r="E146" s="104"/>
      <c r="F146" s="104"/>
      <c r="G146" s="104"/>
      <c r="H146" s="104"/>
      <c r="I146" s="104"/>
      <c r="J146" s="104"/>
    </row>
    <row r="147" spans="1:10" ht="12.75">
      <c r="A147" s="104"/>
      <c r="B147" s="104"/>
      <c r="C147" s="104"/>
      <c r="D147" s="104"/>
      <c r="E147" s="104"/>
      <c r="F147" s="104"/>
      <c r="G147" s="104"/>
      <c r="H147" s="104"/>
      <c r="I147" s="104"/>
      <c r="J147" s="104"/>
    </row>
    <row r="148" spans="1:10" ht="12.75">
      <c r="A148" s="104"/>
      <c r="B148" s="104"/>
      <c r="C148" s="104"/>
      <c r="D148" s="104"/>
      <c r="E148" s="104"/>
      <c r="F148" s="104"/>
      <c r="G148" s="104"/>
      <c r="H148" s="104"/>
      <c r="I148" s="104"/>
      <c r="J148" s="104"/>
    </row>
    <row r="149" spans="1:10" ht="12.75">
      <c r="A149" s="104"/>
      <c r="B149" s="104"/>
      <c r="C149" s="104"/>
      <c r="D149" s="104"/>
      <c r="E149" s="104"/>
      <c r="F149" s="104"/>
      <c r="G149" s="104"/>
      <c r="H149" s="104"/>
      <c r="I149" s="104"/>
      <c r="J149" s="104"/>
    </row>
    <row r="150" spans="1:10" ht="12.75">
      <c r="A150" s="104"/>
      <c r="B150" s="104"/>
      <c r="C150" s="104"/>
      <c r="D150" s="104"/>
      <c r="E150" s="104"/>
      <c r="F150" s="104"/>
      <c r="G150" s="104"/>
      <c r="H150" s="104"/>
      <c r="I150" s="104"/>
      <c r="J150" s="104"/>
    </row>
    <row r="151" spans="1:10" ht="12.75">
      <c r="A151" s="104"/>
      <c r="B151" s="104"/>
      <c r="C151" s="104"/>
      <c r="D151" s="104"/>
      <c r="E151" s="104"/>
      <c r="F151" s="104"/>
      <c r="G151" s="104"/>
      <c r="H151" s="104"/>
      <c r="I151" s="104"/>
      <c r="J151" s="104"/>
    </row>
    <row r="152" spans="1:10" ht="12.75">
      <c r="A152" s="104"/>
      <c r="B152" s="104"/>
      <c r="C152" s="104"/>
      <c r="D152" s="104"/>
      <c r="E152" s="104"/>
      <c r="F152" s="104"/>
      <c r="G152" s="104"/>
      <c r="H152" s="104"/>
      <c r="I152" s="104"/>
      <c r="J152" s="104"/>
    </row>
    <row r="153" spans="1:10" ht="12.75">
      <c r="A153" s="104"/>
      <c r="B153" s="104"/>
      <c r="C153" s="104"/>
      <c r="D153" s="104"/>
      <c r="E153" s="104"/>
      <c r="F153" s="104"/>
      <c r="G153" s="104"/>
      <c r="H153" s="104"/>
      <c r="I153" s="104"/>
      <c r="J153" s="104"/>
    </row>
    <row r="154" spans="1:10" ht="12.75">
      <c r="A154" s="104"/>
      <c r="B154" s="104"/>
      <c r="C154" s="104"/>
      <c r="D154" s="104"/>
      <c r="E154" s="104"/>
      <c r="F154" s="104"/>
      <c r="G154" s="104"/>
      <c r="H154" s="104"/>
      <c r="I154" s="104"/>
      <c r="J154" s="104"/>
    </row>
    <row r="155" spans="1:10" ht="12.75">
      <c r="A155" s="104"/>
      <c r="B155" s="104"/>
      <c r="C155" s="104"/>
      <c r="D155" s="104"/>
      <c r="E155" s="104"/>
      <c r="F155" s="104"/>
      <c r="G155" s="104"/>
      <c r="H155" s="104"/>
      <c r="I155" s="104"/>
      <c r="J155" s="104"/>
    </row>
    <row r="156" spans="1:10" ht="12.75">
      <c r="A156" s="104"/>
      <c r="B156" s="104"/>
      <c r="C156" s="104"/>
      <c r="D156" s="104"/>
      <c r="E156" s="104"/>
      <c r="F156" s="104"/>
      <c r="G156" s="104"/>
      <c r="H156" s="104"/>
      <c r="I156" s="104"/>
      <c r="J156" s="104"/>
    </row>
    <row r="157" spans="1:10" ht="12.75">
      <c r="A157" s="104"/>
      <c r="B157" s="104"/>
      <c r="C157" s="104"/>
      <c r="D157" s="104"/>
      <c r="E157" s="104"/>
      <c r="F157" s="104"/>
      <c r="G157" s="104"/>
      <c r="H157" s="104"/>
      <c r="I157" s="104"/>
      <c r="J157" s="104"/>
    </row>
    <row r="158" spans="1:10" ht="12.75">
      <c r="A158" s="104"/>
      <c r="B158" s="104"/>
      <c r="C158" s="104"/>
      <c r="D158" s="104"/>
      <c r="E158" s="104"/>
      <c r="F158" s="104"/>
      <c r="G158" s="104"/>
      <c r="H158" s="104"/>
      <c r="I158" s="104"/>
      <c r="J158" s="104"/>
    </row>
    <row r="159" spans="1:10" ht="12.75">
      <c r="A159" s="104"/>
      <c r="B159" s="104"/>
      <c r="C159" s="104"/>
      <c r="D159" s="104"/>
      <c r="E159" s="104"/>
      <c r="F159" s="104"/>
      <c r="G159" s="104"/>
      <c r="H159" s="104"/>
      <c r="I159" s="104"/>
      <c r="J159" s="104"/>
    </row>
    <row r="160" spans="1:10" ht="12.75">
      <c r="A160" s="104"/>
      <c r="B160" s="104"/>
      <c r="C160" s="104"/>
      <c r="D160" s="104"/>
      <c r="E160" s="104"/>
      <c r="F160" s="104"/>
      <c r="G160" s="104"/>
      <c r="H160" s="104"/>
      <c r="I160" s="104"/>
      <c r="J160" s="104"/>
    </row>
    <row r="161" spans="1:10" ht="12.75">
      <c r="A161" s="104"/>
      <c r="B161" s="104"/>
      <c r="C161" s="104"/>
      <c r="D161" s="104"/>
      <c r="E161" s="104"/>
      <c r="F161" s="104"/>
      <c r="G161" s="104"/>
      <c r="H161" s="104"/>
      <c r="I161" s="104"/>
      <c r="J161" s="104"/>
    </row>
    <row r="162" spans="1:10" ht="12.75">
      <c r="A162" s="104"/>
      <c r="B162" s="104"/>
      <c r="C162" s="104"/>
      <c r="D162" s="104"/>
      <c r="E162" s="104"/>
      <c r="F162" s="104"/>
      <c r="G162" s="104"/>
      <c r="H162" s="104"/>
      <c r="I162" s="104"/>
      <c r="J162" s="104"/>
    </row>
    <row r="163" spans="1:10" ht="12.75">
      <c r="A163" s="104"/>
      <c r="B163" s="104"/>
      <c r="C163" s="104"/>
      <c r="D163" s="104"/>
      <c r="E163" s="104"/>
      <c r="F163" s="104"/>
      <c r="G163" s="104"/>
      <c r="H163" s="104"/>
      <c r="I163" s="104"/>
      <c r="J163" s="104"/>
    </row>
    <row r="164" spans="1:10" ht="12.75">
      <c r="A164" s="104"/>
      <c r="B164" s="104"/>
      <c r="C164" s="104"/>
      <c r="D164" s="104"/>
      <c r="E164" s="104"/>
      <c r="F164" s="104"/>
      <c r="G164" s="104"/>
      <c r="H164" s="104"/>
      <c r="I164" s="104"/>
      <c r="J164" s="104"/>
    </row>
    <row r="165" spans="1:10" ht="12.75">
      <c r="A165" s="104"/>
      <c r="B165" s="104"/>
      <c r="C165" s="104"/>
      <c r="D165" s="104"/>
      <c r="E165" s="104"/>
      <c r="F165" s="104"/>
      <c r="G165" s="104"/>
      <c r="H165" s="104"/>
      <c r="I165" s="104"/>
      <c r="J165" s="104"/>
    </row>
    <row r="166" spans="1:10" ht="12.75">
      <c r="A166" s="104"/>
      <c r="B166" s="104"/>
      <c r="C166" s="104"/>
      <c r="D166" s="104"/>
      <c r="E166" s="104"/>
      <c r="F166" s="104"/>
      <c r="G166" s="104"/>
      <c r="H166" s="104"/>
      <c r="I166" s="104"/>
      <c r="J166" s="104"/>
    </row>
    <row r="167" spans="1:10" ht="12.75">
      <c r="A167" s="104"/>
      <c r="B167" s="104"/>
      <c r="C167" s="104"/>
      <c r="D167" s="104"/>
      <c r="E167" s="104"/>
      <c r="F167" s="104"/>
      <c r="G167" s="104"/>
      <c r="H167" s="104"/>
      <c r="I167" s="104"/>
      <c r="J167" s="104"/>
    </row>
    <row r="168" spans="1:10" ht="12.75">
      <c r="A168" s="104"/>
      <c r="B168" s="104"/>
      <c r="C168" s="104"/>
      <c r="D168" s="104"/>
      <c r="E168" s="104"/>
      <c r="F168" s="104"/>
      <c r="G168" s="104"/>
      <c r="H168" s="104"/>
      <c r="I168" s="104"/>
      <c r="J168" s="104"/>
    </row>
    <row r="169" spans="1:10" ht="12.75">
      <c r="A169" s="104"/>
      <c r="B169" s="104"/>
      <c r="C169" s="104"/>
      <c r="D169" s="104"/>
      <c r="E169" s="104"/>
      <c r="F169" s="104"/>
      <c r="G169" s="104"/>
      <c r="H169" s="104"/>
      <c r="I169" s="104"/>
      <c r="J169" s="104"/>
    </row>
    <row r="170" spans="1:10" ht="12.75">
      <c r="A170" s="104"/>
      <c r="B170" s="104"/>
      <c r="C170" s="104"/>
      <c r="D170" s="104"/>
      <c r="E170" s="104"/>
      <c r="F170" s="104"/>
      <c r="G170" s="104"/>
      <c r="H170" s="104"/>
      <c r="I170" s="104"/>
      <c r="J170" s="104"/>
    </row>
    <row r="171" spans="1:10" ht="12.75">
      <c r="A171" s="104"/>
      <c r="B171" s="104"/>
      <c r="C171" s="104"/>
      <c r="D171" s="104"/>
      <c r="E171" s="104"/>
      <c r="F171" s="104"/>
      <c r="G171" s="104"/>
      <c r="H171" s="104"/>
      <c r="I171" s="104"/>
      <c r="J171" s="104"/>
    </row>
    <row r="172" spans="1:10" ht="12.75">
      <c r="A172" s="104"/>
      <c r="B172" s="104"/>
      <c r="C172" s="104"/>
      <c r="D172" s="104"/>
      <c r="E172" s="104"/>
      <c r="F172" s="104"/>
      <c r="G172" s="104"/>
      <c r="H172" s="104"/>
      <c r="I172" s="104"/>
      <c r="J172" s="104"/>
    </row>
    <row r="173" spans="1:10" ht="12.75">
      <c r="A173" s="104"/>
      <c r="B173" s="104"/>
      <c r="C173" s="104"/>
      <c r="D173" s="104"/>
      <c r="E173" s="104"/>
      <c r="F173" s="104"/>
      <c r="G173" s="104"/>
      <c r="H173" s="104"/>
      <c r="I173" s="104"/>
      <c r="J173" s="104"/>
    </row>
    <row r="174" spans="1:10" ht="12.75">
      <c r="A174" s="104"/>
      <c r="B174" s="104"/>
      <c r="C174" s="104"/>
      <c r="D174" s="104"/>
      <c r="E174" s="104"/>
      <c r="F174" s="104"/>
      <c r="G174" s="104"/>
      <c r="H174" s="104"/>
      <c r="I174" s="104"/>
      <c r="J174" s="104"/>
    </row>
    <row r="175" spans="1:10" ht="12.75">
      <c r="A175" s="104"/>
      <c r="B175" s="104"/>
      <c r="C175" s="104"/>
      <c r="D175" s="104"/>
      <c r="E175" s="104"/>
      <c r="F175" s="104"/>
      <c r="G175" s="104"/>
      <c r="H175" s="104"/>
      <c r="I175" s="104"/>
      <c r="J175" s="104"/>
    </row>
    <row r="176" spans="1:10" ht="12.75">
      <c r="A176" s="104"/>
      <c r="B176" s="104"/>
      <c r="C176" s="104"/>
      <c r="D176" s="104"/>
      <c r="E176" s="104"/>
      <c r="F176" s="104"/>
      <c r="G176" s="104"/>
      <c r="H176" s="104"/>
      <c r="I176" s="104"/>
      <c r="J176" s="104"/>
    </row>
    <row r="177" spans="1:10" ht="12.75">
      <c r="A177" s="104"/>
      <c r="B177" s="104"/>
      <c r="C177" s="104"/>
      <c r="D177" s="104"/>
      <c r="E177" s="104"/>
      <c r="F177" s="104"/>
      <c r="G177" s="104"/>
      <c r="H177" s="104"/>
      <c r="I177" s="104"/>
      <c r="J177" s="104"/>
    </row>
    <row r="178" spans="1:10" ht="12.75">
      <c r="A178" s="104"/>
      <c r="B178" s="104"/>
      <c r="C178" s="104"/>
      <c r="D178" s="104"/>
      <c r="E178" s="104"/>
      <c r="F178" s="104"/>
      <c r="G178" s="104"/>
      <c r="H178" s="104"/>
      <c r="I178" s="104"/>
      <c r="J178" s="104"/>
    </row>
    <row r="179" spans="1:10" ht="12.75">
      <c r="A179" s="104"/>
      <c r="B179" s="104"/>
      <c r="C179" s="104"/>
      <c r="D179" s="104"/>
      <c r="E179" s="104"/>
      <c r="F179" s="104"/>
      <c r="G179" s="104"/>
      <c r="H179" s="104"/>
      <c r="I179" s="104"/>
      <c r="J179" s="104"/>
    </row>
    <row r="180" spans="1:10" ht="12.75">
      <c r="A180" s="104"/>
      <c r="B180" s="104"/>
      <c r="C180" s="104"/>
      <c r="D180" s="104"/>
      <c r="E180" s="104"/>
      <c r="F180" s="104"/>
      <c r="G180" s="104"/>
      <c r="H180" s="104"/>
      <c r="I180" s="104"/>
      <c r="J180" s="104"/>
    </row>
    <row r="181" spans="1:10" ht="12.75">
      <c r="A181" s="104"/>
      <c r="B181" s="104"/>
      <c r="C181" s="104"/>
      <c r="D181" s="104"/>
      <c r="E181" s="104"/>
      <c r="F181" s="104"/>
      <c r="G181" s="104"/>
      <c r="H181" s="104"/>
      <c r="I181" s="104"/>
      <c r="J181" s="104"/>
    </row>
    <row r="182" spans="1:10" ht="12.75">
      <c r="A182" s="104"/>
      <c r="B182" s="104"/>
      <c r="C182" s="104"/>
      <c r="D182" s="104"/>
      <c r="E182" s="104"/>
      <c r="F182" s="104"/>
      <c r="G182" s="104"/>
      <c r="H182" s="104"/>
      <c r="I182" s="104"/>
      <c r="J182" s="104"/>
    </row>
    <row r="183" spans="1:10" ht="12.75">
      <c r="A183" s="104"/>
      <c r="B183" s="104"/>
      <c r="C183" s="104"/>
      <c r="D183" s="104"/>
      <c r="E183" s="104"/>
      <c r="F183" s="104"/>
      <c r="G183" s="104"/>
      <c r="H183" s="104"/>
      <c r="I183" s="104"/>
      <c r="J183" s="104"/>
    </row>
    <row r="184" spans="1:10" ht="12.75">
      <c r="A184" s="104"/>
      <c r="B184" s="104"/>
      <c r="C184" s="104"/>
      <c r="D184" s="104"/>
      <c r="E184" s="104"/>
      <c r="F184" s="104"/>
      <c r="G184" s="104"/>
      <c r="H184" s="104"/>
      <c r="I184" s="104"/>
      <c r="J184" s="104"/>
    </row>
    <row r="185" spans="1:10" ht="12.75">
      <c r="A185" s="104"/>
      <c r="B185" s="104"/>
      <c r="C185" s="104"/>
      <c r="D185" s="104"/>
      <c r="E185" s="104"/>
      <c r="F185" s="104"/>
      <c r="G185" s="104"/>
      <c r="H185" s="104"/>
      <c r="I185" s="104"/>
      <c r="J185" s="104"/>
    </row>
    <row r="186" spans="1:10" ht="12.75">
      <c r="A186" s="104"/>
      <c r="B186" s="104"/>
      <c r="C186" s="104"/>
      <c r="D186" s="104"/>
      <c r="E186" s="104"/>
      <c r="F186" s="104"/>
      <c r="G186" s="104"/>
      <c r="H186" s="104"/>
      <c r="I186" s="104"/>
      <c r="J186" s="104"/>
    </row>
    <row r="187" spans="1:10" ht="12.75">
      <c r="A187" s="104"/>
      <c r="B187" s="104"/>
      <c r="C187" s="104"/>
      <c r="D187" s="104"/>
      <c r="E187" s="104"/>
      <c r="F187" s="104"/>
      <c r="G187" s="104"/>
      <c r="H187" s="104"/>
      <c r="I187" s="104"/>
      <c r="J187" s="104"/>
    </row>
    <row r="188" spans="1:10" ht="12.75">
      <c r="A188" s="104"/>
      <c r="B188" s="104"/>
      <c r="C188" s="104"/>
      <c r="D188" s="104"/>
      <c r="E188" s="104"/>
      <c r="F188" s="104"/>
      <c r="G188" s="104"/>
      <c r="H188" s="104"/>
      <c r="I188" s="104"/>
      <c r="J188" s="104"/>
    </row>
    <row r="189" spans="1:10" ht="12.75">
      <c r="A189" s="104"/>
      <c r="B189" s="104"/>
      <c r="C189" s="104"/>
      <c r="D189" s="104"/>
      <c r="E189" s="104"/>
      <c r="F189" s="104"/>
      <c r="G189" s="104"/>
      <c r="H189" s="104"/>
      <c r="I189" s="104"/>
      <c r="J189" s="104"/>
    </row>
    <row r="190" spans="1:10" ht="12.75">
      <c r="A190" s="104"/>
      <c r="B190" s="104"/>
      <c r="C190" s="104"/>
      <c r="D190" s="104"/>
      <c r="E190" s="104"/>
      <c r="F190" s="104"/>
      <c r="G190" s="104"/>
      <c r="H190" s="104"/>
      <c r="I190" s="104"/>
      <c r="J190" s="104"/>
    </row>
    <row r="191" spans="1:10" ht="12.75">
      <c r="A191" s="104"/>
      <c r="B191" s="104"/>
      <c r="C191" s="104"/>
      <c r="D191" s="104"/>
      <c r="E191" s="104"/>
      <c r="F191" s="104"/>
      <c r="G191" s="104"/>
      <c r="H191" s="104"/>
      <c r="I191" s="104"/>
      <c r="J191" s="104"/>
    </row>
    <row r="192" spans="1:10" ht="12.75">
      <c r="A192" s="104"/>
      <c r="B192" s="104"/>
      <c r="C192" s="104"/>
      <c r="D192" s="104"/>
      <c r="E192" s="104"/>
      <c r="F192" s="104"/>
      <c r="G192" s="104"/>
      <c r="H192" s="104"/>
      <c r="I192" s="104"/>
      <c r="J192" s="104"/>
    </row>
    <row r="193" spans="1:10" ht="12.75">
      <c r="A193" s="104"/>
      <c r="B193" s="104"/>
      <c r="C193" s="104"/>
      <c r="D193" s="104"/>
      <c r="E193" s="104"/>
      <c r="F193" s="104"/>
      <c r="G193" s="104"/>
      <c r="H193" s="104"/>
      <c r="I193" s="104"/>
      <c r="J193" s="104"/>
    </row>
    <row r="194" spans="1:10" ht="12.75">
      <c r="A194" s="104"/>
      <c r="B194" s="104"/>
      <c r="C194" s="104"/>
      <c r="D194" s="104"/>
      <c r="E194" s="104"/>
      <c r="F194" s="104"/>
      <c r="G194" s="104"/>
      <c r="H194" s="104"/>
      <c r="I194" s="104"/>
      <c r="J194" s="104"/>
    </row>
    <row r="195" spans="1:10" ht="12.75">
      <c r="A195" s="104"/>
      <c r="B195" s="104"/>
      <c r="C195" s="104"/>
      <c r="D195" s="104"/>
      <c r="E195" s="104"/>
      <c r="F195" s="104"/>
      <c r="G195" s="104"/>
      <c r="H195" s="104"/>
      <c r="I195" s="104"/>
      <c r="J195" s="104"/>
    </row>
    <row r="196" spans="1:10" ht="12.75">
      <c r="A196" s="104"/>
      <c r="B196" s="104"/>
      <c r="C196" s="104"/>
      <c r="D196" s="104"/>
      <c r="E196" s="104"/>
      <c r="F196" s="104"/>
      <c r="G196" s="104"/>
      <c r="H196" s="104"/>
      <c r="I196" s="104"/>
      <c r="J196" s="104"/>
    </row>
    <row r="197" spans="1:10" ht="12.75">
      <c r="A197" s="104"/>
      <c r="B197" s="104"/>
      <c r="C197" s="104"/>
      <c r="D197" s="104"/>
      <c r="E197" s="104"/>
      <c r="F197" s="104"/>
      <c r="G197" s="104"/>
      <c r="H197" s="104"/>
      <c r="I197" s="104"/>
      <c r="J197" s="104"/>
    </row>
    <row r="198" spans="1:10" ht="12.75">
      <c r="A198" s="104"/>
      <c r="B198" s="104"/>
      <c r="C198" s="104"/>
      <c r="D198" s="104"/>
      <c r="E198" s="104"/>
      <c r="F198" s="104"/>
      <c r="G198" s="104"/>
      <c r="H198" s="104"/>
      <c r="I198" s="104"/>
      <c r="J198" s="104"/>
    </row>
    <row r="199" spans="1:10" ht="12.75">
      <c r="A199" s="104"/>
      <c r="B199" s="104"/>
      <c r="C199" s="104"/>
      <c r="D199" s="104"/>
      <c r="E199" s="104"/>
      <c r="F199" s="104"/>
      <c r="G199" s="104"/>
      <c r="H199" s="104"/>
      <c r="I199" s="104"/>
      <c r="J199" s="104"/>
    </row>
    <row r="200" spans="1:10" ht="12.75">
      <c r="A200" s="104"/>
      <c r="B200" s="104"/>
      <c r="C200" s="104"/>
      <c r="D200" s="104"/>
      <c r="E200" s="104"/>
      <c r="F200" s="104"/>
      <c r="G200" s="104"/>
      <c r="H200" s="104"/>
      <c r="I200" s="104"/>
      <c r="J200" s="104"/>
    </row>
    <row r="201" spans="1:10" ht="12.75">
      <c r="A201" s="104"/>
      <c r="B201" s="104"/>
      <c r="C201" s="104"/>
      <c r="D201" s="104"/>
      <c r="E201" s="104"/>
      <c r="F201" s="104"/>
      <c r="G201" s="104"/>
      <c r="H201" s="104"/>
      <c r="I201" s="104"/>
      <c r="J201" s="104"/>
    </row>
    <row r="202" spans="1:10" ht="12.75">
      <c r="A202" s="104"/>
      <c r="B202" s="104"/>
      <c r="C202" s="104"/>
      <c r="D202" s="104"/>
      <c r="E202" s="104"/>
      <c r="F202" s="104"/>
      <c r="G202" s="104"/>
      <c r="H202" s="104"/>
      <c r="I202" s="104"/>
      <c r="J202" s="104"/>
    </row>
    <row r="203" spans="1:10" ht="12.75">
      <c r="A203" s="104"/>
      <c r="B203" s="104"/>
      <c r="C203" s="104"/>
      <c r="D203" s="104"/>
      <c r="E203" s="104"/>
      <c r="F203" s="104"/>
      <c r="G203" s="104"/>
      <c r="H203" s="104"/>
      <c r="I203" s="104"/>
      <c r="J203" s="104"/>
    </row>
    <row r="204" spans="1:10" ht="12.75">
      <c r="A204" s="104"/>
      <c r="B204" s="104"/>
      <c r="C204" s="104"/>
      <c r="D204" s="104"/>
      <c r="E204" s="104"/>
      <c r="F204" s="104"/>
      <c r="G204" s="104"/>
      <c r="H204" s="104"/>
      <c r="I204" s="104"/>
      <c r="J204" s="104"/>
    </row>
    <row r="205" spans="1:10" ht="12.75">
      <c r="A205" s="104"/>
      <c r="B205" s="104"/>
      <c r="C205" s="104"/>
      <c r="D205" s="104"/>
      <c r="E205" s="104"/>
      <c r="F205" s="104"/>
      <c r="G205" s="104"/>
      <c r="H205" s="104"/>
      <c r="I205" s="104"/>
      <c r="J205" s="104"/>
    </row>
    <row r="206" spans="1:10" ht="12.75">
      <c r="A206" s="104"/>
      <c r="B206" s="104"/>
      <c r="C206" s="104"/>
      <c r="D206" s="104"/>
      <c r="E206" s="104"/>
      <c r="F206" s="104"/>
      <c r="G206" s="104"/>
      <c r="H206" s="104"/>
      <c r="I206" s="104"/>
      <c r="J206" s="104"/>
    </row>
    <row r="207" spans="1:10" ht="12.75">
      <c r="A207" s="104"/>
      <c r="B207" s="104"/>
      <c r="C207" s="104"/>
      <c r="D207" s="104"/>
      <c r="E207" s="104"/>
      <c r="F207" s="104"/>
      <c r="G207" s="104"/>
      <c r="H207" s="104"/>
      <c r="I207" s="104"/>
      <c r="J207" s="104"/>
    </row>
    <row r="208" spans="1:10" ht="12.75">
      <c r="A208" s="104"/>
      <c r="B208" s="104"/>
      <c r="C208" s="104"/>
      <c r="D208" s="104"/>
      <c r="E208" s="104"/>
      <c r="F208" s="104"/>
      <c r="G208" s="104"/>
      <c r="H208" s="104"/>
      <c r="I208" s="104"/>
      <c r="J208" s="104"/>
    </row>
    <row r="209" spans="1:10" ht="12.75">
      <c r="A209" s="104"/>
      <c r="B209" s="104"/>
      <c r="C209" s="104"/>
      <c r="D209" s="104"/>
      <c r="E209" s="104"/>
      <c r="F209" s="104"/>
      <c r="G209" s="104"/>
      <c r="H209" s="104"/>
      <c r="I209" s="104"/>
      <c r="J209" s="104"/>
    </row>
    <row r="210" spans="1:10" ht="12.75">
      <c r="A210" s="104"/>
      <c r="B210" s="104"/>
      <c r="C210" s="104"/>
      <c r="D210" s="104"/>
      <c r="E210" s="104"/>
      <c r="F210" s="104"/>
      <c r="G210" s="104"/>
      <c r="H210" s="104"/>
      <c r="I210" s="104"/>
      <c r="J210" s="104"/>
    </row>
    <row r="211" spans="1:10" ht="12.75">
      <c r="A211" s="104"/>
      <c r="B211" s="104"/>
      <c r="C211" s="104"/>
      <c r="D211" s="104"/>
      <c r="E211" s="104"/>
      <c r="F211" s="104"/>
      <c r="G211" s="104"/>
      <c r="H211" s="104"/>
      <c r="I211" s="104"/>
      <c r="J211" s="104"/>
    </row>
    <row r="212" spans="1:10" ht="12.75">
      <c r="A212" s="104"/>
      <c r="B212" s="104"/>
      <c r="C212" s="104"/>
      <c r="D212" s="104"/>
      <c r="E212" s="104"/>
      <c r="F212" s="104"/>
      <c r="G212" s="104"/>
      <c r="H212" s="104"/>
      <c r="I212" s="104"/>
      <c r="J212" s="104"/>
    </row>
    <row r="213" spans="1:10" ht="12.75">
      <c r="A213" s="104"/>
      <c r="B213" s="104"/>
      <c r="C213" s="104"/>
      <c r="D213" s="104"/>
      <c r="E213" s="104"/>
      <c r="F213" s="104"/>
      <c r="G213" s="104"/>
      <c r="H213" s="104"/>
      <c r="I213" s="104"/>
      <c r="J213" s="104"/>
    </row>
    <row r="214" spans="1:10" ht="12.75">
      <c r="A214" s="104"/>
      <c r="B214" s="104"/>
      <c r="C214" s="104"/>
      <c r="D214" s="104"/>
      <c r="E214" s="104"/>
      <c r="F214" s="104"/>
      <c r="G214" s="104"/>
      <c r="H214" s="104"/>
      <c r="I214" s="104"/>
      <c r="J214" s="104"/>
    </row>
    <row r="215" spans="1:10" ht="12.75">
      <c r="A215" s="104"/>
      <c r="B215" s="104"/>
      <c r="C215" s="104"/>
      <c r="D215" s="104"/>
      <c r="E215" s="104"/>
      <c r="F215" s="104"/>
      <c r="G215" s="104"/>
      <c r="H215" s="104"/>
      <c r="I215" s="104"/>
      <c r="J215" s="104"/>
    </row>
    <row r="216" spans="1:10" ht="12.75">
      <c r="A216" s="104"/>
      <c r="B216" s="104"/>
      <c r="C216" s="104"/>
      <c r="D216" s="104"/>
      <c r="E216" s="104"/>
      <c r="F216" s="104"/>
      <c r="G216" s="104"/>
      <c r="H216" s="104"/>
      <c r="I216" s="104"/>
      <c r="J216" s="104"/>
    </row>
    <row r="217" spans="1:10" ht="12.75">
      <c r="A217" s="104"/>
      <c r="B217" s="104"/>
      <c r="C217" s="104"/>
      <c r="D217" s="104"/>
      <c r="E217" s="104"/>
      <c r="F217" s="104"/>
      <c r="G217" s="104"/>
      <c r="H217" s="104"/>
      <c r="I217" s="104"/>
      <c r="J217" s="104"/>
    </row>
    <row r="218" spans="1:10" ht="12.75">
      <c r="A218" s="104"/>
      <c r="B218" s="104"/>
      <c r="C218" s="104"/>
      <c r="D218" s="104"/>
      <c r="E218" s="104"/>
      <c r="F218" s="104"/>
      <c r="G218" s="104"/>
      <c r="H218" s="104"/>
      <c r="I218" s="104"/>
      <c r="J218" s="104"/>
    </row>
    <row r="219" spans="1:10" ht="12.75">
      <c r="A219" s="104"/>
      <c r="B219" s="104"/>
      <c r="C219" s="104"/>
      <c r="D219" s="104"/>
      <c r="E219" s="104"/>
      <c r="F219" s="104"/>
      <c r="G219" s="104"/>
      <c r="H219" s="104"/>
      <c r="I219" s="104"/>
      <c r="J219" s="104"/>
    </row>
    <row r="220" spans="1:10" ht="12.75">
      <c r="A220" s="104"/>
      <c r="B220" s="104"/>
      <c r="C220" s="104"/>
      <c r="D220" s="104"/>
      <c r="E220" s="104"/>
      <c r="F220" s="104"/>
      <c r="G220" s="104"/>
      <c r="H220" s="104"/>
      <c r="I220" s="104"/>
      <c r="J220" s="104"/>
    </row>
    <row r="221" spans="1:10" ht="12.75">
      <c r="A221" s="104"/>
      <c r="B221" s="104"/>
      <c r="C221" s="104"/>
      <c r="D221" s="104"/>
      <c r="E221" s="104"/>
      <c r="F221" s="104"/>
      <c r="G221" s="104"/>
      <c r="H221" s="104"/>
      <c r="I221" s="104"/>
      <c r="J221" s="104"/>
    </row>
    <row r="222" spans="1:10" ht="12.75">
      <c r="A222" s="104"/>
      <c r="B222" s="104"/>
      <c r="C222" s="104"/>
      <c r="D222" s="104"/>
      <c r="E222" s="104"/>
      <c r="F222" s="104"/>
      <c r="G222" s="104"/>
      <c r="H222" s="104"/>
      <c r="I222" s="104"/>
      <c r="J222" s="104"/>
    </row>
    <row r="223" spans="1:10" ht="12.75">
      <c r="A223" s="104"/>
      <c r="B223" s="104"/>
      <c r="C223" s="104"/>
      <c r="D223" s="104"/>
      <c r="E223" s="104"/>
      <c r="F223" s="104"/>
      <c r="G223" s="104"/>
      <c r="H223" s="104"/>
      <c r="I223" s="104"/>
      <c r="J223" s="104"/>
    </row>
    <row r="224" spans="1:10" ht="12.75">
      <c r="A224" s="104"/>
      <c r="B224" s="104"/>
      <c r="C224" s="104"/>
      <c r="D224" s="104"/>
      <c r="E224" s="104"/>
      <c r="F224" s="104"/>
      <c r="G224" s="104"/>
      <c r="H224" s="104"/>
      <c r="I224" s="104"/>
      <c r="J224" s="104"/>
    </row>
    <row r="225" spans="1:10" ht="12.75">
      <c r="A225" s="104"/>
      <c r="B225" s="104"/>
      <c r="C225" s="104"/>
      <c r="D225" s="104"/>
      <c r="E225" s="104"/>
      <c r="F225" s="104"/>
      <c r="G225" s="104"/>
      <c r="H225" s="104"/>
      <c r="I225" s="104"/>
      <c r="J225" s="104"/>
    </row>
    <row r="226" spans="1:10" ht="12.75">
      <c r="A226" s="104"/>
      <c r="B226" s="104"/>
      <c r="C226" s="104"/>
      <c r="D226" s="104"/>
      <c r="E226" s="104"/>
      <c r="F226" s="104"/>
      <c r="G226" s="104"/>
      <c r="H226" s="104"/>
      <c r="I226" s="104"/>
      <c r="J226" s="104"/>
    </row>
    <row r="227" spans="1:10" ht="12.75">
      <c r="A227" s="104"/>
      <c r="B227" s="104"/>
      <c r="C227" s="104"/>
      <c r="D227" s="104"/>
      <c r="E227" s="104"/>
      <c r="F227" s="104"/>
      <c r="G227" s="104"/>
      <c r="H227" s="104"/>
      <c r="I227" s="104"/>
      <c r="J227" s="104"/>
    </row>
    <row r="228" spans="1:10" ht="12.75">
      <c r="A228" s="104"/>
      <c r="B228" s="104"/>
      <c r="C228" s="104"/>
      <c r="D228" s="104"/>
      <c r="E228" s="104"/>
      <c r="F228" s="104"/>
      <c r="G228" s="104"/>
      <c r="H228" s="104"/>
      <c r="I228" s="104"/>
      <c r="J228" s="104"/>
    </row>
    <row r="229" spans="1:10" ht="12.75">
      <c r="A229" s="104"/>
      <c r="B229" s="104"/>
      <c r="C229" s="104"/>
      <c r="D229" s="104"/>
      <c r="E229" s="104"/>
      <c r="F229" s="104"/>
      <c r="G229" s="104"/>
      <c r="H229" s="104"/>
      <c r="I229" s="104"/>
      <c r="J229" s="104"/>
    </row>
    <row r="230" spans="1:10" ht="12.75">
      <c r="A230" s="104"/>
      <c r="B230" s="104"/>
      <c r="C230" s="104"/>
      <c r="D230" s="104"/>
      <c r="E230" s="104"/>
      <c r="F230" s="104"/>
      <c r="G230" s="104"/>
      <c r="H230" s="104"/>
      <c r="I230" s="104"/>
      <c r="J230" s="104"/>
    </row>
    <row r="231" spans="1:10" ht="12.75">
      <c r="A231" s="104"/>
      <c r="B231" s="104"/>
      <c r="C231" s="104"/>
      <c r="D231" s="104"/>
      <c r="E231" s="104"/>
      <c r="F231" s="104"/>
      <c r="G231" s="104"/>
      <c r="H231" s="104"/>
      <c r="I231" s="104"/>
      <c r="J231" s="104"/>
    </row>
    <row r="232" spans="1:10" ht="12.75">
      <c r="A232" s="104"/>
      <c r="B232" s="104"/>
      <c r="C232" s="104"/>
      <c r="D232" s="104"/>
      <c r="E232" s="104"/>
      <c r="F232" s="104"/>
      <c r="G232" s="104"/>
      <c r="H232" s="104"/>
      <c r="I232" s="104"/>
      <c r="J232" s="104"/>
    </row>
    <row r="233" spans="1:10" ht="12.75">
      <c r="A233" s="104"/>
      <c r="B233" s="104"/>
      <c r="C233" s="104"/>
      <c r="D233" s="104"/>
      <c r="E233" s="104"/>
      <c r="F233" s="104"/>
      <c r="G233" s="104"/>
      <c r="H233" s="104"/>
      <c r="I233" s="104"/>
      <c r="J233" s="104"/>
    </row>
    <row r="234" spans="1:10" ht="12.75">
      <c r="A234" s="104"/>
      <c r="B234" s="104"/>
      <c r="C234" s="104"/>
      <c r="D234" s="104"/>
      <c r="E234" s="104"/>
      <c r="F234" s="104"/>
      <c r="G234" s="104"/>
      <c r="H234" s="104"/>
      <c r="I234" s="104"/>
      <c r="J234" s="104"/>
    </row>
    <row r="235" spans="1:10" ht="12.75">
      <c r="A235" s="104"/>
      <c r="B235" s="104"/>
      <c r="C235" s="104"/>
      <c r="D235" s="104"/>
      <c r="E235" s="104"/>
      <c r="F235" s="104"/>
      <c r="G235" s="104"/>
      <c r="H235" s="104"/>
      <c r="I235" s="104"/>
      <c r="J235" s="104"/>
    </row>
    <row r="236" spans="1:10" ht="12.75">
      <c r="A236" s="104"/>
      <c r="B236" s="104"/>
      <c r="C236" s="104"/>
      <c r="D236" s="104"/>
      <c r="E236" s="104"/>
      <c r="F236" s="104"/>
      <c r="G236" s="104"/>
      <c r="H236" s="104"/>
      <c r="I236" s="104"/>
      <c r="J236" s="104"/>
    </row>
    <row r="237" spans="1:10" ht="12.75">
      <c r="A237" s="104"/>
      <c r="B237" s="104"/>
      <c r="C237" s="104"/>
      <c r="D237" s="104"/>
      <c r="E237" s="104"/>
      <c r="F237" s="104"/>
      <c r="G237" s="104"/>
      <c r="H237" s="104"/>
      <c r="I237" s="104"/>
      <c r="J237" s="104"/>
    </row>
    <row r="238" spans="1:10" ht="12.75">
      <c r="A238" s="104"/>
      <c r="B238" s="104"/>
      <c r="C238" s="104"/>
      <c r="D238" s="104"/>
      <c r="E238" s="104"/>
      <c r="F238" s="104"/>
      <c r="G238" s="104"/>
      <c r="H238" s="104"/>
      <c r="I238" s="104"/>
      <c r="J238" s="104"/>
    </row>
    <row r="239" spans="1:10" ht="12.75">
      <c r="A239" s="104"/>
      <c r="B239" s="104"/>
      <c r="C239" s="104"/>
      <c r="D239" s="104"/>
      <c r="E239" s="104"/>
      <c r="F239" s="104"/>
      <c r="G239" s="104"/>
      <c r="H239" s="104"/>
      <c r="I239" s="104"/>
      <c r="J239" s="104"/>
    </row>
    <row r="240" spans="1:10" ht="12.75">
      <c r="A240" s="104"/>
      <c r="B240" s="104"/>
      <c r="C240" s="104"/>
      <c r="D240" s="104"/>
      <c r="E240" s="104"/>
      <c r="F240" s="104"/>
      <c r="G240" s="104"/>
      <c r="H240" s="104"/>
      <c r="I240" s="104"/>
      <c r="J240" s="104"/>
    </row>
    <row r="241" spans="1:10" ht="12.75">
      <c r="A241" s="104"/>
      <c r="B241" s="104"/>
      <c r="C241" s="104"/>
      <c r="D241" s="104"/>
      <c r="E241" s="104"/>
      <c r="F241" s="104"/>
      <c r="G241" s="104"/>
      <c r="H241" s="104"/>
      <c r="I241" s="104"/>
      <c r="J241" s="104"/>
    </row>
    <row r="242" spans="1:10" ht="12.75">
      <c r="A242" s="104"/>
      <c r="B242" s="104"/>
      <c r="C242" s="104"/>
      <c r="D242" s="104"/>
      <c r="E242" s="104"/>
      <c r="F242" s="104"/>
      <c r="G242" s="104"/>
      <c r="H242" s="104"/>
      <c r="I242" s="104"/>
      <c r="J242" s="104"/>
    </row>
    <row r="243" spans="1:10" ht="12.75">
      <c r="A243" s="104"/>
      <c r="B243" s="104"/>
      <c r="C243" s="104"/>
      <c r="D243" s="104"/>
      <c r="E243" s="104"/>
      <c r="F243" s="104"/>
      <c r="G243" s="104"/>
      <c r="H243" s="104"/>
      <c r="I243" s="104"/>
      <c r="J243" s="104"/>
    </row>
    <row r="244" spans="1:10" ht="12.75">
      <c r="A244" s="104"/>
      <c r="B244" s="104"/>
      <c r="C244" s="104"/>
      <c r="D244" s="104"/>
      <c r="E244" s="104"/>
      <c r="F244" s="104"/>
      <c r="G244" s="104"/>
      <c r="H244" s="104"/>
      <c r="I244" s="104"/>
      <c r="J244" s="104"/>
    </row>
    <row r="245" spans="1:10" ht="12.75">
      <c r="A245" s="104"/>
      <c r="B245" s="104"/>
      <c r="C245" s="104"/>
      <c r="D245" s="104"/>
      <c r="E245" s="104"/>
      <c r="F245" s="104"/>
      <c r="G245" s="104"/>
      <c r="H245" s="104"/>
      <c r="I245" s="104"/>
      <c r="J245" s="104"/>
    </row>
    <row r="246" spans="1:10" ht="12.75">
      <c r="A246" s="104"/>
      <c r="B246" s="104"/>
      <c r="C246" s="104"/>
      <c r="D246" s="104"/>
      <c r="E246" s="104"/>
      <c r="F246" s="104"/>
      <c r="G246" s="104"/>
      <c r="H246" s="104"/>
      <c r="I246" s="104"/>
      <c r="J246" s="104"/>
    </row>
    <row r="247" spans="1:10" ht="12.75">
      <c r="A247" s="104"/>
      <c r="B247" s="104"/>
      <c r="C247" s="104"/>
      <c r="D247" s="104"/>
      <c r="E247" s="104"/>
      <c r="F247" s="104"/>
      <c r="G247" s="104"/>
      <c r="H247" s="104"/>
      <c r="I247" s="104"/>
      <c r="J247" s="104"/>
    </row>
    <row r="248" spans="1:10" ht="12.75">
      <c r="A248" s="104"/>
      <c r="B248" s="104"/>
      <c r="C248" s="104"/>
      <c r="D248" s="104"/>
      <c r="E248" s="104"/>
      <c r="F248" s="104"/>
      <c r="G248" s="104"/>
      <c r="H248" s="104"/>
      <c r="I248" s="104"/>
      <c r="J248" s="104"/>
    </row>
    <row r="249" spans="1:10" ht="12.75">
      <c r="A249" s="104"/>
      <c r="B249" s="104"/>
      <c r="C249" s="104"/>
      <c r="D249" s="104"/>
      <c r="E249" s="104"/>
      <c r="F249" s="104"/>
      <c r="G249" s="104"/>
      <c r="H249" s="104"/>
      <c r="I249" s="104"/>
      <c r="J249" s="104"/>
    </row>
    <row r="250" spans="1:10" ht="12.75">
      <c r="A250" s="104"/>
      <c r="B250" s="104"/>
      <c r="C250" s="104"/>
      <c r="D250" s="104"/>
      <c r="E250" s="104"/>
      <c r="F250" s="104"/>
      <c r="G250" s="104"/>
      <c r="H250" s="104"/>
      <c r="I250" s="104"/>
      <c r="J250" s="104"/>
    </row>
    <row r="251" spans="1:10" ht="12.75">
      <c r="A251" s="104"/>
      <c r="B251" s="104"/>
      <c r="C251" s="104"/>
      <c r="D251" s="104"/>
      <c r="E251" s="104"/>
      <c r="F251" s="104"/>
      <c r="G251" s="104"/>
      <c r="H251" s="104"/>
      <c r="I251" s="104"/>
      <c r="J251" s="104"/>
    </row>
    <row r="252" spans="1:10" ht="12.75">
      <c r="A252" s="104"/>
      <c r="B252" s="104"/>
      <c r="C252" s="104"/>
      <c r="D252" s="104"/>
      <c r="E252" s="104"/>
      <c r="F252" s="104"/>
      <c r="G252" s="104"/>
      <c r="H252" s="104"/>
      <c r="I252" s="104"/>
      <c r="J252" s="104"/>
    </row>
    <row r="253" spans="1:10" ht="12.75">
      <c r="A253" s="104"/>
      <c r="B253" s="104"/>
      <c r="C253" s="104"/>
      <c r="D253" s="104"/>
      <c r="E253" s="104"/>
      <c r="F253" s="104"/>
      <c r="G253" s="104"/>
      <c r="H253" s="104"/>
      <c r="I253" s="104"/>
      <c r="J253" s="104"/>
    </row>
    <row r="254" spans="1:10" ht="12.75">
      <c r="A254" s="104"/>
      <c r="B254" s="104"/>
      <c r="C254" s="104"/>
      <c r="D254" s="104"/>
      <c r="E254" s="104"/>
      <c r="F254" s="104"/>
      <c r="G254" s="104"/>
      <c r="H254" s="104"/>
      <c r="I254" s="104"/>
      <c r="J254" s="104"/>
    </row>
    <row r="255" spans="1:10" ht="12.75">
      <c r="A255" s="104"/>
      <c r="B255" s="104"/>
      <c r="C255" s="104"/>
      <c r="D255" s="104"/>
      <c r="E255" s="104"/>
      <c r="F255" s="104"/>
      <c r="G255" s="104"/>
      <c r="H255" s="104"/>
      <c r="I255" s="104"/>
      <c r="J255" s="104"/>
    </row>
    <row r="256" spans="1:10" ht="12.75">
      <c r="A256" s="104"/>
      <c r="B256" s="104"/>
      <c r="C256" s="104"/>
      <c r="D256" s="104"/>
      <c r="E256" s="104"/>
      <c r="F256" s="104"/>
      <c r="G256" s="104"/>
      <c r="H256" s="104"/>
      <c r="I256" s="104"/>
      <c r="J256" s="104"/>
    </row>
    <row r="257" spans="1:10" ht="12.75">
      <c r="A257" s="104"/>
      <c r="B257" s="104"/>
      <c r="C257" s="104"/>
      <c r="D257" s="104"/>
      <c r="E257" s="104"/>
      <c r="F257" s="104"/>
      <c r="G257" s="104"/>
      <c r="H257" s="104"/>
      <c r="I257" s="104"/>
      <c r="J257" s="104"/>
    </row>
    <row r="258" spans="1:10" ht="12.75">
      <c r="A258" s="104"/>
      <c r="B258" s="104"/>
      <c r="C258" s="104"/>
      <c r="D258" s="104"/>
      <c r="E258" s="104"/>
      <c r="F258" s="104"/>
      <c r="G258" s="104"/>
      <c r="H258" s="104"/>
      <c r="I258" s="104"/>
      <c r="J258" s="104"/>
    </row>
    <row r="259" spans="1:10" ht="12.75">
      <c r="A259" s="104"/>
      <c r="B259" s="104"/>
      <c r="C259" s="104"/>
      <c r="D259" s="104"/>
      <c r="E259" s="104"/>
      <c r="F259" s="104"/>
      <c r="G259" s="104"/>
      <c r="H259" s="104"/>
      <c r="I259" s="104"/>
      <c r="J259" s="104"/>
    </row>
    <row r="260" spans="1:10" ht="12.75">
      <c r="A260" s="104"/>
      <c r="B260" s="104"/>
      <c r="C260" s="104"/>
      <c r="D260" s="104"/>
      <c r="E260" s="104"/>
      <c r="F260" s="104"/>
      <c r="G260" s="104"/>
      <c r="H260" s="104"/>
      <c r="I260" s="104"/>
      <c r="J260" s="104"/>
    </row>
    <row r="261" spans="1:10" ht="12.75">
      <c r="A261" s="104"/>
      <c r="B261" s="104"/>
      <c r="C261" s="104"/>
      <c r="D261" s="104"/>
      <c r="E261" s="104"/>
      <c r="F261" s="104"/>
      <c r="G261" s="104"/>
      <c r="H261" s="104"/>
      <c r="I261" s="104"/>
      <c r="J261" s="104"/>
    </row>
    <row r="262" spans="1:10" ht="12.75">
      <c r="A262" s="104"/>
      <c r="B262" s="104"/>
      <c r="C262" s="104"/>
      <c r="D262" s="104"/>
      <c r="E262" s="104"/>
      <c r="F262" s="104"/>
      <c r="G262" s="104"/>
      <c r="H262" s="104"/>
      <c r="I262" s="104"/>
      <c r="J262" s="104"/>
    </row>
    <row r="263" spans="1:10" ht="12.75">
      <c r="A263" s="104"/>
      <c r="B263" s="104"/>
      <c r="C263" s="104"/>
      <c r="D263" s="104"/>
      <c r="E263" s="104"/>
      <c r="F263" s="104"/>
      <c r="G263" s="104"/>
      <c r="H263" s="104"/>
      <c r="I263" s="104"/>
      <c r="J263" s="104"/>
    </row>
    <row r="264" spans="1:10" ht="12.75">
      <c r="A264" s="104"/>
      <c r="B264" s="104"/>
      <c r="C264" s="104"/>
      <c r="D264" s="104"/>
      <c r="E264" s="104"/>
      <c r="F264" s="104"/>
      <c r="G264" s="104"/>
      <c r="H264" s="104"/>
      <c r="I264" s="104"/>
      <c r="J264" s="104"/>
    </row>
    <row r="265" spans="1:10" ht="12.75">
      <c r="A265" s="104"/>
      <c r="B265" s="104"/>
      <c r="C265" s="104"/>
      <c r="D265" s="104"/>
      <c r="E265" s="104"/>
      <c r="F265" s="104"/>
      <c r="G265" s="104"/>
      <c r="H265" s="104"/>
      <c r="I265" s="104"/>
      <c r="J265" s="104"/>
    </row>
    <row r="266" spans="1:10" ht="12.75">
      <c r="A266" s="104"/>
      <c r="B266" s="104"/>
      <c r="C266" s="104"/>
      <c r="D266" s="104"/>
      <c r="E266" s="104"/>
      <c r="F266" s="104"/>
      <c r="G266" s="104"/>
      <c r="H266" s="104"/>
      <c r="I266" s="104"/>
      <c r="J266" s="104"/>
    </row>
    <row r="267" spans="1:10" ht="12.75">
      <c r="A267" s="104"/>
      <c r="B267" s="104"/>
      <c r="C267" s="104"/>
      <c r="D267" s="104"/>
      <c r="E267" s="104"/>
      <c r="F267" s="104"/>
      <c r="G267" s="104"/>
      <c r="H267" s="104"/>
      <c r="I267" s="104"/>
      <c r="J267" s="104"/>
    </row>
    <row r="268" spans="1:10" ht="12.75">
      <c r="A268" s="104"/>
      <c r="B268" s="104"/>
      <c r="C268" s="104"/>
      <c r="D268" s="104"/>
      <c r="E268" s="104"/>
      <c r="F268" s="104"/>
      <c r="G268" s="104"/>
      <c r="H268" s="104"/>
      <c r="I268" s="104"/>
      <c r="J268" s="104"/>
    </row>
    <row r="269" spans="1:10" ht="12.75">
      <c r="A269" s="104"/>
      <c r="B269" s="104"/>
      <c r="C269" s="104"/>
      <c r="D269" s="104"/>
      <c r="E269" s="104"/>
      <c r="F269" s="104"/>
      <c r="G269" s="104"/>
      <c r="H269" s="104"/>
      <c r="I269" s="104"/>
      <c r="J269" s="104"/>
    </row>
    <row r="270" spans="1:10" ht="12.75">
      <c r="A270" s="104"/>
      <c r="B270" s="104"/>
      <c r="C270" s="104"/>
      <c r="D270" s="104"/>
      <c r="E270" s="104"/>
      <c r="F270" s="104"/>
      <c r="G270" s="104"/>
      <c r="H270" s="104"/>
      <c r="I270" s="104"/>
      <c r="J270" s="104"/>
    </row>
    <row r="271" spans="1:10" ht="12.75">
      <c r="A271" s="104"/>
      <c r="B271" s="104"/>
      <c r="C271" s="104"/>
      <c r="D271" s="104"/>
      <c r="E271" s="104"/>
      <c r="F271" s="104"/>
      <c r="G271" s="104"/>
      <c r="H271" s="104"/>
      <c r="I271" s="104"/>
      <c r="J271" s="104"/>
    </row>
    <row r="272" spans="1:10" ht="12.75">
      <c r="A272" s="104"/>
      <c r="B272" s="104"/>
      <c r="C272" s="104"/>
      <c r="D272" s="104"/>
      <c r="E272" s="104"/>
      <c r="F272" s="104"/>
      <c r="G272" s="104"/>
      <c r="H272" s="104"/>
      <c r="I272" s="104"/>
      <c r="J272" s="104"/>
    </row>
    <row r="273" spans="1:10" ht="12.75">
      <c r="A273" s="104"/>
      <c r="B273" s="104"/>
      <c r="C273" s="104"/>
      <c r="D273" s="104"/>
      <c r="E273" s="104"/>
      <c r="F273" s="104"/>
      <c r="G273" s="104"/>
      <c r="H273" s="104"/>
      <c r="I273" s="104"/>
      <c r="J273" s="104"/>
    </row>
    <row r="274" spans="1:10" ht="12.75">
      <c r="A274" s="104"/>
      <c r="B274" s="104"/>
      <c r="C274" s="104"/>
      <c r="D274" s="104"/>
      <c r="E274" s="104"/>
      <c r="F274" s="104"/>
      <c r="G274" s="104"/>
      <c r="H274" s="104"/>
      <c r="I274" s="104"/>
      <c r="J274" s="104"/>
    </row>
    <row r="275" spans="1:10" ht="12.75">
      <c r="A275" s="104"/>
      <c r="B275" s="104"/>
      <c r="C275" s="104"/>
      <c r="D275" s="104"/>
      <c r="E275" s="104"/>
      <c r="F275" s="104"/>
      <c r="G275" s="104"/>
      <c r="H275" s="104"/>
      <c r="I275" s="104"/>
      <c r="J275" s="104"/>
    </row>
    <row r="276" spans="1:10" ht="12.75">
      <c r="A276" s="104"/>
      <c r="B276" s="104"/>
      <c r="C276" s="104"/>
      <c r="D276" s="104"/>
      <c r="E276" s="104"/>
      <c r="F276" s="104"/>
      <c r="G276" s="104"/>
      <c r="H276" s="104"/>
      <c r="I276" s="104"/>
      <c r="J276" s="104"/>
    </row>
    <row r="277" spans="1:10" ht="12.75">
      <c r="A277" s="104"/>
      <c r="B277" s="104"/>
      <c r="C277" s="104"/>
      <c r="D277" s="104"/>
      <c r="E277" s="104"/>
      <c r="F277" s="104"/>
      <c r="G277" s="104"/>
      <c r="H277" s="104"/>
      <c r="I277" s="104"/>
      <c r="J277" s="104"/>
    </row>
    <row r="278" spans="1:10" ht="12.75">
      <c r="A278" s="104"/>
      <c r="B278" s="104"/>
      <c r="C278" s="104"/>
      <c r="D278" s="104"/>
      <c r="E278" s="104"/>
      <c r="F278" s="104"/>
      <c r="G278" s="104"/>
      <c r="H278" s="104"/>
      <c r="I278" s="104"/>
      <c r="J278" s="104"/>
    </row>
    <row r="279" spans="1:10" ht="12.75">
      <c r="A279" s="104"/>
      <c r="B279" s="104"/>
      <c r="C279" s="104"/>
      <c r="D279" s="104"/>
      <c r="E279" s="104"/>
      <c r="F279" s="104"/>
      <c r="G279" s="104"/>
      <c r="H279" s="104"/>
      <c r="I279" s="104"/>
      <c r="J279" s="104"/>
    </row>
    <row r="280" spans="1:10" ht="12.75">
      <c r="A280" s="104"/>
      <c r="B280" s="104"/>
      <c r="C280" s="104"/>
      <c r="D280" s="104"/>
      <c r="E280" s="104"/>
      <c r="F280" s="104"/>
      <c r="G280" s="104"/>
      <c r="H280" s="104"/>
      <c r="I280" s="104"/>
      <c r="J280" s="104"/>
    </row>
    <row r="281" spans="1:10" ht="12.75">
      <c r="A281" s="104"/>
      <c r="B281" s="104"/>
      <c r="C281" s="104"/>
      <c r="D281" s="104"/>
      <c r="E281" s="104"/>
      <c r="F281" s="104"/>
      <c r="G281" s="104"/>
      <c r="H281" s="104"/>
      <c r="I281" s="104"/>
      <c r="J281" s="104"/>
    </row>
    <row r="282" spans="1:10" ht="12.75">
      <c r="A282" s="104"/>
      <c r="B282" s="104"/>
      <c r="C282" s="104"/>
      <c r="D282" s="104"/>
      <c r="E282" s="104"/>
      <c r="F282" s="104"/>
      <c r="G282" s="104"/>
      <c r="H282" s="104"/>
      <c r="I282" s="104"/>
      <c r="J282" s="104"/>
    </row>
    <row r="283" spans="1:10" ht="12.75">
      <c r="A283" s="104"/>
      <c r="B283" s="104"/>
      <c r="C283" s="104"/>
      <c r="D283" s="104"/>
      <c r="E283" s="104"/>
      <c r="F283" s="104"/>
      <c r="G283" s="104"/>
      <c r="H283" s="104"/>
      <c r="I283" s="104"/>
      <c r="J283" s="104"/>
    </row>
    <row r="284" spans="1:10" ht="12.75">
      <c r="A284" s="104"/>
      <c r="B284" s="104"/>
      <c r="C284" s="104"/>
      <c r="D284" s="104"/>
      <c r="E284" s="104"/>
      <c r="F284" s="104"/>
      <c r="G284" s="104"/>
      <c r="H284" s="104"/>
      <c r="I284" s="104"/>
      <c r="J284" s="104"/>
    </row>
    <row r="285" spans="1:10" ht="12.75">
      <c r="A285" s="104"/>
      <c r="B285" s="104"/>
      <c r="C285" s="104"/>
      <c r="D285" s="104"/>
      <c r="E285" s="104"/>
      <c r="F285" s="104"/>
      <c r="G285" s="104"/>
      <c r="H285" s="104"/>
      <c r="I285" s="104"/>
      <c r="J285" s="104"/>
    </row>
    <row r="286" spans="1:10" ht="12.75">
      <c r="A286" s="104"/>
      <c r="B286" s="104"/>
      <c r="C286" s="104"/>
      <c r="D286" s="104"/>
      <c r="E286" s="104"/>
      <c r="F286" s="104"/>
      <c r="G286" s="104"/>
      <c r="H286" s="104"/>
      <c r="I286" s="104"/>
      <c r="J286" s="104"/>
    </row>
    <row r="287" spans="1:10" ht="12.75">
      <c r="A287" s="104"/>
      <c r="B287" s="104"/>
      <c r="C287" s="104"/>
      <c r="D287" s="104"/>
      <c r="E287" s="104"/>
      <c r="F287" s="104"/>
      <c r="G287" s="104"/>
      <c r="H287" s="104"/>
      <c r="I287" s="104"/>
      <c r="J287" s="104"/>
    </row>
    <row r="288" spans="1:10" ht="12.75">
      <c r="A288" s="104"/>
      <c r="B288" s="104"/>
      <c r="C288" s="104"/>
      <c r="D288" s="104"/>
      <c r="E288" s="104"/>
      <c r="F288" s="104"/>
      <c r="G288" s="104"/>
      <c r="H288" s="104"/>
      <c r="I288" s="104"/>
      <c r="J288" s="104"/>
    </row>
    <row r="289" spans="1:10" ht="12.75">
      <c r="A289" s="104"/>
      <c r="B289" s="104"/>
      <c r="C289" s="104"/>
      <c r="D289" s="104"/>
      <c r="E289" s="104"/>
      <c r="F289" s="104"/>
      <c r="G289" s="104"/>
      <c r="H289" s="104"/>
      <c r="I289" s="104"/>
      <c r="J289" s="104"/>
    </row>
    <row r="290" spans="1:10" ht="12.75">
      <c r="A290" s="104"/>
      <c r="B290" s="104"/>
      <c r="C290" s="104"/>
      <c r="D290" s="104"/>
      <c r="E290" s="104"/>
      <c r="F290" s="104"/>
      <c r="G290" s="104"/>
      <c r="H290" s="104"/>
      <c r="I290" s="104"/>
      <c r="J290" s="104"/>
    </row>
    <row r="291" spans="1:10" ht="12.75">
      <c r="A291" s="104"/>
      <c r="B291" s="104"/>
      <c r="C291" s="104"/>
      <c r="D291" s="104"/>
      <c r="E291" s="104"/>
      <c r="F291" s="104"/>
      <c r="G291" s="104"/>
      <c r="H291" s="104"/>
      <c r="I291" s="104"/>
      <c r="J291" s="104"/>
    </row>
    <row r="292" spans="1:10" ht="12.75">
      <c r="A292" s="104"/>
      <c r="B292" s="104"/>
      <c r="C292" s="104"/>
      <c r="D292" s="104"/>
      <c r="E292" s="104"/>
      <c r="F292" s="104"/>
      <c r="G292" s="104"/>
      <c r="H292" s="104"/>
      <c r="I292" s="104"/>
      <c r="J292" s="104"/>
    </row>
    <row r="293" spans="1:10" ht="12.75">
      <c r="A293" s="104"/>
      <c r="B293" s="104"/>
      <c r="C293" s="104"/>
      <c r="D293" s="104"/>
      <c r="E293" s="104"/>
      <c r="F293" s="104"/>
      <c r="G293" s="104"/>
      <c r="H293" s="104"/>
      <c r="I293" s="104"/>
      <c r="J293" s="104"/>
    </row>
    <row r="294" spans="1:10" ht="12.75">
      <c r="A294" s="104"/>
      <c r="B294" s="104"/>
      <c r="C294" s="104"/>
      <c r="D294" s="104"/>
      <c r="E294" s="104"/>
      <c r="F294" s="104"/>
      <c r="G294" s="104"/>
      <c r="H294" s="104"/>
      <c r="I294" s="104"/>
      <c r="J294" s="104"/>
    </row>
    <row r="295" spans="1:10" ht="12.75">
      <c r="A295" s="104"/>
      <c r="B295" s="104"/>
      <c r="C295" s="104"/>
      <c r="D295" s="104"/>
      <c r="E295" s="104"/>
      <c r="F295" s="104"/>
      <c r="G295" s="104"/>
      <c r="H295" s="104"/>
      <c r="I295" s="104"/>
      <c r="J295" s="104"/>
    </row>
    <row r="296" spans="1:10" ht="12.75">
      <c r="A296" s="104"/>
      <c r="B296" s="104"/>
      <c r="C296" s="104"/>
      <c r="D296" s="104"/>
      <c r="E296" s="104"/>
      <c r="F296" s="104"/>
      <c r="G296" s="104"/>
      <c r="H296" s="104"/>
      <c r="I296" s="104"/>
      <c r="J296" s="104"/>
    </row>
    <row r="297" spans="1:10" ht="12.75">
      <c r="A297" s="104"/>
      <c r="B297" s="104"/>
      <c r="C297" s="104"/>
      <c r="D297" s="104"/>
      <c r="E297" s="104"/>
      <c r="F297" s="104"/>
      <c r="G297" s="104"/>
      <c r="H297" s="104"/>
      <c r="I297" s="104"/>
      <c r="J297" s="104"/>
    </row>
    <row r="298" spans="1:10" ht="12.75">
      <c r="A298" s="104"/>
      <c r="B298" s="104"/>
      <c r="C298" s="104"/>
      <c r="D298" s="104"/>
      <c r="E298" s="104"/>
      <c r="F298" s="104"/>
      <c r="G298" s="104"/>
      <c r="H298" s="104"/>
      <c r="I298" s="104"/>
      <c r="J298" s="104"/>
    </row>
    <row r="299" spans="1:10" ht="12.75">
      <c r="A299" s="104"/>
      <c r="B299" s="104"/>
      <c r="C299" s="104"/>
      <c r="D299" s="104"/>
      <c r="E299" s="104"/>
      <c r="F299" s="104"/>
      <c r="G299" s="104"/>
      <c r="H299" s="104"/>
      <c r="I299" s="104"/>
      <c r="J299" s="104"/>
    </row>
    <row r="300" spans="1:10" ht="12.75">
      <c r="A300" s="104"/>
      <c r="B300" s="104"/>
      <c r="C300" s="104"/>
      <c r="D300" s="104"/>
      <c r="E300" s="104"/>
      <c r="F300" s="104"/>
      <c r="G300" s="104"/>
      <c r="H300" s="104"/>
      <c r="I300" s="104"/>
      <c r="J300" s="104"/>
    </row>
    <row r="301" spans="1:10" ht="12.75">
      <c r="A301" s="104"/>
      <c r="B301" s="104"/>
      <c r="C301" s="104"/>
      <c r="D301" s="104"/>
      <c r="E301" s="104"/>
      <c r="F301" s="104"/>
      <c r="G301" s="104"/>
      <c r="H301" s="104"/>
      <c r="I301" s="104"/>
      <c r="J301" s="104"/>
    </row>
    <row r="302" spans="1:10" ht="12.75">
      <c r="A302" s="104"/>
      <c r="B302" s="104"/>
      <c r="C302" s="104"/>
      <c r="D302" s="104"/>
      <c r="E302" s="104"/>
      <c r="F302" s="104"/>
      <c r="G302" s="104"/>
      <c r="H302" s="104"/>
      <c r="I302" s="104"/>
      <c r="J302" s="104"/>
    </row>
    <row r="303" spans="1:10" ht="12.75">
      <c r="A303" s="104"/>
      <c r="B303" s="104"/>
      <c r="C303" s="104"/>
      <c r="D303" s="104"/>
      <c r="E303" s="104"/>
      <c r="F303" s="104"/>
      <c r="G303" s="104"/>
      <c r="H303" s="104"/>
      <c r="I303" s="104"/>
      <c r="J303" s="104"/>
    </row>
    <row r="304" spans="1:10" ht="12.75">
      <c r="A304" s="104"/>
      <c r="B304" s="104"/>
      <c r="C304" s="104"/>
      <c r="D304" s="104"/>
      <c r="E304" s="104"/>
      <c r="F304" s="104"/>
      <c r="G304" s="104"/>
      <c r="H304" s="104"/>
      <c r="I304" s="104"/>
      <c r="J304" s="104"/>
    </row>
    <row r="305" spans="1:10" ht="12.75">
      <c r="A305" s="104"/>
      <c r="B305" s="104"/>
      <c r="C305" s="104"/>
      <c r="D305" s="104"/>
      <c r="E305" s="104"/>
      <c r="F305" s="104"/>
      <c r="G305" s="104"/>
      <c r="H305" s="104"/>
      <c r="I305" s="104"/>
      <c r="J305" s="104"/>
    </row>
    <row r="306" spans="1:10" ht="12.75">
      <c r="A306" s="104"/>
      <c r="B306" s="104"/>
      <c r="C306" s="104"/>
      <c r="D306" s="104"/>
      <c r="E306" s="104"/>
      <c r="F306" s="104"/>
      <c r="G306" s="104"/>
      <c r="H306" s="104"/>
      <c r="I306" s="104"/>
      <c r="J306" s="104"/>
    </row>
    <row r="307" spans="1:10" ht="12.75">
      <c r="A307" s="104"/>
      <c r="B307" s="104"/>
      <c r="C307" s="104"/>
      <c r="D307" s="104"/>
      <c r="E307" s="104"/>
      <c r="F307" s="104"/>
      <c r="G307" s="104"/>
      <c r="H307" s="104"/>
      <c r="I307" s="104"/>
      <c r="J307" s="104"/>
    </row>
    <row r="308" spans="1:10" ht="12.75">
      <c r="A308" s="104"/>
      <c r="B308" s="104"/>
      <c r="C308" s="104"/>
      <c r="D308" s="104"/>
      <c r="E308" s="104"/>
      <c r="F308" s="104"/>
      <c r="G308" s="104"/>
      <c r="H308" s="104"/>
      <c r="I308" s="104"/>
      <c r="J308" s="104"/>
    </row>
    <row r="309" spans="1:10" ht="12.75">
      <c r="A309" s="104"/>
      <c r="B309" s="104"/>
      <c r="C309" s="104"/>
      <c r="D309" s="104"/>
      <c r="E309" s="104"/>
      <c r="F309" s="104"/>
      <c r="G309" s="104"/>
      <c r="H309" s="104"/>
      <c r="I309" s="104"/>
      <c r="J309" s="104"/>
    </row>
    <row r="310" spans="1:10" ht="12.75">
      <c r="A310" s="104"/>
      <c r="B310" s="104"/>
      <c r="C310" s="104"/>
      <c r="D310" s="104"/>
      <c r="E310" s="104"/>
      <c r="F310" s="104"/>
      <c r="G310" s="104"/>
      <c r="H310" s="104"/>
      <c r="I310" s="104"/>
      <c r="J310" s="104"/>
    </row>
    <row r="311" spans="1:10" ht="12.75">
      <c r="A311" s="104"/>
      <c r="B311" s="104"/>
      <c r="C311" s="104"/>
      <c r="D311" s="104"/>
      <c r="E311" s="104"/>
      <c r="F311" s="104"/>
      <c r="G311" s="104"/>
      <c r="H311" s="104"/>
      <c r="I311" s="104"/>
      <c r="J311" s="104"/>
    </row>
    <row r="312" spans="1:10" ht="12.75">
      <c r="A312" s="104"/>
      <c r="B312" s="104"/>
      <c r="C312" s="104"/>
      <c r="D312" s="104"/>
      <c r="E312" s="104"/>
      <c r="F312" s="104"/>
      <c r="G312" s="104"/>
      <c r="H312" s="104"/>
      <c r="I312" s="104"/>
      <c r="J312" s="104"/>
    </row>
    <row r="313" spans="1:10" ht="12.75">
      <c r="A313" s="104"/>
      <c r="B313" s="104"/>
      <c r="C313" s="104"/>
      <c r="D313" s="104"/>
      <c r="E313" s="104"/>
      <c r="F313" s="104"/>
      <c r="G313" s="104"/>
      <c r="H313" s="104"/>
      <c r="I313" s="104"/>
      <c r="J313" s="104"/>
    </row>
    <row r="314" spans="1:10" ht="12.75">
      <c r="A314" s="104"/>
      <c r="B314" s="104"/>
      <c r="C314" s="104"/>
      <c r="D314" s="104"/>
      <c r="E314" s="104"/>
      <c r="F314" s="104"/>
      <c r="G314" s="104"/>
      <c r="H314" s="104"/>
      <c r="I314" s="104"/>
      <c r="J314" s="104"/>
    </row>
    <row r="315" spans="1:10" ht="12.75">
      <c r="A315" s="104"/>
      <c r="B315" s="104"/>
      <c r="C315" s="104"/>
      <c r="D315" s="104"/>
      <c r="E315" s="104"/>
      <c r="F315" s="104"/>
      <c r="G315" s="104"/>
      <c r="H315" s="104"/>
      <c r="I315" s="104"/>
      <c r="J315" s="104"/>
    </row>
    <row r="316" spans="1:10" ht="12.75">
      <c r="A316" s="104"/>
      <c r="B316" s="104"/>
      <c r="C316" s="104"/>
      <c r="D316" s="104"/>
      <c r="E316" s="104"/>
      <c r="F316" s="104"/>
      <c r="G316" s="104"/>
      <c r="H316" s="104"/>
      <c r="I316" s="104"/>
      <c r="J316" s="104"/>
    </row>
    <row r="317" spans="1:10" ht="12.75">
      <c r="A317" s="104"/>
      <c r="B317" s="104"/>
      <c r="C317" s="104"/>
      <c r="D317" s="104"/>
      <c r="E317" s="104"/>
      <c r="F317" s="104"/>
      <c r="G317" s="104"/>
      <c r="H317" s="104"/>
      <c r="I317" s="104"/>
      <c r="J317" s="104"/>
    </row>
    <row r="318" spans="1:10" ht="12.75">
      <c r="A318" s="104"/>
      <c r="B318" s="104"/>
      <c r="C318" s="104"/>
      <c r="D318" s="104"/>
      <c r="E318" s="104"/>
      <c r="F318" s="104"/>
      <c r="G318" s="104"/>
      <c r="H318" s="104"/>
      <c r="I318" s="104"/>
      <c r="J318" s="104"/>
    </row>
    <row r="319" spans="1:10" ht="12.75">
      <c r="A319" s="104"/>
      <c r="B319" s="104"/>
      <c r="C319" s="104"/>
      <c r="D319" s="104"/>
      <c r="E319" s="104"/>
      <c r="F319" s="104"/>
      <c r="G319" s="104"/>
      <c r="H319" s="104"/>
      <c r="I319" s="104"/>
      <c r="J319" s="104"/>
    </row>
    <row r="320" spans="1:10" ht="12.75">
      <c r="A320" s="104"/>
      <c r="B320" s="104"/>
      <c r="C320" s="104"/>
      <c r="D320" s="104"/>
      <c r="E320" s="104"/>
      <c r="F320" s="104"/>
      <c r="G320" s="104"/>
      <c r="H320" s="104"/>
      <c r="I320" s="104"/>
      <c r="J320" s="104"/>
    </row>
    <row r="321" spans="1:10" ht="12.75">
      <c r="A321" s="104"/>
      <c r="B321" s="104"/>
      <c r="C321" s="104"/>
      <c r="D321" s="104"/>
      <c r="E321" s="104"/>
      <c r="F321" s="104"/>
      <c r="G321" s="104"/>
      <c r="H321" s="104"/>
      <c r="I321" s="104"/>
      <c r="J321" s="104"/>
    </row>
    <row r="322" spans="1:10" ht="12.75">
      <c r="A322" s="104"/>
      <c r="B322" s="104"/>
      <c r="C322" s="104"/>
      <c r="D322" s="104"/>
      <c r="E322" s="104"/>
      <c r="F322" s="104"/>
      <c r="G322" s="104"/>
      <c r="H322" s="104"/>
      <c r="I322" s="104"/>
      <c r="J322" s="104"/>
    </row>
    <row r="323" spans="1:10" ht="12.75">
      <c r="A323" s="104"/>
      <c r="B323" s="104"/>
      <c r="C323" s="104"/>
      <c r="D323" s="104"/>
      <c r="E323" s="104"/>
      <c r="F323" s="104"/>
      <c r="G323" s="104"/>
      <c r="H323" s="104"/>
      <c r="I323" s="104"/>
      <c r="J323" s="104"/>
    </row>
    <row r="324" spans="1:10" ht="12.75">
      <c r="A324" s="104"/>
      <c r="B324" s="104"/>
      <c r="C324" s="104"/>
      <c r="D324" s="104"/>
      <c r="E324" s="104"/>
      <c r="F324" s="104"/>
      <c r="G324" s="104"/>
      <c r="H324" s="104"/>
      <c r="I324" s="104"/>
      <c r="J324" s="104"/>
    </row>
    <row r="325" spans="1:10" ht="12.75">
      <c r="A325" s="104"/>
      <c r="B325" s="104"/>
      <c r="C325" s="104"/>
      <c r="D325" s="104"/>
      <c r="E325" s="104"/>
      <c r="F325" s="104"/>
      <c r="G325" s="104"/>
      <c r="H325" s="104"/>
      <c r="I325" s="104"/>
      <c r="J325" s="104"/>
    </row>
    <row r="326" spans="1:10" ht="12.75">
      <c r="A326" s="104"/>
      <c r="B326" s="104"/>
      <c r="C326" s="104"/>
      <c r="D326" s="104"/>
      <c r="E326" s="104"/>
      <c r="F326" s="104"/>
      <c r="G326" s="104"/>
      <c r="H326" s="104"/>
      <c r="I326" s="104"/>
      <c r="J326" s="104"/>
    </row>
    <row r="327" spans="1:10" ht="12.75">
      <c r="A327" s="104"/>
      <c r="B327" s="104"/>
      <c r="C327" s="104"/>
      <c r="D327" s="104"/>
      <c r="E327" s="104"/>
      <c r="F327" s="104"/>
      <c r="G327" s="104"/>
      <c r="H327" s="104"/>
      <c r="I327" s="104"/>
      <c r="J327" s="104"/>
    </row>
    <row r="328" spans="1:10" ht="12.75">
      <c r="A328" s="104"/>
      <c r="B328" s="104"/>
      <c r="C328" s="104"/>
      <c r="D328" s="104"/>
      <c r="E328" s="104"/>
      <c r="F328" s="104"/>
      <c r="G328" s="104"/>
      <c r="H328" s="104"/>
      <c r="I328" s="104"/>
      <c r="J328" s="104"/>
    </row>
    <row r="329" spans="1:10" ht="12.75">
      <c r="A329" s="104"/>
      <c r="B329" s="104"/>
      <c r="C329" s="104"/>
      <c r="D329" s="104"/>
      <c r="E329" s="104"/>
      <c r="F329" s="104"/>
      <c r="G329" s="104"/>
      <c r="H329" s="104"/>
      <c r="I329" s="104"/>
      <c r="J329" s="104"/>
    </row>
    <row r="330" spans="1:10" ht="12.75">
      <c r="A330" s="104"/>
      <c r="B330" s="104"/>
      <c r="C330" s="104"/>
      <c r="D330" s="104"/>
      <c r="E330" s="104"/>
      <c r="F330" s="104"/>
      <c r="G330" s="104"/>
      <c r="H330" s="104"/>
      <c r="I330" s="104"/>
      <c r="J330" s="104"/>
    </row>
    <row r="331" spans="1:10" ht="12.75">
      <c r="A331" s="104"/>
      <c r="B331" s="104"/>
      <c r="C331" s="104"/>
      <c r="D331" s="104"/>
      <c r="E331" s="104"/>
      <c r="F331" s="104"/>
      <c r="G331" s="104"/>
      <c r="H331" s="104"/>
      <c r="I331" s="104"/>
      <c r="J331" s="104"/>
    </row>
    <row r="332" spans="1:10" ht="12.75">
      <c r="A332" s="104"/>
      <c r="B332" s="104"/>
      <c r="C332" s="104"/>
      <c r="D332" s="104"/>
      <c r="E332" s="104"/>
      <c r="F332" s="104"/>
      <c r="G332" s="104"/>
      <c r="H332" s="104"/>
      <c r="I332" s="104"/>
      <c r="J332" s="104"/>
    </row>
    <row r="333" spans="1:10" ht="12.75">
      <c r="A333" s="104"/>
      <c r="B333" s="104"/>
      <c r="C333" s="104"/>
      <c r="D333" s="104"/>
      <c r="E333" s="104"/>
      <c r="F333" s="104"/>
      <c r="G333" s="104"/>
      <c r="H333" s="104"/>
      <c r="I333" s="104"/>
      <c r="J333" s="104"/>
    </row>
    <row r="334" spans="1:10" ht="12.75">
      <c r="A334" s="104"/>
      <c r="B334" s="104"/>
      <c r="C334" s="104"/>
      <c r="D334" s="104"/>
      <c r="E334" s="104"/>
      <c r="F334" s="104"/>
      <c r="G334" s="104"/>
      <c r="H334" s="104"/>
      <c r="I334" s="104"/>
      <c r="J334" s="104"/>
    </row>
    <row r="335" spans="1:10" ht="12.75">
      <c r="A335" s="104"/>
      <c r="B335" s="104"/>
      <c r="C335" s="104"/>
      <c r="D335" s="104"/>
      <c r="E335" s="104"/>
      <c r="F335" s="104"/>
      <c r="G335" s="104"/>
      <c r="H335" s="104"/>
      <c r="I335" s="104"/>
      <c r="J335" s="104"/>
    </row>
    <row r="336" spans="1:10" ht="12.75">
      <c r="A336" s="104"/>
      <c r="B336" s="104"/>
      <c r="C336" s="104"/>
      <c r="D336" s="104"/>
      <c r="E336" s="104"/>
      <c r="F336" s="104"/>
      <c r="G336" s="104"/>
      <c r="H336" s="104"/>
      <c r="I336" s="104"/>
      <c r="J336" s="104"/>
    </row>
    <row r="337" spans="1:10" ht="12.75">
      <c r="A337" s="104"/>
      <c r="B337" s="104"/>
      <c r="C337" s="104"/>
      <c r="D337" s="104"/>
      <c r="E337" s="104"/>
      <c r="F337" s="104"/>
      <c r="G337" s="104"/>
      <c r="H337" s="104"/>
      <c r="I337" s="104"/>
      <c r="J337" s="104"/>
    </row>
    <row r="338" spans="1:10" ht="12.75">
      <c r="A338" s="104"/>
      <c r="B338" s="104"/>
      <c r="C338" s="104"/>
      <c r="D338" s="104"/>
      <c r="E338" s="104"/>
      <c r="F338" s="104"/>
      <c r="G338" s="104"/>
      <c r="H338" s="104"/>
      <c r="I338" s="104"/>
      <c r="J338" s="104"/>
    </row>
    <row r="339" spans="1:10" ht="12.75">
      <c r="A339" s="104"/>
      <c r="B339" s="104"/>
      <c r="C339" s="104"/>
      <c r="D339" s="104"/>
      <c r="E339" s="104"/>
      <c r="F339" s="104"/>
      <c r="G339" s="104"/>
      <c r="H339" s="104"/>
      <c r="I339" s="104"/>
      <c r="J339" s="104"/>
    </row>
    <row r="340" spans="1:10" ht="12.75">
      <c r="A340" s="104"/>
      <c r="B340" s="104"/>
      <c r="C340" s="104"/>
      <c r="D340" s="104"/>
      <c r="E340" s="104"/>
      <c r="F340" s="104"/>
      <c r="G340" s="104"/>
      <c r="H340" s="104"/>
      <c r="I340" s="104"/>
      <c r="J340" s="104"/>
    </row>
    <row r="341" spans="1:10" ht="12.75">
      <c r="A341" s="104"/>
      <c r="B341" s="104"/>
      <c r="C341" s="104"/>
      <c r="D341" s="104"/>
      <c r="E341" s="104"/>
      <c r="F341" s="104"/>
      <c r="G341" s="104"/>
      <c r="H341" s="104"/>
      <c r="I341" s="104"/>
      <c r="J341" s="104"/>
    </row>
    <row r="342" spans="1:10" ht="12.75">
      <c r="A342" s="104"/>
      <c r="B342" s="104"/>
      <c r="C342" s="104"/>
      <c r="D342" s="104"/>
      <c r="E342" s="104"/>
      <c r="F342" s="104"/>
      <c r="G342" s="104"/>
      <c r="H342" s="104"/>
      <c r="I342" s="104"/>
      <c r="J342" s="104"/>
    </row>
    <row r="343" spans="1:10" ht="12.75">
      <c r="A343" s="104"/>
      <c r="B343" s="104"/>
      <c r="C343" s="104"/>
      <c r="D343" s="104"/>
      <c r="E343" s="104"/>
      <c r="F343" s="104"/>
      <c r="G343" s="104"/>
      <c r="H343" s="104"/>
      <c r="I343" s="104"/>
      <c r="J343" s="104"/>
    </row>
    <row r="344" spans="1:10" ht="12.75">
      <c r="A344" s="104"/>
      <c r="B344" s="104"/>
      <c r="C344" s="104"/>
      <c r="D344" s="104"/>
      <c r="E344" s="104"/>
      <c r="F344" s="104"/>
      <c r="G344" s="104"/>
      <c r="H344" s="104"/>
      <c r="I344" s="104"/>
      <c r="J344" s="104"/>
    </row>
    <row r="345" spans="1:10" ht="12.75">
      <c r="A345" s="104"/>
      <c r="B345" s="104"/>
      <c r="C345" s="104"/>
      <c r="D345" s="104"/>
      <c r="E345" s="104"/>
      <c r="F345" s="104"/>
      <c r="G345" s="104"/>
      <c r="H345" s="104"/>
      <c r="I345" s="104"/>
      <c r="J345" s="104"/>
    </row>
    <row r="346" spans="1:10" ht="12.75">
      <c r="A346" s="104"/>
      <c r="B346" s="104"/>
      <c r="C346" s="104"/>
      <c r="D346" s="104"/>
      <c r="E346" s="104"/>
      <c r="F346" s="104"/>
      <c r="G346" s="104"/>
      <c r="H346" s="104"/>
      <c r="I346" s="104"/>
      <c r="J346" s="104"/>
    </row>
    <row r="347" spans="1:10" ht="12.75">
      <c r="A347" s="104"/>
      <c r="B347" s="104"/>
      <c r="C347" s="104"/>
      <c r="D347" s="104"/>
      <c r="E347" s="104"/>
      <c r="F347" s="104"/>
      <c r="G347" s="104"/>
      <c r="H347" s="104"/>
      <c r="I347" s="104"/>
      <c r="J347" s="104"/>
    </row>
    <row r="348" spans="1:10" ht="12.75">
      <c r="A348" s="104"/>
      <c r="B348" s="104"/>
      <c r="C348" s="104"/>
      <c r="D348" s="104"/>
      <c r="E348" s="104"/>
      <c r="F348" s="104"/>
      <c r="G348" s="104"/>
      <c r="H348" s="104"/>
      <c r="I348" s="104"/>
      <c r="J348" s="104"/>
    </row>
    <row r="349" spans="1:10" ht="12.75">
      <c r="A349" s="104"/>
      <c r="B349" s="104"/>
      <c r="C349" s="104"/>
      <c r="D349" s="104"/>
      <c r="E349" s="104"/>
      <c r="F349" s="104"/>
      <c r="G349" s="104"/>
      <c r="H349" s="104"/>
      <c r="I349" s="104"/>
      <c r="J349" s="104"/>
    </row>
    <row r="350" spans="1:10" ht="12.75">
      <c r="A350" s="104"/>
      <c r="B350" s="104"/>
      <c r="C350" s="104"/>
      <c r="D350" s="104"/>
      <c r="E350" s="104"/>
      <c r="F350" s="104"/>
      <c r="G350" s="104"/>
      <c r="H350" s="104"/>
      <c r="I350" s="104"/>
      <c r="J350" s="104"/>
    </row>
    <row r="351" spans="1:10" ht="12.75">
      <c r="A351" s="104"/>
      <c r="B351" s="104"/>
      <c r="C351" s="104"/>
      <c r="D351" s="104"/>
      <c r="E351" s="104"/>
      <c r="F351" s="104"/>
      <c r="G351" s="104"/>
      <c r="H351" s="104"/>
      <c r="I351" s="104"/>
      <c r="J351" s="104"/>
    </row>
    <row r="352" spans="1:10" ht="12.75">
      <c r="A352" s="104"/>
      <c r="B352" s="104"/>
      <c r="C352" s="104"/>
      <c r="D352" s="104"/>
      <c r="E352" s="104"/>
      <c r="F352" s="104"/>
      <c r="G352" s="104"/>
      <c r="H352" s="104"/>
      <c r="I352" s="104"/>
      <c r="J352" s="104"/>
    </row>
    <row r="353" spans="1:10" ht="12.75">
      <c r="A353" s="104"/>
      <c r="B353" s="104"/>
      <c r="C353" s="104"/>
      <c r="D353" s="104"/>
      <c r="E353" s="104"/>
      <c r="F353" s="104"/>
      <c r="G353" s="104"/>
      <c r="H353" s="104"/>
      <c r="I353" s="104"/>
      <c r="J353" s="104"/>
    </row>
    <row r="354" spans="1:10" ht="12.75">
      <c r="A354" s="104"/>
      <c r="B354" s="104"/>
      <c r="C354" s="104"/>
      <c r="D354" s="104"/>
      <c r="E354" s="104"/>
      <c r="F354" s="104"/>
      <c r="G354" s="104"/>
      <c r="H354" s="104"/>
      <c r="I354" s="104"/>
      <c r="J354" s="104"/>
    </row>
    <row r="355" spans="1:10" ht="12.75">
      <c r="A355" s="104"/>
      <c r="B355" s="104"/>
      <c r="C355" s="104"/>
      <c r="D355" s="104"/>
      <c r="E355" s="104"/>
      <c r="F355" s="104"/>
      <c r="G355" s="104"/>
      <c r="H355" s="104"/>
      <c r="I355" s="104"/>
      <c r="J355" s="104"/>
    </row>
    <row r="356" spans="1:10" ht="12.75">
      <c r="A356" s="104"/>
      <c r="B356" s="104"/>
      <c r="C356" s="104"/>
      <c r="D356" s="104"/>
      <c r="E356" s="104"/>
      <c r="F356" s="104"/>
      <c r="G356" s="104"/>
      <c r="H356" s="104"/>
      <c r="I356" s="104"/>
      <c r="J356" s="104"/>
    </row>
    <row r="357" spans="1:10" ht="12.75">
      <c r="A357" s="104"/>
      <c r="B357" s="104"/>
      <c r="C357" s="104"/>
      <c r="D357" s="104"/>
      <c r="E357" s="104"/>
      <c r="F357" s="104"/>
      <c r="G357" s="104"/>
      <c r="H357" s="104"/>
      <c r="I357" s="104"/>
      <c r="J357" s="104"/>
    </row>
    <row r="358" spans="1:10" ht="12.75">
      <c r="A358" s="104"/>
      <c r="B358" s="104"/>
      <c r="C358" s="104"/>
      <c r="D358" s="104"/>
      <c r="E358" s="104"/>
      <c r="F358" s="104"/>
      <c r="G358" s="104"/>
      <c r="H358" s="104"/>
      <c r="I358" s="104"/>
      <c r="J358" s="104"/>
    </row>
    <row r="359" spans="1:10" ht="12.75">
      <c r="A359" s="104"/>
      <c r="B359" s="104"/>
      <c r="C359" s="104"/>
      <c r="D359" s="104"/>
      <c r="E359" s="104"/>
      <c r="F359" s="104"/>
      <c r="G359" s="104"/>
      <c r="H359" s="104"/>
      <c r="I359" s="104"/>
      <c r="J359" s="104"/>
    </row>
    <row r="360" spans="1:10" ht="12.75">
      <c r="A360" s="104"/>
      <c r="B360" s="104"/>
      <c r="C360" s="104"/>
      <c r="D360" s="104"/>
      <c r="E360" s="104"/>
      <c r="F360" s="104"/>
      <c r="G360" s="104"/>
      <c r="H360" s="104"/>
      <c r="I360" s="104"/>
      <c r="J360" s="104"/>
    </row>
    <row r="361" spans="1:10" ht="12.75">
      <c r="A361" s="104"/>
      <c r="B361" s="104"/>
      <c r="C361" s="104"/>
      <c r="D361" s="104"/>
      <c r="E361" s="104"/>
      <c r="F361" s="104"/>
      <c r="G361" s="104"/>
      <c r="H361" s="104"/>
      <c r="I361" s="104"/>
      <c r="J361" s="104"/>
    </row>
    <row r="362" spans="1:10" ht="12.75">
      <c r="A362" s="104"/>
      <c r="B362" s="104"/>
      <c r="C362" s="104"/>
      <c r="D362" s="104"/>
      <c r="E362" s="104"/>
      <c r="F362" s="104"/>
      <c r="G362" s="104"/>
      <c r="H362" s="104"/>
      <c r="I362" s="104"/>
      <c r="J362" s="104"/>
    </row>
    <row r="363" spans="1:10" ht="12.75">
      <c r="A363" s="104"/>
      <c r="B363" s="104"/>
      <c r="C363" s="104"/>
      <c r="D363" s="104"/>
      <c r="E363" s="104"/>
      <c r="F363" s="104"/>
      <c r="G363" s="104"/>
      <c r="H363" s="104"/>
      <c r="I363" s="104"/>
      <c r="J363" s="104"/>
    </row>
    <row r="364" spans="1:10" ht="12.75">
      <c r="A364" s="104"/>
      <c r="B364" s="104"/>
      <c r="C364" s="104"/>
      <c r="D364" s="104"/>
      <c r="E364" s="104"/>
      <c r="F364" s="104"/>
      <c r="G364" s="104"/>
      <c r="H364" s="104"/>
      <c r="I364" s="104"/>
      <c r="J364" s="104"/>
    </row>
    <row r="365" spans="1:10" ht="12.75">
      <c r="A365" s="104"/>
      <c r="B365" s="104"/>
      <c r="C365" s="104"/>
      <c r="D365" s="104"/>
      <c r="E365" s="104"/>
      <c r="F365" s="104"/>
      <c r="G365" s="104"/>
      <c r="H365" s="104"/>
      <c r="I365" s="104"/>
      <c r="J365" s="104"/>
    </row>
    <row r="366" spans="1:10" ht="12.75">
      <c r="A366" s="104"/>
      <c r="B366" s="104"/>
      <c r="C366" s="104"/>
      <c r="D366" s="104"/>
      <c r="E366" s="104"/>
      <c r="F366" s="104"/>
      <c r="G366" s="104"/>
      <c r="H366" s="104"/>
      <c r="I366" s="104"/>
      <c r="J366" s="104"/>
    </row>
    <row r="367" spans="1:10" ht="12.75">
      <c r="A367" s="104"/>
      <c r="B367" s="104"/>
      <c r="C367" s="104"/>
      <c r="D367" s="104"/>
      <c r="E367" s="104"/>
      <c r="F367" s="104"/>
      <c r="G367" s="104"/>
      <c r="H367" s="104"/>
      <c r="I367" s="104"/>
      <c r="J367" s="104"/>
    </row>
    <row r="368" spans="1:10" ht="12.75">
      <c r="A368" s="104"/>
      <c r="B368" s="104"/>
      <c r="C368" s="104"/>
      <c r="D368" s="104"/>
      <c r="E368" s="104"/>
      <c r="F368" s="104"/>
      <c r="G368" s="104"/>
      <c r="H368" s="104"/>
      <c r="I368" s="104"/>
      <c r="J368" s="104"/>
    </row>
    <row r="369" spans="1:10" ht="12.75">
      <c r="A369" s="104"/>
      <c r="B369" s="104"/>
      <c r="C369" s="104"/>
      <c r="D369" s="104"/>
      <c r="E369" s="104"/>
      <c r="F369" s="104"/>
      <c r="G369" s="104"/>
      <c r="H369" s="104"/>
      <c r="I369" s="104"/>
      <c r="J369" s="104"/>
    </row>
    <row r="370" spans="1:10" ht="12.75">
      <c r="A370" s="104"/>
      <c r="B370" s="104"/>
      <c r="C370" s="104"/>
      <c r="D370" s="104"/>
      <c r="E370" s="104"/>
      <c r="F370" s="104"/>
      <c r="G370" s="104"/>
      <c r="H370" s="104"/>
      <c r="I370" s="104"/>
      <c r="J370" s="104"/>
    </row>
    <row r="371" spans="1:10" ht="12.75">
      <c r="A371" s="104"/>
      <c r="B371" s="104"/>
      <c r="C371" s="104"/>
      <c r="D371" s="104"/>
      <c r="E371" s="104"/>
      <c r="F371" s="104"/>
      <c r="G371" s="104"/>
      <c r="H371" s="104"/>
      <c r="I371" s="104"/>
      <c r="J371" s="104"/>
    </row>
    <row r="372" spans="1:10" ht="12.75">
      <c r="A372" s="104"/>
      <c r="B372" s="104"/>
      <c r="C372" s="104"/>
      <c r="D372" s="104"/>
      <c r="E372" s="104"/>
      <c r="F372" s="104"/>
      <c r="G372" s="104"/>
      <c r="H372" s="104"/>
      <c r="I372" s="104"/>
      <c r="J372" s="104"/>
    </row>
    <row r="373" spans="1:10" ht="12.75">
      <c r="A373" s="104"/>
      <c r="B373" s="104"/>
      <c r="C373" s="104"/>
      <c r="D373" s="104"/>
      <c r="E373" s="104"/>
      <c r="F373" s="104"/>
      <c r="G373" s="104"/>
      <c r="H373" s="104"/>
      <c r="I373" s="104"/>
      <c r="J373" s="104"/>
    </row>
    <row r="374" spans="1:10" ht="12.75">
      <c r="A374" s="104"/>
      <c r="B374" s="104"/>
      <c r="C374" s="104"/>
      <c r="D374" s="104"/>
      <c r="E374" s="104"/>
      <c r="F374" s="104"/>
      <c r="G374" s="104"/>
      <c r="H374" s="104"/>
      <c r="I374" s="104"/>
      <c r="J374" s="104"/>
    </row>
    <row r="375" spans="1:10" ht="12.75">
      <c r="A375" s="104"/>
      <c r="B375" s="104"/>
      <c r="C375" s="104"/>
      <c r="D375" s="104"/>
      <c r="E375" s="104"/>
      <c r="F375" s="104"/>
      <c r="G375" s="104"/>
      <c r="H375" s="104"/>
      <c r="I375" s="104"/>
      <c r="J375" s="104"/>
    </row>
    <row r="376" spans="1:10" ht="12.75">
      <c r="A376" s="104"/>
      <c r="B376" s="104"/>
      <c r="C376" s="104"/>
      <c r="D376" s="104"/>
      <c r="E376" s="104"/>
      <c r="F376" s="104"/>
      <c r="G376" s="104"/>
      <c r="H376" s="104"/>
      <c r="I376" s="104"/>
      <c r="J376" s="104"/>
    </row>
    <row r="377" spans="1:10" ht="12.75">
      <c r="A377" s="104"/>
      <c r="B377" s="104"/>
      <c r="C377" s="104"/>
      <c r="D377" s="104"/>
      <c r="E377" s="104"/>
      <c r="F377" s="104"/>
      <c r="G377" s="104"/>
      <c r="H377" s="104"/>
      <c r="I377" s="104"/>
      <c r="J377" s="104"/>
    </row>
    <row r="378" spans="1:10" ht="12.75">
      <c r="A378" s="104"/>
      <c r="B378" s="104"/>
      <c r="C378" s="104"/>
      <c r="D378" s="104"/>
      <c r="E378" s="104"/>
      <c r="F378" s="104"/>
      <c r="G378" s="104"/>
      <c r="H378" s="104"/>
      <c r="I378" s="104"/>
      <c r="J378" s="104"/>
    </row>
    <row r="379" spans="1:10" ht="12.75">
      <c r="A379" s="104"/>
      <c r="B379" s="104"/>
      <c r="C379" s="104"/>
      <c r="D379" s="104"/>
      <c r="E379" s="104"/>
      <c r="F379" s="104"/>
      <c r="G379" s="104"/>
      <c r="H379" s="104"/>
      <c r="I379" s="104"/>
      <c r="J379" s="104"/>
    </row>
    <row r="380" spans="1:10" ht="12.75">
      <c r="A380" s="104"/>
      <c r="B380" s="104"/>
      <c r="C380" s="104"/>
      <c r="D380" s="104"/>
      <c r="E380" s="104"/>
      <c r="F380" s="104"/>
      <c r="G380" s="104"/>
      <c r="H380" s="104"/>
      <c r="I380" s="104"/>
      <c r="J380" s="104"/>
    </row>
    <row r="381" spans="1:10" ht="12.75">
      <c r="A381" s="104"/>
      <c r="B381" s="104"/>
      <c r="C381" s="104"/>
      <c r="D381" s="104"/>
      <c r="E381" s="104"/>
      <c r="F381" s="104"/>
      <c r="G381" s="104"/>
      <c r="H381" s="104"/>
      <c r="I381" s="104"/>
      <c r="J381" s="104"/>
    </row>
    <row r="382" spans="1:10" ht="12.75">
      <c r="A382" s="104"/>
      <c r="B382" s="104"/>
      <c r="C382" s="104"/>
      <c r="D382" s="104"/>
      <c r="E382" s="104"/>
      <c r="F382" s="104"/>
      <c r="G382" s="104"/>
      <c r="H382" s="104"/>
      <c r="I382" s="104"/>
      <c r="J382" s="104"/>
    </row>
    <row r="383" spans="1:10" ht="12.75">
      <c r="A383" s="104"/>
      <c r="B383" s="104"/>
      <c r="C383" s="104"/>
      <c r="D383" s="104"/>
      <c r="E383" s="104"/>
      <c r="F383" s="104"/>
      <c r="G383" s="104"/>
      <c r="H383" s="104"/>
      <c r="I383" s="104"/>
      <c r="J383" s="104"/>
    </row>
    <row r="384" spans="1:10" ht="12.75">
      <c r="A384" s="104"/>
      <c r="B384" s="104"/>
      <c r="C384" s="104"/>
      <c r="D384" s="104"/>
      <c r="E384" s="104"/>
      <c r="F384" s="104"/>
      <c r="G384" s="104"/>
      <c r="H384" s="104"/>
      <c r="I384" s="104"/>
      <c r="J384" s="104"/>
    </row>
    <row r="385" spans="1:10" ht="12.75">
      <c r="A385" s="104"/>
      <c r="B385" s="104"/>
      <c r="C385" s="104"/>
      <c r="D385" s="104"/>
      <c r="E385" s="104"/>
      <c r="F385" s="104"/>
      <c r="G385" s="104"/>
      <c r="H385" s="104"/>
      <c r="I385" s="104"/>
      <c r="J385" s="104"/>
    </row>
    <row r="386" spans="1:10" ht="12.75">
      <c r="A386" s="104"/>
      <c r="B386" s="104"/>
      <c r="C386" s="104"/>
      <c r="D386" s="104"/>
      <c r="E386" s="104"/>
      <c r="F386" s="104"/>
      <c r="G386" s="104"/>
      <c r="H386" s="104"/>
      <c r="I386" s="104"/>
      <c r="J386" s="104"/>
    </row>
    <row r="387" spans="1:10" ht="12.75">
      <c r="A387" s="104"/>
      <c r="B387" s="104"/>
      <c r="C387" s="104"/>
      <c r="D387" s="104"/>
      <c r="E387" s="104"/>
      <c r="F387" s="104"/>
      <c r="G387" s="104"/>
      <c r="H387" s="104"/>
      <c r="I387" s="104"/>
      <c r="J387" s="104"/>
    </row>
    <row r="388" spans="1:10" ht="12.75">
      <c r="A388" s="104"/>
      <c r="B388" s="104"/>
      <c r="C388" s="104"/>
      <c r="D388" s="104"/>
      <c r="E388" s="104"/>
      <c r="F388" s="104"/>
      <c r="G388" s="104"/>
      <c r="H388" s="104"/>
      <c r="I388" s="104"/>
      <c r="J388" s="104"/>
    </row>
    <row r="389" spans="1:10" ht="12.75">
      <c r="A389" s="104"/>
      <c r="B389" s="104"/>
      <c r="C389" s="104"/>
      <c r="D389" s="104"/>
      <c r="E389" s="104"/>
      <c r="F389" s="104"/>
      <c r="G389" s="104"/>
      <c r="H389" s="104"/>
      <c r="I389" s="104"/>
      <c r="J389" s="104"/>
    </row>
    <row r="390" spans="1:10" ht="12.75">
      <c r="A390" s="104"/>
      <c r="B390" s="104"/>
      <c r="C390" s="104"/>
      <c r="D390" s="104"/>
      <c r="E390" s="104"/>
      <c r="F390" s="104"/>
      <c r="G390" s="104"/>
      <c r="H390" s="104"/>
      <c r="I390" s="104"/>
      <c r="J390" s="104"/>
    </row>
    <row r="391" spans="1:10" ht="12.75">
      <c r="A391" s="104"/>
      <c r="B391" s="104"/>
      <c r="C391" s="104"/>
      <c r="D391" s="104"/>
      <c r="E391" s="104"/>
      <c r="F391" s="104"/>
      <c r="G391" s="104"/>
      <c r="H391" s="104"/>
      <c r="I391" s="104"/>
      <c r="J391" s="104"/>
    </row>
    <row r="392" spans="1:10" ht="12.75">
      <c r="A392" s="104"/>
      <c r="B392" s="104"/>
      <c r="C392" s="104"/>
      <c r="D392" s="104"/>
      <c r="E392" s="104"/>
      <c r="F392" s="104"/>
      <c r="G392" s="104"/>
      <c r="H392" s="104"/>
      <c r="I392" s="104"/>
      <c r="J392" s="104"/>
    </row>
    <row r="393" spans="1:10" ht="12.75">
      <c r="A393" s="104"/>
      <c r="B393" s="104"/>
      <c r="C393" s="104"/>
      <c r="D393" s="104"/>
      <c r="E393" s="104"/>
      <c r="F393" s="104"/>
      <c r="G393" s="104"/>
      <c r="H393" s="104"/>
      <c r="I393" s="104"/>
      <c r="J393" s="104"/>
    </row>
    <row r="394" spans="1:10" ht="12.75">
      <c r="A394" s="104"/>
      <c r="B394" s="104"/>
      <c r="C394" s="104"/>
      <c r="D394" s="104"/>
      <c r="E394" s="104"/>
      <c r="F394" s="104"/>
      <c r="G394" s="104"/>
      <c r="H394" s="104"/>
      <c r="I394" s="104"/>
      <c r="J394" s="104"/>
    </row>
    <row r="395" spans="1:10" ht="12.75">
      <c r="A395" s="104"/>
      <c r="B395" s="104"/>
      <c r="C395" s="104"/>
      <c r="D395" s="104"/>
      <c r="E395" s="104"/>
      <c r="F395" s="104"/>
      <c r="G395" s="104"/>
      <c r="H395" s="104"/>
      <c r="I395" s="104"/>
      <c r="J395" s="104"/>
    </row>
    <row r="396" spans="1:10" ht="12.75">
      <c r="A396" s="104"/>
      <c r="B396" s="104"/>
      <c r="C396" s="104"/>
      <c r="D396" s="104"/>
      <c r="E396" s="104"/>
      <c r="F396" s="104"/>
      <c r="G396" s="104"/>
      <c r="H396" s="104"/>
      <c r="I396" s="104"/>
      <c r="J396" s="104"/>
    </row>
    <row r="397" spans="1:10" ht="12.75">
      <c r="A397" s="104"/>
      <c r="B397" s="104"/>
      <c r="C397" s="104"/>
      <c r="D397" s="104"/>
      <c r="E397" s="104"/>
      <c r="F397" s="104"/>
      <c r="G397" s="104"/>
      <c r="H397" s="104"/>
      <c r="I397" s="104"/>
      <c r="J397" s="104"/>
    </row>
    <row r="398" spans="1:10" ht="12.75">
      <c r="A398" s="104"/>
      <c r="B398" s="104"/>
      <c r="C398" s="104"/>
      <c r="D398" s="104"/>
      <c r="E398" s="104"/>
      <c r="F398" s="104"/>
      <c r="G398" s="104"/>
      <c r="H398" s="104"/>
      <c r="I398" s="104"/>
      <c r="J398" s="104"/>
    </row>
    <row r="399" spans="1:10" ht="12.75">
      <c r="A399" s="104"/>
      <c r="B399" s="104"/>
      <c r="C399" s="104"/>
      <c r="D399" s="104"/>
      <c r="E399" s="104"/>
      <c r="F399" s="104"/>
      <c r="G399" s="104"/>
      <c r="H399" s="104"/>
      <c r="I399" s="104"/>
      <c r="J399" s="104"/>
    </row>
    <row r="400" spans="1:10" ht="12.75">
      <c r="A400" s="104"/>
      <c r="B400" s="104"/>
      <c r="C400" s="104"/>
      <c r="D400" s="104"/>
      <c r="E400" s="104"/>
      <c r="F400" s="104"/>
      <c r="G400" s="104"/>
      <c r="H400" s="104"/>
      <c r="I400" s="104"/>
      <c r="J400" s="104"/>
    </row>
    <row r="401" spans="1:10" ht="12.75">
      <c r="A401" s="104"/>
      <c r="B401" s="104"/>
      <c r="C401" s="104"/>
      <c r="D401" s="104"/>
      <c r="E401" s="104"/>
      <c r="F401" s="104"/>
      <c r="G401" s="104"/>
      <c r="H401" s="104"/>
      <c r="I401" s="104"/>
      <c r="J401" s="104"/>
    </row>
    <row r="402" spans="1:10" ht="12.75">
      <c r="A402" s="104"/>
      <c r="B402" s="104"/>
      <c r="C402" s="104"/>
      <c r="D402" s="104"/>
      <c r="E402" s="104"/>
      <c r="F402" s="104"/>
      <c r="G402" s="104"/>
      <c r="H402" s="104"/>
      <c r="I402" s="104"/>
      <c r="J402" s="104"/>
    </row>
    <row r="403" spans="1:10" ht="12.75">
      <c r="A403" s="104"/>
      <c r="B403" s="104"/>
      <c r="C403" s="104"/>
      <c r="D403" s="104"/>
      <c r="E403" s="104"/>
      <c r="F403" s="104"/>
      <c r="G403" s="104"/>
      <c r="H403" s="104"/>
      <c r="I403" s="104"/>
      <c r="J403" s="104"/>
    </row>
    <row r="404" spans="1:10" ht="12.75">
      <c r="A404" s="104"/>
      <c r="B404" s="104"/>
      <c r="C404" s="104"/>
      <c r="D404" s="104"/>
      <c r="E404" s="104"/>
      <c r="F404" s="104"/>
      <c r="G404" s="104"/>
      <c r="H404" s="104"/>
      <c r="I404" s="104"/>
      <c r="J404" s="104"/>
    </row>
    <row r="405" spans="1:10" ht="12.75">
      <c r="A405" s="104"/>
      <c r="B405" s="104"/>
      <c r="C405" s="104"/>
      <c r="D405" s="104"/>
      <c r="E405" s="104"/>
      <c r="F405" s="104"/>
      <c r="G405" s="104"/>
      <c r="H405" s="104"/>
      <c r="I405" s="104"/>
      <c r="J405" s="104"/>
    </row>
    <row r="406" spans="1:10" ht="12.75">
      <c r="A406" s="104"/>
      <c r="B406" s="104"/>
      <c r="C406" s="104"/>
      <c r="D406" s="104"/>
      <c r="E406" s="104"/>
      <c r="F406" s="104"/>
      <c r="G406" s="104"/>
      <c r="H406" s="104"/>
      <c r="I406" s="104"/>
      <c r="J406" s="104"/>
    </row>
    <row r="407" spans="1:10" ht="12.75">
      <c r="A407" s="104"/>
      <c r="B407" s="104"/>
      <c r="C407" s="104"/>
      <c r="D407" s="104"/>
      <c r="E407" s="104"/>
      <c r="F407" s="104"/>
      <c r="G407" s="104"/>
      <c r="H407" s="104"/>
      <c r="I407" s="104"/>
      <c r="J407" s="104"/>
    </row>
    <row r="408" spans="1:10" ht="12.75">
      <c r="A408" s="104"/>
      <c r="B408" s="104"/>
      <c r="C408" s="104"/>
      <c r="D408" s="104"/>
      <c r="E408" s="104"/>
      <c r="F408" s="104"/>
      <c r="G408" s="104"/>
      <c r="H408" s="104"/>
      <c r="I408" s="104"/>
      <c r="J408" s="104"/>
    </row>
    <row r="409" spans="1:10" ht="12.75">
      <c r="A409" s="104"/>
      <c r="B409" s="104"/>
      <c r="C409" s="104"/>
      <c r="D409" s="104"/>
      <c r="E409" s="104"/>
      <c r="F409" s="104"/>
      <c r="G409" s="104"/>
      <c r="H409" s="104"/>
      <c r="I409" s="104"/>
      <c r="J409" s="104"/>
    </row>
    <row r="410" spans="1:10" ht="12.75">
      <c r="A410" s="104"/>
      <c r="B410" s="104"/>
      <c r="C410" s="104"/>
      <c r="D410" s="104"/>
      <c r="E410" s="104"/>
      <c r="F410" s="104"/>
      <c r="G410" s="104"/>
      <c r="H410" s="104"/>
      <c r="I410" s="104"/>
      <c r="J410" s="104"/>
    </row>
    <row r="411" spans="1:10" ht="12.75">
      <c r="A411" s="104"/>
      <c r="B411" s="104"/>
      <c r="C411" s="104"/>
      <c r="D411" s="104"/>
      <c r="E411" s="104"/>
      <c r="F411" s="104"/>
      <c r="G411" s="104"/>
      <c r="H411" s="104"/>
      <c r="I411" s="104"/>
      <c r="J411" s="104"/>
    </row>
    <row r="412" spans="1:10" ht="12.75">
      <c r="A412" s="104"/>
      <c r="B412" s="104"/>
      <c r="C412" s="104"/>
      <c r="D412" s="104"/>
      <c r="E412" s="104"/>
      <c r="F412" s="104"/>
      <c r="G412" s="104"/>
      <c r="H412" s="104"/>
      <c r="I412" s="104"/>
      <c r="J412" s="104"/>
    </row>
    <row r="413" spans="1:10" ht="12.75">
      <c r="A413" s="104"/>
      <c r="B413" s="104"/>
      <c r="C413" s="104"/>
      <c r="D413" s="104"/>
      <c r="E413" s="104"/>
      <c r="F413" s="104"/>
      <c r="G413" s="104"/>
      <c r="H413" s="104"/>
      <c r="I413" s="104"/>
      <c r="J413" s="104"/>
    </row>
    <row r="414" spans="1:10" ht="12.75">
      <c r="A414" s="104"/>
      <c r="B414" s="104"/>
      <c r="C414" s="104"/>
      <c r="D414" s="104"/>
      <c r="E414" s="104"/>
      <c r="F414" s="104"/>
      <c r="G414" s="104"/>
      <c r="H414" s="104"/>
      <c r="I414" s="104"/>
      <c r="J414" s="104"/>
    </row>
    <row r="415" spans="1:10" ht="12.75">
      <c r="A415" s="104"/>
      <c r="B415" s="104"/>
      <c r="C415" s="104"/>
      <c r="D415" s="104"/>
      <c r="E415" s="104"/>
      <c r="F415" s="104"/>
      <c r="G415" s="104"/>
      <c r="H415" s="104"/>
      <c r="I415" s="104"/>
      <c r="J415" s="104"/>
    </row>
    <row r="416" spans="1:10" ht="12.75">
      <c r="A416" s="104"/>
      <c r="B416" s="104"/>
      <c r="C416" s="104"/>
      <c r="D416" s="104"/>
      <c r="E416" s="104"/>
      <c r="F416" s="104"/>
      <c r="G416" s="104"/>
      <c r="H416" s="104"/>
      <c r="I416" s="104"/>
      <c r="J416" s="104"/>
    </row>
    <row r="417" spans="1:10" ht="12.75">
      <c r="A417" s="104"/>
      <c r="B417" s="104"/>
      <c r="C417" s="104"/>
      <c r="D417" s="104"/>
      <c r="E417" s="104"/>
      <c r="F417" s="104"/>
      <c r="G417" s="104"/>
      <c r="H417" s="104"/>
      <c r="I417" s="104"/>
      <c r="J417" s="104"/>
    </row>
    <row r="418" spans="1:10" ht="12.75">
      <c r="A418" s="104"/>
      <c r="B418" s="104"/>
      <c r="C418" s="104"/>
      <c r="D418" s="104"/>
      <c r="E418" s="104"/>
      <c r="F418" s="104"/>
      <c r="G418" s="104"/>
      <c r="H418" s="104"/>
      <c r="I418" s="104"/>
      <c r="J418" s="104"/>
    </row>
    <row r="419" spans="1:10" ht="12.75">
      <c r="A419" s="104"/>
      <c r="B419" s="104"/>
      <c r="C419" s="104"/>
      <c r="D419" s="104"/>
      <c r="E419" s="104"/>
      <c r="F419" s="104"/>
      <c r="G419" s="104"/>
      <c r="H419" s="104"/>
      <c r="I419" s="104"/>
      <c r="J419" s="104"/>
    </row>
    <row r="420" spans="1:10" ht="12.75">
      <c r="A420" s="104"/>
      <c r="B420" s="104"/>
      <c r="C420" s="104"/>
      <c r="D420" s="104"/>
      <c r="E420" s="104"/>
      <c r="F420" s="104"/>
      <c r="G420" s="104"/>
      <c r="H420" s="104"/>
      <c r="I420" s="104"/>
      <c r="J420" s="104"/>
    </row>
    <row r="421" spans="1:10" ht="12.75">
      <c r="A421" s="104"/>
      <c r="B421" s="104"/>
      <c r="C421" s="104"/>
      <c r="D421" s="104"/>
      <c r="E421" s="104"/>
      <c r="F421" s="104"/>
      <c r="G421" s="104"/>
      <c r="H421" s="104"/>
      <c r="I421" s="104"/>
      <c r="J421" s="104"/>
    </row>
    <row r="422" spans="1:10" ht="12.75">
      <c r="A422" s="104"/>
      <c r="B422" s="104"/>
      <c r="C422" s="104"/>
      <c r="D422" s="104"/>
      <c r="E422" s="104"/>
      <c r="F422" s="104"/>
      <c r="G422" s="104"/>
      <c r="H422" s="104"/>
      <c r="I422" s="104"/>
      <c r="J422" s="104"/>
    </row>
    <row r="423" spans="1:10" ht="12.75">
      <c r="A423" s="104"/>
      <c r="B423" s="104"/>
      <c r="C423" s="104"/>
      <c r="D423" s="104"/>
      <c r="E423" s="104"/>
      <c r="F423" s="104"/>
      <c r="G423" s="104"/>
      <c r="H423" s="104"/>
      <c r="I423" s="104"/>
      <c r="J423" s="104"/>
    </row>
    <row r="424" spans="1:10" ht="12.75">
      <c r="A424" s="104"/>
      <c r="B424" s="104"/>
      <c r="C424" s="104"/>
      <c r="D424" s="104"/>
      <c r="E424" s="104"/>
      <c r="F424" s="104"/>
      <c r="G424" s="104"/>
      <c r="H424" s="104"/>
      <c r="I424" s="104"/>
      <c r="J424" s="104"/>
    </row>
    <row r="425" spans="1:10" ht="12.75">
      <c r="A425" s="104"/>
      <c r="B425" s="104"/>
      <c r="C425" s="104"/>
      <c r="D425" s="104"/>
      <c r="E425" s="104"/>
      <c r="F425" s="104"/>
      <c r="G425" s="104"/>
      <c r="H425" s="104"/>
      <c r="I425" s="104"/>
      <c r="J425" s="104"/>
    </row>
    <row r="426" spans="1:10" ht="12.75">
      <c r="A426" s="104"/>
      <c r="B426" s="104"/>
      <c r="C426" s="104"/>
      <c r="D426" s="104"/>
      <c r="E426" s="104"/>
      <c r="F426" s="104"/>
      <c r="G426" s="104"/>
      <c r="H426" s="104"/>
      <c r="I426" s="104"/>
      <c r="J426" s="104"/>
    </row>
    <row r="427" spans="1:10" ht="12.75">
      <c r="A427" s="104"/>
      <c r="B427" s="104"/>
      <c r="C427" s="104"/>
      <c r="D427" s="104"/>
      <c r="E427" s="104"/>
      <c r="F427" s="104"/>
      <c r="G427" s="104"/>
      <c r="H427" s="104"/>
      <c r="I427" s="104"/>
      <c r="J427" s="104"/>
    </row>
    <row r="428" spans="1:10" ht="12.75">
      <c r="A428" s="104"/>
      <c r="B428" s="104"/>
      <c r="C428" s="104"/>
      <c r="D428" s="104"/>
      <c r="E428" s="104"/>
      <c r="F428" s="104"/>
      <c r="G428" s="104"/>
      <c r="H428" s="104"/>
      <c r="I428" s="104"/>
      <c r="J428" s="104"/>
    </row>
    <row r="429" spans="1:10" ht="12.75">
      <c r="A429" s="104"/>
      <c r="B429" s="104"/>
      <c r="C429" s="104"/>
      <c r="D429" s="104"/>
      <c r="E429" s="104"/>
      <c r="F429" s="104"/>
      <c r="G429" s="104"/>
      <c r="H429" s="104"/>
      <c r="I429" s="104"/>
      <c r="J429" s="104"/>
    </row>
    <row r="430" spans="1:10" ht="12.75">
      <c r="A430" s="104"/>
      <c r="B430" s="104"/>
      <c r="C430" s="104"/>
      <c r="D430" s="104"/>
      <c r="E430" s="104"/>
      <c r="F430" s="104"/>
      <c r="G430" s="104"/>
      <c r="H430" s="104"/>
      <c r="I430" s="104"/>
      <c r="J430" s="104"/>
    </row>
    <row r="431" spans="1:10" ht="12.75">
      <c r="A431" s="104"/>
      <c r="B431" s="104"/>
      <c r="C431" s="104"/>
      <c r="D431" s="104"/>
      <c r="E431" s="104"/>
      <c r="F431" s="104"/>
      <c r="G431" s="104"/>
      <c r="H431" s="104"/>
      <c r="I431" s="104"/>
      <c r="J431" s="104"/>
    </row>
    <row r="432" spans="1:10" ht="12.75">
      <c r="A432" s="104"/>
      <c r="B432" s="104"/>
      <c r="C432" s="104"/>
      <c r="D432" s="104"/>
      <c r="E432" s="104"/>
      <c r="F432" s="104"/>
      <c r="G432" s="104"/>
      <c r="H432" s="104"/>
      <c r="I432" s="104"/>
      <c r="J432" s="104"/>
    </row>
    <row r="433" spans="1:10" ht="12.75">
      <c r="A433" s="104"/>
      <c r="B433" s="104"/>
      <c r="C433" s="104"/>
      <c r="D433" s="104"/>
      <c r="E433" s="104"/>
      <c r="F433" s="104"/>
      <c r="G433" s="104"/>
      <c r="H433" s="104"/>
      <c r="I433" s="104"/>
      <c r="J433" s="104"/>
    </row>
    <row r="434" spans="1:10" ht="12.75">
      <c r="A434" s="104"/>
      <c r="B434" s="104"/>
      <c r="C434" s="104"/>
      <c r="D434" s="104"/>
      <c r="E434" s="104"/>
      <c r="F434" s="104"/>
      <c r="G434" s="104"/>
      <c r="H434" s="104"/>
      <c r="I434" s="104"/>
      <c r="J434" s="104"/>
    </row>
    <row r="435" spans="1:10" ht="12.75">
      <c r="A435" s="104"/>
      <c r="B435" s="104"/>
      <c r="C435" s="104"/>
      <c r="D435" s="104"/>
      <c r="E435" s="104"/>
      <c r="F435" s="104"/>
      <c r="G435" s="104"/>
      <c r="H435" s="104"/>
      <c r="I435" s="104"/>
      <c r="J435" s="104"/>
    </row>
    <row r="436" spans="1:10" ht="12.75">
      <c r="A436" s="104"/>
      <c r="B436" s="104"/>
      <c r="C436" s="104"/>
      <c r="D436" s="104"/>
      <c r="E436" s="104"/>
      <c r="F436" s="104"/>
      <c r="G436" s="104"/>
      <c r="H436" s="104"/>
      <c r="I436" s="104"/>
      <c r="J436" s="104"/>
    </row>
    <row r="437" spans="1:10" ht="12.75">
      <c r="A437" s="104"/>
      <c r="B437" s="104"/>
      <c r="C437" s="104"/>
      <c r="D437" s="104"/>
      <c r="E437" s="104"/>
      <c r="F437" s="104"/>
      <c r="G437" s="104"/>
      <c r="H437" s="104"/>
      <c r="I437" s="104"/>
      <c r="J437" s="104"/>
    </row>
    <row r="438" spans="1:10" ht="12.75">
      <c r="A438" s="104"/>
      <c r="B438" s="104"/>
      <c r="C438" s="104"/>
      <c r="D438" s="104"/>
      <c r="E438" s="104"/>
      <c r="F438" s="104"/>
      <c r="G438" s="104"/>
      <c r="H438" s="104"/>
      <c r="I438" s="104"/>
      <c r="J438" s="104"/>
    </row>
    <row r="439" spans="1:10" ht="12.75">
      <c r="A439" s="104"/>
      <c r="B439" s="104"/>
      <c r="C439" s="104"/>
      <c r="D439" s="104"/>
      <c r="E439" s="104"/>
      <c r="F439" s="104"/>
      <c r="G439" s="104"/>
      <c r="H439" s="104"/>
      <c r="I439" s="104"/>
      <c r="J439" s="104"/>
    </row>
    <row r="440" spans="1:10" ht="12.75">
      <c r="A440" s="104"/>
      <c r="B440" s="104"/>
      <c r="C440" s="104"/>
      <c r="D440" s="104"/>
      <c r="E440" s="104"/>
      <c r="F440" s="104"/>
      <c r="G440" s="104"/>
      <c r="H440" s="104"/>
      <c r="I440" s="104"/>
      <c r="J440" s="104"/>
    </row>
    <row r="441" spans="1:10" ht="12.75">
      <c r="A441" s="104"/>
      <c r="B441" s="104"/>
      <c r="C441" s="104"/>
      <c r="D441" s="104"/>
      <c r="E441" s="104"/>
      <c r="F441" s="104"/>
      <c r="G441" s="104"/>
      <c r="H441" s="104"/>
      <c r="I441" s="104"/>
      <c r="J441" s="104"/>
    </row>
    <row r="442" spans="1:10" ht="12.75">
      <c r="A442" s="104"/>
      <c r="B442" s="104"/>
      <c r="C442" s="104"/>
      <c r="D442" s="104"/>
      <c r="E442" s="104"/>
      <c r="F442" s="104"/>
      <c r="G442" s="104"/>
      <c r="H442" s="104"/>
      <c r="I442" s="104"/>
      <c r="J442" s="104"/>
    </row>
    <row r="443" spans="1:10" ht="12.75">
      <c r="A443" s="104"/>
      <c r="B443" s="104"/>
      <c r="C443" s="104"/>
      <c r="D443" s="104"/>
      <c r="E443" s="104"/>
      <c r="F443" s="104"/>
      <c r="G443" s="104"/>
      <c r="H443" s="104"/>
      <c r="I443" s="104"/>
      <c r="J443" s="104"/>
    </row>
    <row r="444" spans="1:10" ht="12.75">
      <c r="A444" s="104"/>
      <c r="B444" s="104"/>
      <c r="C444" s="104"/>
      <c r="D444" s="104"/>
      <c r="E444" s="104"/>
      <c r="F444" s="104"/>
      <c r="G444" s="104"/>
      <c r="H444" s="104"/>
      <c r="I444" s="104"/>
      <c r="J444" s="104"/>
    </row>
    <row r="445" spans="1:10" ht="12.75">
      <c r="A445" s="104"/>
      <c r="B445" s="104"/>
      <c r="C445" s="104"/>
      <c r="D445" s="104"/>
      <c r="E445" s="104"/>
      <c r="F445" s="104"/>
      <c r="G445" s="104"/>
      <c r="H445" s="104"/>
      <c r="I445" s="104"/>
      <c r="J445" s="104"/>
    </row>
    <row r="446" spans="1:10" ht="12.75">
      <c r="A446" s="104"/>
      <c r="B446" s="104"/>
      <c r="C446" s="104"/>
      <c r="D446" s="104"/>
      <c r="E446" s="104"/>
      <c r="F446" s="104"/>
      <c r="G446" s="104"/>
      <c r="H446" s="104"/>
      <c r="I446" s="104"/>
      <c r="J446" s="104"/>
    </row>
    <row r="447" spans="1:10" ht="12.75">
      <c r="A447" s="104"/>
      <c r="B447" s="104"/>
      <c r="C447" s="104"/>
      <c r="D447" s="104"/>
      <c r="E447" s="104"/>
      <c r="F447" s="104"/>
      <c r="G447" s="104"/>
      <c r="H447" s="104"/>
      <c r="I447" s="104"/>
      <c r="J447" s="104"/>
    </row>
    <row r="448" spans="1:10" ht="12.75">
      <c r="A448" s="104"/>
      <c r="B448" s="104"/>
      <c r="C448" s="104"/>
      <c r="D448" s="104"/>
      <c r="E448" s="104"/>
      <c r="F448" s="104"/>
      <c r="G448" s="104"/>
      <c r="H448" s="104"/>
      <c r="I448" s="104"/>
      <c r="J448" s="104"/>
    </row>
    <row r="449" spans="1:10" ht="12.75">
      <c r="A449" s="104"/>
      <c r="B449" s="104"/>
      <c r="C449" s="104"/>
      <c r="D449" s="104"/>
      <c r="E449" s="104"/>
      <c r="F449" s="104"/>
      <c r="G449" s="104"/>
      <c r="H449" s="104"/>
      <c r="I449" s="104"/>
      <c r="J449" s="104"/>
    </row>
    <row r="450" spans="1:10" ht="12.75">
      <c r="A450" s="104"/>
      <c r="B450" s="104"/>
      <c r="C450" s="104"/>
      <c r="D450" s="104"/>
      <c r="E450" s="104"/>
      <c r="F450" s="104"/>
      <c r="G450" s="104"/>
      <c r="H450" s="104"/>
      <c r="I450" s="104"/>
      <c r="J450" s="104"/>
    </row>
    <row r="451" spans="1:10" ht="12.75">
      <c r="A451" s="104"/>
      <c r="B451" s="104"/>
      <c r="C451" s="104"/>
      <c r="D451" s="104"/>
      <c r="E451" s="104"/>
      <c r="F451" s="104"/>
      <c r="G451" s="104"/>
      <c r="H451" s="104"/>
      <c r="I451" s="104"/>
      <c r="J451" s="104"/>
    </row>
    <row r="452" spans="1:10" ht="12.75">
      <c r="A452" s="104"/>
      <c r="B452" s="104"/>
      <c r="C452" s="104"/>
      <c r="D452" s="104"/>
      <c r="E452" s="104"/>
      <c r="F452" s="104"/>
      <c r="G452" s="104"/>
      <c r="H452" s="104"/>
      <c r="I452" s="104"/>
      <c r="J452" s="104"/>
    </row>
    <row r="453" spans="1:10" ht="12.75">
      <c r="A453" s="104"/>
      <c r="B453" s="104"/>
      <c r="C453" s="104"/>
      <c r="D453" s="104"/>
      <c r="E453" s="104"/>
      <c r="F453" s="104"/>
      <c r="G453" s="104"/>
      <c r="H453" s="104"/>
      <c r="I453" s="104"/>
      <c r="J453" s="104"/>
    </row>
    <row r="454" spans="1:10" ht="12.75">
      <c r="A454" s="104"/>
      <c r="B454" s="104"/>
      <c r="C454" s="104"/>
      <c r="D454" s="104"/>
      <c r="E454" s="104"/>
      <c r="F454" s="104"/>
      <c r="G454" s="104"/>
      <c r="H454" s="104"/>
      <c r="I454" s="104"/>
      <c r="J454" s="104"/>
    </row>
    <row r="455" spans="1:10" ht="12.75">
      <c r="A455" s="104"/>
      <c r="B455" s="104"/>
      <c r="C455" s="104"/>
      <c r="D455" s="104"/>
      <c r="E455" s="104"/>
      <c r="F455" s="104"/>
      <c r="G455" s="104"/>
      <c r="H455" s="104"/>
      <c r="I455" s="104"/>
      <c r="J455" s="104"/>
    </row>
    <row r="456" spans="1:10" ht="12.75">
      <c r="A456" s="104"/>
      <c r="B456" s="104"/>
      <c r="C456" s="104"/>
      <c r="D456" s="104"/>
      <c r="E456" s="104"/>
      <c r="F456" s="104"/>
      <c r="G456" s="104"/>
      <c r="H456" s="104"/>
      <c r="I456" s="104"/>
      <c r="J456" s="104"/>
    </row>
    <row r="457" spans="1:10" ht="12.75">
      <c r="A457" s="104"/>
      <c r="B457" s="104"/>
      <c r="C457" s="104"/>
      <c r="D457" s="104"/>
      <c r="E457" s="104"/>
      <c r="F457" s="104"/>
      <c r="G457" s="104"/>
      <c r="H457" s="104"/>
      <c r="I457" s="104"/>
      <c r="J457" s="104"/>
    </row>
    <row r="458" spans="1:10" ht="12.75">
      <c r="A458" s="104"/>
      <c r="B458" s="104"/>
      <c r="C458" s="104"/>
      <c r="D458" s="104"/>
      <c r="E458" s="104"/>
      <c r="F458" s="104"/>
      <c r="G458" s="104"/>
      <c r="H458" s="104"/>
      <c r="I458" s="104"/>
      <c r="J458" s="104"/>
    </row>
    <row r="459" spans="1:10" ht="12.75">
      <c r="A459" s="104"/>
      <c r="B459" s="104"/>
      <c r="C459" s="104"/>
      <c r="D459" s="104"/>
      <c r="E459" s="104"/>
      <c r="F459" s="104"/>
      <c r="G459" s="104"/>
      <c r="H459" s="104"/>
      <c r="I459" s="104"/>
      <c r="J459" s="104"/>
    </row>
    <row r="460" spans="1:10" ht="12.75">
      <c r="A460" s="104"/>
      <c r="B460" s="104"/>
      <c r="C460" s="104"/>
      <c r="D460" s="104"/>
      <c r="E460" s="104"/>
      <c r="F460" s="104"/>
      <c r="G460" s="104"/>
      <c r="H460" s="104"/>
      <c r="I460" s="104"/>
      <c r="J460" s="104"/>
    </row>
    <row r="461" spans="1:10" ht="12.75">
      <c r="A461" s="104"/>
      <c r="B461" s="104"/>
      <c r="C461" s="104"/>
      <c r="D461" s="104"/>
      <c r="E461" s="104"/>
      <c r="F461" s="104"/>
      <c r="G461" s="104"/>
      <c r="H461" s="104"/>
      <c r="I461" s="104"/>
      <c r="J461" s="104"/>
    </row>
    <row r="462" spans="1:10" ht="12.75">
      <c r="A462" s="104"/>
      <c r="B462" s="104"/>
      <c r="C462" s="104"/>
      <c r="D462" s="104"/>
      <c r="E462" s="104"/>
      <c r="F462" s="104"/>
      <c r="G462" s="104"/>
      <c r="H462" s="104"/>
      <c r="I462" s="104"/>
      <c r="J462" s="104"/>
    </row>
    <row r="463" spans="1:10" ht="12.75">
      <c r="A463" s="104"/>
      <c r="B463" s="104"/>
      <c r="C463" s="104"/>
      <c r="D463" s="104"/>
      <c r="E463" s="104"/>
      <c r="F463" s="104"/>
      <c r="G463" s="104"/>
      <c r="H463" s="104"/>
      <c r="I463" s="104"/>
      <c r="J463" s="104"/>
    </row>
    <row r="464" spans="1:10" ht="12.75">
      <c r="A464" s="104"/>
      <c r="B464" s="104"/>
      <c r="C464" s="104"/>
      <c r="D464" s="104"/>
      <c r="E464" s="104"/>
      <c r="F464" s="104"/>
      <c r="G464" s="104"/>
      <c r="H464" s="104"/>
      <c r="I464" s="104"/>
      <c r="J464" s="104"/>
    </row>
    <row r="465" spans="1:10" ht="12.75">
      <c r="A465" s="104"/>
      <c r="B465" s="104"/>
      <c r="C465" s="104"/>
      <c r="D465" s="104"/>
      <c r="E465" s="104"/>
      <c r="F465" s="104"/>
      <c r="G465" s="104"/>
      <c r="H465" s="104"/>
      <c r="I465" s="104"/>
      <c r="J465" s="104"/>
    </row>
    <row r="466" spans="1:10" ht="12.75">
      <c r="A466" s="104"/>
      <c r="B466" s="104"/>
      <c r="C466" s="104"/>
      <c r="D466" s="104"/>
      <c r="E466" s="104"/>
      <c r="F466" s="104"/>
      <c r="G466" s="104"/>
      <c r="H466" s="104"/>
      <c r="I466" s="104"/>
      <c r="J466" s="104"/>
    </row>
    <row r="467" spans="1:10" ht="12.75">
      <c r="A467" s="104"/>
      <c r="B467" s="104"/>
      <c r="C467" s="104"/>
      <c r="D467" s="104"/>
      <c r="E467" s="104"/>
      <c r="F467" s="104"/>
      <c r="G467" s="104"/>
      <c r="H467" s="104"/>
      <c r="I467" s="104"/>
      <c r="J467" s="104"/>
    </row>
    <row r="468" spans="1:10" ht="12.75">
      <c r="A468" s="104"/>
      <c r="B468" s="104"/>
      <c r="C468" s="104"/>
      <c r="D468" s="104"/>
      <c r="E468" s="104"/>
      <c r="F468" s="104"/>
      <c r="G468" s="104"/>
      <c r="H468" s="104"/>
      <c r="I468" s="104"/>
      <c r="J468" s="104"/>
    </row>
    <row r="469" spans="1:10" ht="12.75">
      <c r="A469" s="104"/>
      <c r="B469" s="104"/>
      <c r="C469" s="104"/>
      <c r="D469" s="104"/>
      <c r="E469" s="104"/>
      <c r="F469" s="104"/>
      <c r="G469" s="104"/>
      <c r="H469" s="104"/>
      <c r="I469" s="104"/>
      <c r="J469" s="104"/>
    </row>
    <row r="470" spans="1:10" ht="12.75">
      <c r="A470" s="104"/>
      <c r="B470" s="104"/>
      <c r="C470" s="104"/>
      <c r="D470" s="104"/>
      <c r="E470" s="104"/>
      <c r="F470" s="104"/>
      <c r="G470" s="104"/>
      <c r="H470" s="104"/>
      <c r="I470" s="104"/>
      <c r="J470" s="104"/>
    </row>
    <row r="471" spans="1:10" ht="12.75">
      <c r="A471" s="104"/>
      <c r="B471" s="104"/>
      <c r="C471" s="104"/>
      <c r="D471" s="104"/>
      <c r="E471" s="104"/>
      <c r="F471" s="104"/>
      <c r="G471" s="104"/>
      <c r="H471" s="104"/>
      <c r="I471" s="104"/>
      <c r="J471" s="104"/>
    </row>
    <row r="472" spans="1:10" ht="12.75">
      <c r="A472" s="104"/>
      <c r="B472" s="104"/>
      <c r="C472" s="104"/>
      <c r="D472" s="104"/>
      <c r="E472" s="104"/>
      <c r="F472" s="104"/>
      <c r="G472" s="104"/>
      <c r="H472" s="104"/>
      <c r="I472" s="104"/>
      <c r="J472" s="104"/>
    </row>
    <row r="473" spans="1:10" ht="12.75">
      <c r="A473" s="104"/>
      <c r="B473" s="104"/>
      <c r="C473" s="104"/>
      <c r="D473" s="104"/>
      <c r="E473" s="104"/>
      <c r="F473" s="104"/>
      <c r="G473" s="104"/>
      <c r="H473" s="104"/>
      <c r="I473" s="104"/>
      <c r="J473" s="104"/>
    </row>
    <row r="474" spans="1:10" ht="12.75">
      <c r="A474" s="104"/>
      <c r="B474" s="104"/>
      <c r="C474" s="104"/>
      <c r="D474" s="104"/>
      <c r="E474" s="104"/>
      <c r="F474" s="104"/>
      <c r="G474" s="104"/>
      <c r="H474" s="104"/>
      <c r="I474" s="104"/>
      <c r="J474" s="104"/>
    </row>
    <row r="475" spans="1:10" ht="12.75">
      <c r="A475" s="104"/>
      <c r="B475" s="104"/>
      <c r="C475" s="104"/>
      <c r="D475" s="104"/>
      <c r="E475" s="104"/>
      <c r="F475" s="104"/>
      <c r="G475" s="104"/>
      <c r="H475" s="104"/>
      <c r="I475" s="104"/>
      <c r="J475" s="104"/>
    </row>
    <row r="476" spans="1:10" ht="12.75">
      <c r="A476" s="104"/>
      <c r="B476" s="104"/>
      <c r="C476" s="104"/>
      <c r="D476" s="104"/>
      <c r="E476" s="104"/>
      <c r="F476" s="104"/>
      <c r="G476" s="104"/>
      <c r="H476" s="104"/>
      <c r="I476" s="104"/>
      <c r="J476" s="104"/>
    </row>
    <row r="477" spans="1:10" ht="12.75">
      <c r="A477" s="104"/>
      <c r="B477" s="104"/>
      <c r="C477" s="104"/>
      <c r="D477" s="104"/>
      <c r="E477" s="104"/>
      <c r="F477" s="104"/>
      <c r="G477" s="104"/>
      <c r="H477" s="104"/>
      <c r="I477" s="104"/>
      <c r="J477" s="104"/>
    </row>
    <row r="478" spans="1:10" ht="12.75">
      <c r="A478" s="104"/>
      <c r="B478" s="104"/>
      <c r="C478" s="104"/>
      <c r="D478" s="104"/>
      <c r="E478" s="104"/>
      <c r="F478" s="104"/>
      <c r="G478" s="104"/>
      <c r="H478" s="104"/>
      <c r="I478" s="104"/>
      <c r="J478" s="104"/>
    </row>
    <row r="479" spans="1:10" ht="12.75">
      <c r="A479" s="104"/>
      <c r="B479" s="104"/>
      <c r="C479" s="104"/>
      <c r="D479" s="104"/>
      <c r="E479" s="104"/>
      <c r="F479" s="104"/>
      <c r="G479" s="104"/>
      <c r="H479" s="104"/>
      <c r="I479" s="104"/>
      <c r="J479" s="104"/>
    </row>
    <row r="480" spans="1:10" ht="12.75">
      <c r="A480" s="104"/>
      <c r="B480" s="104"/>
      <c r="C480" s="104"/>
      <c r="D480" s="104"/>
      <c r="E480" s="104"/>
      <c r="F480" s="104"/>
      <c r="G480" s="104"/>
      <c r="H480" s="104"/>
      <c r="I480" s="104"/>
      <c r="J480" s="104"/>
    </row>
    <row r="481" spans="1:10" ht="12.75">
      <c r="A481" s="104"/>
      <c r="B481" s="104"/>
      <c r="C481" s="104"/>
      <c r="D481" s="104"/>
      <c r="E481" s="104"/>
      <c r="F481" s="104"/>
      <c r="G481" s="104"/>
      <c r="H481" s="104"/>
      <c r="I481" s="104"/>
      <c r="J481" s="104"/>
    </row>
    <row r="482" spans="1:10" ht="12.75">
      <c r="A482" s="104"/>
      <c r="B482" s="104"/>
      <c r="C482" s="104"/>
      <c r="D482" s="104"/>
      <c r="E482" s="104"/>
      <c r="F482" s="104"/>
      <c r="G482" s="104"/>
      <c r="H482" s="104"/>
      <c r="I482" s="104"/>
      <c r="J482" s="104"/>
    </row>
    <row r="483" spans="1:10" ht="12.75">
      <c r="A483" s="104"/>
      <c r="B483" s="104"/>
      <c r="C483" s="104"/>
      <c r="D483" s="104"/>
      <c r="E483" s="104"/>
      <c r="F483" s="104"/>
      <c r="G483" s="104"/>
      <c r="H483" s="104"/>
      <c r="I483" s="104"/>
      <c r="J483" s="104"/>
    </row>
    <row r="484" spans="1:10" ht="12.75">
      <c r="A484" s="104"/>
      <c r="B484" s="104"/>
      <c r="C484" s="104"/>
      <c r="D484" s="104"/>
      <c r="E484" s="104"/>
      <c r="F484" s="104"/>
      <c r="G484" s="104"/>
      <c r="H484" s="104"/>
      <c r="I484" s="104"/>
      <c r="J484" s="104"/>
    </row>
    <row r="485" spans="1:10" ht="12.75">
      <c r="A485" s="104"/>
      <c r="B485" s="104"/>
      <c r="C485" s="104"/>
      <c r="D485" s="104"/>
      <c r="E485" s="104"/>
      <c r="F485" s="104"/>
      <c r="G485" s="104"/>
      <c r="H485" s="104"/>
      <c r="I485" s="104"/>
      <c r="J485" s="104"/>
    </row>
    <row r="486" spans="1:10" ht="12.75">
      <c r="A486" s="104"/>
      <c r="B486" s="104"/>
      <c r="C486" s="104"/>
      <c r="D486" s="104"/>
      <c r="E486" s="104"/>
      <c r="F486" s="104"/>
      <c r="G486" s="104"/>
      <c r="H486" s="104"/>
      <c r="I486" s="104"/>
      <c r="J486" s="104"/>
    </row>
    <row r="487" spans="1:10" ht="12.75">
      <c r="A487" s="104"/>
      <c r="B487" s="104"/>
      <c r="C487" s="104"/>
      <c r="D487" s="104"/>
      <c r="E487" s="104"/>
      <c r="F487" s="104"/>
      <c r="G487" s="104"/>
      <c r="H487" s="104"/>
      <c r="I487" s="104"/>
      <c r="J487" s="104"/>
    </row>
    <row r="488" spans="1:10" ht="12.75">
      <c r="A488" s="104"/>
      <c r="B488" s="104"/>
      <c r="C488" s="104"/>
      <c r="D488" s="104"/>
      <c r="E488" s="104"/>
      <c r="F488" s="104"/>
      <c r="G488" s="104"/>
      <c r="H488" s="104"/>
      <c r="I488" s="104"/>
      <c r="J488" s="104"/>
    </row>
    <row r="489" spans="1:10" ht="12.75">
      <c r="A489" s="104"/>
      <c r="B489" s="104"/>
      <c r="C489" s="104"/>
      <c r="D489" s="104"/>
      <c r="E489" s="104"/>
      <c r="F489" s="104"/>
      <c r="G489" s="104"/>
      <c r="H489" s="104"/>
      <c r="I489" s="104"/>
      <c r="J489" s="104"/>
    </row>
    <row r="490" spans="1:10" ht="12.75">
      <c r="A490" s="104"/>
      <c r="B490" s="104"/>
      <c r="C490" s="104"/>
      <c r="D490" s="104"/>
      <c r="E490" s="104"/>
      <c r="F490" s="104"/>
      <c r="G490" s="104"/>
      <c r="H490" s="104"/>
      <c r="I490" s="104"/>
      <c r="J490" s="104"/>
    </row>
    <row r="491" spans="1:10" ht="12.75">
      <c r="A491" s="104"/>
      <c r="B491" s="104"/>
      <c r="C491" s="104"/>
      <c r="D491" s="104"/>
      <c r="E491" s="104"/>
      <c r="F491" s="104"/>
      <c r="G491" s="104"/>
      <c r="H491" s="104"/>
      <c r="I491" s="104"/>
      <c r="J491" s="104"/>
    </row>
    <row r="492" spans="1:10" ht="12.75">
      <c r="A492" s="104"/>
      <c r="B492" s="104"/>
      <c r="C492" s="104"/>
      <c r="D492" s="104"/>
      <c r="E492" s="104"/>
      <c r="F492" s="104"/>
      <c r="G492" s="104"/>
      <c r="H492" s="104"/>
      <c r="I492" s="104"/>
      <c r="J492" s="104"/>
    </row>
    <row r="493" spans="1:10" ht="12.75">
      <c r="A493" s="104"/>
      <c r="B493" s="104"/>
      <c r="C493" s="104"/>
      <c r="D493" s="104"/>
      <c r="E493" s="104"/>
      <c r="F493" s="104"/>
      <c r="G493" s="104"/>
      <c r="H493" s="104"/>
      <c r="I493" s="104"/>
      <c r="J493" s="104"/>
    </row>
    <row r="494" spans="1:10" ht="12.75">
      <c r="A494" s="104"/>
      <c r="B494" s="104"/>
      <c r="C494" s="104"/>
      <c r="D494" s="104"/>
      <c r="E494" s="104"/>
      <c r="F494" s="104"/>
      <c r="G494" s="104"/>
      <c r="H494" s="104"/>
      <c r="I494" s="104"/>
      <c r="J494" s="104"/>
    </row>
    <row r="495" spans="1:10" ht="12.75">
      <c r="A495" s="104"/>
      <c r="B495" s="104"/>
      <c r="C495" s="104"/>
      <c r="D495" s="104"/>
      <c r="E495" s="104"/>
      <c r="F495" s="104"/>
      <c r="G495" s="104"/>
      <c r="H495" s="104"/>
      <c r="I495" s="104"/>
      <c r="J495" s="104"/>
    </row>
    <row r="496" spans="1:10" ht="12.75">
      <c r="A496" s="104"/>
      <c r="B496" s="104"/>
      <c r="C496" s="104"/>
      <c r="D496" s="104"/>
      <c r="E496" s="104"/>
      <c r="F496" s="104"/>
      <c r="G496" s="104"/>
      <c r="H496" s="104"/>
      <c r="I496" s="104"/>
      <c r="J496" s="104"/>
    </row>
    <row r="497" spans="1:10" ht="12.75">
      <c r="A497" s="104"/>
      <c r="B497" s="104"/>
      <c r="C497" s="104"/>
      <c r="D497" s="104"/>
      <c r="E497" s="104"/>
      <c r="F497" s="104"/>
      <c r="G497" s="104"/>
      <c r="H497" s="104"/>
      <c r="I497" s="104"/>
      <c r="J497" s="104"/>
    </row>
    <row r="498" spans="1:10" ht="12.75">
      <c r="A498" s="104"/>
      <c r="B498" s="104"/>
      <c r="C498" s="104"/>
      <c r="D498" s="104"/>
      <c r="E498" s="104"/>
      <c r="F498" s="104"/>
      <c r="G498" s="104"/>
      <c r="H498" s="104"/>
      <c r="I498" s="104"/>
      <c r="J498" s="104"/>
    </row>
    <row r="499" spans="1:10" ht="12.75">
      <c r="A499" s="104"/>
      <c r="B499" s="104"/>
      <c r="C499" s="104"/>
      <c r="D499" s="104"/>
      <c r="E499" s="104"/>
      <c r="F499" s="104"/>
      <c r="G499" s="104"/>
      <c r="H499" s="104"/>
      <c r="I499" s="104"/>
      <c r="J499" s="104"/>
    </row>
    <row r="500" spans="1:10" ht="12.75">
      <c r="A500" s="104"/>
      <c r="B500" s="104"/>
      <c r="C500" s="104"/>
      <c r="D500" s="104"/>
      <c r="E500" s="104"/>
      <c r="F500" s="104"/>
      <c r="G500" s="104"/>
      <c r="H500" s="104"/>
      <c r="I500" s="104"/>
      <c r="J500" s="104"/>
    </row>
    <row r="501" spans="1:10" ht="12.75">
      <c r="A501" s="104"/>
      <c r="B501" s="104"/>
      <c r="C501" s="104"/>
      <c r="D501" s="104"/>
      <c r="E501" s="104"/>
      <c r="F501" s="104"/>
      <c r="G501" s="104"/>
      <c r="H501" s="104"/>
      <c r="I501" s="104"/>
      <c r="J501" s="104"/>
    </row>
    <row r="502" spans="1:10" ht="12.75">
      <c r="A502" s="104"/>
      <c r="B502" s="104"/>
      <c r="C502" s="104"/>
      <c r="D502" s="104"/>
      <c r="E502" s="104"/>
      <c r="F502" s="104"/>
      <c r="G502" s="104"/>
      <c r="H502" s="104"/>
      <c r="I502" s="104"/>
      <c r="J502" s="104"/>
    </row>
    <row r="503" spans="1:10" ht="12.75">
      <c r="A503" s="104"/>
      <c r="B503" s="104"/>
      <c r="C503" s="104"/>
      <c r="D503" s="104"/>
      <c r="E503" s="104"/>
      <c r="F503" s="104"/>
      <c r="G503" s="104"/>
      <c r="H503" s="104"/>
      <c r="I503" s="104"/>
      <c r="J503" s="104"/>
    </row>
    <row r="504" spans="1:10" ht="12.75">
      <c r="A504" s="104"/>
      <c r="B504" s="104"/>
      <c r="C504" s="104"/>
      <c r="D504" s="104"/>
      <c r="E504" s="104"/>
      <c r="F504" s="104"/>
      <c r="G504" s="104"/>
      <c r="H504" s="104"/>
      <c r="I504" s="104"/>
      <c r="J504" s="104"/>
    </row>
    <row r="505" spans="1:10" ht="12.75">
      <c r="A505" s="104"/>
      <c r="B505" s="104"/>
      <c r="C505" s="104"/>
      <c r="D505" s="104"/>
      <c r="E505" s="104"/>
      <c r="F505" s="104"/>
      <c r="G505" s="104"/>
      <c r="H505" s="104"/>
      <c r="I505" s="104"/>
      <c r="J505" s="104"/>
    </row>
    <row r="506" spans="1:10" ht="12.75">
      <c r="A506" s="104"/>
      <c r="B506" s="104"/>
      <c r="C506" s="104"/>
      <c r="D506" s="104"/>
      <c r="E506" s="104"/>
      <c r="F506" s="104"/>
      <c r="G506" s="104"/>
      <c r="H506" s="104"/>
      <c r="I506" s="104"/>
      <c r="J506" s="104"/>
    </row>
    <row r="507" spans="1:10" ht="12.75">
      <c r="A507" s="104"/>
      <c r="B507" s="104"/>
      <c r="C507" s="104"/>
      <c r="D507" s="104"/>
      <c r="E507" s="104"/>
      <c r="F507" s="104"/>
      <c r="G507" s="104"/>
      <c r="H507" s="104"/>
      <c r="I507" s="104"/>
      <c r="J507" s="104"/>
    </row>
    <row r="508" spans="1:10" ht="12.75">
      <c r="A508" s="104"/>
      <c r="B508" s="104"/>
      <c r="C508" s="104"/>
      <c r="D508" s="104"/>
      <c r="E508" s="104"/>
      <c r="F508" s="104"/>
      <c r="G508" s="104"/>
      <c r="H508" s="104"/>
      <c r="I508" s="104"/>
      <c r="J508" s="104"/>
    </row>
    <row r="509" spans="1:10" ht="12.75">
      <c r="A509" s="104"/>
      <c r="B509" s="104"/>
      <c r="C509" s="104"/>
      <c r="D509" s="104"/>
      <c r="E509" s="104"/>
      <c r="F509" s="104"/>
      <c r="G509" s="104"/>
      <c r="H509" s="104"/>
      <c r="I509" s="104"/>
      <c r="J509" s="104"/>
    </row>
    <row r="510" spans="1:10" ht="12.75">
      <c r="A510" s="104"/>
      <c r="B510" s="104"/>
      <c r="C510" s="104"/>
      <c r="D510" s="104"/>
      <c r="E510" s="104"/>
      <c r="F510" s="104"/>
      <c r="G510" s="104"/>
      <c r="H510" s="104"/>
      <c r="I510" s="104"/>
      <c r="J510" s="104"/>
    </row>
    <row r="511" spans="1:10" ht="12.75">
      <c r="A511" s="104"/>
      <c r="B511" s="104"/>
      <c r="C511" s="104"/>
      <c r="D511" s="104"/>
      <c r="E511" s="104"/>
      <c r="F511" s="104"/>
      <c r="G511" s="104"/>
      <c r="H511" s="104"/>
      <c r="I511" s="104"/>
      <c r="J511" s="104"/>
    </row>
    <row r="512" spans="1:10" ht="12.75">
      <c r="A512" s="104"/>
      <c r="B512" s="104"/>
      <c r="C512" s="104"/>
      <c r="D512" s="104"/>
      <c r="E512" s="104"/>
      <c r="F512" s="104"/>
      <c r="G512" s="104"/>
      <c r="H512" s="104"/>
      <c r="I512" s="104"/>
      <c r="J512" s="104"/>
    </row>
    <row r="513" spans="1:10" ht="12.75">
      <c r="A513" s="104"/>
      <c r="B513" s="104"/>
      <c r="C513" s="104"/>
      <c r="D513" s="104"/>
      <c r="E513" s="104"/>
      <c r="F513" s="104"/>
      <c r="G513" s="104"/>
      <c r="H513" s="104"/>
      <c r="I513" s="104"/>
      <c r="J513" s="104"/>
    </row>
    <row r="514" spans="1:10" ht="12.75">
      <c r="A514" s="104"/>
      <c r="B514" s="104"/>
      <c r="C514" s="104"/>
      <c r="D514" s="104"/>
      <c r="E514" s="104"/>
      <c r="F514" s="104"/>
      <c r="G514" s="104"/>
      <c r="H514" s="104"/>
      <c r="I514" s="104"/>
      <c r="J514" s="104"/>
    </row>
    <row r="515" spans="1:10" ht="12.75">
      <c r="A515" s="104"/>
      <c r="B515" s="104"/>
      <c r="C515" s="104"/>
      <c r="D515" s="104"/>
      <c r="E515" s="104"/>
      <c r="F515" s="104"/>
      <c r="G515" s="104"/>
      <c r="H515" s="104"/>
      <c r="I515" s="104"/>
      <c r="J515" s="104"/>
    </row>
    <row r="516" spans="1:10" ht="12.75">
      <c r="A516" s="104"/>
      <c r="B516" s="104"/>
      <c r="C516" s="104"/>
      <c r="D516" s="104"/>
      <c r="E516" s="104"/>
      <c r="F516" s="104"/>
      <c r="G516" s="104"/>
      <c r="H516" s="104"/>
      <c r="I516" s="104"/>
      <c r="J516" s="104"/>
    </row>
    <row r="517" spans="1:10" ht="12.75">
      <c r="A517" s="104"/>
      <c r="B517" s="104"/>
      <c r="C517" s="104"/>
      <c r="D517" s="104"/>
      <c r="E517" s="104"/>
      <c r="F517" s="104"/>
      <c r="G517" s="104"/>
      <c r="H517" s="104"/>
      <c r="I517" s="104"/>
      <c r="J517" s="104"/>
    </row>
    <row r="518" spans="1:10" ht="12.75">
      <c r="A518" s="104"/>
      <c r="B518" s="104"/>
      <c r="C518" s="104"/>
      <c r="D518" s="104"/>
      <c r="E518" s="104"/>
      <c r="F518" s="104"/>
      <c r="G518" s="104"/>
      <c r="H518" s="104"/>
      <c r="I518" s="104"/>
      <c r="J518" s="104"/>
    </row>
    <row r="519" spans="1:10" ht="12.75">
      <c r="A519" s="104"/>
      <c r="B519" s="104"/>
      <c r="C519" s="104"/>
      <c r="D519" s="104"/>
      <c r="E519" s="104"/>
      <c r="F519" s="104"/>
      <c r="G519" s="104"/>
      <c r="H519" s="104"/>
      <c r="I519" s="104"/>
      <c r="J519" s="104"/>
    </row>
    <row r="520" spans="1:10" ht="12.75">
      <c r="A520" s="104"/>
      <c r="B520" s="104"/>
      <c r="C520" s="104"/>
      <c r="D520" s="104"/>
      <c r="E520" s="104"/>
      <c r="F520" s="104"/>
      <c r="G520" s="104"/>
      <c r="H520" s="104"/>
      <c r="I520" s="104"/>
      <c r="J520" s="104"/>
    </row>
    <row r="521" spans="1:10" ht="12.75">
      <c r="A521" s="104"/>
      <c r="B521" s="104"/>
      <c r="C521" s="104"/>
      <c r="D521" s="104"/>
      <c r="E521" s="104"/>
      <c r="F521" s="104"/>
      <c r="G521" s="104"/>
      <c r="H521" s="104"/>
      <c r="I521" s="104"/>
      <c r="J521" s="104"/>
    </row>
    <row r="522" spans="1:10" ht="12.75">
      <c r="A522" s="104"/>
      <c r="B522" s="104"/>
      <c r="C522" s="104"/>
      <c r="D522" s="104"/>
      <c r="E522" s="104"/>
      <c r="F522" s="104"/>
      <c r="G522" s="104"/>
      <c r="H522" s="104"/>
      <c r="I522" s="104"/>
      <c r="J522" s="104"/>
    </row>
    <row r="523" spans="1:10" ht="12.75">
      <c r="A523" s="104"/>
      <c r="B523" s="104"/>
      <c r="C523" s="104"/>
      <c r="D523" s="104"/>
      <c r="E523" s="104"/>
      <c r="F523" s="104"/>
      <c r="G523" s="104"/>
      <c r="H523" s="104"/>
      <c r="I523" s="104"/>
      <c r="J523" s="104"/>
    </row>
    <row r="524" spans="1:10" ht="12.75">
      <c r="A524" s="104"/>
      <c r="B524" s="104"/>
      <c r="C524" s="104"/>
      <c r="D524" s="104"/>
      <c r="E524" s="104"/>
      <c r="F524" s="104"/>
      <c r="G524" s="104"/>
      <c r="H524" s="104"/>
      <c r="I524" s="104"/>
      <c r="J524" s="104"/>
    </row>
    <row r="525" spans="1:10" ht="12.75">
      <c r="A525" s="104"/>
      <c r="B525" s="104"/>
      <c r="C525" s="104"/>
      <c r="D525" s="104"/>
      <c r="E525" s="104"/>
      <c r="F525" s="104"/>
      <c r="G525" s="104"/>
      <c r="H525" s="104"/>
      <c r="I525" s="104"/>
      <c r="J525" s="104"/>
    </row>
    <row r="526" spans="1:10" ht="12.75">
      <c r="A526" s="104"/>
      <c r="B526" s="104"/>
      <c r="C526" s="104"/>
      <c r="D526" s="104"/>
      <c r="E526" s="104"/>
      <c r="F526" s="104"/>
      <c r="G526" s="104"/>
      <c r="H526" s="104"/>
      <c r="I526" s="104"/>
      <c r="J526" s="104"/>
    </row>
    <row r="527" spans="1:10" ht="12.75">
      <c r="A527" s="104"/>
      <c r="B527" s="104"/>
      <c r="C527" s="104"/>
      <c r="D527" s="104"/>
      <c r="E527" s="104"/>
      <c r="F527" s="104"/>
      <c r="G527" s="104"/>
      <c r="H527" s="104"/>
      <c r="I527" s="104"/>
      <c r="J527" s="104"/>
    </row>
    <row r="528" spans="1:10" ht="12.75">
      <c r="A528" s="104"/>
      <c r="B528" s="104"/>
      <c r="C528" s="104"/>
      <c r="D528" s="104"/>
      <c r="E528" s="104"/>
      <c r="F528" s="104"/>
      <c r="G528" s="104"/>
      <c r="H528" s="104"/>
      <c r="I528" s="104"/>
      <c r="J528" s="104"/>
    </row>
    <row r="529" spans="1:10" ht="12.75">
      <c r="A529" s="104"/>
      <c r="B529" s="104"/>
      <c r="C529" s="104"/>
      <c r="D529" s="104"/>
      <c r="E529" s="104"/>
      <c r="F529" s="104"/>
      <c r="G529" s="104"/>
      <c r="H529" s="104"/>
      <c r="I529" s="104"/>
      <c r="J529" s="104"/>
    </row>
    <row r="530" spans="1:10" ht="12.75">
      <c r="A530" s="104"/>
      <c r="B530" s="104"/>
      <c r="C530" s="104"/>
      <c r="D530" s="104"/>
      <c r="E530" s="104"/>
      <c r="F530" s="104"/>
      <c r="G530" s="104"/>
      <c r="H530" s="104"/>
      <c r="I530" s="104"/>
      <c r="J530" s="104"/>
    </row>
    <row r="531" spans="1:10" ht="12.75">
      <c r="A531" s="104"/>
      <c r="B531" s="104"/>
      <c r="C531" s="104"/>
      <c r="D531" s="104"/>
      <c r="E531" s="104"/>
      <c r="F531" s="104"/>
      <c r="G531" s="104"/>
      <c r="H531" s="104"/>
      <c r="I531" s="104"/>
      <c r="J531" s="104"/>
    </row>
    <row r="532" spans="1:10" ht="12.75">
      <c r="A532" s="104"/>
      <c r="B532" s="104"/>
      <c r="C532" s="104"/>
      <c r="D532" s="104"/>
      <c r="E532" s="104"/>
      <c r="F532" s="104"/>
      <c r="G532" s="104"/>
      <c r="H532" s="104"/>
      <c r="I532" s="104"/>
      <c r="J532" s="104"/>
    </row>
    <row r="533" spans="1:10" ht="12.75">
      <c r="A533" s="104"/>
      <c r="B533" s="104"/>
      <c r="C533" s="104"/>
      <c r="D533" s="104"/>
      <c r="E533" s="104"/>
      <c r="F533" s="104"/>
      <c r="G533" s="104"/>
      <c r="H533" s="104"/>
      <c r="I533" s="104"/>
      <c r="J533" s="104"/>
    </row>
    <row r="534" spans="1:10" ht="12.75">
      <c r="A534" s="104"/>
      <c r="B534" s="104"/>
      <c r="C534" s="104"/>
      <c r="D534" s="104"/>
      <c r="E534" s="104"/>
      <c r="F534" s="104"/>
      <c r="G534" s="104"/>
      <c r="H534" s="104"/>
      <c r="I534" s="104"/>
      <c r="J534" s="104"/>
    </row>
    <row r="535" spans="1:10" ht="12.75">
      <c r="A535" s="104"/>
      <c r="B535" s="104"/>
      <c r="C535" s="104"/>
      <c r="D535" s="104"/>
      <c r="E535" s="104"/>
      <c r="F535" s="104"/>
      <c r="G535" s="104"/>
      <c r="H535" s="104"/>
      <c r="I535" s="104"/>
      <c r="J535" s="104"/>
    </row>
    <row r="536" spans="1:10" ht="12.75">
      <c r="A536" s="104"/>
      <c r="B536" s="104"/>
      <c r="C536" s="104"/>
      <c r="D536" s="104"/>
      <c r="E536" s="104"/>
      <c r="F536" s="104"/>
      <c r="G536" s="104"/>
      <c r="H536" s="104"/>
      <c r="I536" s="104"/>
      <c r="J536" s="104"/>
    </row>
    <row r="537" spans="1:10" ht="12.75">
      <c r="A537" s="104"/>
      <c r="B537" s="104"/>
      <c r="C537" s="104"/>
      <c r="D537" s="104"/>
      <c r="E537" s="104"/>
      <c r="F537" s="104"/>
      <c r="G537" s="104"/>
      <c r="H537" s="104"/>
      <c r="I537" s="104"/>
      <c r="J537" s="104"/>
    </row>
    <row r="538" spans="1:10" ht="12.75">
      <c r="A538" s="104"/>
      <c r="B538" s="104"/>
      <c r="C538" s="104"/>
      <c r="D538" s="104"/>
      <c r="E538" s="104"/>
      <c r="F538" s="104"/>
      <c r="G538" s="104"/>
      <c r="H538" s="104"/>
      <c r="I538" s="104"/>
      <c r="J538" s="104"/>
    </row>
    <row r="539" spans="1:10" ht="12.75">
      <c r="A539" s="104"/>
      <c r="B539" s="104"/>
      <c r="C539" s="104"/>
      <c r="D539" s="104"/>
      <c r="E539" s="104"/>
      <c r="F539" s="104"/>
      <c r="G539" s="104"/>
      <c r="H539" s="104"/>
      <c r="I539" s="104"/>
      <c r="J539" s="104"/>
    </row>
    <row r="540" spans="1:10" ht="12.75">
      <c r="A540" s="104"/>
      <c r="B540" s="104"/>
      <c r="C540" s="104"/>
      <c r="D540" s="104"/>
      <c r="E540" s="104"/>
      <c r="F540" s="104"/>
      <c r="G540" s="104"/>
      <c r="H540" s="104"/>
      <c r="I540" s="104"/>
      <c r="J540" s="104"/>
    </row>
    <row r="541" spans="1:10" ht="12.75">
      <c r="A541" s="104"/>
      <c r="B541" s="104"/>
      <c r="C541" s="104"/>
      <c r="D541" s="104"/>
      <c r="E541" s="104"/>
      <c r="F541" s="104"/>
      <c r="G541" s="104"/>
      <c r="H541" s="104"/>
      <c r="I541" s="104"/>
      <c r="J541" s="104"/>
    </row>
    <row r="542" spans="1:10" ht="12.75">
      <c r="A542" s="104"/>
      <c r="B542" s="104"/>
      <c r="C542" s="104"/>
      <c r="D542" s="104"/>
      <c r="E542" s="104"/>
      <c r="F542" s="104"/>
      <c r="G542" s="104"/>
      <c r="H542" s="104"/>
      <c r="I542" s="104"/>
      <c r="J542" s="104"/>
    </row>
    <row r="543" spans="1:10" ht="12.75">
      <c r="A543" s="104"/>
      <c r="B543" s="104"/>
      <c r="C543" s="104"/>
      <c r="D543" s="104"/>
      <c r="E543" s="104"/>
      <c r="F543" s="104"/>
      <c r="G543" s="104"/>
      <c r="H543" s="104"/>
      <c r="I543" s="104"/>
      <c r="J543" s="104"/>
    </row>
    <row r="544" spans="1:10" ht="12.75">
      <c r="A544" s="104"/>
      <c r="B544" s="104"/>
      <c r="C544" s="104"/>
      <c r="D544" s="104"/>
      <c r="E544" s="104"/>
      <c r="F544" s="104"/>
      <c r="G544" s="104"/>
      <c r="H544" s="104"/>
      <c r="I544" s="104"/>
      <c r="J544" s="104"/>
    </row>
    <row r="545" spans="1:10" ht="12.75">
      <c r="A545" s="104"/>
      <c r="B545" s="104"/>
      <c r="C545" s="104"/>
      <c r="D545" s="104"/>
      <c r="E545" s="104"/>
      <c r="F545" s="104"/>
      <c r="G545" s="104"/>
      <c r="H545" s="104"/>
      <c r="I545" s="104"/>
      <c r="J545" s="104"/>
    </row>
    <row r="546" spans="1:10" ht="12.75">
      <c r="A546" s="104"/>
      <c r="B546" s="104"/>
      <c r="C546" s="104"/>
      <c r="D546" s="104"/>
      <c r="E546" s="104"/>
      <c r="F546" s="104"/>
      <c r="G546" s="104"/>
      <c r="H546" s="104"/>
      <c r="I546" s="104"/>
      <c r="J546" s="104"/>
    </row>
    <row r="547" spans="1:10" ht="12.75">
      <c r="A547" s="104"/>
      <c r="B547" s="104"/>
      <c r="C547" s="104"/>
      <c r="D547" s="104"/>
      <c r="E547" s="104"/>
      <c r="F547" s="104"/>
      <c r="G547" s="104"/>
      <c r="H547" s="104"/>
      <c r="I547" s="104"/>
      <c r="J547" s="104"/>
    </row>
    <row r="548" spans="1:10" ht="12.75">
      <c r="A548" s="104"/>
      <c r="B548" s="104"/>
      <c r="C548" s="104"/>
      <c r="D548" s="104"/>
      <c r="E548" s="104"/>
      <c r="F548" s="104"/>
      <c r="G548" s="104"/>
      <c r="H548" s="104"/>
      <c r="I548" s="104"/>
      <c r="J548" s="104"/>
    </row>
    <row r="549" spans="1:10" ht="12.75">
      <c r="A549" s="104"/>
      <c r="B549" s="104"/>
      <c r="C549" s="104"/>
      <c r="D549" s="104"/>
      <c r="E549" s="104"/>
      <c r="F549" s="104"/>
      <c r="G549" s="104"/>
      <c r="H549" s="104"/>
      <c r="I549" s="104"/>
      <c r="J549" s="104"/>
    </row>
    <row r="550" spans="1:10" ht="12.75">
      <c r="A550" s="104"/>
      <c r="B550" s="104"/>
      <c r="C550" s="104"/>
      <c r="D550" s="104"/>
      <c r="E550" s="104"/>
      <c r="F550" s="104"/>
      <c r="G550" s="104"/>
      <c r="H550" s="104"/>
      <c r="I550" s="104"/>
      <c r="J550" s="104"/>
    </row>
    <row r="551" spans="1:10" ht="12.75">
      <c r="A551" s="104"/>
      <c r="B551" s="104"/>
      <c r="C551" s="104"/>
      <c r="D551" s="104"/>
      <c r="E551" s="104"/>
      <c r="F551" s="104"/>
      <c r="G551" s="104"/>
      <c r="H551" s="104"/>
      <c r="I551" s="104"/>
      <c r="J551" s="104"/>
    </row>
    <row r="552" spans="1:10" ht="12.75">
      <c r="A552" s="104"/>
      <c r="B552" s="104"/>
      <c r="C552" s="104"/>
      <c r="D552" s="104"/>
      <c r="E552" s="104"/>
      <c r="F552" s="104"/>
      <c r="G552" s="104"/>
      <c r="H552" s="104"/>
      <c r="I552" s="104"/>
      <c r="J552" s="104"/>
    </row>
    <row r="553" spans="1:10" ht="12.75">
      <c r="A553" s="104"/>
      <c r="B553" s="104"/>
      <c r="C553" s="104"/>
      <c r="D553" s="104"/>
      <c r="E553" s="104"/>
      <c r="F553" s="104"/>
      <c r="G553" s="104"/>
      <c r="H553" s="104"/>
      <c r="I553" s="104"/>
      <c r="J553" s="104"/>
    </row>
    <row r="554" spans="1:10" ht="12.75">
      <c r="A554" s="104"/>
      <c r="B554" s="104"/>
      <c r="C554" s="104"/>
      <c r="D554" s="104"/>
      <c r="E554" s="104"/>
      <c r="F554" s="104"/>
      <c r="G554" s="104"/>
      <c r="H554" s="104"/>
      <c r="I554" s="104"/>
      <c r="J554" s="104"/>
    </row>
    <row r="555" spans="1:10" ht="12.75">
      <c r="A555" s="104"/>
      <c r="B555" s="104"/>
      <c r="C555" s="104"/>
      <c r="D555" s="104"/>
      <c r="E555" s="104"/>
      <c r="F555" s="104"/>
      <c r="G555" s="104"/>
      <c r="H555" s="104"/>
      <c r="I555" s="104"/>
      <c r="J555" s="104"/>
    </row>
    <row r="556" spans="1:10" ht="12.75">
      <c r="A556" s="104"/>
      <c r="B556" s="104"/>
      <c r="C556" s="104"/>
      <c r="D556" s="104"/>
      <c r="E556" s="104"/>
      <c r="F556" s="104"/>
      <c r="G556" s="104"/>
      <c r="H556" s="104"/>
      <c r="I556" s="104"/>
      <c r="J556" s="104"/>
    </row>
    <row r="557" spans="1:10" ht="12.75">
      <c r="A557" s="104"/>
      <c r="B557" s="104"/>
      <c r="C557" s="104"/>
      <c r="D557" s="104"/>
      <c r="E557" s="104"/>
      <c r="F557" s="104"/>
      <c r="G557" s="104"/>
      <c r="H557" s="104"/>
      <c r="I557" s="104"/>
      <c r="J557" s="104"/>
    </row>
    <row r="558" spans="1:10" ht="12.75">
      <c r="A558" s="104"/>
      <c r="B558" s="104"/>
      <c r="C558" s="104"/>
      <c r="D558" s="104"/>
      <c r="E558" s="104"/>
      <c r="F558" s="104"/>
      <c r="G558" s="104"/>
      <c r="H558" s="104"/>
      <c r="I558" s="104"/>
      <c r="J558" s="104"/>
    </row>
    <row r="559" spans="1:10" ht="12.75">
      <c r="A559" s="104"/>
      <c r="B559" s="104"/>
      <c r="C559" s="104"/>
      <c r="D559" s="104"/>
      <c r="E559" s="104"/>
      <c r="F559" s="104"/>
      <c r="G559" s="104"/>
      <c r="H559" s="104"/>
      <c r="I559" s="104"/>
      <c r="J559" s="104"/>
    </row>
    <row r="560" spans="1:10" ht="12.75">
      <c r="A560" s="104"/>
      <c r="B560" s="104"/>
      <c r="C560" s="104"/>
      <c r="D560" s="104"/>
      <c r="E560" s="104"/>
      <c r="F560" s="104"/>
      <c r="G560" s="104"/>
      <c r="H560" s="104"/>
      <c r="I560" s="104"/>
      <c r="J560" s="104"/>
    </row>
    <row r="561" spans="1:10" ht="12.75">
      <c r="A561" s="104"/>
      <c r="B561" s="104"/>
      <c r="C561" s="104"/>
      <c r="D561" s="104"/>
      <c r="E561" s="104"/>
      <c r="F561" s="104"/>
      <c r="G561" s="104"/>
      <c r="H561" s="104"/>
      <c r="I561" s="104"/>
      <c r="J561" s="104"/>
    </row>
    <row r="562" spans="1:10" ht="12.75">
      <c r="A562" s="104"/>
      <c r="B562" s="104"/>
      <c r="C562" s="104"/>
      <c r="D562" s="104"/>
      <c r="E562" s="104"/>
      <c r="F562" s="104"/>
      <c r="G562" s="104"/>
      <c r="H562" s="104"/>
      <c r="I562" s="104"/>
      <c r="J562" s="104"/>
    </row>
    <row r="563" spans="1:10" ht="12.75">
      <c r="A563" s="104"/>
      <c r="B563" s="104"/>
      <c r="C563" s="104"/>
      <c r="D563" s="104"/>
      <c r="E563" s="104"/>
      <c r="F563" s="104"/>
      <c r="G563" s="104"/>
      <c r="H563" s="104"/>
      <c r="I563" s="104"/>
      <c r="J563" s="104"/>
    </row>
    <row r="564" spans="1:10" ht="12.75">
      <c r="A564" s="104"/>
      <c r="B564" s="104"/>
      <c r="C564" s="104"/>
      <c r="D564" s="104"/>
      <c r="E564" s="104"/>
      <c r="F564" s="104"/>
      <c r="G564" s="104"/>
      <c r="H564" s="104"/>
      <c r="I564" s="104"/>
      <c r="J564" s="104"/>
    </row>
    <row r="565" spans="1:10" ht="12.75">
      <c r="A565" s="104"/>
      <c r="B565" s="104"/>
      <c r="C565" s="104"/>
      <c r="D565" s="104"/>
      <c r="E565" s="104"/>
      <c r="F565" s="104"/>
      <c r="G565" s="104"/>
      <c r="H565" s="104"/>
      <c r="I565" s="104"/>
      <c r="J565" s="104"/>
    </row>
    <row r="566" spans="1:10" ht="12.75">
      <c r="A566" s="104"/>
      <c r="B566" s="104"/>
      <c r="C566" s="104"/>
      <c r="D566" s="104"/>
      <c r="E566" s="104"/>
      <c r="F566" s="104"/>
      <c r="G566" s="104"/>
      <c r="H566" s="104"/>
      <c r="I566" s="104"/>
      <c r="J566" s="104"/>
    </row>
    <row r="567" spans="1:10" ht="12.75">
      <c r="A567" s="104"/>
      <c r="B567" s="104"/>
      <c r="C567" s="104"/>
      <c r="D567" s="104"/>
      <c r="E567" s="104"/>
      <c r="F567" s="104"/>
      <c r="G567" s="104"/>
      <c r="H567" s="104"/>
      <c r="I567" s="104"/>
      <c r="J567" s="104"/>
    </row>
    <row r="568" spans="1:10" ht="12.75">
      <c r="A568" s="104"/>
      <c r="B568" s="104"/>
      <c r="C568" s="104"/>
      <c r="D568" s="104"/>
      <c r="E568" s="104"/>
      <c r="F568" s="104"/>
      <c r="G568" s="104"/>
      <c r="H568" s="104"/>
      <c r="I568" s="104"/>
      <c r="J568" s="104"/>
    </row>
    <row r="569" spans="1:10" ht="12.75">
      <c r="A569" s="104"/>
      <c r="B569" s="104"/>
      <c r="C569" s="104"/>
      <c r="D569" s="104"/>
      <c r="E569" s="104"/>
      <c r="F569" s="104"/>
      <c r="G569" s="104"/>
      <c r="H569" s="104"/>
      <c r="I569" s="104"/>
      <c r="J569" s="104"/>
    </row>
    <row r="570" spans="1:10" ht="12.75">
      <c r="A570" s="104"/>
      <c r="B570" s="104"/>
      <c r="C570" s="104"/>
      <c r="D570" s="104"/>
      <c r="E570" s="104"/>
      <c r="F570" s="104"/>
      <c r="G570" s="104"/>
      <c r="H570" s="104"/>
      <c r="I570" s="104"/>
      <c r="J570" s="104"/>
    </row>
    <row r="571" spans="1:10" ht="12.75">
      <c r="A571" s="104"/>
      <c r="B571" s="104"/>
      <c r="C571" s="104"/>
      <c r="D571" s="104"/>
      <c r="E571" s="104"/>
      <c r="F571" s="104"/>
      <c r="G571" s="104"/>
      <c r="H571" s="104"/>
      <c r="I571" s="104"/>
      <c r="J571" s="104"/>
    </row>
    <row r="572" spans="1:10" ht="12.75">
      <c r="A572" s="104"/>
      <c r="B572" s="104"/>
      <c r="C572" s="104"/>
      <c r="D572" s="104"/>
      <c r="E572" s="104"/>
      <c r="F572" s="104"/>
      <c r="G572" s="104"/>
      <c r="H572" s="104"/>
      <c r="I572" s="104"/>
      <c r="J572" s="104"/>
    </row>
    <row r="573" spans="1:10" ht="12.75">
      <c r="A573" s="104"/>
      <c r="B573" s="104"/>
      <c r="C573" s="104"/>
      <c r="D573" s="104"/>
      <c r="E573" s="104"/>
      <c r="F573" s="104"/>
      <c r="G573" s="104"/>
      <c r="H573" s="104"/>
      <c r="I573" s="104"/>
      <c r="J573" s="104"/>
    </row>
    <row r="574" spans="1:10" ht="12.75">
      <c r="A574" s="104"/>
      <c r="B574" s="104"/>
      <c r="C574" s="104"/>
      <c r="D574" s="104"/>
      <c r="E574" s="104"/>
      <c r="F574" s="104"/>
      <c r="G574" s="104"/>
      <c r="H574" s="104"/>
      <c r="I574" s="104"/>
      <c r="J574" s="104"/>
    </row>
    <row r="575" spans="1:10" ht="12.75">
      <c r="A575" s="104"/>
      <c r="B575" s="104"/>
      <c r="C575" s="104"/>
      <c r="D575" s="104"/>
      <c r="E575" s="104"/>
      <c r="F575" s="104"/>
      <c r="G575" s="104"/>
      <c r="H575" s="104"/>
      <c r="I575" s="104"/>
      <c r="J575" s="104"/>
    </row>
    <row r="576" spans="1:10" ht="12.75">
      <c r="A576" s="104"/>
      <c r="B576" s="104"/>
      <c r="C576" s="104"/>
      <c r="D576" s="104"/>
      <c r="E576" s="104"/>
      <c r="F576" s="104"/>
      <c r="G576" s="104"/>
      <c r="H576" s="104"/>
      <c r="I576" s="104"/>
      <c r="J576" s="104"/>
    </row>
    <row r="577" spans="1:10" ht="12.75">
      <c r="A577" s="104"/>
      <c r="B577" s="104"/>
      <c r="C577" s="104"/>
      <c r="D577" s="104"/>
      <c r="E577" s="104"/>
      <c r="F577" s="104"/>
      <c r="G577" s="104"/>
      <c r="H577" s="104"/>
      <c r="I577" s="104"/>
      <c r="J577" s="104"/>
    </row>
    <row r="578" spans="1:10" ht="12.75">
      <c r="A578" s="104"/>
      <c r="B578" s="104"/>
      <c r="C578" s="104"/>
      <c r="D578" s="104"/>
      <c r="E578" s="104"/>
      <c r="F578" s="104"/>
      <c r="G578" s="104"/>
      <c r="H578" s="104"/>
      <c r="I578" s="104"/>
      <c r="J578" s="104"/>
    </row>
    <row r="579" spans="1:10" ht="12.75">
      <c r="A579" s="104"/>
      <c r="B579" s="104"/>
      <c r="C579" s="104"/>
      <c r="D579" s="104"/>
      <c r="E579" s="104"/>
      <c r="F579" s="104"/>
      <c r="G579" s="104"/>
      <c r="H579" s="104"/>
      <c r="I579" s="104"/>
      <c r="J579" s="104"/>
    </row>
    <row r="580" spans="1:10" ht="12.75">
      <c r="A580" s="104"/>
      <c r="B580" s="104"/>
      <c r="C580" s="104"/>
      <c r="D580" s="104"/>
      <c r="E580" s="104"/>
      <c r="F580" s="104"/>
      <c r="G580" s="104"/>
      <c r="H580" s="104"/>
      <c r="I580" s="104"/>
      <c r="J580" s="104"/>
    </row>
    <row r="581" spans="1:10" ht="12.75">
      <c r="A581" s="104"/>
      <c r="B581" s="104"/>
      <c r="C581" s="104"/>
      <c r="D581" s="104"/>
      <c r="E581" s="104"/>
      <c r="F581" s="104"/>
      <c r="G581" s="104"/>
      <c r="H581" s="104"/>
      <c r="I581" s="104"/>
      <c r="J581" s="104"/>
    </row>
    <row r="582" spans="1:10" ht="12.75">
      <c r="A582" s="104"/>
      <c r="B582" s="104"/>
      <c r="C582" s="104"/>
      <c r="D582" s="104"/>
      <c r="E582" s="104"/>
      <c r="F582" s="104"/>
      <c r="G582" s="104"/>
      <c r="H582" s="104"/>
      <c r="I582" s="104"/>
      <c r="J582" s="104"/>
    </row>
    <row r="583" spans="1:10" ht="12.75">
      <c r="A583" s="104"/>
      <c r="B583" s="104"/>
      <c r="C583" s="104"/>
      <c r="D583" s="104"/>
      <c r="E583" s="104"/>
      <c r="F583" s="104"/>
      <c r="G583" s="104"/>
      <c r="H583" s="104"/>
      <c r="I583" s="104"/>
      <c r="J583" s="104"/>
    </row>
    <row r="584" spans="1:10" ht="12.75">
      <c r="A584" s="104"/>
      <c r="B584" s="104"/>
      <c r="C584" s="104"/>
      <c r="D584" s="104"/>
      <c r="E584" s="104"/>
      <c r="F584" s="104"/>
      <c r="G584" s="104"/>
      <c r="H584" s="104"/>
      <c r="I584" s="104"/>
      <c r="J584" s="104"/>
    </row>
    <row r="585" spans="1:10" ht="12.75">
      <c r="A585" s="104"/>
      <c r="B585" s="104"/>
      <c r="C585" s="104"/>
      <c r="D585" s="104"/>
      <c r="E585" s="104"/>
      <c r="F585" s="104"/>
      <c r="G585" s="104"/>
      <c r="H585" s="104"/>
      <c r="I585" s="104"/>
      <c r="J585" s="104"/>
    </row>
    <row r="586" spans="1:10" ht="12.75">
      <c r="A586" s="104"/>
      <c r="B586" s="104"/>
      <c r="C586" s="104"/>
      <c r="D586" s="104"/>
      <c r="E586" s="104"/>
      <c r="F586" s="104"/>
      <c r="G586" s="104"/>
      <c r="H586" s="104"/>
      <c r="I586" s="104"/>
      <c r="J586" s="104"/>
    </row>
    <row r="587" spans="1:10" ht="12.75">
      <c r="A587" s="104"/>
      <c r="B587" s="104"/>
      <c r="C587" s="104"/>
      <c r="D587" s="104"/>
      <c r="E587" s="104"/>
      <c r="F587" s="104"/>
      <c r="G587" s="104"/>
      <c r="H587" s="104"/>
      <c r="I587" s="104"/>
      <c r="J587" s="104"/>
    </row>
    <row r="588" spans="1:10" ht="12.75">
      <c r="A588" s="104"/>
      <c r="B588" s="104"/>
      <c r="C588" s="104"/>
      <c r="D588" s="104"/>
      <c r="E588" s="104"/>
      <c r="F588" s="104"/>
      <c r="G588" s="104"/>
      <c r="H588" s="104"/>
      <c r="I588" s="104"/>
      <c r="J588" s="104"/>
    </row>
    <row r="589" spans="1:10" ht="12.75">
      <c r="A589" s="104"/>
      <c r="B589" s="104"/>
      <c r="C589" s="104"/>
      <c r="D589" s="104"/>
      <c r="E589" s="104"/>
      <c r="F589" s="104"/>
      <c r="G589" s="104"/>
      <c r="H589" s="104"/>
      <c r="I589" s="104"/>
      <c r="J589" s="104"/>
    </row>
    <row r="590" spans="1:10" ht="12.75">
      <c r="A590" s="104"/>
      <c r="B590" s="104"/>
      <c r="C590" s="104"/>
      <c r="D590" s="104"/>
      <c r="E590" s="104"/>
      <c r="F590" s="104"/>
      <c r="G590" s="104"/>
      <c r="H590" s="104"/>
      <c r="I590" s="104"/>
      <c r="J590" s="104"/>
    </row>
    <row r="591" spans="1:10" ht="12.75">
      <c r="A591" s="104"/>
      <c r="B591" s="104"/>
      <c r="C591" s="104"/>
      <c r="D591" s="104"/>
      <c r="E591" s="104"/>
      <c r="F591" s="104"/>
      <c r="G591" s="104"/>
      <c r="H591" s="104"/>
      <c r="I591" s="104"/>
      <c r="J591" s="104"/>
    </row>
    <row r="592" spans="1:10" ht="12.75">
      <c r="A592" s="104"/>
      <c r="B592" s="104"/>
      <c r="C592" s="104"/>
      <c r="D592" s="104"/>
      <c r="E592" s="104"/>
      <c r="F592" s="104"/>
      <c r="G592" s="104"/>
      <c r="H592" s="104"/>
      <c r="I592" s="104"/>
      <c r="J592" s="104"/>
    </row>
    <row r="593" spans="1:10" ht="12.75">
      <c r="A593" s="104"/>
      <c r="B593" s="104"/>
      <c r="C593" s="104"/>
      <c r="D593" s="104"/>
      <c r="E593" s="104"/>
      <c r="F593" s="104"/>
      <c r="G593" s="104"/>
      <c r="H593" s="104"/>
      <c r="I593" s="104"/>
      <c r="J593" s="104"/>
    </row>
    <row r="594" spans="1:10" ht="12.75">
      <c r="A594" s="104"/>
      <c r="B594" s="104"/>
      <c r="C594" s="104"/>
      <c r="D594" s="104"/>
      <c r="E594" s="104"/>
      <c r="F594" s="104"/>
      <c r="G594" s="104"/>
      <c r="H594" s="104"/>
      <c r="I594" s="104"/>
      <c r="J594" s="104"/>
    </row>
    <row r="595" spans="1:10" ht="12.75">
      <c r="A595" s="104"/>
      <c r="B595" s="104"/>
      <c r="C595" s="104"/>
      <c r="D595" s="104"/>
      <c r="E595" s="104"/>
      <c r="F595" s="104"/>
      <c r="G595" s="104"/>
      <c r="H595" s="104"/>
      <c r="I595" s="104"/>
      <c r="J595" s="104"/>
    </row>
    <row r="596" spans="1:10" ht="12.75">
      <c r="A596" s="104"/>
      <c r="B596" s="104"/>
      <c r="C596" s="104"/>
      <c r="D596" s="104"/>
      <c r="E596" s="104"/>
      <c r="F596" s="104"/>
      <c r="G596" s="104"/>
      <c r="H596" s="104"/>
      <c r="I596" s="104"/>
      <c r="J596" s="104"/>
    </row>
    <row r="597" spans="1:10" ht="12.75">
      <c r="A597" s="104"/>
      <c r="B597" s="104"/>
      <c r="C597" s="104"/>
      <c r="D597" s="104"/>
      <c r="E597" s="104"/>
      <c r="F597" s="104"/>
      <c r="G597" s="104"/>
      <c r="H597" s="104"/>
      <c r="I597" s="104"/>
      <c r="J597" s="104"/>
    </row>
    <row r="598" spans="1:10" ht="12.75">
      <c r="A598" s="104"/>
      <c r="B598" s="104"/>
      <c r="C598" s="104"/>
      <c r="D598" s="104"/>
      <c r="E598" s="104"/>
      <c r="F598" s="104"/>
      <c r="G598" s="104"/>
      <c r="H598" s="104"/>
      <c r="I598" s="104"/>
      <c r="J598" s="104"/>
    </row>
    <row r="599" spans="1:10" ht="12.75">
      <c r="A599" s="104"/>
      <c r="B599" s="104"/>
      <c r="C599" s="104"/>
      <c r="D599" s="104"/>
      <c r="E599" s="104"/>
      <c r="F599" s="104"/>
      <c r="G599" s="104"/>
      <c r="H599" s="104"/>
      <c r="I599" s="104"/>
      <c r="J599" s="104"/>
    </row>
    <row r="600" spans="1:10" ht="12.75">
      <c r="A600" s="104"/>
      <c r="B600" s="104"/>
      <c r="C600" s="104"/>
      <c r="D600" s="104"/>
      <c r="E600" s="104"/>
      <c r="F600" s="104"/>
      <c r="G600" s="104"/>
      <c r="H600" s="104"/>
      <c r="I600" s="104"/>
      <c r="J600" s="104"/>
    </row>
    <row r="601" spans="1:10" ht="12.75">
      <c r="A601" s="104"/>
      <c r="B601" s="104"/>
      <c r="C601" s="104"/>
      <c r="D601" s="104"/>
      <c r="E601" s="104"/>
      <c r="F601" s="104"/>
      <c r="G601" s="104"/>
      <c r="H601" s="104"/>
      <c r="I601" s="104"/>
      <c r="J601" s="104"/>
    </row>
    <row r="602" spans="1:10" ht="12.75">
      <c r="A602" s="104"/>
      <c r="B602" s="104"/>
      <c r="C602" s="104"/>
      <c r="D602" s="104"/>
      <c r="E602" s="104"/>
      <c r="F602" s="104"/>
      <c r="G602" s="104"/>
      <c r="H602" s="104"/>
      <c r="I602" s="104"/>
      <c r="J602" s="104"/>
    </row>
    <row r="603" spans="1:10" ht="12.75">
      <c r="A603" s="104"/>
      <c r="B603" s="104"/>
      <c r="C603" s="104"/>
      <c r="D603" s="104"/>
      <c r="E603" s="104"/>
      <c r="F603" s="104"/>
      <c r="G603" s="104"/>
      <c r="H603" s="104"/>
      <c r="I603" s="104"/>
      <c r="J603" s="104"/>
    </row>
    <row r="604" spans="1:10" ht="12.75">
      <c r="A604" s="104"/>
      <c r="B604" s="104"/>
      <c r="C604" s="104"/>
      <c r="D604" s="104"/>
      <c r="E604" s="104"/>
      <c r="F604" s="104"/>
      <c r="G604" s="104"/>
      <c r="H604" s="104"/>
      <c r="I604" s="104"/>
      <c r="J604" s="104"/>
    </row>
    <row r="605" spans="1:10" ht="12.75">
      <c r="A605" s="104"/>
      <c r="B605" s="104"/>
      <c r="C605" s="104"/>
      <c r="D605" s="104"/>
      <c r="E605" s="104"/>
      <c r="F605" s="104"/>
      <c r="G605" s="104"/>
      <c r="H605" s="104"/>
      <c r="I605" s="104"/>
      <c r="J605" s="104"/>
    </row>
    <row r="606" spans="1:10" ht="12.75">
      <c r="A606" s="104"/>
      <c r="B606" s="104"/>
      <c r="C606" s="104"/>
      <c r="D606" s="104"/>
      <c r="E606" s="104"/>
      <c r="F606" s="104"/>
      <c r="G606" s="104"/>
      <c r="H606" s="104"/>
      <c r="I606" s="104"/>
      <c r="J606" s="104"/>
    </row>
    <row r="607" spans="1:10" ht="12.75">
      <c r="A607" s="104"/>
      <c r="B607" s="104"/>
      <c r="C607" s="104"/>
      <c r="D607" s="104"/>
      <c r="E607" s="104"/>
      <c r="F607" s="104"/>
      <c r="G607" s="104"/>
      <c r="H607" s="104"/>
      <c r="I607" s="104"/>
      <c r="J607" s="104"/>
    </row>
    <row r="608" spans="1:10" ht="12.75">
      <c r="A608" s="104"/>
      <c r="B608" s="104"/>
      <c r="C608" s="104"/>
      <c r="D608" s="104"/>
      <c r="E608" s="104"/>
      <c r="F608" s="104"/>
      <c r="G608" s="104"/>
      <c r="H608" s="104"/>
      <c r="I608" s="104"/>
      <c r="J608" s="104"/>
    </row>
    <row r="609" spans="1:10" ht="12.75">
      <c r="A609" s="104"/>
      <c r="B609" s="104"/>
      <c r="C609" s="104"/>
      <c r="D609" s="104"/>
      <c r="E609" s="104"/>
      <c r="F609" s="104"/>
      <c r="G609" s="104"/>
      <c r="H609" s="104"/>
      <c r="I609" s="104"/>
      <c r="J609" s="104"/>
    </row>
    <row r="610" spans="1:10" ht="12.75">
      <c r="A610" s="104"/>
      <c r="B610" s="104"/>
      <c r="C610" s="104"/>
      <c r="D610" s="104"/>
      <c r="E610" s="104"/>
      <c r="F610" s="104"/>
      <c r="G610" s="104"/>
      <c r="H610" s="104"/>
      <c r="I610" s="104"/>
      <c r="J610" s="104"/>
    </row>
    <row r="611" spans="1:10" ht="12.75">
      <c r="A611" s="104"/>
      <c r="B611" s="104"/>
      <c r="C611" s="104"/>
      <c r="D611" s="104"/>
      <c r="E611" s="104"/>
      <c r="F611" s="104"/>
      <c r="G611" s="104"/>
      <c r="H611" s="104"/>
      <c r="I611" s="104"/>
      <c r="J611" s="104"/>
    </row>
    <row r="612" spans="1:10" ht="12.75">
      <c r="A612" s="104"/>
      <c r="B612" s="104"/>
      <c r="C612" s="104"/>
      <c r="D612" s="104"/>
      <c r="E612" s="104"/>
      <c r="F612" s="104"/>
      <c r="G612" s="104"/>
      <c r="H612" s="104"/>
      <c r="I612" s="104"/>
      <c r="J612" s="104"/>
    </row>
    <row r="613" spans="1:10" ht="12.75">
      <c r="A613" s="104"/>
      <c r="B613" s="104"/>
      <c r="C613" s="104"/>
      <c r="D613" s="104"/>
      <c r="E613" s="104"/>
      <c r="F613" s="104"/>
      <c r="G613" s="104"/>
      <c r="H613" s="104"/>
      <c r="I613" s="104"/>
      <c r="J613" s="104"/>
    </row>
    <row r="614" spans="1:10" ht="12.75">
      <c r="A614" s="104"/>
      <c r="B614" s="104"/>
      <c r="C614" s="104"/>
      <c r="D614" s="104"/>
      <c r="E614" s="104"/>
      <c r="F614" s="104"/>
      <c r="G614" s="104"/>
      <c r="H614" s="104"/>
      <c r="I614" s="104"/>
      <c r="J614" s="104"/>
    </row>
    <row r="615" spans="1:10" ht="12.75">
      <c r="A615" s="104"/>
      <c r="B615" s="104"/>
      <c r="C615" s="104"/>
      <c r="D615" s="104"/>
      <c r="E615" s="104"/>
      <c r="F615" s="104"/>
      <c r="G615" s="104"/>
      <c r="H615" s="104"/>
      <c r="I615" s="104"/>
      <c r="J615" s="104"/>
    </row>
    <row r="616" spans="1:10" ht="12.75">
      <c r="A616" s="104"/>
      <c r="B616" s="104"/>
      <c r="C616" s="104"/>
      <c r="D616" s="104"/>
      <c r="E616" s="104"/>
      <c r="F616" s="104"/>
      <c r="G616" s="104"/>
      <c r="H616" s="104"/>
      <c r="I616" s="104"/>
      <c r="J616" s="104"/>
    </row>
    <row r="617" spans="1:10" ht="12.75">
      <c r="A617" s="104"/>
      <c r="B617" s="104"/>
      <c r="C617" s="104"/>
      <c r="D617" s="104"/>
      <c r="E617" s="104"/>
      <c r="F617" s="104"/>
      <c r="G617" s="104"/>
      <c r="H617" s="104"/>
      <c r="I617" s="104"/>
      <c r="J617" s="104"/>
    </row>
    <row r="618" spans="1:10" ht="12.75">
      <c r="A618" s="104"/>
      <c r="B618" s="104"/>
      <c r="C618" s="104"/>
      <c r="D618" s="104"/>
      <c r="E618" s="104"/>
      <c r="F618" s="104"/>
      <c r="G618" s="104"/>
      <c r="H618" s="104"/>
      <c r="I618" s="104"/>
      <c r="J618" s="104"/>
    </row>
    <row r="619" spans="1:10" ht="12.75">
      <c r="A619" s="104"/>
      <c r="B619" s="104"/>
      <c r="C619" s="104"/>
      <c r="D619" s="104"/>
      <c r="E619" s="104"/>
      <c r="F619" s="104"/>
      <c r="G619" s="104"/>
      <c r="H619" s="104"/>
      <c r="I619" s="104"/>
      <c r="J619" s="104"/>
    </row>
    <row r="620" spans="1:10" ht="12.75">
      <c r="A620" s="104"/>
      <c r="B620" s="104"/>
      <c r="C620" s="104"/>
      <c r="D620" s="104"/>
      <c r="E620" s="104"/>
      <c r="F620" s="104"/>
      <c r="G620" s="104"/>
      <c r="H620" s="104"/>
      <c r="I620" s="104"/>
      <c r="J620" s="104"/>
    </row>
    <row r="621" spans="1:10" ht="12.75">
      <c r="A621" s="104"/>
      <c r="B621" s="104"/>
      <c r="C621" s="104"/>
      <c r="D621" s="104"/>
      <c r="E621" s="104"/>
      <c r="F621" s="104"/>
      <c r="G621" s="104"/>
      <c r="H621" s="104"/>
      <c r="I621" s="104"/>
      <c r="J621" s="104"/>
    </row>
    <row r="622" spans="1:10" ht="12.75">
      <c r="A622" s="104"/>
      <c r="B622" s="104"/>
      <c r="C622" s="104"/>
      <c r="D622" s="104"/>
      <c r="E622" s="104"/>
      <c r="F622" s="104"/>
      <c r="G622" s="104"/>
      <c r="H622" s="104"/>
      <c r="I622" s="104"/>
      <c r="J622" s="104"/>
    </row>
    <row r="623" spans="1:10" ht="12.75">
      <c r="A623" s="104"/>
      <c r="B623" s="104"/>
      <c r="C623" s="104"/>
      <c r="D623" s="104"/>
      <c r="E623" s="104"/>
      <c r="F623" s="104"/>
      <c r="G623" s="104"/>
      <c r="H623" s="104"/>
      <c r="I623" s="104"/>
      <c r="J623" s="104"/>
    </row>
    <row r="624" spans="1:10" ht="12.75">
      <c r="A624" s="104"/>
      <c r="B624" s="104"/>
      <c r="C624" s="104"/>
      <c r="D624" s="104"/>
      <c r="E624" s="104"/>
      <c r="F624" s="104"/>
      <c r="G624" s="104"/>
      <c r="H624" s="104"/>
      <c r="I624" s="104"/>
      <c r="J624" s="104"/>
    </row>
    <row r="625" spans="1:10" ht="12.75">
      <c r="A625" s="104"/>
      <c r="B625" s="104"/>
      <c r="C625" s="104"/>
      <c r="D625" s="104"/>
      <c r="E625" s="104"/>
      <c r="F625" s="104"/>
      <c r="G625" s="104"/>
      <c r="H625" s="104"/>
      <c r="I625" s="104"/>
      <c r="J625" s="104"/>
    </row>
    <row r="626" spans="1:10" ht="12.75">
      <c r="A626" s="104"/>
      <c r="B626" s="104"/>
      <c r="C626" s="104"/>
      <c r="D626" s="104"/>
      <c r="E626" s="104"/>
      <c r="F626" s="104"/>
      <c r="G626" s="104"/>
      <c r="H626" s="104"/>
      <c r="I626" s="104"/>
      <c r="J626" s="104"/>
    </row>
    <row r="627" spans="1:10" ht="12.75">
      <c r="A627" s="104"/>
      <c r="B627" s="104"/>
      <c r="C627" s="104"/>
      <c r="D627" s="104"/>
      <c r="E627" s="104"/>
      <c r="F627" s="104"/>
      <c r="G627" s="104"/>
      <c r="H627" s="104"/>
      <c r="I627" s="104"/>
      <c r="J627" s="104"/>
    </row>
    <row r="628" spans="1:10" ht="12.75">
      <c r="A628" s="104"/>
      <c r="B628" s="104"/>
      <c r="C628" s="104"/>
      <c r="D628" s="104"/>
      <c r="E628" s="104"/>
      <c r="F628" s="104"/>
      <c r="G628" s="104"/>
      <c r="H628" s="104"/>
      <c r="I628" s="104"/>
      <c r="J628" s="104"/>
    </row>
    <row r="629" spans="1:10" ht="12.75">
      <c r="A629" s="104"/>
      <c r="B629" s="104"/>
      <c r="C629" s="104"/>
      <c r="D629" s="104"/>
      <c r="E629" s="104"/>
      <c r="F629" s="104"/>
      <c r="G629" s="104"/>
      <c r="H629" s="104"/>
      <c r="I629" s="104"/>
      <c r="J629" s="104"/>
    </row>
    <row r="630" spans="1:10" ht="12.75">
      <c r="A630" s="104"/>
      <c r="B630" s="104"/>
      <c r="C630" s="104"/>
      <c r="D630" s="104"/>
      <c r="E630" s="104"/>
      <c r="F630" s="104"/>
      <c r="G630" s="104"/>
      <c r="H630" s="104"/>
      <c r="I630" s="104"/>
      <c r="J630" s="104"/>
    </row>
    <row r="631" spans="1:10" ht="12.75">
      <c r="A631" s="104"/>
      <c r="B631" s="104"/>
      <c r="C631" s="104"/>
      <c r="D631" s="104"/>
      <c r="E631" s="104"/>
      <c r="F631" s="104"/>
      <c r="G631" s="104"/>
      <c r="H631" s="104"/>
      <c r="I631" s="104"/>
      <c r="J631" s="104"/>
    </row>
    <row r="632" spans="1:10" ht="12.75">
      <c r="A632" s="104"/>
      <c r="B632" s="104"/>
      <c r="C632" s="104"/>
      <c r="D632" s="104"/>
      <c r="E632" s="104"/>
      <c r="F632" s="104"/>
      <c r="G632" s="104"/>
      <c r="H632" s="104"/>
      <c r="I632" s="104"/>
      <c r="J632" s="104"/>
    </row>
    <row r="633" spans="1:10" ht="12.75">
      <c r="A633" s="104"/>
      <c r="B633" s="104"/>
      <c r="C633" s="104"/>
      <c r="D633" s="104"/>
      <c r="E633" s="104"/>
      <c r="F633" s="104"/>
      <c r="G633" s="104"/>
      <c r="H633" s="104"/>
      <c r="I633" s="104"/>
      <c r="J633" s="104"/>
    </row>
    <row r="634" spans="1:10" ht="12.75">
      <c r="A634" s="104"/>
      <c r="B634" s="104"/>
      <c r="C634" s="104"/>
      <c r="D634" s="104"/>
      <c r="E634" s="104"/>
      <c r="F634" s="104"/>
      <c r="G634" s="104"/>
      <c r="H634" s="104"/>
      <c r="I634" s="104"/>
      <c r="J634" s="104"/>
    </row>
    <row r="635" spans="1:10" ht="12.75">
      <c r="A635" s="104"/>
      <c r="B635" s="104"/>
      <c r="C635" s="104"/>
      <c r="D635" s="104"/>
      <c r="E635" s="104"/>
      <c r="F635" s="104"/>
      <c r="G635" s="104"/>
      <c r="H635" s="104"/>
      <c r="I635" s="104"/>
      <c r="J635" s="104"/>
    </row>
    <row r="636" spans="1:10" ht="12.75">
      <c r="A636" s="104"/>
      <c r="B636" s="104"/>
      <c r="C636" s="104"/>
      <c r="D636" s="104"/>
      <c r="E636" s="104"/>
      <c r="F636" s="104"/>
      <c r="G636" s="104"/>
      <c r="H636" s="104"/>
      <c r="I636" s="104"/>
      <c r="J636" s="104"/>
    </row>
    <row r="637" spans="1:10" ht="12.75">
      <c r="A637" s="104"/>
      <c r="B637" s="104"/>
      <c r="C637" s="104"/>
      <c r="D637" s="104"/>
      <c r="E637" s="104"/>
      <c r="F637" s="104"/>
      <c r="G637" s="104"/>
      <c r="H637" s="104"/>
      <c r="I637" s="104"/>
      <c r="J637" s="104"/>
    </row>
    <row r="638" spans="1:10" ht="12.75">
      <c r="A638" s="104"/>
      <c r="B638" s="104"/>
      <c r="C638" s="104"/>
      <c r="D638" s="104"/>
      <c r="E638" s="104"/>
      <c r="F638" s="104"/>
      <c r="G638" s="104"/>
      <c r="H638" s="104"/>
      <c r="I638" s="104"/>
      <c r="J638" s="104"/>
    </row>
    <row r="639" spans="1:10" ht="12.75">
      <c r="A639" s="104"/>
      <c r="B639" s="104"/>
      <c r="C639" s="104"/>
      <c r="D639" s="104"/>
      <c r="E639" s="104"/>
      <c r="F639" s="104"/>
      <c r="G639" s="104"/>
      <c r="H639" s="104"/>
      <c r="I639" s="104"/>
      <c r="J639" s="104"/>
    </row>
    <row r="640" spans="1:10" ht="12.75">
      <c r="A640" s="104"/>
      <c r="B640" s="104"/>
      <c r="C640" s="104"/>
      <c r="D640" s="104"/>
      <c r="E640" s="104"/>
      <c r="F640" s="104"/>
      <c r="G640" s="104"/>
      <c r="H640" s="104"/>
      <c r="I640" s="104"/>
      <c r="J640" s="104"/>
    </row>
    <row r="641" spans="1:10" ht="12.75">
      <c r="A641" s="104"/>
      <c r="B641" s="104"/>
      <c r="C641" s="104"/>
      <c r="D641" s="104"/>
      <c r="E641" s="104"/>
      <c r="F641" s="104"/>
      <c r="G641" s="104"/>
      <c r="H641" s="104"/>
      <c r="I641" s="104"/>
      <c r="J641" s="104"/>
    </row>
    <row r="642" spans="1:10" ht="12.75">
      <c r="A642" s="104"/>
      <c r="B642" s="104"/>
      <c r="C642" s="104"/>
      <c r="D642" s="104"/>
      <c r="E642" s="104"/>
      <c r="F642" s="104"/>
      <c r="G642" s="104"/>
      <c r="H642" s="104"/>
      <c r="I642" s="104"/>
      <c r="J642" s="104"/>
    </row>
    <row r="643" spans="1:10" ht="12.75">
      <c r="A643" s="104"/>
      <c r="B643" s="104"/>
      <c r="C643" s="104"/>
      <c r="D643" s="104"/>
      <c r="E643" s="104"/>
      <c r="F643" s="104"/>
      <c r="G643" s="104"/>
      <c r="H643" s="104"/>
      <c r="I643" s="104"/>
      <c r="J643" s="104"/>
    </row>
    <row r="644" spans="1:10" ht="12.75">
      <c r="A644" s="104"/>
      <c r="B644" s="104"/>
      <c r="C644" s="104"/>
      <c r="D644" s="104"/>
      <c r="E644" s="104"/>
      <c r="F644" s="104"/>
      <c r="G644" s="104"/>
      <c r="H644" s="104"/>
      <c r="I644" s="104"/>
      <c r="J644" s="104"/>
    </row>
    <row r="645" spans="1:10" ht="12.75">
      <c r="A645" s="104"/>
      <c r="B645" s="104"/>
      <c r="C645" s="104"/>
      <c r="D645" s="104"/>
      <c r="E645" s="104"/>
      <c r="F645" s="104"/>
      <c r="G645" s="104"/>
      <c r="H645" s="104"/>
      <c r="I645" s="104"/>
      <c r="J645" s="104"/>
    </row>
    <row r="646" spans="1:10" ht="12.75">
      <c r="A646" s="104"/>
      <c r="B646" s="104"/>
      <c r="C646" s="104"/>
      <c r="D646" s="104"/>
      <c r="E646" s="104"/>
      <c r="F646" s="104"/>
      <c r="G646" s="104"/>
      <c r="H646" s="104"/>
      <c r="I646" s="104"/>
      <c r="J646" s="104"/>
    </row>
    <row r="647" spans="1:10" ht="12.75">
      <c r="A647" s="104"/>
      <c r="B647" s="104"/>
      <c r="C647" s="104"/>
      <c r="D647" s="104"/>
      <c r="E647" s="104"/>
      <c r="F647" s="104"/>
      <c r="G647" s="104"/>
      <c r="H647" s="104"/>
      <c r="I647" s="104"/>
      <c r="J647" s="104"/>
    </row>
    <row r="648" spans="1:10" ht="12.75">
      <c r="A648" s="104"/>
      <c r="B648" s="104"/>
      <c r="C648" s="104"/>
      <c r="D648" s="104"/>
      <c r="E648" s="104"/>
      <c r="F648" s="104"/>
      <c r="G648" s="104"/>
      <c r="H648" s="104"/>
      <c r="I648" s="104"/>
      <c r="J648" s="104"/>
    </row>
    <row r="649" spans="1:10" ht="12.75">
      <c r="A649" s="104"/>
      <c r="B649" s="104"/>
      <c r="C649" s="104"/>
      <c r="D649" s="104"/>
      <c r="E649" s="104"/>
      <c r="F649" s="104"/>
      <c r="G649" s="104"/>
      <c r="H649" s="104"/>
      <c r="I649" s="104"/>
      <c r="J649" s="104"/>
    </row>
    <row r="650" spans="1:10" ht="12.75">
      <c r="A650" s="104"/>
      <c r="B650" s="104"/>
      <c r="C650" s="104"/>
      <c r="D650" s="104"/>
      <c r="E650" s="104"/>
      <c r="F650" s="104"/>
      <c r="G650" s="104"/>
      <c r="H650" s="104"/>
      <c r="I650" s="104"/>
      <c r="J650" s="104"/>
    </row>
    <row r="651" spans="1:10" ht="12.75">
      <c r="A651" s="104"/>
      <c r="B651" s="104"/>
      <c r="C651" s="104"/>
      <c r="D651" s="104"/>
      <c r="E651" s="104"/>
      <c r="F651" s="104"/>
      <c r="G651" s="104"/>
      <c r="H651" s="104"/>
      <c r="I651" s="104"/>
      <c r="J651" s="104"/>
    </row>
    <row r="652" spans="1:10" ht="12.75">
      <c r="A652" s="104"/>
      <c r="B652" s="104"/>
      <c r="C652" s="104"/>
      <c r="D652" s="104"/>
      <c r="E652" s="104"/>
      <c r="F652" s="104"/>
      <c r="G652" s="104"/>
      <c r="H652" s="104"/>
      <c r="I652" s="104"/>
      <c r="J652" s="104"/>
    </row>
    <row r="653" spans="1:10" ht="12.75">
      <c r="A653" s="104"/>
      <c r="B653" s="104"/>
      <c r="C653" s="104"/>
      <c r="D653" s="104"/>
      <c r="E653" s="104"/>
      <c r="F653" s="104"/>
      <c r="G653" s="104"/>
      <c r="H653" s="104"/>
      <c r="I653" s="104"/>
      <c r="J653" s="104"/>
    </row>
    <row r="654" spans="1:10" ht="12.75">
      <c r="A654" s="104"/>
      <c r="B654" s="104"/>
      <c r="C654" s="104"/>
      <c r="D654" s="104"/>
      <c r="E654" s="104"/>
      <c r="F654" s="104"/>
      <c r="G654" s="104"/>
      <c r="H654" s="104"/>
      <c r="I654" s="104"/>
      <c r="J654" s="104"/>
    </row>
    <row r="655" spans="1:10" ht="12.75">
      <c r="A655" s="104"/>
      <c r="B655" s="104"/>
      <c r="C655" s="104"/>
      <c r="D655" s="104"/>
      <c r="E655" s="104"/>
      <c r="F655" s="104"/>
      <c r="G655" s="104"/>
      <c r="H655" s="104"/>
      <c r="I655" s="104"/>
      <c r="J655" s="104"/>
    </row>
    <row r="656" spans="1:10" ht="12.75">
      <c r="A656" s="104"/>
      <c r="B656" s="104"/>
      <c r="C656" s="104"/>
      <c r="D656" s="104"/>
      <c r="E656" s="104"/>
      <c r="F656" s="104"/>
      <c r="G656" s="104"/>
      <c r="H656" s="104"/>
      <c r="I656" s="104"/>
      <c r="J656" s="104"/>
    </row>
    <row r="657" spans="1:10" ht="12.75">
      <c r="A657" s="104"/>
      <c r="B657" s="104"/>
      <c r="C657" s="104"/>
      <c r="D657" s="104"/>
      <c r="E657" s="104"/>
      <c r="F657" s="104"/>
      <c r="G657" s="104"/>
      <c r="H657" s="104"/>
      <c r="I657" s="104"/>
      <c r="J657" s="104"/>
    </row>
    <row r="658" spans="1:10" ht="12.75">
      <c r="A658" s="104"/>
      <c r="B658" s="104"/>
      <c r="C658" s="104"/>
      <c r="D658" s="104"/>
      <c r="E658" s="104"/>
      <c r="F658" s="104"/>
      <c r="G658" s="104"/>
      <c r="H658" s="104"/>
      <c r="I658" s="104"/>
      <c r="J658" s="104"/>
    </row>
    <row r="659" spans="1:10" ht="12.75">
      <c r="A659" s="104"/>
      <c r="B659" s="104"/>
      <c r="C659" s="104"/>
      <c r="D659" s="104"/>
      <c r="E659" s="104"/>
      <c r="F659" s="104"/>
      <c r="G659" s="104"/>
      <c r="H659" s="104"/>
      <c r="I659" s="104"/>
      <c r="J659" s="104"/>
    </row>
    <row r="660" spans="1:10" ht="12.75">
      <c r="A660" s="104"/>
      <c r="B660" s="104"/>
      <c r="C660" s="104"/>
      <c r="D660" s="104"/>
      <c r="E660" s="104"/>
      <c r="F660" s="104"/>
      <c r="G660" s="104"/>
      <c r="H660" s="104"/>
      <c r="I660" s="104"/>
      <c r="J660" s="104"/>
    </row>
    <row r="661" spans="1:10" ht="12.75">
      <c r="A661" s="104"/>
      <c r="B661" s="104"/>
      <c r="C661" s="104"/>
      <c r="D661" s="104"/>
      <c r="E661" s="104"/>
      <c r="F661" s="104"/>
      <c r="G661" s="104"/>
      <c r="H661" s="104"/>
      <c r="I661" s="104"/>
      <c r="J661" s="104"/>
    </row>
    <row r="662" spans="1:10" ht="12.75">
      <c r="A662" s="104"/>
      <c r="B662" s="104"/>
      <c r="C662" s="104"/>
      <c r="D662" s="104"/>
      <c r="E662" s="104"/>
      <c r="F662" s="104"/>
      <c r="G662" s="104"/>
      <c r="H662" s="104"/>
      <c r="I662" s="104"/>
      <c r="J662" s="104"/>
    </row>
    <row r="663" spans="1:10" ht="12.75">
      <c r="A663" s="104"/>
      <c r="B663" s="104"/>
      <c r="C663" s="104"/>
      <c r="D663" s="104"/>
      <c r="E663" s="104"/>
      <c r="F663" s="104"/>
      <c r="G663" s="104"/>
      <c r="H663" s="104"/>
      <c r="I663" s="104"/>
      <c r="J663" s="104"/>
    </row>
    <row r="664" spans="1:10" ht="12.75">
      <c r="A664" s="104"/>
      <c r="B664" s="104"/>
      <c r="C664" s="104"/>
      <c r="D664" s="104"/>
      <c r="E664" s="104"/>
      <c r="F664" s="104"/>
      <c r="G664" s="104"/>
      <c r="H664" s="104"/>
      <c r="I664" s="104"/>
      <c r="J664" s="104"/>
    </row>
    <row r="665" spans="1:10" ht="12.75">
      <c r="A665" s="104"/>
      <c r="B665" s="104"/>
      <c r="C665" s="104"/>
      <c r="D665" s="104"/>
      <c r="E665" s="104"/>
      <c r="F665" s="104"/>
      <c r="G665" s="104"/>
      <c r="H665" s="104"/>
      <c r="I665" s="104"/>
      <c r="J665" s="104"/>
    </row>
    <row r="666" spans="1:10" ht="12.75">
      <c r="A666" s="104"/>
      <c r="B666" s="104"/>
      <c r="C666" s="104"/>
      <c r="D666" s="104"/>
      <c r="E666" s="104"/>
      <c r="F666" s="104"/>
      <c r="G666" s="104"/>
      <c r="H666" s="104"/>
      <c r="I666" s="104"/>
      <c r="J666" s="104"/>
    </row>
    <row r="667" spans="1:10" ht="12.75">
      <c r="A667" s="104"/>
      <c r="B667" s="104"/>
      <c r="C667" s="104"/>
      <c r="D667" s="104"/>
      <c r="E667" s="104"/>
      <c r="F667" s="104"/>
      <c r="G667" s="104"/>
      <c r="H667" s="104"/>
      <c r="I667" s="104"/>
      <c r="J667" s="104"/>
    </row>
    <row r="668" spans="1:10" ht="12.75">
      <c r="A668" s="104"/>
      <c r="B668" s="104"/>
      <c r="C668" s="104"/>
      <c r="D668" s="104"/>
      <c r="E668" s="104"/>
      <c r="F668" s="104"/>
      <c r="G668" s="104"/>
      <c r="H668" s="104"/>
      <c r="I668" s="104"/>
      <c r="J668" s="104"/>
    </row>
    <row r="669" spans="1:10" ht="12.75">
      <c r="A669" s="104"/>
      <c r="B669" s="104"/>
      <c r="C669" s="104"/>
      <c r="D669" s="104"/>
      <c r="E669" s="104"/>
      <c r="F669" s="104"/>
      <c r="G669" s="104"/>
      <c r="H669" s="104"/>
      <c r="I669" s="104"/>
      <c r="J669" s="104"/>
    </row>
    <row r="670" spans="1:10" ht="12.75">
      <c r="A670" s="104"/>
      <c r="B670" s="104"/>
      <c r="C670" s="104"/>
      <c r="D670" s="104"/>
      <c r="E670" s="104"/>
      <c r="F670" s="104"/>
      <c r="G670" s="104"/>
      <c r="H670" s="104"/>
      <c r="I670" s="104"/>
      <c r="J670" s="104"/>
    </row>
    <row r="671" spans="1:10" ht="12.75">
      <c r="A671" s="104"/>
      <c r="B671" s="104"/>
      <c r="C671" s="104"/>
      <c r="D671" s="104"/>
      <c r="E671" s="104"/>
      <c r="F671" s="104"/>
      <c r="G671" s="104"/>
      <c r="H671" s="104"/>
      <c r="I671" s="104"/>
      <c r="J671" s="104"/>
    </row>
    <row r="672" spans="1:10" ht="12.75">
      <c r="A672" s="104"/>
      <c r="B672" s="104"/>
      <c r="C672" s="104"/>
      <c r="D672" s="104"/>
      <c r="E672" s="104"/>
      <c r="F672" s="104"/>
      <c r="G672" s="104"/>
      <c r="H672" s="104"/>
      <c r="I672" s="104"/>
      <c r="J672" s="104"/>
    </row>
    <row r="673" spans="1:10" ht="12.75">
      <c r="A673" s="104"/>
      <c r="B673" s="104"/>
      <c r="C673" s="104"/>
      <c r="D673" s="104"/>
      <c r="E673" s="104"/>
      <c r="F673" s="104"/>
      <c r="G673" s="104"/>
      <c r="H673" s="104"/>
      <c r="I673" s="104"/>
      <c r="J673" s="104"/>
    </row>
    <row r="674" spans="1:10" ht="12.75">
      <c r="A674" s="104"/>
      <c r="B674" s="104"/>
      <c r="C674" s="104"/>
      <c r="D674" s="104"/>
      <c r="E674" s="104"/>
      <c r="F674" s="104"/>
      <c r="G674" s="104"/>
      <c r="H674" s="104"/>
      <c r="I674" s="104"/>
      <c r="J674" s="104"/>
    </row>
    <row r="675" spans="1:10" ht="12.75">
      <c r="A675" s="104"/>
      <c r="B675" s="104"/>
      <c r="C675" s="104"/>
      <c r="D675" s="104"/>
      <c r="E675" s="104"/>
      <c r="F675" s="104"/>
      <c r="G675" s="104"/>
      <c r="H675" s="104"/>
      <c r="I675" s="104"/>
      <c r="J675" s="104"/>
    </row>
    <row r="676" spans="1:10" ht="12.75">
      <c r="A676" s="104"/>
      <c r="B676" s="104"/>
      <c r="C676" s="104"/>
      <c r="D676" s="104"/>
      <c r="E676" s="104"/>
      <c r="F676" s="104"/>
      <c r="G676" s="104"/>
      <c r="H676" s="104"/>
      <c r="I676" s="104"/>
      <c r="J676" s="104"/>
    </row>
    <row r="677" spans="1:10" ht="12.75">
      <c r="A677" s="104"/>
      <c r="B677" s="104"/>
      <c r="C677" s="104"/>
      <c r="D677" s="104"/>
      <c r="E677" s="104"/>
      <c r="F677" s="104"/>
      <c r="G677" s="104"/>
      <c r="H677" s="104"/>
      <c r="I677" s="104"/>
      <c r="J677" s="104"/>
    </row>
    <row r="678" spans="1:10" ht="12.75">
      <c r="A678" s="104"/>
      <c r="B678" s="104"/>
      <c r="C678" s="104"/>
      <c r="D678" s="104"/>
      <c r="E678" s="104"/>
      <c r="F678" s="104"/>
      <c r="G678" s="104"/>
      <c r="H678" s="104"/>
      <c r="I678" s="104"/>
      <c r="J678" s="104"/>
    </row>
    <row r="679" spans="1:10" ht="12.75">
      <c r="A679" s="104"/>
      <c r="B679" s="104"/>
      <c r="C679" s="104"/>
      <c r="D679" s="104"/>
      <c r="E679" s="104"/>
      <c r="F679" s="104"/>
      <c r="G679" s="104"/>
      <c r="H679" s="104"/>
      <c r="I679" s="104"/>
      <c r="J679" s="104"/>
    </row>
    <row r="680" spans="1:10" ht="12.75">
      <c r="A680" s="104"/>
      <c r="B680" s="104"/>
      <c r="C680" s="104"/>
      <c r="D680" s="104"/>
      <c r="E680" s="104"/>
      <c r="F680" s="104"/>
      <c r="G680" s="104"/>
      <c r="H680" s="104"/>
      <c r="I680" s="104"/>
      <c r="J680" s="104"/>
    </row>
    <row r="681" spans="1:10" ht="12.75">
      <c r="A681" s="104"/>
      <c r="B681" s="104"/>
      <c r="C681" s="104"/>
      <c r="D681" s="104"/>
      <c r="E681" s="104"/>
      <c r="F681" s="104"/>
      <c r="G681" s="104"/>
      <c r="H681" s="104"/>
      <c r="I681" s="104"/>
      <c r="J681" s="104"/>
    </row>
    <row r="682" spans="1:10" ht="12.75">
      <c r="A682" s="104"/>
      <c r="B682" s="104"/>
      <c r="C682" s="104"/>
      <c r="D682" s="104"/>
      <c r="E682" s="104"/>
      <c r="F682" s="104"/>
      <c r="G682" s="104"/>
      <c r="H682" s="104"/>
      <c r="I682" s="104"/>
      <c r="J682" s="104"/>
    </row>
    <row r="683" spans="1:10" ht="12.75">
      <c r="A683" s="104"/>
      <c r="B683" s="104"/>
      <c r="C683" s="104"/>
      <c r="D683" s="104"/>
      <c r="E683" s="104"/>
      <c r="F683" s="104"/>
      <c r="G683" s="104"/>
      <c r="H683" s="104"/>
      <c r="I683" s="104"/>
      <c r="J683" s="104"/>
    </row>
    <row r="684" spans="1:10" ht="12.75">
      <c r="A684" s="104"/>
      <c r="B684" s="104"/>
      <c r="C684" s="104"/>
      <c r="D684" s="104"/>
      <c r="E684" s="104"/>
      <c r="F684" s="104"/>
      <c r="G684" s="104"/>
      <c r="H684" s="104"/>
      <c r="I684" s="104"/>
      <c r="J684" s="104"/>
    </row>
    <row r="685" spans="1:10" ht="12.75">
      <c r="A685" s="104"/>
      <c r="B685" s="104"/>
      <c r="C685" s="104"/>
      <c r="D685" s="104"/>
      <c r="E685" s="104"/>
      <c r="F685" s="104"/>
      <c r="G685" s="104"/>
      <c r="H685" s="104"/>
      <c r="I685" s="104"/>
      <c r="J685" s="104"/>
    </row>
    <row r="686" spans="1:10" ht="12.75">
      <c r="A686" s="104"/>
      <c r="B686" s="104"/>
      <c r="C686" s="104"/>
      <c r="D686" s="104"/>
      <c r="E686" s="104"/>
      <c r="F686" s="104"/>
      <c r="G686" s="104"/>
      <c r="H686" s="104"/>
      <c r="I686" s="104"/>
      <c r="J686" s="104"/>
    </row>
    <row r="687" spans="1:10" ht="12.75">
      <c r="A687" s="104"/>
      <c r="B687" s="104"/>
      <c r="C687" s="104"/>
      <c r="D687" s="104"/>
      <c r="E687" s="104"/>
      <c r="F687" s="104"/>
      <c r="G687" s="104"/>
      <c r="H687" s="104"/>
      <c r="I687" s="104"/>
      <c r="J687" s="104"/>
    </row>
    <row r="688" spans="1:10" ht="12.75">
      <c r="A688" s="104"/>
      <c r="B688" s="104"/>
      <c r="C688" s="104"/>
      <c r="D688" s="104"/>
      <c r="E688" s="104"/>
      <c r="F688" s="104"/>
      <c r="G688" s="104"/>
      <c r="H688" s="104"/>
      <c r="I688" s="104"/>
      <c r="J688" s="104"/>
    </row>
    <row r="689" spans="1:10" ht="12.75">
      <c r="A689" s="104"/>
      <c r="B689" s="104"/>
      <c r="C689" s="104"/>
      <c r="D689" s="104"/>
      <c r="E689" s="104"/>
      <c r="F689" s="104"/>
      <c r="G689" s="104"/>
      <c r="H689" s="104"/>
      <c r="I689" s="104"/>
      <c r="J689" s="104"/>
    </row>
    <row r="690" spans="1:10" ht="12.75">
      <c r="A690" s="104"/>
      <c r="B690" s="104"/>
      <c r="C690" s="104"/>
      <c r="D690" s="104"/>
      <c r="E690" s="104"/>
      <c r="F690" s="104"/>
      <c r="G690" s="104"/>
      <c r="H690" s="104"/>
      <c r="I690" s="104"/>
      <c r="J690" s="104"/>
    </row>
    <row r="691" spans="1:10" ht="12.75">
      <c r="A691" s="104"/>
      <c r="B691" s="104"/>
      <c r="C691" s="104"/>
      <c r="D691" s="104"/>
      <c r="E691" s="104"/>
      <c r="F691" s="104"/>
      <c r="G691" s="104"/>
      <c r="H691" s="104"/>
      <c r="I691" s="104"/>
      <c r="J691" s="104"/>
    </row>
    <row r="692" spans="1:10" ht="12.75">
      <c r="A692" s="104"/>
      <c r="B692" s="104"/>
      <c r="C692" s="104"/>
      <c r="D692" s="104"/>
      <c r="E692" s="104"/>
      <c r="F692" s="104"/>
      <c r="G692" s="104"/>
      <c r="H692" s="104"/>
      <c r="I692" s="104"/>
      <c r="J692" s="104"/>
    </row>
    <row r="693" spans="1:10" ht="12.75">
      <c r="A693" s="104"/>
      <c r="B693" s="104"/>
      <c r="C693" s="104"/>
      <c r="D693" s="104"/>
      <c r="E693" s="104"/>
      <c r="F693" s="104"/>
      <c r="G693" s="104"/>
      <c r="H693" s="104"/>
      <c r="I693" s="104"/>
      <c r="J693" s="104"/>
    </row>
    <row r="694" spans="1:10" ht="12.75">
      <c r="A694" s="104"/>
      <c r="B694" s="104"/>
      <c r="C694" s="104"/>
      <c r="D694" s="104"/>
      <c r="E694" s="104"/>
      <c r="F694" s="104"/>
      <c r="G694" s="104"/>
      <c r="H694" s="104"/>
      <c r="I694" s="104"/>
      <c r="J694" s="104"/>
    </row>
    <row r="695" spans="1:10" ht="12.75">
      <c r="A695" s="104"/>
      <c r="B695" s="104"/>
      <c r="C695" s="104"/>
      <c r="D695" s="104"/>
      <c r="E695" s="104"/>
      <c r="F695" s="104"/>
      <c r="G695" s="104"/>
      <c r="H695" s="104"/>
      <c r="I695" s="104"/>
      <c r="J695" s="104"/>
    </row>
    <row r="696" spans="1:10" ht="12.75">
      <c r="A696" s="104"/>
      <c r="B696" s="104"/>
      <c r="C696" s="104"/>
      <c r="D696" s="104"/>
      <c r="E696" s="104"/>
      <c r="F696" s="104"/>
      <c r="G696" s="104"/>
      <c r="H696" s="104"/>
      <c r="I696" s="104"/>
      <c r="J696" s="104"/>
    </row>
    <row r="697" spans="1:10" ht="12.75">
      <c r="A697" s="104"/>
      <c r="B697" s="104"/>
      <c r="C697" s="104"/>
      <c r="D697" s="104"/>
      <c r="E697" s="104"/>
      <c r="F697" s="104"/>
      <c r="G697" s="104"/>
      <c r="H697" s="104"/>
      <c r="I697" s="104"/>
      <c r="J697" s="104"/>
    </row>
    <row r="698" spans="1:10" ht="12.75">
      <c r="A698" s="104"/>
      <c r="B698" s="104"/>
      <c r="C698" s="104"/>
      <c r="D698" s="104"/>
      <c r="E698" s="104"/>
      <c r="F698" s="104"/>
      <c r="G698" s="104"/>
      <c r="H698" s="104"/>
      <c r="I698" s="104"/>
      <c r="J698" s="104"/>
    </row>
    <row r="699" spans="1:10" ht="12.75">
      <c r="A699" s="104"/>
      <c r="B699" s="104"/>
      <c r="C699" s="104"/>
      <c r="D699" s="104"/>
      <c r="E699" s="104"/>
      <c r="F699" s="104"/>
      <c r="G699" s="104"/>
      <c r="H699" s="104"/>
      <c r="I699" s="104"/>
      <c r="J699" s="104"/>
    </row>
    <row r="700" spans="1:10" ht="12.75">
      <c r="A700" s="104"/>
      <c r="B700" s="104"/>
      <c r="C700" s="104"/>
      <c r="D700" s="104"/>
      <c r="E700" s="104"/>
      <c r="F700" s="104"/>
      <c r="G700" s="104"/>
      <c r="H700" s="104"/>
      <c r="I700" s="104"/>
      <c r="J700" s="104"/>
    </row>
    <row r="701" spans="1:10" ht="12.75">
      <c r="A701" s="104"/>
      <c r="B701" s="104"/>
      <c r="C701" s="104"/>
      <c r="D701" s="104"/>
      <c r="E701" s="104"/>
      <c r="F701" s="104"/>
      <c r="G701" s="104"/>
      <c r="H701" s="104"/>
      <c r="I701" s="104"/>
      <c r="J701" s="104"/>
    </row>
    <row r="702" spans="1:10" ht="12.75">
      <c r="A702" s="104"/>
      <c r="B702" s="104"/>
      <c r="C702" s="104"/>
      <c r="D702" s="104"/>
      <c r="E702" s="104"/>
      <c r="F702" s="104"/>
      <c r="G702" s="104"/>
      <c r="H702" s="104"/>
      <c r="I702" s="104"/>
      <c r="J702" s="104"/>
    </row>
    <row r="703" spans="1:10" ht="12.75">
      <c r="A703" s="104"/>
      <c r="B703" s="104"/>
      <c r="C703" s="104"/>
      <c r="D703" s="104"/>
      <c r="E703" s="104"/>
      <c r="F703" s="104"/>
      <c r="G703" s="104"/>
      <c r="H703" s="104"/>
      <c r="I703" s="104"/>
      <c r="J703" s="104"/>
    </row>
    <row r="704" spans="1:10" ht="12.75">
      <c r="A704" s="104"/>
      <c r="B704" s="104"/>
      <c r="C704" s="104"/>
      <c r="D704" s="104"/>
      <c r="E704" s="104"/>
      <c r="F704" s="104"/>
      <c r="G704" s="104"/>
      <c r="H704" s="104"/>
      <c r="I704" s="104"/>
      <c r="J704" s="104"/>
    </row>
    <row r="705" spans="1:10" ht="12.75">
      <c r="A705" s="104"/>
      <c r="B705" s="104"/>
      <c r="C705" s="104"/>
      <c r="D705" s="104"/>
      <c r="E705" s="104"/>
      <c r="F705" s="104"/>
      <c r="G705" s="104"/>
      <c r="H705" s="104"/>
      <c r="I705" s="104"/>
      <c r="J705" s="104"/>
    </row>
    <row r="706" spans="1:10" ht="12.75">
      <c r="A706" s="104"/>
      <c r="B706" s="104"/>
      <c r="C706" s="104"/>
      <c r="D706" s="104"/>
      <c r="E706" s="104"/>
      <c r="F706" s="104"/>
      <c r="G706" s="104"/>
      <c r="H706" s="104"/>
      <c r="I706" s="104"/>
      <c r="J706" s="104"/>
    </row>
    <row r="707" spans="1:10" ht="12.75">
      <c r="A707" s="104"/>
      <c r="B707" s="104"/>
      <c r="C707" s="104"/>
      <c r="D707" s="104"/>
      <c r="E707" s="104"/>
      <c r="F707" s="104"/>
      <c r="G707" s="104"/>
      <c r="H707" s="104"/>
      <c r="I707" s="104"/>
      <c r="J707" s="104"/>
    </row>
    <row r="708" spans="1:10" ht="12.75">
      <c r="A708" s="104"/>
      <c r="B708" s="104"/>
      <c r="C708" s="104"/>
      <c r="D708" s="104"/>
      <c r="E708" s="104"/>
      <c r="F708" s="104"/>
      <c r="G708" s="104"/>
      <c r="H708" s="104"/>
      <c r="I708" s="104"/>
      <c r="J708" s="104"/>
    </row>
    <row r="709" spans="1:10" ht="12.75">
      <c r="A709" s="104"/>
      <c r="B709" s="104"/>
      <c r="C709" s="104"/>
      <c r="D709" s="104"/>
      <c r="E709" s="104"/>
      <c r="F709" s="104"/>
      <c r="G709" s="104"/>
      <c r="H709" s="104"/>
      <c r="I709" s="104"/>
      <c r="J709" s="104"/>
    </row>
    <row r="710" spans="1:10" ht="12.75">
      <c r="A710" s="104"/>
      <c r="B710" s="104"/>
      <c r="C710" s="104"/>
      <c r="D710" s="104"/>
      <c r="E710" s="104"/>
      <c r="F710" s="104"/>
      <c r="G710" s="104"/>
      <c r="H710" s="104"/>
      <c r="I710" s="104"/>
      <c r="J710" s="104"/>
    </row>
    <row r="711" spans="1:10" ht="12.75">
      <c r="A711" s="104"/>
      <c r="B711" s="104"/>
      <c r="C711" s="104"/>
      <c r="D711" s="104"/>
      <c r="E711" s="104"/>
      <c r="F711" s="104"/>
      <c r="G711" s="104"/>
      <c r="H711" s="104"/>
      <c r="I711" s="104"/>
      <c r="J711" s="104"/>
    </row>
    <row r="712" spans="1:10" ht="12.75">
      <c r="A712" s="104"/>
      <c r="B712" s="104"/>
      <c r="C712" s="104"/>
      <c r="D712" s="104"/>
      <c r="E712" s="104"/>
      <c r="F712" s="104"/>
      <c r="G712" s="104"/>
      <c r="H712" s="104"/>
      <c r="I712" s="104"/>
      <c r="J712" s="104"/>
    </row>
    <row r="713" spans="1:10" ht="12.75">
      <c r="A713" s="104"/>
      <c r="B713" s="104"/>
      <c r="C713" s="104"/>
      <c r="D713" s="104"/>
      <c r="E713" s="104"/>
      <c r="F713" s="104"/>
      <c r="G713" s="104"/>
      <c r="H713" s="104"/>
      <c r="I713" s="104"/>
      <c r="J713" s="104"/>
    </row>
    <row r="714" spans="1:10" ht="12.75">
      <c r="A714" s="104"/>
      <c r="B714" s="104"/>
      <c r="C714" s="104"/>
      <c r="D714" s="104"/>
      <c r="E714" s="104"/>
      <c r="F714" s="104"/>
      <c r="G714" s="104"/>
      <c r="H714" s="104"/>
      <c r="I714" s="104"/>
      <c r="J714" s="104"/>
    </row>
    <row r="715" spans="1:10" ht="12.75">
      <c r="A715" s="104"/>
      <c r="B715" s="104"/>
      <c r="C715" s="104"/>
      <c r="D715" s="104"/>
      <c r="E715" s="104"/>
      <c r="F715" s="104"/>
      <c r="G715" s="104"/>
      <c r="H715" s="104"/>
      <c r="I715" s="104"/>
      <c r="J715" s="104"/>
    </row>
    <row r="716" spans="1:10" ht="12.75">
      <c r="A716" s="104"/>
      <c r="B716" s="104"/>
      <c r="C716" s="104"/>
      <c r="D716" s="104"/>
      <c r="E716" s="104"/>
      <c r="F716" s="104"/>
      <c r="G716" s="104"/>
      <c r="H716" s="104"/>
      <c r="I716" s="104"/>
      <c r="J716" s="104"/>
    </row>
    <row r="717" spans="1:10" ht="12.75">
      <c r="A717" s="104"/>
      <c r="B717" s="104"/>
      <c r="C717" s="104"/>
      <c r="D717" s="104"/>
      <c r="E717" s="104"/>
      <c r="F717" s="104"/>
      <c r="G717" s="104"/>
      <c r="H717" s="104"/>
      <c r="I717" s="104"/>
      <c r="J717" s="104"/>
    </row>
    <row r="718" spans="1:10" ht="12.75">
      <c r="A718" s="104"/>
      <c r="B718" s="104"/>
      <c r="C718" s="104"/>
      <c r="D718" s="104"/>
      <c r="E718" s="104"/>
      <c r="F718" s="104"/>
      <c r="G718" s="104"/>
      <c r="H718" s="104"/>
      <c r="I718" s="104"/>
      <c r="J718" s="104"/>
    </row>
    <row r="719" spans="1:10" ht="12.75">
      <c r="A719" s="104"/>
      <c r="B719" s="104"/>
      <c r="C719" s="104"/>
      <c r="D719" s="104"/>
      <c r="E719" s="104"/>
      <c r="F719" s="104"/>
      <c r="G719" s="104"/>
      <c r="H719" s="104"/>
      <c r="I719" s="104"/>
      <c r="J719" s="104"/>
    </row>
    <row r="720" spans="1:10" ht="12.75">
      <c r="A720" s="104"/>
      <c r="B720" s="104"/>
      <c r="C720" s="104"/>
      <c r="D720" s="104"/>
      <c r="E720" s="104"/>
      <c r="F720" s="104"/>
      <c r="G720" s="104"/>
      <c r="H720" s="104"/>
      <c r="I720" s="104"/>
      <c r="J720" s="104"/>
    </row>
    <row r="721" spans="1:10" ht="12.75">
      <c r="A721" s="104"/>
      <c r="B721" s="104"/>
      <c r="C721" s="104"/>
      <c r="D721" s="104"/>
      <c r="E721" s="104"/>
      <c r="F721" s="104"/>
      <c r="G721" s="104"/>
      <c r="H721" s="104"/>
      <c r="I721" s="104"/>
      <c r="J721" s="104"/>
    </row>
    <row r="722" spans="1:10" ht="12.75">
      <c r="A722" s="104"/>
      <c r="B722" s="104"/>
      <c r="C722" s="104"/>
      <c r="D722" s="104"/>
      <c r="E722" s="104"/>
      <c r="F722" s="104"/>
      <c r="G722" s="104"/>
      <c r="H722" s="104"/>
      <c r="I722" s="104"/>
      <c r="J722" s="104"/>
    </row>
    <row r="723" spans="1:10" ht="12.75">
      <c r="A723" s="104"/>
      <c r="B723" s="104"/>
      <c r="C723" s="104"/>
      <c r="D723" s="104"/>
      <c r="E723" s="104"/>
      <c r="F723" s="104"/>
      <c r="G723" s="104"/>
      <c r="H723" s="104"/>
      <c r="I723" s="104"/>
      <c r="J723" s="104"/>
    </row>
    <row r="724" spans="1:10" ht="12.75">
      <c r="A724" s="104"/>
      <c r="B724" s="104"/>
      <c r="C724" s="104"/>
      <c r="D724" s="104"/>
      <c r="E724" s="104"/>
      <c r="F724" s="104"/>
      <c r="G724" s="104"/>
      <c r="H724" s="104"/>
      <c r="I724" s="104"/>
      <c r="J724" s="104"/>
    </row>
    <row r="725" spans="1:10" ht="12.75">
      <c r="A725" s="104"/>
      <c r="B725" s="104"/>
      <c r="C725" s="104"/>
      <c r="D725" s="104"/>
      <c r="E725" s="104"/>
      <c r="F725" s="104"/>
      <c r="G725" s="104"/>
      <c r="H725" s="104"/>
      <c r="I725" s="104"/>
      <c r="J725" s="104"/>
    </row>
    <row r="726" spans="1:10" ht="12.75">
      <c r="A726" s="104"/>
      <c r="B726" s="104"/>
      <c r="C726" s="104"/>
      <c r="D726" s="104"/>
      <c r="E726" s="104"/>
      <c r="F726" s="104"/>
      <c r="G726" s="104"/>
      <c r="H726" s="104"/>
      <c r="I726" s="104"/>
      <c r="J726" s="104"/>
    </row>
    <row r="727" spans="1:10" ht="12.75">
      <c r="A727" s="104"/>
      <c r="B727" s="104"/>
      <c r="C727" s="104"/>
      <c r="D727" s="104"/>
      <c r="E727" s="104"/>
      <c r="F727" s="104"/>
      <c r="G727" s="104"/>
      <c r="H727" s="104"/>
      <c r="I727" s="104"/>
      <c r="J727" s="104"/>
    </row>
    <row r="728" spans="1:10" ht="12.75">
      <c r="A728" s="104"/>
      <c r="B728" s="104"/>
      <c r="C728" s="104"/>
      <c r="D728" s="104"/>
      <c r="E728" s="104"/>
      <c r="F728" s="104"/>
      <c r="G728" s="104"/>
      <c r="H728" s="104"/>
      <c r="I728" s="104"/>
      <c r="J728" s="104"/>
    </row>
    <row r="729" spans="1:10" ht="12.75">
      <c r="A729" s="104"/>
      <c r="B729" s="104"/>
      <c r="C729" s="104"/>
      <c r="D729" s="104"/>
      <c r="E729" s="104"/>
      <c r="F729" s="104"/>
      <c r="G729" s="104"/>
      <c r="H729" s="104"/>
      <c r="I729" s="104"/>
      <c r="J729" s="104"/>
    </row>
    <row r="730" spans="1:10" ht="12.75">
      <c r="A730" s="104"/>
      <c r="B730" s="104"/>
      <c r="C730" s="104"/>
      <c r="D730" s="104"/>
      <c r="E730" s="104"/>
      <c r="F730" s="104"/>
      <c r="G730" s="104"/>
      <c r="H730" s="104"/>
      <c r="I730" s="104"/>
      <c r="J730" s="104"/>
    </row>
    <row r="731" spans="1:10" ht="12.75">
      <c r="A731" s="104"/>
      <c r="B731" s="104"/>
      <c r="C731" s="104"/>
      <c r="D731" s="104"/>
      <c r="E731" s="104"/>
      <c r="F731" s="104"/>
      <c r="G731" s="104"/>
      <c r="H731" s="104"/>
      <c r="I731" s="104"/>
      <c r="J731" s="104"/>
    </row>
    <row r="732" spans="1:10" ht="12.75">
      <c r="A732" s="104"/>
      <c r="B732" s="104"/>
      <c r="C732" s="104"/>
      <c r="D732" s="104"/>
      <c r="E732" s="104"/>
      <c r="F732" s="104"/>
      <c r="G732" s="104"/>
      <c r="H732" s="104"/>
      <c r="I732" s="104"/>
      <c r="J732" s="104"/>
    </row>
    <row r="733" spans="1:10" ht="12.75">
      <c r="A733" s="104"/>
      <c r="B733" s="104"/>
      <c r="C733" s="104"/>
      <c r="D733" s="104"/>
      <c r="E733" s="104"/>
      <c r="F733" s="104"/>
      <c r="G733" s="104"/>
      <c r="H733" s="104"/>
      <c r="I733" s="104"/>
      <c r="J733" s="104"/>
    </row>
    <row r="734" spans="1:10" ht="12.75">
      <c r="A734" s="104"/>
      <c r="B734" s="104"/>
      <c r="C734" s="104"/>
      <c r="D734" s="104"/>
      <c r="E734" s="104"/>
      <c r="F734" s="104"/>
      <c r="G734" s="104"/>
      <c r="H734" s="104"/>
      <c r="I734" s="104"/>
      <c r="J734" s="104"/>
    </row>
    <row r="735" spans="1:10" ht="12.75">
      <c r="A735" s="104"/>
      <c r="B735" s="104"/>
      <c r="C735" s="104"/>
      <c r="D735" s="104"/>
      <c r="E735" s="104"/>
      <c r="F735" s="104"/>
      <c r="G735" s="104"/>
      <c r="H735" s="104"/>
      <c r="I735" s="104"/>
      <c r="J735" s="104"/>
    </row>
    <row r="736" spans="1:10" ht="12.75">
      <c r="A736" s="104"/>
      <c r="B736" s="104"/>
      <c r="C736" s="104"/>
      <c r="D736" s="104"/>
      <c r="E736" s="104"/>
      <c r="F736" s="104"/>
      <c r="G736" s="104"/>
      <c r="H736" s="104"/>
      <c r="I736" s="104"/>
      <c r="J736" s="104"/>
    </row>
    <row r="737" spans="1:10" ht="12.75">
      <c r="A737" s="104"/>
      <c r="B737" s="104"/>
      <c r="C737" s="104"/>
      <c r="D737" s="104"/>
      <c r="E737" s="104"/>
      <c r="F737" s="104"/>
      <c r="G737" s="104"/>
      <c r="H737" s="104"/>
      <c r="I737" s="104"/>
      <c r="J737" s="104"/>
    </row>
    <row r="738" spans="1:10" ht="12.75">
      <c r="A738" s="104"/>
      <c r="B738" s="104"/>
      <c r="C738" s="104"/>
      <c r="D738" s="104"/>
      <c r="E738" s="104"/>
      <c r="F738" s="104"/>
      <c r="G738" s="104"/>
      <c r="H738" s="104"/>
      <c r="I738" s="104"/>
      <c r="J738" s="104"/>
    </row>
    <row r="739" spans="1:10" ht="12.75">
      <c r="A739" s="104"/>
      <c r="B739" s="104"/>
      <c r="C739" s="104"/>
      <c r="D739" s="104"/>
      <c r="E739" s="104"/>
      <c r="F739" s="104"/>
      <c r="G739" s="104"/>
      <c r="H739" s="104"/>
      <c r="I739" s="104"/>
      <c r="J739" s="104"/>
    </row>
    <row r="740" spans="1:10" ht="12.75">
      <c r="A740" s="104"/>
      <c r="B740" s="104"/>
      <c r="C740" s="104"/>
      <c r="D740" s="104"/>
      <c r="E740" s="104"/>
      <c r="F740" s="104"/>
      <c r="G740" s="104"/>
      <c r="H740" s="104"/>
      <c r="I740" s="104"/>
      <c r="J740" s="104"/>
    </row>
    <row r="741" spans="1:10" ht="12.75">
      <c r="A741" s="104"/>
      <c r="B741" s="104"/>
      <c r="C741" s="104"/>
      <c r="D741" s="104"/>
      <c r="E741" s="104"/>
      <c r="F741" s="104"/>
      <c r="G741" s="104"/>
      <c r="H741" s="104"/>
      <c r="I741" s="104"/>
      <c r="J741" s="104"/>
    </row>
    <row r="742" spans="1:10" ht="12.75">
      <c r="A742" s="104"/>
      <c r="B742" s="104"/>
      <c r="C742" s="104"/>
      <c r="D742" s="104"/>
      <c r="E742" s="104"/>
      <c r="F742" s="104"/>
      <c r="G742" s="104"/>
      <c r="H742" s="104"/>
      <c r="I742" s="104"/>
      <c r="J742" s="104"/>
    </row>
    <row r="743" spans="1:10" ht="12.75">
      <c r="A743" s="104"/>
      <c r="B743" s="104"/>
      <c r="C743" s="104"/>
      <c r="D743" s="104"/>
      <c r="E743" s="104"/>
      <c r="F743" s="104"/>
      <c r="G743" s="104"/>
      <c r="H743" s="104"/>
      <c r="I743" s="104"/>
      <c r="J743" s="104"/>
    </row>
    <row r="744" spans="1:10" ht="12.75">
      <c r="A744" s="104"/>
      <c r="B744" s="104"/>
      <c r="C744" s="104"/>
      <c r="D744" s="104"/>
      <c r="E744" s="104"/>
      <c r="F744" s="104"/>
      <c r="G744" s="104"/>
      <c r="H744" s="104"/>
      <c r="I744" s="104"/>
      <c r="J744" s="104"/>
    </row>
    <row r="745" spans="1:10" ht="12.75">
      <c r="A745" s="104"/>
      <c r="B745" s="104"/>
      <c r="C745" s="104"/>
      <c r="D745" s="104"/>
      <c r="E745" s="104"/>
      <c r="F745" s="104"/>
      <c r="G745" s="104"/>
      <c r="H745" s="104"/>
      <c r="I745" s="104"/>
      <c r="J745" s="104"/>
    </row>
    <row r="746" spans="1:10" ht="12.75">
      <c r="A746" s="104"/>
      <c r="B746" s="104"/>
      <c r="C746" s="104"/>
      <c r="D746" s="104"/>
      <c r="E746" s="104"/>
      <c r="F746" s="104"/>
      <c r="G746" s="104"/>
      <c r="H746" s="104"/>
      <c r="I746" s="104"/>
      <c r="J746" s="104"/>
    </row>
    <row r="747" spans="1:10" ht="12.75">
      <c r="A747" s="104"/>
      <c r="B747" s="104"/>
      <c r="C747" s="104"/>
      <c r="D747" s="104"/>
      <c r="E747" s="104"/>
      <c r="F747" s="104"/>
      <c r="G747" s="104"/>
      <c r="H747" s="104"/>
      <c r="I747" s="104"/>
      <c r="J747" s="104"/>
    </row>
    <row r="748" spans="1:10" ht="12.75">
      <c r="A748" s="104"/>
      <c r="B748" s="104"/>
      <c r="C748" s="104"/>
      <c r="D748" s="104"/>
      <c r="E748" s="104"/>
      <c r="F748" s="104"/>
      <c r="G748" s="104"/>
      <c r="H748" s="104"/>
      <c r="I748" s="104"/>
      <c r="J748" s="104"/>
    </row>
    <row r="749" spans="1:10" ht="12.75">
      <c r="A749" s="104"/>
      <c r="B749" s="104"/>
      <c r="C749" s="104"/>
      <c r="D749" s="104"/>
      <c r="E749" s="104"/>
      <c r="F749" s="104"/>
      <c r="G749" s="104"/>
      <c r="H749" s="104"/>
      <c r="I749" s="104"/>
      <c r="J749" s="104"/>
    </row>
    <row r="750" spans="1:10" ht="12.75">
      <c r="A750" s="104"/>
      <c r="B750" s="104"/>
      <c r="C750" s="104"/>
      <c r="D750" s="104"/>
      <c r="E750" s="104"/>
      <c r="F750" s="104"/>
      <c r="G750" s="104"/>
      <c r="H750" s="104"/>
      <c r="I750" s="104"/>
      <c r="J750" s="104"/>
    </row>
    <row r="751" spans="1:10" ht="12.75">
      <c r="A751" s="104"/>
      <c r="B751" s="104"/>
      <c r="C751" s="104"/>
      <c r="D751" s="104"/>
      <c r="E751" s="104"/>
      <c r="F751" s="104"/>
      <c r="G751" s="104"/>
      <c r="H751" s="104"/>
      <c r="I751" s="104"/>
      <c r="J751" s="104"/>
    </row>
    <row r="752" spans="1:10" ht="12.75">
      <c r="A752" s="104"/>
      <c r="B752" s="104"/>
      <c r="C752" s="104"/>
      <c r="D752" s="104"/>
      <c r="E752" s="104"/>
      <c r="F752" s="104"/>
      <c r="G752" s="104"/>
      <c r="H752" s="104"/>
      <c r="I752" s="104"/>
      <c r="J752" s="104"/>
    </row>
    <row r="753" spans="1:10" ht="12.75">
      <c r="A753" s="104"/>
      <c r="B753" s="104"/>
      <c r="C753" s="104"/>
      <c r="D753" s="104"/>
      <c r="E753" s="104"/>
      <c r="F753" s="104"/>
      <c r="G753" s="104"/>
      <c r="H753" s="104"/>
      <c r="I753" s="104"/>
      <c r="J753" s="104"/>
    </row>
    <row r="754" spans="1:10" ht="12.75">
      <c r="A754" s="104"/>
      <c r="B754" s="104"/>
      <c r="C754" s="104"/>
      <c r="D754" s="104"/>
      <c r="E754" s="104"/>
      <c r="F754" s="104"/>
      <c r="G754" s="104"/>
      <c r="H754" s="104"/>
      <c r="I754" s="104"/>
      <c r="J754" s="104"/>
    </row>
    <row r="755" spans="1:10" ht="12.75">
      <c r="A755" s="104"/>
      <c r="B755" s="104"/>
      <c r="C755" s="104"/>
      <c r="D755" s="104"/>
      <c r="E755" s="104"/>
      <c r="F755" s="104"/>
      <c r="G755" s="104"/>
      <c r="H755" s="104"/>
      <c r="I755" s="104"/>
      <c r="J755" s="104"/>
    </row>
    <row r="756" spans="1:10" ht="12.75">
      <c r="A756" s="104"/>
      <c r="B756" s="104"/>
      <c r="C756" s="104"/>
      <c r="D756" s="104"/>
      <c r="E756" s="104"/>
      <c r="F756" s="104"/>
      <c r="G756" s="104"/>
      <c r="H756" s="104"/>
      <c r="I756" s="104"/>
      <c r="J756" s="104"/>
    </row>
    <row r="757" spans="1:10" ht="12.75">
      <c r="A757" s="104"/>
      <c r="B757" s="104"/>
      <c r="C757" s="104"/>
      <c r="D757" s="104"/>
      <c r="E757" s="104"/>
      <c r="F757" s="104"/>
      <c r="G757" s="104"/>
      <c r="H757" s="104"/>
      <c r="I757" s="104"/>
      <c r="J757" s="104"/>
    </row>
    <row r="758" spans="1:10" ht="12.75">
      <c r="A758" s="104"/>
      <c r="B758" s="104"/>
      <c r="C758" s="104"/>
      <c r="D758" s="104"/>
      <c r="E758" s="104"/>
      <c r="F758" s="104"/>
      <c r="G758" s="104"/>
      <c r="H758" s="104"/>
      <c r="I758" s="104"/>
      <c r="J758" s="104"/>
    </row>
    <row r="759" spans="1:10" ht="12.75">
      <c r="A759" s="104"/>
      <c r="B759" s="104"/>
      <c r="C759" s="104"/>
      <c r="D759" s="104"/>
      <c r="E759" s="104"/>
      <c r="F759" s="104"/>
      <c r="G759" s="104"/>
      <c r="H759" s="104"/>
      <c r="I759" s="104"/>
      <c r="J759" s="104"/>
    </row>
    <row r="760" spans="1:10" ht="12.75">
      <c r="A760" s="104"/>
      <c r="B760" s="104"/>
      <c r="C760" s="104"/>
      <c r="D760" s="104"/>
      <c r="E760" s="104"/>
      <c r="F760" s="104"/>
      <c r="G760" s="104"/>
      <c r="H760" s="104"/>
      <c r="I760" s="104"/>
      <c r="J760" s="104"/>
    </row>
    <row r="761" spans="1:10" ht="12.75">
      <c r="A761" s="104"/>
      <c r="B761" s="104"/>
      <c r="C761" s="104"/>
      <c r="D761" s="104"/>
      <c r="E761" s="104"/>
      <c r="F761" s="104"/>
      <c r="G761" s="104"/>
      <c r="H761" s="104"/>
      <c r="I761" s="104"/>
      <c r="J761" s="104"/>
    </row>
    <row r="762" spans="1:10" ht="12.75">
      <c r="A762" s="104"/>
      <c r="B762" s="104"/>
      <c r="C762" s="104"/>
      <c r="D762" s="104"/>
      <c r="E762" s="104"/>
      <c r="F762" s="104"/>
      <c r="G762" s="104"/>
      <c r="H762" s="104"/>
      <c r="I762" s="104"/>
      <c r="J762" s="104"/>
    </row>
    <row r="763" spans="1:10" ht="12.75">
      <c r="A763" s="104"/>
      <c r="B763" s="104"/>
      <c r="C763" s="104"/>
      <c r="D763" s="104"/>
      <c r="E763" s="104"/>
      <c r="F763" s="104"/>
      <c r="G763" s="104"/>
      <c r="H763" s="104"/>
      <c r="I763" s="104"/>
      <c r="J763" s="104"/>
    </row>
    <row r="764" spans="1:10" ht="12.75">
      <c r="A764" s="104"/>
      <c r="B764" s="104"/>
      <c r="C764" s="104"/>
      <c r="D764" s="104"/>
      <c r="E764" s="104"/>
      <c r="F764" s="104"/>
      <c r="G764" s="104"/>
      <c r="H764" s="104"/>
      <c r="I764" s="104"/>
      <c r="J764" s="104"/>
    </row>
    <row r="765" spans="1:10" ht="12.75">
      <c r="A765" s="104"/>
      <c r="B765" s="104"/>
      <c r="C765" s="104"/>
      <c r="D765" s="104"/>
      <c r="E765" s="104"/>
      <c r="F765" s="104"/>
      <c r="G765" s="104"/>
      <c r="H765" s="104"/>
      <c r="I765" s="104"/>
      <c r="J765" s="104"/>
    </row>
    <row r="766" spans="1:10" ht="12.75">
      <c r="A766" s="104"/>
      <c r="B766" s="104"/>
      <c r="C766" s="104"/>
      <c r="D766" s="104"/>
      <c r="E766" s="104"/>
      <c r="F766" s="104"/>
      <c r="G766" s="104"/>
      <c r="H766" s="104"/>
      <c r="I766" s="104"/>
      <c r="J766" s="104"/>
    </row>
    <row r="767" spans="1:10" ht="12.75">
      <c r="A767" s="104"/>
      <c r="B767" s="104"/>
      <c r="C767" s="104"/>
      <c r="D767" s="104"/>
      <c r="E767" s="104"/>
      <c r="F767" s="104"/>
      <c r="G767" s="104"/>
      <c r="H767" s="104"/>
      <c r="I767" s="104"/>
      <c r="J767" s="104"/>
    </row>
    <row r="768" spans="1:10" ht="12.75">
      <c r="A768" s="104"/>
      <c r="B768" s="104"/>
      <c r="C768" s="104"/>
      <c r="D768" s="104"/>
      <c r="E768" s="104"/>
      <c r="F768" s="104"/>
      <c r="G768" s="104"/>
      <c r="H768" s="104"/>
      <c r="I768" s="104"/>
      <c r="J768" s="104"/>
    </row>
    <row r="769" spans="1:10" ht="12.75">
      <c r="A769" s="104"/>
      <c r="B769" s="104"/>
      <c r="C769" s="104"/>
      <c r="D769" s="104"/>
      <c r="E769" s="104"/>
      <c r="F769" s="104"/>
      <c r="G769" s="104"/>
      <c r="H769" s="104"/>
      <c r="I769" s="104"/>
      <c r="J769" s="104"/>
    </row>
    <row r="770" spans="1:10" ht="12.75">
      <c r="A770" s="104"/>
      <c r="B770" s="104"/>
      <c r="C770" s="104"/>
      <c r="D770" s="104"/>
      <c r="E770" s="104"/>
      <c r="F770" s="104"/>
      <c r="G770" s="104"/>
      <c r="H770" s="104"/>
      <c r="I770" s="104"/>
      <c r="J770" s="104"/>
    </row>
    <row r="771" spans="1:10" ht="12.75">
      <c r="A771" s="104"/>
      <c r="B771" s="104"/>
      <c r="C771" s="104"/>
      <c r="D771" s="104"/>
      <c r="E771" s="104"/>
      <c r="F771" s="104"/>
      <c r="G771" s="104"/>
      <c r="H771" s="104"/>
      <c r="I771" s="104"/>
      <c r="J771" s="104"/>
    </row>
    <row r="772" spans="1:10" ht="12.75">
      <c r="A772" s="104"/>
      <c r="B772" s="104"/>
      <c r="C772" s="104"/>
      <c r="D772" s="104"/>
      <c r="E772" s="104"/>
      <c r="F772" s="104"/>
      <c r="G772" s="104"/>
      <c r="H772" s="104"/>
      <c r="I772" s="104"/>
      <c r="J772" s="104"/>
    </row>
    <row r="773" spans="1:10" ht="12.75">
      <c r="A773" s="104"/>
      <c r="B773" s="104"/>
      <c r="C773" s="104"/>
      <c r="D773" s="104"/>
      <c r="E773" s="104"/>
      <c r="F773" s="104"/>
      <c r="G773" s="104"/>
      <c r="H773" s="104"/>
      <c r="I773" s="104"/>
      <c r="J773" s="104"/>
    </row>
    <row r="774" spans="1:10" ht="12.75">
      <c r="A774" s="104"/>
      <c r="B774" s="104"/>
      <c r="C774" s="104"/>
      <c r="D774" s="104"/>
      <c r="E774" s="104"/>
      <c r="F774" s="104"/>
      <c r="G774" s="104"/>
      <c r="H774" s="104"/>
      <c r="I774" s="104"/>
      <c r="J774" s="104"/>
    </row>
    <row r="775" spans="1:10" ht="12.75">
      <c r="A775" s="104"/>
      <c r="B775" s="104"/>
      <c r="C775" s="104"/>
      <c r="D775" s="104"/>
      <c r="E775" s="104"/>
      <c r="F775" s="104"/>
      <c r="G775" s="104"/>
      <c r="H775" s="104"/>
      <c r="I775" s="104"/>
      <c r="J775" s="104"/>
    </row>
    <row r="776" spans="1:10" ht="12.75">
      <c r="A776" s="104"/>
      <c r="B776" s="104"/>
      <c r="C776" s="104"/>
      <c r="D776" s="104"/>
      <c r="E776" s="104"/>
      <c r="F776" s="104"/>
      <c r="G776" s="104"/>
      <c r="H776" s="104"/>
      <c r="I776" s="104"/>
      <c r="J776" s="104"/>
    </row>
    <row r="777" spans="1:10" ht="12.75">
      <c r="A777" s="104"/>
      <c r="B777" s="104"/>
      <c r="C777" s="104"/>
      <c r="D777" s="104"/>
      <c r="E777" s="104"/>
      <c r="F777" s="104"/>
      <c r="G777" s="104"/>
      <c r="H777" s="104"/>
      <c r="I777" s="104"/>
      <c r="J777" s="104"/>
    </row>
    <row r="778" spans="1:10" ht="12.75">
      <c r="A778" s="104"/>
      <c r="B778" s="104"/>
      <c r="C778" s="104"/>
      <c r="D778" s="104"/>
      <c r="E778" s="104"/>
      <c r="F778" s="104"/>
      <c r="G778" s="104"/>
      <c r="H778" s="104"/>
      <c r="I778" s="104"/>
      <c r="J778" s="104"/>
    </row>
    <row r="779" spans="1:10" ht="12.75">
      <c r="A779" s="104"/>
      <c r="B779" s="104"/>
      <c r="C779" s="104"/>
      <c r="D779" s="104"/>
      <c r="E779" s="104"/>
      <c r="F779" s="104"/>
      <c r="G779" s="104"/>
      <c r="H779" s="104"/>
      <c r="I779" s="104"/>
      <c r="J779" s="104"/>
    </row>
    <row r="780" spans="1:10" ht="12.75">
      <c r="A780" s="104"/>
      <c r="B780" s="104"/>
      <c r="C780" s="104"/>
      <c r="D780" s="104"/>
      <c r="E780" s="104"/>
      <c r="F780" s="104"/>
      <c r="G780" s="104"/>
      <c r="H780" s="104"/>
      <c r="I780" s="104"/>
      <c r="J780" s="104"/>
    </row>
    <row r="781" spans="1:10" ht="12.75">
      <c r="A781" s="104"/>
      <c r="B781" s="104"/>
      <c r="C781" s="104"/>
      <c r="D781" s="104"/>
      <c r="E781" s="104"/>
      <c r="F781" s="104"/>
      <c r="G781" s="104"/>
      <c r="H781" s="104"/>
      <c r="I781" s="104"/>
      <c r="J781" s="104"/>
    </row>
    <row r="782" spans="1:10" ht="12.75">
      <c r="A782" s="104"/>
      <c r="B782" s="104"/>
      <c r="C782" s="104"/>
      <c r="D782" s="104"/>
      <c r="E782" s="104"/>
      <c r="F782" s="104"/>
      <c r="G782" s="104"/>
      <c r="H782" s="104"/>
      <c r="I782" s="104"/>
      <c r="J782" s="104"/>
    </row>
    <row r="783" spans="1:10" ht="12.75">
      <c r="A783" s="104"/>
      <c r="B783" s="104"/>
      <c r="C783" s="104"/>
      <c r="D783" s="104"/>
      <c r="E783" s="104"/>
      <c r="F783" s="104"/>
      <c r="G783" s="104"/>
      <c r="H783" s="104"/>
      <c r="I783" s="104"/>
      <c r="J783" s="104"/>
    </row>
    <row r="784" spans="1:10" ht="12.75">
      <c r="A784" s="104"/>
      <c r="B784" s="104"/>
      <c r="C784" s="104"/>
      <c r="D784" s="104"/>
      <c r="E784" s="104"/>
      <c r="F784" s="104"/>
      <c r="G784" s="104"/>
      <c r="H784" s="104"/>
      <c r="I784" s="104"/>
      <c r="J784" s="104"/>
    </row>
    <row r="785" spans="1:10" ht="12.75">
      <c r="A785" s="104"/>
      <c r="B785" s="104"/>
      <c r="C785" s="104"/>
      <c r="D785" s="104"/>
      <c r="E785" s="104"/>
      <c r="F785" s="104"/>
      <c r="G785" s="104"/>
      <c r="H785" s="104"/>
      <c r="I785" s="104"/>
      <c r="J785" s="104"/>
    </row>
    <row r="786" spans="1:10" ht="12.75">
      <c r="A786" s="104"/>
      <c r="B786" s="104"/>
      <c r="C786" s="104"/>
      <c r="D786" s="104"/>
      <c r="E786" s="104"/>
      <c r="F786" s="104"/>
      <c r="G786" s="104"/>
      <c r="H786" s="104"/>
      <c r="I786" s="104"/>
      <c r="J786" s="104"/>
    </row>
    <row r="787" spans="1:10" ht="12.75">
      <c r="A787" s="104"/>
      <c r="B787" s="104"/>
      <c r="C787" s="104"/>
      <c r="D787" s="104"/>
      <c r="E787" s="104"/>
      <c r="F787" s="104"/>
      <c r="G787" s="104"/>
      <c r="H787" s="104"/>
      <c r="I787" s="104"/>
      <c r="J787" s="104"/>
    </row>
    <row r="788" spans="1:10" ht="12.75">
      <c r="A788" s="104"/>
      <c r="B788" s="104"/>
      <c r="C788" s="104"/>
      <c r="D788" s="104"/>
      <c r="E788" s="104"/>
      <c r="F788" s="104"/>
      <c r="G788" s="104"/>
      <c r="H788" s="104"/>
      <c r="I788" s="104"/>
      <c r="J788" s="104"/>
    </row>
    <row r="789" spans="1:10" ht="12.75">
      <c r="A789" s="104"/>
      <c r="B789" s="104"/>
      <c r="C789" s="104"/>
      <c r="D789" s="104"/>
      <c r="E789" s="104"/>
      <c r="F789" s="104"/>
      <c r="G789" s="104"/>
      <c r="H789" s="104"/>
      <c r="I789" s="104"/>
      <c r="J789" s="104"/>
    </row>
    <row r="790" spans="1:10" ht="12.75">
      <c r="A790" s="104"/>
      <c r="B790" s="104"/>
      <c r="C790" s="104"/>
      <c r="D790" s="104"/>
      <c r="E790" s="104"/>
      <c r="F790" s="104"/>
      <c r="G790" s="104"/>
      <c r="H790" s="104"/>
      <c r="I790" s="104"/>
      <c r="J790" s="104"/>
    </row>
    <row r="791" spans="1:10" ht="12.75">
      <c r="A791" s="104"/>
      <c r="B791" s="104"/>
      <c r="C791" s="104"/>
      <c r="D791" s="104"/>
      <c r="E791" s="104"/>
      <c r="F791" s="104"/>
      <c r="G791" s="104"/>
      <c r="H791" s="104"/>
      <c r="I791" s="104"/>
      <c r="J791" s="104"/>
    </row>
    <row r="792" spans="1:10" ht="12.75">
      <c r="A792" s="104"/>
      <c r="B792" s="104"/>
      <c r="C792" s="104"/>
      <c r="D792" s="104"/>
      <c r="E792" s="104"/>
      <c r="F792" s="104"/>
      <c r="G792" s="104"/>
      <c r="H792" s="104"/>
      <c r="I792" s="104"/>
      <c r="J792" s="104"/>
    </row>
    <row r="793" spans="1:10" ht="12.75">
      <c r="A793" s="104"/>
      <c r="B793" s="104"/>
      <c r="C793" s="104"/>
      <c r="D793" s="104"/>
      <c r="E793" s="104"/>
      <c r="F793" s="104"/>
      <c r="G793" s="104"/>
      <c r="H793" s="104"/>
      <c r="I793" s="104"/>
      <c r="J793" s="104"/>
    </row>
    <row r="794" spans="1:10" ht="12.75">
      <c r="A794" s="104"/>
      <c r="B794" s="104"/>
      <c r="C794" s="104"/>
      <c r="D794" s="104"/>
      <c r="E794" s="104"/>
      <c r="F794" s="104"/>
      <c r="G794" s="104"/>
      <c r="H794" s="104"/>
      <c r="I794" s="104"/>
      <c r="J794" s="104"/>
    </row>
    <row r="795" spans="1:10" ht="12.75">
      <c r="A795" s="104"/>
      <c r="B795" s="104"/>
      <c r="C795" s="104"/>
      <c r="D795" s="104"/>
      <c r="E795" s="104"/>
      <c r="F795" s="104"/>
      <c r="G795" s="104"/>
      <c r="H795" s="104"/>
      <c r="I795" s="104"/>
      <c r="J795" s="104"/>
    </row>
    <row r="796" spans="1:10" ht="12.75">
      <c r="A796" s="104"/>
      <c r="B796" s="104"/>
      <c r="C796" s="104"/>
      <c r="D796" s="104"/>
      <c r="E796" s="104"/>
      <c r="F796" s="104"/>
      <c r="G796" s="104"/>
      <c r="H796" s="104"/>
      <c r="I796" s="104"/>
      <c r="J796" s="104"/>
    </row>
    <row r="797" spans="1:10" ht="12.75">
      <c r="A797" s="104"/>
      <c r="B797" s="104"/>
      <c r="C797" s="104"/>
      <c r="D797" s="104"/>
      <c r="E797" s="104"/>
      <c r="F797" s="104"/>
      <c r="G797" s="104"/>
      <c r="H797" s="104"/>
      <c r="I797" s="104"/>
      <c r="J797" s="104"/>
    </row>
    <row r="798" spans="1:10" ht="12.75">
      <c r="A798" s="104"/>
      <c r="B798" s="104"/>
      <c r="C798" s="104"/>
      <c r="D798" s="104"/>
      <c r="E798" s="104"/>
      <c r="F798" s="104"/>
      <c r="G798" s="104"/>
      <c r="H798" s="104"/>
      <c r="I798" s="104"/>
      <c r="J798" s="104"/>
    </row>
    <row r="799" spans="1:10" ht="12.75">
      <c r="A799" s="104"/>
      <c r="B799" s="104"/>
      <c r="C799" s="104"/>
      <c r="D799" s="104"/>
      <c r="E799" s="104"/>
      <c r="F799" s="104"/>
      <c r="G799" s="104"/>
      <c r="H799" s="104"/>
      <c r="I799" s="104"/>
      <c r="J799" s="104"/>
    </row>
    <row r="800" spans="1:10" ht="12.75">
      <c r="A800" s="104"/>
      <c r="B800" s="104"/>
      <c r="C800" s="104"/>
      <c r="D800" s="104"/>
      <c r="E800" s="104"/>
      <c r="F800" s="104"/>
      <c r="G800" s="104"/>
      <c r="H800" s="104"/>
      <c r="I800" s="104"/>
      <c r="J800" s="104"/>
    </row>
    <row r="801" spans="1:10" ht="12.75">
      <c r="A801" s="104"/>
      <c r="B801" s="104"/>
      <c r="C801" s="104"/>
      <c r="D801" s="104"/>
      <c r="E801" s="104"/>
      <c r="F801" s="104"/>
      <c r="G801" s="104"/>
      <c r="H801" s="104"/>
      <c r="I801" s="104"/>
      <c r="J801" s="104"/>
    </row>
    <row r="802" spans="1:10" ht="12.75">
      <c r="A802" s="104"/>
      <c r="B802" s="104"/>
      <c r="C802" s="104"/>
      <c r="D802" s="104"/>
      <c r="E802" s="104"/>
      <c r="F802" s="104"/>
      <c r="G802" s="104"/>
      <c r="H802" s="104"/>
      <c r="I802" s="104"/>
      <c r="J802" s="104"/>
    </row>
    <row r="803" spans="1:10" ht="12.75">
      <c r="A803" s="104"/>
      <c r="B803" s="104"/>
      <c r="C803" s="104"/>
      <c r="D803" s="104"/>
      <c r="E803" s="104"/>
      <c r="F803" s="104"/>
      <c r="G803" s="104"/>
      <c r="H803" s="104"/>
      <c r="I803" s="104"/>
      <c r="J803" s="104"/>
    </row>
    <row r="804" spans="1:10" ht="12.75">
      <c r="A804" s="104"/>
      <c r="B804" s="104"/>
      <c r="C804" s="104"/>
      <c r="D804" s="104"/>
      <c r="E804" s="104"/>
      <c r="F804" s="104"/>
      <c r="G804" s="104"/>
      <c r="H804" s="104"/>
      <c r="I804" s="104"/>
      <c r="J804" s="104"/>
    </row>
    <row r="805" spans="1:10" ht="12.75">
      <c r="A805" s="104"/>
      <c r="B805" s="104"/>
      <c r="C805" s="104"/>
      <c r="D805" s="104"/>
      <c r="E805" s="104"/>
      <c r="F805" s="104"/>
      <c r="G805" s="104"/>
      <c r="H805" s="104"/>
      <c r="I805" s="104"/>
      <c r="J805" s="104"/>
    </row>
    <row r="806" spans="1:10" ht="12.75">
      <c r="A806" s="104"/>
      <c r="B806" s="104"/>
      <c r="C806" s="104"/>
      <c r="D806" s="104"/>
      <c r="E806" s="104"/>
      <c r="F806" s="104"/>
      <c r="G806" s="104"/>
      <c r="H806" s="104"/>
      <c r="I806" s="104"/>
      <c r="J806" s="104"/>
    </row>
    <row r="807" spans="1:10" ht="12.75">
      <c r="A807" s="104"/>
      <c r="B807" s="104"/>
      <c r="C807" s="104"/>
      <c r="D807" s="104"/>
      <c r="E807" s="104"/>
      <c r="F807" s="104"/>
      <c r="G807" s="104"/>
      <c r="H807" s="104"/>
      <c r="I807" s="104"/>
      <c r="J807" s="104"/>
    </row>
    <row r="808" spans="1:10" ht="12.75">
      <c r="A808" s="104"/>
      <c r="B808" s="104"/>
      <c r="C808" s="104"/>
      <c r="D808" s="104"/>
      <c r="E808" s="104"/>
      <c r="F808" s="104"/>
      <c r="G808" s="104"/>
      <c r="H808" s="104"/>
      <c r="I808" s="104"/>
      <c r="J808" s="104"/>
    </row>
    <row r="809" spans="1:10" ht="12.75">
      <c r="A809" s="104"/>
      <c r="B809" s="104"/>
      <c r="C809" s="104"/>
      <c r="D809" s="104"/>
      <c r="E809" s="104"/>
      <c r="F809" s="104"/>
      <c r="G809" s="104"/>
      <c r="H809" s="104"/>
      <c r="I809" s="104"/>
      <c r="J809" s="104"/>
    </row>
    <row r="810" spans="1:10" ht="12.75">
      <c r="A810" s="104"/>
      <c r="B810" s="104"/>
      <c r="C810" s="104"/>
      <c r="D810" s="104"/>
      <c r="E810" s="104"/>
      <c r="F810" s="104"/>
      <c r="G810" s="104"/>
      <c r="H810" s="104"/>
      <c r="I810" s="104"/>
      <c r="J810" s="104"/>
    </row>
    <row r="811" spans="1:10" ht="12.75">
      <c r="A811" s="104"/>
      <c r="B811" s="104"/>
      <c r="C811" s="104"/>
      <c r="D811" s="104"/>
      <c r="E811" s="104"/>
      <c r="F811" s="104"/>
      <c r="G811" s="104"/>
      <c r="H811" s="104"/>
      <c r="I811" s="104"/>
      <c r="J811" s="104"/>
    </row>
    <row r="812" spans="1:10" ht="12.75">
      <c r="A812" s="104"/>
      <c r="B812" s="104"/>
      <c r="C812" s="104"/>
      <c r="D812" s="104"/>
      <c r="E812" s="104"/>
      <c r="F812" s="104"/>
      <c r="G812" s="104"/>
      <c r="H812" s="104"/>
      <c r="I812" s="104"/>
      <c r="J812" s="104"/>
    </row>
    <row r="813" spans="1:10" ht="12.75">
      <c r="A813" s="104"/>
      <c r="B813" s="104"/>
      <c r="C813" s="104"/>
      <c r="D813" s="104"/>
      <c r="E813" s="104"/>
      <c r="F813" s="104"/>
      <c r="G813" s="104"/>
      <c r="H813" s="104"/>
      <c r="I813" s="104"/>
      <c r="J813" s="104"/>
    </row>
    <row r="814" spans="1:10" ht="12.75">
      <c r="A814" s="104"/>
      <c r="B814" s="104"/>
      <c r="C814" s="104"/>
      <c r="D814" s="104"/>
      <c r="E814" s="104"/>
      <c r="F814" s="104"/>
      <c r="G814" s="104"/>
      <c r="H814" s="104"/>
      <c r="I814" s="104"/>
      <c r="J814" s="104"/>
    </row>
    <row r="815" spans="1:10" ht="12.75">
      <c r="A815" s="104"/>
      <c r="B815" s="104"/>
      <c r="C815" s="104"/>
      <c r="D815" s="104"/>
      <c r="E815" s="104"/>
      <c r="F815" s="104"/>
      <c r="G815" s="104"/>
      <c r="H815" s="104"/>
      <c r="I815" s="104"/>
      <c r="J815" s="104"/>
    </row>
    <row r="816" spans="1:10" ht="12.75">
      <c r="A816" s="104"/>
      <c r="B816" s="104"/>
      <c r="C816" s="104"/>
      <c r="D816" s="104"/>
      <c r="E816" s="104"/>
      <c r="F816" s="104"/>
      <c r="G816" s="104"/>
      <c r="H816" s="104"/>
      <c r="I816" s="104"/>
      <c r="J816" s="104"/>
    </row>
    <row r="817" spans="1:10" ht="12.75">
      <c r="A817" s="104"/>
      <c r="B817" s="104"/>
      <c r="C817" s="104"/>
      <c r="D817" s="104"/>
      <c r="E817" s="104"/>
      <c r="F817" s="104"/>
      <c r="G817" s="104"/>
      <c r="H817" s="104"/>
      <c r="I817" s="104"/>
      <c r="J817" s="104"/>
    </row>
    <row r="818" spans="1:10" ht="12.75">
      <c r="A818" s="104"/>
      <c r="B818" s="104"/>
      <c r="C818" s="104"/>
      <c r="D818" s="104"/>
      <c r="E818" s="104"/>
      <c r="F818" s="104"/>
      <c r="G818" s="104"/>
      <c r="H818" s="104"/>
      <c r="I818" s="104"/>
      <c r="J818" s="104"/>
    </row>
    <row r="819" spans="1:10" ht="12.75">
      <c r="A819" s="104"/>
      <c r="B819" s="104"/>
      <c r="C819" s="104"/>
      <c r="D819" s="104"/>
      <c r="E819" s="104"/>
      <c r="F819" s="104"/>
      <c r="G819" s="104"/>
      <c r="H819" s="104"/>
      <c r="I819" s="104"/>
      <c r="J819" s="104"/>
    </row>
    <row r="820" spans="1:10" ht="12.75">
      <c r="A820" s="104"/>
      <c r="B820" s="104"/>
      <c r="C820" s="104"/>
      <c r="D820" s="104"/>
      <c r="E820" s="104"/>
      <c r="F820" s="104"/>
      <c r="G820" s="104"/>
      <c r="H820" s="104"/>
      <c r="I820" s="104"/>
      <c r="J820" s="104"/>
    </row>
    <row r="821" spans="1:10" ht="12.75">
      <c r="A821" s="104"/>
      <c r="B821" s="104"/>
      <c r="C821" s="104"/>
      <c r="D821" s="104"/>
      <c r="E821" s="104"/>
      <c r="F821" s="104"/>
      <c r="G821" s="104"/>
      <c r="H821" s="104"/>
      <c r="I821" s="104"/>
      <c r="J821" s="104"/>
    </row>
    <row r="822" spans="1:10" ht="12.75">
      <c r="A822" s="104"/>
      <c r="B822" s="104"/>
      <c r="C822" s="104"/>
      <c r="D822" s="104"/>
      <c r="E822" s="104"/>
      <c r="F822" s="104"/>
      <c r="G822" s="104"/>
      <c r="H822" s="104"/>
      <c r="I822" s="104"/>
      <c r="J822" s="104"/>
    </row>
    <row r="823" spans="1:10" ht="12.75">
      <c r="A823" s="104"/>
      <c r="B823" s="104"/>
      <c r="C823" s="104"/>
      <c r="D823" s="104"/>
      <c r="E823" s="104"/>
      <c r="F823" s="104"/>
      <c r="G823" s="104"/>
      <c r="H823" s="104"/>
      <c r="I823" s="104"/>
      <c r="J823" s="104"/>
    </row>
    <row r="824" spans="1:10" ht="12.75">
      <c r="A824" s="104"/>
      <c r="B824" s="104"/>
      <c r="C824" s="104"/>
      <c r="D824" s="104"/>
      <c r="E824" s="104"/>
      <c r="F824" s="104"/>
      <c r="G824" s="104"/>
      <c r="H824" s="104"/>
      <c r="I824" s="104"/>
      <c r="J824" s="104"/>
    </row>
    <row r="825" spans="1:10" ht="12.75">
      <c r="A825" s="104"/>
      <c r="B825" s="104"/>
      <c r="C825" s="104"/>
      <c r="D825" s="104"/>
      <c r="E825" s="104"/>
      <c r="F825" s="104"/>
      <c r="G825" s="104"/>
      <c r="H825" s="104"/>
      <c r="I825" s="104"/>
      <c r="J825" s="104"/>
    </row>
    <row r="826" spans="1:10" ht="12.75">
      <c r="A826" s="104"/>
      <c r="B826" s="104"/>
      <c r="C826" s="104"/>
      <c r="D826" s="104"/>
      <c r="E826" s="104"/>
      <c r="F826" s="104"/>
      <c r="G826" s="104"/>
      <c r="H826" s="104"/>
      <c r="I826" s="104"/>
      <c r="J826" s="104"/>
    </row>
    <row r="827" spans="1:10" ht="12.75">
      <c r="A827" s="104"/>
      <c r="B827" s="104"/>
      <c r="C827" s="104"/>
      <c r="D827" s="104"/>
      <c r="E827" s="104"/>
      <c r="F827" s="104"/>
      <c r="G827" s="104"/>
      <c r="H827" s="104"/>
      <c r="I827" s="104"/>
      <c r="J827" s="104"/>
    </row>
    <row r="828" spans="1:10" ht="12.75">
      <c r="A828" s="104"/>
      <c r="B828" s="104"/>
      <c r="C828" s="104"/>
      <c r="D828" s="104"/>
      <c r="E828" s="104"/>
      <c r="F828" s="104"/>
      <c r="G828" s="104"/>
      <c r="H828" s="104"/>
      <c r="I828" s="104"/>
      <c r="J828" s="104"/>
    </row>
    <row r="829" spans="1:10" ht="12.75">
      <c r="A829" s="104"/>
      <c r="B829" s="104"/>
      <c r="C829" s="104"/>
      <c r="D829" s="104"/>
      <c r="E829" s="104"/>
      <c r="F829" s="104"/>
      <c r="G829" s="104"/>
      <c r="H829" s="104"/>
      <c r="I829" s="104"/>
      <c r="J829" s="104"/>
    </row>
    <row r="830" spans="1:10" ht="12.75">
      <c r="A830" s="104"/>
      <c r="B830" s="104"/>
      <c r="C830" s="104"/>
      <c r="D830" s="104"/>
      <c r="E830" s="104"/>
      <c r="F830" s="104"/>
      <c r="G830" s="104"/>
      <c r="H830" s="104"/>
      <c r="I830" s="104"/>
      <c r="J830" s="104"/>
    </row>
    <row r="831" spans="1:10" ht="12.75">
      <c r="A831" s="104"/>
      <c r="B831" s="104"/>
      <c r="C831" s="104"/>
      <c r="D831" s="104"/>
      <c r="E831" s="104"/>
      <c r="F831" s="104"/>
      <c r="G831" s="104"/>
      <c r="H831" s="104"/>
      <c r="I831" s="104"/>
      <c r="J831" s="104"/>
    </row>
    <row r="832" spans="1:10" ht="12.75">
      <c r="A832" s="104"/>
      <c r="B832" s="104"/>
      <c r="C832" s="104"/>
      <c r="D832" s="104"/>
      <c r="E832" s="104"/>
      <c r="F832" s="104"/>
      <c r="G832" s="104"/>
      <c r="H832" s="104"/>
      <c r="I832" s="104"/>
      <c r="J832" s="104"/>
    </row>
    <row r="833" spans="1:10" ht="12.75">
      <c r="A833" s="104"/>
      <c r="B833" s="104"/>
      <c r="C833" s="104"/>
      <c r="D833" s="104"/>
      <c r="E833" s="104"/>
      <c r="F833" s="104"/>
      <c r="G833" s="104"/>
      <c r="H833" s="104"/>
      <c r="I833" s="104"/>
      <c r="J833" s="104"/>
    </row>
    <row r="834" spans="1:10" ht="12.75">
      <c r="A834" s="104"/>
      <c r="B834" s="104"/>
      <c r="C834" s="104"/>
      <c r="D834" s="104"/>
      <c r="E834" s="104"/>
      <c r="F834" s="104"/>
      <c r="G834" s="104"/>
      <c r="H834" s="104"/>
      <c r="I834" s="104"/>
      <c r="J834" s="104"/>
    </row>
    <row r="835" spans="1:10" ht="12.75">
      <c r="A835" s="104"/>
      <c r="B835" s="104"/>
      <c r="C835" s="104"/>
      <c r="D835" s="104"/>
      <c r="E835" s="104"/>
      <c r="F835" s="104"/>
      <c r="G835" s="104"/>
      <c r="H835" s="104"/>
      <c r="I835" s="104"/>
      <c r="J835" s="104"/>
    </row>
    <row r="836" spans="1:10" ht="12.75">
      <c r="A836" s="104"/>
      <c r="B836" s="104"/>
      <c r="C836" s="104"/>
      <c r="D836" s="104"/>
      <c r="E836" s="104"/>
      <c r="F836" s="104"/>
      <c r="G836" s="104"/>
      <c r="H836" s="104"/>
      <c r="I836" s="104"/>
      <c r="J836" s="104"/>
    </row>
    <row r="837" spans="1:10" ht="12.75">
      <c r="A837" s="104"/>
      <c r="B837" s="104"/>
      <c r="C837" s="104"/>
      <c r="D837" s="104"/>
      <c r="E837" s="104"/>
      <c r="F837" s="104"/>
      <c r="G837" s="104"/>
      <c r="H837" s="104"/>
      <c r="I837" s="104"/>
      <c r="J837" s="104"/>
    </row>
    <row r="838" spans="1:10" ht="12.75">
      <c r="A838" s="104"/>
      <c r="B838" s="104"/>
      <c r="C838" s="104"/>
      <c r="D838" s="104"/>
      <c r="E838" s="104"/>
      <c r="F838" s="104"/>
      <c r="G838" s="104"/>
      <c r="H838" s="104"/>
      <c r="I838" s="104"/>
      <c r="J838" s="104"/>
    </row>
    <row r="839" spans="1:10" ht="12.75">
      <c r="A839" s="104"/>
      <c r="B839" s="104"/>
      <c r="C839" s="104"/>
      <c r="D839" s="104"/>
      <c r="E839" s="104"/>
      <c r="F839" s="104"/>
      <c r="G839" s="104"/>
      <c r="H839" s="104"/>
      <c r="I839" s="104"/>
      <c r="J839" s="104"/>
    </row>
    <row r="840" spans="1:10" ht="12.75">
      <c r="A840" s="104"/>
      <c r="B840" s="104"/>
      <c r="C840" s="104"/>
      <c r="D840" s="104"/>
      <c r="E840" s="104"/>
      <c r="F840" s="104"/>
      <c r="G840" s="104"/>
      <c r="H840" s="104"/>
      <c r="I840" s="104"/>
      <c r="J840" s="104"/>
    </row>
    <row r="841" spans="1:10" ht="12.75">
      <c r="A841" s="104"/>
      <c r="B841" s="104"/>
      <c r="C841" s="104"/>
      <c r="D841" s="104"/>
      <c r="E841" s="104"/>
      <c r="F841" s="104"/>
      <c r="G841" s="104"/>
      <c r="H841" s="104"/>
      <c r="I841" s="104"/>
      <c r="J841" s="104"/>
    </row>
    <row r="842" spans="1:10" ht="12.75">
      <c r="A842" s="104"/>
      <c r="B842" s="104"/>
      <c r="C842" s="104"/>
      <c r="D842" s="104"/>
      <c r="E842" s="104"/>
      <c r="F842" s="104"/>
      <c r="G842" s="104"/>
      <c r="H842" s="104"/>
      <c r="I842" s="104"/>
      <c r="J842" s="104"/>
    </row>
    <row r="843" spans="1:10" ht="12.75">
      <c r="A843" s="104"/>
      <c r="B843" s="104"/>
      <c r="C843" s="104"/>
      <c r="D843" s="104"/>
      <c r="E843" s="104"/>
      <c r="F843" s="104"/>
      <c r="G843" s="104"/>
      <c r="H843" s="104"/>
      <c r="I843" s="104"/>
      <c r="J843" s="104"/>
    </row>
    <row r="844" spans="1:10" ht="12.75">
      <c r="A844" s="104"/>
      <c r="B844" s="104"/>
      <c r="C844" s="104"/>
      <c r="D844" s="104"/>
      <c r="E844" s="104"/>
      <c r="F844" s="104"/>
      <c r="G844" s="104"/>
      <c r="H844" s="104"/>
      <c r="I844" s="104"/>
      <c r="J844" s="104"/>
    </row>
    <row r="845" spans="1:10" ht="12.75">
      <c r="A845" s="104"/>
      <c r="B845" s="104"/>
      <c r="C845" s="104"/>
      <c r="D845" s="104"/>
      <c r="E845" s="104"/>
      <c r="F845" s="104"/>
      <c r="G845" s="104"/>
      <c r="H845" s="104"/>
      <c r="I845" s="104"/>
      <c r="J845" s="104"/>
    </row>
    <row r="846" spans="1:10" ht="12.75">
      <c r="A846" s="104"/>
      <c r="B846" s="104"/>
      <c r="C846" s="104"/>
      <c r="D846" s="104"/>
      <c r="E846" s="104"/>
      <c r="F846" s="104"/>
      <c r="G846" s="104"/>
      <c r="H846" s="104"/>
      <c r="I846" s="104"/>
      <c r="J846" s="104"/>
    </row>
    <row r="847" spans="1:10" ht="12.75">
      <c r="A847" s="104"/>
      <c r="B847" s="104"/>
      <c r="C847" s="104"/>
      <c r="D847" s="104"/>
      <c r="E847" s="104"/>
      <c r="F847" s="104"/>
      <c r="G847" s="104"/>
      <c r="H847" s="104"/>
      <c r="I847" s="104"/>
      <c r="J847" s="104"/>
    </row>
    <row r="848" spans="1:10" ht="12.75">
      <c r="A848" s="104"/>
      <c r="B848" s="104"/>
      <c r="C848" s="104"/>
      <c r="D848" s="104"/>
      <c r="E848" s="104"/>
      <c r="F848" s="104"/>
      <c r="G848" s="104"/>
      <c r="H848" s="104"/>
      <c r="I848" s="104"/>
      <c r="J848" s="104"/>
    </row>
    <row r="849" spans="1:10" ht="12.75">
      <c r="A849" s="104"/>
      <c r="B849" s="104"/>
      <c r="C849" s="104"/>
      <c r="D849" s="104"/>
      <c r="E849" s="104"/>
      <c r="F849" s="104"/>
      <c r="G849" s="104"/>
      <c r="H849" s="104"/>
      <c r="I849" s="104"/>
      <c r="J849" s="104"/>
    </row>
    <row r="850" spans="1:10" ht="12.75">
      <c r="A850" s="104"/>
      <c r="B850" s="104"/>
      <c r="C850" s="104"/>
      <c r="D850" s="104"/>
      <c r="E850" s="104"/>
      <c r="F850" s="104"/>
      <c r="G850" s="104"/>
      <c r="H850" s="104"/>
      <c r="I850" s="104"/>
      <c r="J850" s="104"/>
    </row>
    <row r="851" spans="1:10" ht="12.75">
      <c r="A851" s="104"/>
      <c r="B851" s="104"/>
      <c r="C851" s="104"/>
      <c r="D851" s="104"/>
      <c r="E851" s="104"/>
      <c r="F851" s="104"/>
      <c r="G851" s="104"/>
      <c r="H851" s="104"/>
      <c r="I851" s="104"/>
      <c r="J851" s="104"/>
    </row>
    <row r="852" spans="1:10" ht="12.75">
      <c r="A852" s="104"/>
      <c r="B852" s="104"/>
      <c r="C852" s="104"/>
      <c r="D852" s="104"/>
      <c r="E852" s="104"/>
      <c r="F852" s="104"/>
      <c r="G852" s="104"/>
      <c r="H852" s="104"/>
      <c r="I852" s="104"/>
      <c r="J852" s="104"/>
    </row>
    <row r="853" spans="1:10" ht="12.75">
      <c r="A853" s="104"/>
      <c r="B853" s="104"/>
      <c r="C853" s="104"/>
      <c r="D853" s="104"/>
      <c r="E853" s="104"/>
      <c r="F853" s="104"/>
      <c r="G853" s="104"/>
      <c r="H853" s="104"/>
      <c r="I853" s="104"/>
      <c r="J853" s="104"/>
    </row>
    <row r="854" spans="1:10" ht="12.75">
      <c r="A854" s="104"/>
      <c r="B854" s="104"/>
      <c r="C854" s="104"/>
      <c r="D854" s="104"/>
      <c r="E854" s="104"/>
      <c r="F854" s="104"/>
      <c r="G854" s="104"/>
      <c r="H854" s="104"/>
      <c r="I854" s="104"/>
      <c r="J854" s="104"/>
    </row>
    <row r="855" spans="1:10" ht="12.75">
      <c r="A855" s="104"/>
      <c r="B855" s="104"/>
      <c r="C855" s="104"/>
      <c r="D855" s="104"/>
      <c r="E855" s="104"/>
      <c r="F855" s="104"/>
      <c r="G855" s="104"/>
      <c r="H855" s="104"/>
      <c r="I855" s="104"/>
      <c r="J855" s="104"/>
    </row>
    <row r="856" spans="1:10" ht="12.75">
      <c r="A856" s="104"/>
      <c r="B856" s="104"/>
      <c r="C856" s="104"/>
      <c r="D856" s="104"/>
      <c r="E856" s="104"/>
      <c r="F856" s="104"/>
      <c r="G856" s="104"/>
      <c r="H856" s="104"/>
      <c r="I856" s="104"/>
      <c r="J856" s="104"/>
    </row>
    <row r="857" spans="1:10" ht="12.75">
      <c r="A857" s="104"/>
      <c r="B857" s="104"/>
      <c r="C857" s="104"/>
      <c r="D857" s="104"/>
      <c r="E857" s="104"/>
      <c r="F857" s="104"/>
      <c r="G857" s="104"/>
      <c r="H857" s="104"/>
      <c r="I857" s="104"/>
      <c r="J857" s="104"/>
    </row>
    <row r="858" spans="1:10" ht="12.75">
      <c r="A858" s="104"/>
      <c r="B858" s="104"/>
      <c r="C858" s="104"/>
      <c r="D858" s="104"/>
      <c r="E858" s="104"/>
      <c r="F858" s="104"/>
      <c r="G858" s="104"/>
      <c r="H858" s="104"/>
      <c r="I858" s="104"/>
      <c r="J858" s="104"/>
    </row>
    <row r="859" spans="1:10" ht="12.75">
      <c r="A859" s="104"/>
      <c r="B859" s="104"/>
      <c r="C859" s="104"/>
      <c r="D859" s="104"/>
      <c r="E859" s="104"/>
      <c r="F859" s="104"/>
      <c r="G859" s="104"/>
      <c r="H859" s="104"/>
      <c r="I859" s="104"/>
      <c r="J859" s="104"/>
    </row>
    <row r="860" spans="1:10" ht="12.75">
      <c r="A860" s="104"/>
      <c r="B860" s="104"/>
      <c r="C860" s="104"/>
      <c r="D860" s="104"/>
      <c r="E860" s="104"/>
      <c r="F860" s="104"/>
      <c r="G860" s="104"/>
      <c r="H860" s="104"/>
      <c r="I860" s="104"/>
      <c r="J860" s="104"/>
    </row>
    <row r="861" spans="1:10" ht="12.75">
      <c r="A861" s="104"/>
      <c r="B861" s="104"/>
      <c r="C861" s="104"/>
      <c r="D861" s="104"/>
      <c r="E861" s="104"/>
      <c r="F861" s="104"/>
      <c r="G861" s="104"/>
      <c r="H861" s="104"/>
      <c r="I861" s="104"/>
      <c r="J861" s="104"/>
    </row>
    <row r="862" spans="1:10" ht="12.75">
      <c r="A862" s="104"/>
      <c r="B862" s="104"/>
      <c r="C862" s="104"/>
      <c r="D862" s="104"/>
      <c r="E862" s="104"/>
      <c r="F862" s="104"/>
      <c r="G862" s="104"/>
      <c r="H862" s="104"/>
      <c r="I862" s="104"/>
      <c r="J862" s="104"/>
    </row>
    <row r="863" spans="1:10" ht="12.75">
      <c r="A863" s="104"/>
      <c r="B863" s="104"/>
      <c r="C863" s="104"/>
      <c r="D863" s="104"/>
      <c r="E863" s="104"/>
      <c r="F863" s="104"/>
      <c r="G863" s="104"/>
      <c r="H863" s="104"/>
      <c r="I863" s="104"/>
      <c r="J863" s="104"/>
    </row>
    <row r="864" spans="1:10" ht="12.75">
      <c r="A864" s="104"/>
      <c r="B864" s="104"/>
      <c r="C864" s="104"/>
      <c r="D864" s="104"/>
      <c r="E864" s="104"/>
      <c r="F864" s="104"/>
      <c r="G864" s="104"/>
      <c r="H864" s="104"/>
      <c r="I864" s="104"/>
      <c r="J864" s="104"/>
    </row>
    <row r="865" spans="1:10" ht="12.75">
      <c r="A865" s="104"/>
      <c r="B865" s="104"/>
      <c r="C865" s="104"/>
      <c r="D865" s="104"/>
      <c r="E865" s="104"/>
      <c r="F865" s="104"/>
      <c r="G865" s="104"/>
      <c r="H865" s="104"/>
      <c r="I865" s="104"/>
      <c r="J865" s="104"/>
    </row>
    <row r="866" spans="1:10" ht="12.75">
      <c r="A866" s="104"/>
      <c r="B866" s="104"/>
      <c r="C866" s="104"/>
      <c r="D866" s="104"/>
      <c r="E866" s="104"/>
      <c r="F866" s="104"/>
      <c r="G866" s="104"/>
      <c r="H866" s="104"/>
      <c r="I866" s="104"/>
      <c r="J866" s="104"/>
    </row>
    <row r="867" spans="1:10" ht="12.75">
      <c r="A867" s="104"/>
      <c r="B867" s="104"/>
      <c r="C867" s="104"/>
      <c r="D867" s="104"/>
      <c r="E867" s="104"/>
      <c r="F867" s="104"/>
      <c r="G867" s="104"/>
      <c r="H867" s="104"/>
      <c r="I867" s="104"/>
      <c r="J867" s="104"/>
    </row>
    <row r="868" spans="1:10" ht="12.75">
      <c r="A868" s="104"/>
      <c r="B868" s="104"/>
      <c r="C868" s="104"/>
      <c r="D868" s="104"/>
      <c r="E868" s="104"/>
      <c r="F868" s="104"/>
      <c r="G868" s="104"/>
      <c r="H868" s="104"/>
      <c r="I868" s="104"/>
      <c r="J868" s="104"/>
    </row>
    <row r="869" spans="1:10" ht="12.75">
      <c r="A869" s="104"/>
      <c r="B869" s="104"/>
      <c r="C869" s="104"/>
      <c r="D869" s="104"/>
      <c r="E869" s="104"/>
      <c r="F869" s="104"/>
      <c r="G869" s="104"/>
      <c r="H869" s="104"/>
      <c r="I869" s="104"/>
      <c r="J869" s="104"/>
    </row>
    <row r="870" spans="1:10" ht="12.75">
      <c r="A870" s="104"/>
      <c r="B870" s="104"/>
      <c r="C870" s="104"/>
      <c r="D870" s="104"/>
      <c r="E870" s="104"/>
      <c r="F870" s="104"/>
      <c r="G870" s="104"/>
      <c r="H870" s="104"/>
      <c r="I870" s="104"/>
      <c r="J870" s="104"/>
    </row>
    <row r="871" spans="1:10" ht="12.75">
      <c r="A871" s="104"/>
      <c r="B871" s="104"/>
      <c r="C871" s="104"/>
      <c r="D871" s="104"/>
      <c r="E871" s="104"/>
      <c r="F871" s="104"/>
      <c r="G871" s="104"/>
      <c r="H871" s="104"/>
      <c r="I871" s="104"/>
      <c r="J871" s="104"/>
    </row>
    <row r="872" spans="1:10" ht="12.75">
      <c r="A872" s="104"/>
      <c r="B872" s="104"/>
      <c r="C872" s="104"/>
      <c r="D872" s="104"/>
      <c r="E872" s="104"/>
      <c r="F872" s="104"/>
      <c r="G872" s="104"/>
      <c r="H872" s="104"/>
      <c r="I872" s="104"/>
      <c r="J872" s="104"/>
    </row>
    <row r="873" spans="1:10" ht="12.75">
      <c r="A873" s="104"/>
      <c r="B873" s="104"/>
      <c r="C873" s="104"/>
      <c r="D873" s="104"/>
      <c r="E873" s="104"/>
      <c r="F873" s="104"/>
      <c r="G873" s="104"/>
      <c r="H873" s="104"/>
      <c r="I873" s="104"/>
      <c r="J873" s="104"/>
    </row>
    <row r="874" spans="1:10" ht="12.75">
      <c r="A874" s="104"/>
      <c r="B874" s="104"/>
      <c r="C874" s="104"/>
      <c r="D874" s="104"/>
      <c r="E874" s="104"/>
      <c r="F874" s="104"/>
      <c r="G874" s="104"/>
      <c r="H874" s="104"/>
      <c r="I874" s="104"/>
      <c r="J874" s="104"/>
    </row>
    <row r="875" spans="1:10" ht="12.75">
      <c r="A875" s="104"/>
      <c r="B875" s="104"/>
      <c r="C875" s="104"/>
      <c r="D875" s="104"/>
      <c r="E875" s="104"/>
      <c r="F875" s="104"/>
      <c r="G875" s="104"/>
      <c r="H875" s="104"/>
      <c r="I875" s="104"/>
      <c r="J875" s="104"/>
    </row>
    <row r="876" spans="1:10" ht="12.75">
      <c r="A876" s="104"/>
      <c r="B876" s="104"/>
      <c r="C876" s="104"/>
      <c r="D876" s="104"/>
      <c r="E876" s="104"/>
      <c r="F876" s="104"/>
      <c r="G876" s="104"/>
      <c r="H876" s="104"/>
      <c r="I876" s="104"/>
      <c r="J876" s="104"/>
    </row>
    <row r="877" spans="1:10" ht="12.75">
      <c r="A877" s="104"/>
      <c r="B877" s="104"/>
      <c r="C877" s="104"/>
      <c r="D877" s="104"/>
      <c r="E877" s="104"/>
      <c r="F877" s="104"/>
      <c r="G877" s="104"/>
      <c r="H877" s="104"/>
      <c r="I877" s="104"/>
      <c r="J877" s="104"/>
    </row>
    <row r="878" spans="1:10" ht="12.75">
      <c r="A878" s="104"/>
      <c r="B878" s="104"/>
      <c r="C878" s="104"/>
      <c r="D878" s="104"/>
      <c r="E878" s="104"/>
      <c r="F878" s="104"/>
      <c r="G878" s="104"/>
      <c r="H878" s="104"/>
      <c r="I878" s="104"/>
      <c r="J878" s="104"/>
    </row>
    <row r="879" spans="1:10" ht="12.75">
      <c r="A879" s="104"/>
      <c r="B879" s="104"/>
      <c r="C879" s="104"/>
      <c r="D879" s="104"/>
      <c r="E879" s="104"/>
      <c r="F879" s="104"/>
      <c r="G879" s="104"/>
      <c r="H879" s="104"/>
      <c r="I879" s="104"/>
      <c r="J879" s="104"/>
    </row>
    <row r="880" spans="1:10" ht="12.75">
      <c r="A880" s="104"/>
      <c r="B880" s="104"/>
      <c r="C880" s="104"/>
      <c r="D880" s="104"/>
      <c r="E880" s="104"/>
      <c r="F880" s="104"/>
      <c r="G880" s="104"/>
      <c r="H880" s="104"/>
      <c r="I880" s="104"/>
      <c r="J880" s="104"/>
    </row>
    <row r="881" spans="1:10" ht="12.75">
      <c r="A881" s="104"/>
      <c r="B881" s="104"/>
      <c r="C881" s="104"/>
      <c r="D881" s="104"/>
      <c r="E881" s="104"/>
      <c r="F881" s="104"/>
      <c r="G881" s="104"/>
      <c r="H881" s="104"/>
      <c r="I881" s="104"/>
      <c r="J881" s="104"/>
    </row>
    <row r="882" spans="1:10" ht="12.75">
      <c r="A882" s="104"/>
      <c r="B882" s="104"/>
      <c r="C882" s="104"/>
      <c r="D882" s="104"/>
      <c r="E882" s="104"/>
      <c r="F882" s="104"/>
      <c r="G882" s="104"/>
      <c r="H882" s="104"/>
      <c r="I882" s="104"/>
      <c r="J882" s="104"/>
    </row>
    <row r="883" spans="1:10" ht="12.75">
      <c r="A883" s="104"/>
      <c r="B883" s="104"/>
      <c r="C883" s="104"/>
      <c r="D883" s="104"/>
      <c r="E883" s="104"/>
      <c r="F883" s="104"/>
      <c r="G883" s="104"/>
      <c r="H883" s="104"/>
      <c r="I883" s="104"/>
      <c r="J883" s="104"/>
    </row>
    <row r="884" spans="1:10" ht="12.75">
      <c r="A884" s="104"/>
      <c r="B884" s="104"/>
      <c r="C884" s="104"/>
      <c r="D884" s="104"/>
      <c r="E884" s="104"/>
      <c r="F884" s="104"/>
      <c r="G884" s="104"/>
      <c r="H884" s="104"/>
      <c r="I884" s="104"/>
      <c r="J884" s="104"/>
    </row>
    <row r="885" spans="1:10" ht="12.75">
      <c r="A885" s="104"/>
      <c r="B885" s="104"/>
      <c r="C885" s="104"/>
      <c r="D885" s="104"/>
      <c r="E885" s="104"/>
      <c r="F885" s="104"/>
      <c r="G885" s="104"/>
      <c r="H885" s="104"/>
      <c r="I885" s="104"/>
      <c r="J885" s="104"/>
    </row>
    <row r="886" spans="1:10" ht="12.75">
      <c r="A886" s="104"/>
      <c r="B886" s="104"/>
      <c r="C886" s="104"/>
      <c r="D886" s="104"/>
      <c r="E886" s="104"/>
      <c r="F886" s="104"/>
      <c r="G886" s="104"/>
      <c r="H886" s="104"/>
      <c r="I886" s="104"/>
      <c r="J886" s="104"/>
    </row>
    <row r="887" spans="1:10" ht="12.75">
      <c r="A887" s="104"/>
      <c r="B887" s="104"/>
      <c r="C887" s="104"/>
      <c r="D887" s="104"/>
      <c r="E887" s="104"/>
      <c r="F887" s="104"/>
      <c r="G887" s="104"/>
      <c r="H887" s="104"/>
      <c r="I887" s="104"/>
      <c r="J887" s="104"/>
    </row>
    <row r="888" spans="1:10" ht="12.75">
      <c r="A888" s="104"/>
      <c r="B888" s="104"/>
      <c r="C888" s="104"/>
      <c r="D888" s="104"/>
      <c r="E888" s="104"/>
      <c r="F888" s="104"/>
      <c r="G888" s="104"/>
      <c r="H888" s="104"/>
      <c r="I888" s="104"/>
      <c r="J888" s="104"/>
    </row>
    <row r="889" spans="1:10" ht="12.75">
      <c r="A889" s="104"/>
      <c r="B889" s="104"/>
      <c r="C889" s="104"/>
      <c r="D889" s="104"/>
      <c r="E889" s="104"/>
      <c r="F889" s="104"/>
      <c r="G889" s="104"/>
      <c r="H889" s="104"/>
      <c r="I889" s="104"/>
      <c r="J889" s="104"/>
    </row>
    <row r="890" spans="1:10" ht="12.75">
      <c r="A890" s="104"/>
      <c r="B890" s="104"/>
      <c r="C890" s="104"/>
      <c r="D890" s="104"/>
      <c r="E890" s="104"/>
      <c r="F890" s="104"/>
      <c r="G890" s="104"/>
      <c r="H890" s="104"/>
      <c r="I890" s="104"/>
      <c r="J890" s="104"/>
    </row>
    <row r="891" spans="1:10" ht="12.75">
      <c r="A891" s="104"/>
      <c r="B891" s="104"/>
      <c r="C891" s="104"/>
      <c r="D891" s="104"/>
      <c r="E891" s="104"/>
      <c r="F891" s="104"/>
      <c r="G891" s="104"/>
      <c r="H891" s="104"/>
      <c r="I891" s="104"/>
      <c r="J891" s="104"/>
    </row>
    <row r="892" spans="1:10" ht="12.75">
      <c r="A892" s="104"/>
      <c r="B892" s="104"/>
      <c r="C892" s="104"/>
      <c r="D892" s="104"/>
      <c r="E892" s="104"/>
      <c r="F892" s="104"/>
      <c r="G892" s="104"/>
      <c r="H892" s="104"/>
      <c r="I892" s="104"/>
      <c r="J892" s="104"/>
    </row>
    <row r="893" spans="1:10" ht="12.75">
      <c r="A893" s="104"/>
      <c r="B893" s="104"/>
      <c r="C893" s="104"/>
      <c r="D893" s="104"/>
      <c r="E893" s="104"/>
      <c r="F893" s="104"/>
      <c r="G893" s="104"/>
      <c r="H893" s="104"/>
      <c r="I893" s="104"/>
      <c r="J893" s="104"/>
    </row>
    <row r="894" spans="1:10" ht="12.75">
      <c r="A894" s="104"/>
      <c r="B894" s="104"/>
      <c r="C894" s="104"/>
      <c r="D894" s="104"/>
      <c r="E894" s="104"/>
      <c r="F894" s="104"/>
      <c r="G894" s="104"/>
      <c r="H894" s="104"/>
      <c r="I894" s="104"/>
      <c r="J894" s="104"/>
    </row>
    <row r="895" spans="1:10" ht="12.75">
      <c r="A895" s="104"/>
      <c r="B895" s="104"/>
      <c r="C895" s="104"/>
      <c r="D895" s="104"/>
      <c r="E895" s="104"/>
      <c r="F895" s="104"/>
      <c r="G895" s="104"/>
      <c r="H895" s="104"/>
      <c r="I895" s="104"/>
      <c r="J895" s="104"/>
    </row>
    <row r="896" spans="1:10" ht="12.75">
      <c r="A896" s="104"/>
      <c r="B896" s="104"/>
      <c r="C896" s="104"/>
      <c r="D896" s="104"/>
      <c r="E896" s="104"/>
      <c r="F896" s="104"/>
      <c r="G896" s="104"/>
      <c r="H896" s="104"/>
      <c r="I896" s="104"/>
      <c r="J896" s="104"/>
    </row>
    <row r="897" spans="1:10" ht="12.75">
      <c r="A897" s="104"/>
      <c r="B897" s="104"/>
      <c r="C897" s="104"/>
      <c r="D897" s="104"/>
      <c r="E897" s="104"/>
      <c r="F897" s="104"/>
      <c r="G897" s="104"/>
      <c r="H897" s="104"/>
      <c r="I897" s="104"/>
      <c r="J897" s="104"/>
    </row>
    <row r="898" spans="1:10" ht="12.75">
      <c r="A898" s="104"/>
      <c r="B898" s="104"/>
      <c r="C898" s="104"/>
      <c r="D898" s="104"/>
      <c r="E898" s="104"/>
      <c r="F898" s="104"/>
      <c r="G898" s="104"/>
      <c r="H898" s="104"/>
      <c r="I898" s="104"/>
      <c r="J898" s="104"/>
    </row>
    <row r="899" spans="1:10" ht="12.75">
      <c r="A899" s="104"/>
      <c r="B899" s="104"/>
      <c r="C899" s="104"/>
      <c r="D899" s="104"/>
      <c r="E899" s="104"/>
      <c r="F899" s="104"/>
      <c r="G899" s="104"/>
      <c r="H899" s="104"/>
      <c r="I899" s="104"/>
      <c r="J899" s="104"/>
    </row>
    <row r="900" spans="1:10" ht="12.75">
      <c r="A900" s="104"/>
      <c r="B900" s="104"/>
      <c r="C900" s="104"/>
      <c r="D900" s="104"/>
      <c r="E900" s="104"/>
      <c r="F900" s="104"/>
      <c r="G900" s="104"/>
      <c r="H900" s="104"/>
      <c r="I900" s="104"/>
      <c r="J900" s="104"/>
    </row>
    <row r="901" spans="1:10" ht="12.75">
      <c r="A901" s="104"/>
      <c r="B901" s="104"/>
      <c r="C901" s="104"/>
      <c r="D901" s="104"/>
      <c r="E901" s="104"/>
      <c r="F901" s="104"/>
      <c r="G901" s="104"/>
      <c r="H901" s="104"/>
      <c r="I901" s="104"/>
      <c r="J901" s="104"/>
    </row>
    <row r="902" spans="1:10" ht="12.75">
      <c r="A902" s="104"/>
      <c r="B902" s="104"/>
      <c r="C902" s="104"/>
      <c r="D902" s="104"/>
      <c r="E902" s="104"/>
      <c r="F902" s="104"/>
      <c r="G902" s="104"/>
      <c r="H902" s="104"/>
      <c r="I902" s="104"/>
      <c r="J902" s="104"/>
    </row>
    <row r="903" spans="1:10" ht="12.75">
      <c r="A903" s="104"/>
      <c r="B903" s="104"/>
      <c r="C903" s="104"/>
      <c r="D903" s="104"/>
      <c r="E903" s="104"/>
      <c r="F903" s="104"/>
      <c r="G903" s="104"/>
      <c r="H903" s="104"/>
      <c r="I903" s="104"/>
      <c r="J903" s="104"/>
    </row>
    <row r="904" spans="1:10" ht="12.75">
      <c r="A904" s="104"/>
      <c r="B904" s="104"/>
      <c r="C904" s="104"/>
      <c r="D904" s="104"/>
      <c r="E904" s="104"/>
      <c r="F904" s="104"/>
      <c r="G904" s="104"/>
      <c r="H904" s="104"/>
      <c r="I904" s="104"/>
      <c r="J904" s="104"/>
    </row>
    <row r="905" spans="1:10" ht="12.75">
      <c r="A905" s="104"/>
      <c r="B905" s="104"/>
      <c r="C905" s="104"/>
      <c r="D905" s="104"/>
      <c r="E905" s="104"/>
      <c r="F905" s="104"/>
      <c r="G905" s="104"/>
      <c r="H905" s="104"/>
      <c r="I905" s="104"/>
      <c r="J905" s="104"/>
    </row>
    <row r="906" spans="1:10" ht="12.75">
      <c r="A906" s="104"/>
      <c r="B906" s="104"/>
      <c r="C906" s="104"/>
      <c r="D906" s="104"/>
      <c r="E906" s="104"/>
      <c r="F906" s="104"/>
      <c r="G906" s="104"/>
      <c r="H906" s="104"/>
      <c r="I906" s="104"/>
      <c r="J906" s="104"/>
    </row>
    <row r="907" spans="1:10" ht="12.75">
      <c r="A907" s="104"/>
      <c r="B907" s="104"/>
      <c r="C907" s="104"/>
      <c r="D907" s="104"/>
      <c r="E907" s="104"/>
      <c r="F907" s="104"/>
      <c r="G907" s="104"/>
      <c r="H907" s="104"/>
      <c r="I907" s="104"/>
      <c r="J907" s="104"/>
    </row>
    <row r="908" spans="1:10" ht="12.75">
      <c r="A908" s="104"/>
      <c r="B908" s="104"/>
      <c r="C908" s="104"/>
      <c r="D908" s="104"/>
      <c r="E908" s="104"/>
      <c r="F908" s="104"/>
      <c r="G908" s="104"/>
      <c r="H908" s="104"/>
      <c r="I908" s="104"/>
      <c r="J908" s="104"/>
    </row>
    <row r="909" spans="1:10" ht="12.75">
      <c r="A909" s="104"/>
      <c r="B909" s="104"/>
      <c r="C909" s="104"/>
      <c r="D909" s="104"/>
      <c r="E909" s="104"/>
      <c r="F909" s="104"/>
      <c r="G909" s="104"/>
      <c r="H909" s="104"/>
      <c r="I909" s="104"/>
      <c r="J909" s="104"/>
    </row>
    <row r="910" spans="1:10" ht="12.75">
      <c r="A910" s="104"/>
      <c r="B910" s="104"/>
      <c r="C910" s="104"/>
      <c r="D910" s="104"/>
      <c r="E910" s="104"/>
      <c r="F910" s="104"/>
      <c r="G910" s="104"/>
      <c r="H910" s="104"/>
      <c r="I910" s="104"/>
      <c r="J910" s="104"/>
    </row>
    <row r="911" spans="1:10" ht="12.75">
      <c r="A911" s="104"/>
      <c r="B911" s="104"/>
      <c r="C911" s="104"/>
      <c r="D911" s="104"/>
      <c r="E911" s="104"/>
      <c r="F911" s="104"/>
      <c r="G911" s="104"/>
      <c r="H911" s="104"/>
      <c r="I911" s="104"/>
      <c r="J911" s="104"/>
    </row>
    <row r="912" spans="1:10" ht="12.75">
      <c r="A912" s="104"/>
      <c r="B912" s="104"/>
      <c r="C912" s="104"/>
      <c r="D912" s="104"/>
      <c r="E912" s="104"/>
      <c r="F912" s="104"/>
      <c r="G912" s="104"/>
      <c r="H912" s="104"/>
      <c r="I912" s="104"/>
      <c r="J912" s="104"/>
    </row>
    <row r="913" spans="1:10" ht="12.75">
      <c r="A913" s="104"/>
      <c r="B913" s="104"/>
      <c r="C913" s="104"/>
      <c r="D913" s="104"/>
      <c r="E913" s="104"/>
      <c r="F913" s="104"/>
      <c r="G913" s="104"/>
      <c r="H913" s="104"/>
      <c r="I913" s="104"/>
      <c r="J913" s="104"/>
    </row>
    <row r="914" spans="1:10" ht="12.75">
      <c r="A914" s="104"/>
      <c r="B914" s="104"/>
      <c r="C914" s="104"/>
      <c r="D914" s="104"/>
      <c r="E914" s="104"/>
      <c r="F914" s="104"/>
      <c r="G914" s="104"/>
      <c r="H914" s="104"/>
      <c r="I914" s="104"/>
      <c r="J914" s="104"/>
    </row>
    <row r="915" spans="1:10" ht="12.75">
      <c r="A915" s="104"/>
      <c r="B915" s="104"/>
      <c r="C915" s="104"/>
      <c r="D915" s="104"/>
      <c r="E915" s="104"/>
      <c r="F915" s="104"/>
      <c r="G915" s="104"/>
      <c r="H915" s="104"/>
      <c r="I915" s="104"/>
      <c r="J915" s="104"/>
    </row>
    <row r="916" spans="1:10" ht="12.75">
      <c r="A916" s="104"/>
      <c r="B916" s="104"/>
      <c r="C916" s="104"/>
      <c r="D916" s="104"/>
      <c r="E916" s="104"/>
      <c r="F916" s="104"/>
      <c r="G916" s="104"/>
      <c r="H916" s="104"/>
      <c r="I916" s="104"/>
      <c r="J916" s="104"/>
    </row>
    <row r="917" spans="1:10" ht="12.75">
      <c r="A917" s="104"/>
      <c r="B917" s="104"/>
      <c r="C917" s="104"/>
      <c r="D917" s="104"/>
      <c r="E917" s="104"/>
      <c r="F917" s="104"/>
      <c r="G917" s="104"/>
      <c r="H917" s="104"/>
      <c r="I917" s="104"/>
      <c r="J917" s="104"/>
    </row>
    <row r="918" spans="1:10" ht="12.75">
      <c r="A918" s="104"/>
      <c r="B918" s="104"/>
      <c r="C918" s="104"/>
      <c r="D918" s="104"/>
      <c r="E918" s="104"/>
      <c r="F918" s="104"/>
      <c r="G918" s="104"/>
      <c r="H918" s="104"/>
      <c r="I918" s="104"/>
      <c r="J918" s="104"/>
    </row>
    <row r="919" spans="1:10" ht="12.75">
      <c r="A919" s="104"/>
      <c r="B919" s="104"/>
      <c r="C919" s="104"/>
      <c r="D919" s="104"/>
      <c r="E919" s="104"/>
      <c r="F919" s="104"/>
      <c r="G919" s="104"/>
      <c r="H919" s="104"/>
      <c r="I919" s="104"/>
      <c r="J919" s="104"/>
    </row>
    <row r="920" spans="1:10" ht="12.75">
      <c r="A920" s="104"/>
      <c r="B920" s="104"/>
      <c r="C920" s="104"/>
      <c r="D920" s="104"/>
      <c r="E920" s="104"/>
      <c r="F920" s="104"/>
      <c r="G920" s="104"/>
      <c r="H920" s="104"/>
      <c r="I920" s="104"/>
      <c r="J920" s="104"/>
    </row>
    <row r="921" spans="1:10" ht="12.75">
      <c r="A921" s="104"/>
      <c r="B921" s="104"/>
      <c r="C921" s="104"/>
      <c r="D921" s="104"/>
      <c r="E921" s="104"/>
      <c r="F921" s="104"/>
      <c r="G921" s="104"/>
      <c r="H921" s="104"/>
      <c r="I921" s="104"/>
      <c r="J921" s="104"/>
    </row>
    <row r="922" spans="1:10" ht="12.75">
      <c r="A922" s="104"/>
      <c r="B922" s="104"/>
      <c r="C922" s="104"/>
      <c r="D922" s="104"/>
      <c r="E922" s="104"/>
      <c r="F922" s="104"/>
      <c r="G922" s="104"/>
      <c r="H922" s="104"/>
      <c r="I922" s="104"/>
      <c r="J922" s="104"/>
    </row>
    <row r="923" spans="1:10" ht="12.75">
      <c r="A923" s="104"/>
      <c r="B923" s="104"/>
      <c r="C923" s="104"/>
      <c r="D923" s="104"/>
      <c r="E923" s="104"/>
      <c r="F923" s="104"/>
      <c r="G923" s="104"/>
      <c r="H923" s="104"/>
      <c r="I923" s="104"/>
      <c r="J923" s="104"/>
    </row>
    <row r="924" spans="1:10" ht="12.75">
      <c r="A924" s="104"/>
      <c r="B924" s="104"/>
      <c r="C924" s="104"/>
      <c r="D924" s="104"/>
      <c r="E924" s="104"/>
      <c r="F924" s="104"/>
      <c r="G924" s="104"/>
      <c r="H924" s="104"/>
      <c r="I924" s="104"/>
      <c r="J924" s="104"/>
    </row>
    <row r="925" spans="1:10" ht="12.75">
      <c r="A925" s="104"/>
      <c r="B925" s="104"/>
      <c r="C925" s="104"/>
      <c r="D925" s="104"/>
      <c r="E925" s="104"/>
      <c r="F925" s="104"/>
      <c r="G925" s="104"/>
      <c r="H925" s="104"/>
      <c r="I925" s="104"/>
      <c r="J925" s="104"/>
    </row>
    <row r="926" spans="1:10" ht="12.75">
      <c r="A926" s="104"/>
      <c r="B926" s="104"/>
      <c r="C926" s="104"/>
      <c r="D926" s="104"/>
      <c r="E926" s="104"/>
      <c r="F926" s="104"/>
      <c r="G926" s="104"/>
      <c r="H926" s="104"/>
      <c r="I926" s="104"/>
      <c r="J926" s="104"/>
    </row>
    <row r="927" spans="1:10" ht="12.75">
      <c r="A927" s="104"/>
      <c r="B927" s="104"/>
      <c r="C927" s="104"/>
      <c r="D927" s="104"/>
      <c r="E927" s="104"/>
      <c r="F927" s="104"/>
      <c r="G927" s="104"/>
      <c r="H927" s="104"/>
      <c r="I927" s="104"/>
      <c r="J927" s="104"/>
    </row>
    <row r="928" spans="1:10" ht="12.75">
      <c r="A928" s="104"/>
      <c r="B928" s="104"/>
      <c r="C928" s="104"/>
      <c r="D928" s="104"/>
      <c r="E928" s="104"/>
      <c r="F928" s="104"/>
      <c r="G928" s="104"/>
      <c r="H928" s="104"/>
      <c r="I928" s="104"/>
      <c r="J928" s="104"/>
    </row>
    <row r="929" spans="1:10" ht="12.75">
      <c r="A929" s="104"/>
      <c r="B929" s="104"/>
      <c r="C929" s="104"/>
      <c r="D929" s="104"/>
      <c r="E929" s="104"/>
      <c r="F929" s="104"/>
      <c r="G929" s="104"/>
      <c r="H929" s="104"/>
      <c r="I929" s="104"/>
      <c r="J929" s="104"/>
    </row>
    <row r="930" spans="1:10" ht="12.75">
      <c r="A930" s="104"/>
      <c r="B930" s="104"/>
      <c r="C930" s="104"/>
      <c r="D930" s="104"/>
      <c r="E930" s="104"/>
      <c r="F930" s="104"/>
      <c r="G930" s="104"/>
      <c r="H930" s="104"/>
      <c r="I930" s="104"/>
      <c r="J930" s="104"/>
    </row>
    <row r="931" spans="1:10" ht="12.75">
      <c r="A931" s="104"/>
      <c r="B931" s="104"/>
      <c r="C931" s="104"/>
      <c r="D931" s="104"/>
      <c r="E931" s="104"/>
      <c r="F931" s="104"/>
      <c r="G931" s="104"/>
      <c r="H931" s="104"/>
      <c r="I931" s="104"/>
      <c r="J931" s="104"/>
    </row>
    <row r="932" spans="1:10" ht="12.75">
      <c r="A932" s="104"/>
      <c r="B932" s="104"/>
      <c r="C932" s="104"/>
      <c r="D932" s="104"/>
      <c r="E932" s="104"/>
      <c r="F932" s="104"/>
      <c r="G932" s="104"/>
      <c r="H932" s="104"/>
      <c r="I932" s="104"/>
      <c r="J932" s="104"/>
    </row>
    <row r="933" spans="1:10" ht="12.75">
      <c r="A933" s="104"/>
      <c r="B933" s="104"/>
      <c r="C933" s="104"/>
      <c r="D933" s="104"/>
      <c r="E933" s="104"/>
      <c r="F933" s="104"/>
      <c r="G933" s="104"/>
      <c r="H933" s="104"/>
      <c r="I933" s="104"/>
      <c r="J933" s="104"/>
    </row>
    <row r="934" spans="1:10" ht="12.75">
      <c r="A934" s="104"/>
      <c r="B934" s="104"/>
      <c r="C934" s="104"/>
      <c r="D934" s="104"/>
      <c r="E934" s="104"/>
      <c r="F934" s="104"/>
      <c r="G934" s="104"/>
      <c r="H934" s="104"/>
      <c r="I934" s="104"/>
      <c r="J934" s="104"/>
    </row>
    <row r="935" spans="1:10" ht="12.75">
      <c r="A935" s="104"/>
      <c r="B935" s="104"/>
      <c r="C935" s="104"/>
      <c r="D935" s="104"/>
      <c r="E935" s="104"/>
      <c r="F935" s="104"/>
      <c r="G935" s="104"/>
      <c r="H935" s="104"/>
      <c r="I935" s="104"/>
      <c r="J935" s="104"/>
    </row>
    <row r="936" spans="1:10" ht="12.75">
      <c r="A936" s="104"/>
      <c r="B936" s="104"/>
      <c r="C936" s="104"/>
      <c r="D936" s="104"/>
      <c r="E936" s="104"/>
      <c r="F936" s="104"/>
      <c r="G936" s="104"/>
      <c r="H936" s="104"/>
      <c r="I936" s="104"/>
      <c r="J936" s="104"/>
    </row>
    <row r="937" spans="1:10" ht="12.75">
      <c r="A937" s="104"/>
      <c r="B937" s="104"/>
      <c r="C937" s="104"/>
      <c r="D937" s="104"/>
      <c r="E937" s="104"/>
      <c r="F937" s="104"/>
      <c r="G937" s="104"/>
      <c r="H937" s="104"/>
      <c r="I937" s="104"/>
      <c r="J937" s="104"/>
    </row>
    <row r="938" spans="1:10" ht="12.75">
      <c r="A938" s="104"/>
      <c r="B938" s="104"/>
      <c r="C938" s="104"/>
      <c r="D938" s="104"/>
      <c r="E938" s="104"/>
      <c r="F938" s="104"/>
      <c r="G938" s="104"/>
      <c r="H938" s="104"/>
      <c r="I938" s="104"/>
      <c r="J938" s="104"/>
    </row>
    <row r="939" spans="1:10" ht="12.75">
      <c r="A939" s="104"/>
      <c r="B939" s="104"/>
      <c r="C939" s="104"/>
      <c r="D939" s="104"/>
      <c r="E939" s="104"/>
      <c r="F939" s="104"/>
      <c r="G939" s="104"/>
      <c r="H939" s="104"/>
      <c r="I939" s="104"/>
      <c r="J939" s="104"/>
    </row>
    <row r="940" spans="1:10" ht="12.75">
      <c r="A940" s="104"/>
      <c r="B940" s="104"/>
      <c r="C940" s="104"/>
      <c r="D940" s="104"/>
      <c r="E940" s="104"/>
      <c r="F940" s="104"/>
      <c r="G940" s="104"/>
      <c r="H940" s="104"/>
      <c r="I940" s="104"/>
      <c r="J940" s="104"/>
    </row>
    <row r="941" spans="1:10" ht="12.75">
      <c r="A941" s="104"/>
      <c r="B941" s="104"/>
      <c r="C941" s="104"/>
      <c r="D941" s="104"/>
      <c r="E941" s="104"/>
      <c r="F941" s="104"/>
      <c r="G941" s="104"/>
      <c r="H941" s="104"/>
      <c r="I941" s="104"/>
      <c r="J941" s="104"/>
    </row>
    <row r="942" spans="1:10" ht="12.75">
      <c r="A942" s="104"/>
      <c r="B942" s="104"/>
      <c r="C942" s="104"/>
      <c r="D942" s="104"/>
      <c r="E942" s="104"/>
      <c r="F942" s="104"/>
      <c r="G942" s="104"/>
      <c r="H942" s="104"/>
      <c r="I942" s="104"/>
      <c r="J942" s="104"/>
    </row>
    <row r="943" spans="1:10" ht="12.75">
      <c r="A943" s="104"/>
      <c r="B943" s="104"/>
      <c r="C943" s="104"/>
      <c r="D943" s="104"/>
      <c r="E943" s="104"/>
      <c r="F943" s="104"/>
      <c r="G943" s="104"/>
      <c r="H943" s="104"/>
      <c r="I943" s="104"/>
      <c r="J943" s="104"/>
    </row>
    <row r="944" spans="1:10" ht="12.75">
      <c r="A944" s="104"/>
      <c r="B944" s="104"/>
      <c r="C944" s="104"/>
      <c r="D944" s="104"/>
      <c r="E944" s="104"/>
      <c r="F944" s="104"/>
      <c r="G944" s="104"/>
      <c r="H944" s="104"/>
      <c r="I944" s="104"/>
      <c r="J944" s="104"/>
    </row>
    <row r="945" spans="1:10" ht="12.75">
      <c r="A945" s="104"/>
      <c r="B945" s="104"/>
      <c r="C945" s="104"/>
      <c r="D945" s="104"/>
      <c r="E945" s="104"/>
      <c r="F945" s="104"/>
      <c r="G945" s="104"/>
      <c r="H945" s="104"/>
      <c r="I945" s="104"/>
      <c r="J945" s="104"/>
    </row>
    <row r="946" spans="1:10" ht="12.75">
      <c r="A946" s="104"/>
      <c r="B946" s="104"/>
      <c r="C946" s="104"/>
      <c r="D946" s="104"/>
      <c r="E946" s="104"/>
      <c r="F946" s="104"/>
      <c r="G946" s="104"/>
      <c r="H946" s="104"/>
      <c r="I946" s="104"/>
      <c r="J946" s="104"/>
    </row>
    <row r="947" spans="1:10" ht="12.75">
      <c r="A947" s="104"/>
      <c r="B947" s="104"/>
      <c r="C947" s="104"/>
      <c r="D947" s="104"/>
      <c r="E947" s="104"/>
      <c r="F947" s="104"/>
      <c r="G947" s="104"/>
      <c r="H947" s="104"/>
      <c r="I947" s="104"/>
      <c r="J947" s="104"/>
    </row>
    <row r="948" spans="1:10" ht="12.75">
      <c r="A948" s="104"/>
      <c r="B948" s="104"/>
      <c r="C948" s="104"/>
      <c r="D948" s="104"/>
      <c r="E948" s="104"/>
      <c r="F948" s="104"/>
      <c r="G948" s="104"/>
      <c r="H948" s="104"/>
      <c r="I948" s="104"/>
      <c r="J948" s="104"/>
    </row>
    <row r="949" spans="1:10" ht="12.75">
      <c r="A949" s="104"/>
      <c r="B949" s="104"/>
      <c r="C949" s="104"/>
      <c r="D949" s="104"/>
      <c r="E949" s="104"/>
      <c r="F949" s="104"/>
      <c r="G949" s="104"/>
      <c r="H949" s="104"/>
      <c r="I949" s="104"/>
      <c r="J949" s="104"/>
    </row>
    <row r="950" spans="1:10" ht="12.75">
      <c r="A950" s="104"/>
      <c r="B950" s="104"/>
      <c r="C950" s="104"/>
      <c r="D950" s="104"/>
      <c r="E950" s="104"/>
      <c r="F950" s="104"/>
      <c r="G950" s="104"/>
      <c r="H950" s="104"/>
      <c r="I950" s="104"/>
      <c r="J950" s="104"/>
    </row>
    <row r="951" spans="1:10" ht="12.75">
      <c r="A951" s="104"/>
      <c r="B951" s="104"/>
      <c r="C951" s="104"/>
      <c r="D951" s="104"/>
      <c r="E951" s="104"/>
      <c r="F951" s="104"/>
      <c r="G951" s="104"/>
      <c r="H951" s="104"/>
      <c r="I951" s="104"/>
      <c r="J951" s="104"/>
    </row>
    <row r="952" spans="1:10" ht="12.75">
      <c r="A952" s="104"/>
      <c r="B952" s="104"/>
      <c r="C952" s="104"/>
      <c r="D952" s="104"/>
      <c r="E952" s="104"/>
      <c r="F952" s="104"/>
      <c r="G952" s="104"/>
      <c r="H952" s="104"/>
      <c r="I952" s="104"/>
      <c r="J952" s="104"/>
    </row>
    <row r="953" spans="1:10" ht="12.75">
      <c r="A953" s="104"/>
      <c r="B953" s="104"/>
      <c r="C953" s="104"/>
      <c r="D953" s="104"/>
      <c r="E953" s="104"/>
      <c r="F953" s="104"/>
      <c r="G953" s="104"/>
      <c r="H953" s="104"/>
      <c r="I953" s="104"/>
      <c r="J953" s="104"/>
    </row>
    <row r="954" spans="1:10" ht="12.75">
      <c r="A954" s="104"/>
      <c r="B954" s="104"/>
      <c r="C954" s="104"/>
      <c r="D954" s="104"/>
      <c r="E954" s="104"/>
      <c r="F954" s="104"/>
      <c r="G954" s="104"/>
      <c r="H954" s="104"/>
      <c r="I954" s="104"/>
      <c r="J954" s="104"/>
    </row>
    <row r="955" spans="1:10" ht="12.75">
      <c r="A955" s="104"/>
      <c r="B955" s="104"/>
      <c r="C955" s="104"/>
      <c r="D955" s="104"/>
      <c r="E955" s="104"/>
      <c r="F955" s="104"/>
      <c r="G955" s="104"/>
      <c r="H955" s="104"/>
      <c r="I955" s="104"/>
      <c r="J955" s="104"/>
    </row>
    <row r="956" spans="1:10" ht="12.75">
      <c r="A956" s="104"/>
      <c r="B956" s="104"/>
      <c r="C956" s="104"/>
      <c r="D956" s="104"/>
      <c r="E956" s="104"/>
      <c r="F956" s="104"/>
      <c r="G956" s="104"/>
      <c r="H956" s="104"/>
      <c r="I956" s="104"/>
      <c r="J956" s="104"/>
    </row>
    <row r="957" spans="1:10" ht="12.75">
      <c r="A957" s="104"/>
      <c r="B957" s="104"/>
      <c r="C957" s="104"/>
      <c r="D957" s="104"/>
      <c r="E957" s="104"/>
      <c r="F957" s="104"/>
      <c r="G957" s="104"/>
      <c r="H957" s="104"/>
      <c r="I957" s="104"/>
      <c r="J957" s="104"/>
    </row>
    <row r="958" spans="1:10" ht="12.75">
      <c r="A958" s="104"/>
      <c r="B958" s="104"/>
      <c r="C958" s="104"/>
      <c r="D958" s="104"/>
      <c r="E958" s="104"/>
      <c r="F958" s="104"/>
      <c r="G958" s="104"/>
      <c r="H958" s="104"/>
      <c r="I958" s="104"/>
      <c r="J958" s="104"/>
    </row>
    <row r="959" spans="1:10" ht="12.75">
      <c r="A959" s="104"/>
      <c r="B959" s="104"/>
      <c r="C959" s="104"/>
      <c r="D959" s="104"/>
      <c r="E959" s="104"/>
      <c r="F959" s="104"/>
      <c r="G959" s="104"/>
      <c r="H959" s="104"/>
      <c r="I959" s="104"/>
      <c r="J959" s="104"/>
    </row>
    <row r="960" spans="1:10" ht="12.75">
      <c r="A960" s="104"/>
      <c r="B960" s="104"/>
      <c r="C960" s="104"/>
      <c r="D960" s="104"/>
      <c r="E960" s="104"/>
      <c r="F960" s="104"/>
      <c r="G960" s="104"/>
      <c r="H960" s="104"/>
      <c r="I960" s="104"/>
      <c r="J960" s="104"/>
    </row>
    <row r="961" spans="1:10" ht="12.75">
      <c r="A961" s="104"/>
      <c r="B961" s="104"/>
      <c r="C961" s="104"/>
      <c r="D961" s="104"/>
      <c r="E961" s="104"/>
      <c r="F961" s="104"/>
      <c r="G961" s="104"/>
      <c r="H961" s="104"/>
      <c r="I961" s="104"/>
      <c r="J961" s="104"/>
    </row>
    <row r="962" spans="1:10" ht="12.75">
      <c r="A962" s="104"/>
      <c r="B962" s="104"/>
      <c r="C962" s="104"/>
      <c r="D962" s="104"/>
      <c r="E962" s="104"/>
      <c r="F962" s="104"/>
      <c r="G962" s="104"/>
      <c r="H962" s="104"/>
      <c r="I962" s="104"/>
      <c r="J962" s="104"/>
    </row>
    <row r="963" spans="1:10" ht="12.75">
      <c r="A963" s="104"/>
      <c r="B963" s="104"/>
      <c r="C963" s="104"/>
      <c r="D963" s="104"/>
      <c r="E963" s="104"/>
      <c r="F963" s="104"/>
      <c r="G963" s="104"/>
      <c r="H963" s="104"/>
      <c r="I963" s="104"/>
      <c r="J963" s="104"/>
    </row>
    <row r="964" spans="1:10" ht="12.75">
      <c r="A964" s="104"/>
      <c r="B964" s="104"/>
      <c r="C964" s="104"/>
      <c r="D964" s="104"/>
      <c r="E964" s="104"/>
      <c r="F964" s="104"/>
      <c r="G964" s="104"/>
      <c r="H964" s="104"/>
      <c r="I964" s="104"/>
      <c r="J964" s="104"/>
    </row>
    <row r="965" spans="1:10" ht="12.75">
      <c r="A965" s="104"/>
      <c r="B965" s="104"/>
      <c r="C965" s="104"/>
      <c r="D965" s="104"/>
      <c r="E965" s="104"/>
      <c r="F965" s="104"/>
      <c r="G965" s="104"/>
      <c r="H965" s="104"/>
      <c r="I965" s="104"/>
      <c r="J965" s="104"/>
    </row>
    <row r="966" spans="1:10" ht="12.75">
      <c r="A966" s="104"/>
      <c r="B966" s="104"/>
      <c r="C966" s="104"/>
      <c r="D966" s="104"/>
      <c r="E966" s="104"/>
      <c r="F966" s="104"/>
      <c r="G966" s="104"/>
      <c r="H966" s="104"/>
      <c r="I966" s="104"/>
      <c r="J966" s="104"/>
    </row>
    <row r="967" spans="1:10" ht="12.75">
      <c r="A967" s="104"/>
      <c r="B967" s="104"/>
      <c r="C967" s="104"/>
      <c r="D967" s="104"/>
      <c r="E967" s="104"/>
      <c r="F967" s="104"/>
      <c r="G967" s="104"/>
      <c r="H967" s="104"/>
      <c r="I967" s="104"/>
      <c r="J967" s="104"/>
    </row>
    <row r="968" spans="1:10" ht="12.75">
      <c r="A968" s="104"/>
      <c r="B968" s="104"/>
      <c r="C968" s="104"/>
      <c r="D968" s="104"/>
      <c r="E968" s="104"/>
      <c r="F968" s="104"/>
      <c r="G968" s="104"/>
      <c r="H968" s="104"/>
      <c r="I968" s="104"/>
      <c r="J968" s="104"/>
    </row>
    <row r="969" spans="1:10" ht="12.75">
      <c r="A969" s="104"/>
      <c r="B969" s="104"/>
      <c r="C969" s="104"/>
      <c r="D969" s="104"/>
      <c r="E969" s="104"/>
      <c r="F969" s="104"/>
      <c r="G969" s="104"/>
      <c r="H969" s="104"/>
      <c r="I969" s="104"/>
      <c r="J969" s="104"/>
    </row>
    <row r="970" spans="1:10" ht="12.75">
      <c r="A970" s="104"/>
      <c r="B970" s="104"/>
      <c r="C970" s="104"/>
      <c r="D970" s="104"/>
      <c r="E970" s="104"/>
      <c r="F970" s="104"/>
      <c r="G970" s="104"/>
      <c r="H970" s="104"/>
      <c r="I970" s="104"/>
      <c r="J970" s="104"/>
    </row>
    <row r="971" spans="1:10" ht="12.75">
      <c r="A971" s="104"/>
      <c r="B971" s="104"/>
      <c r="C971" s="104"/>
      <c r="D971" s="104"/>
      <c r="E971" s="104"/>
      <c r="F971" s="104"/>
      <c r="G971" s="104"/>
      <c r="H971" s="104"/>
      <c r="I971" s="104"/>
      <c r="J971" s="104"/>
    </row>
    <row r="972" spans="1:10" ht="12.75">
      <c r="A972" s="104"/>
      <c r="B972" s="104"/>
      <c r="C972" s="104"/>
      <c r="D972" s="104"/>
      <c r="E972" s="104"/>
      <c r="F972" s="104"/>
      <c r="G972" s="104"/>
      <c r="H972" s="104"/>
      <c r="I972" s="104"/>
      <c r="J972" s="104"/>
    </row>
    <row r="973" spans="1:10" ht="12.75">
      <c r="A973" s="104"/>
      <c r="B973" s="104"/>
      <c r="C973" s="104"/>
      <c r="D973" s="104"/>
      <c r="E973" s="104"/>
      <c r="F973" s="104"/>
      <c r="G973" s="104"/>
      <c r="H973" s="104"/>
      <c r="I973" s="104"/>
      <c r="J973" s="104"/>
    </row>
    <row r="974" spans="1:10" ht="12.75">
      <c r="A974" s="104"/>
      <c r="B974" s="104"/>
      <c r="C974" s="104"/>
      <c r="D974" s="104"/>
      <c r="E974" s="104"/>
      <c r="F974" s="104"/>
      <c r="G974" s="104"/>
      <c r="H974" s="104"/>
      <c r="I974" s="104"/>
      <c r="J974" s="104"/>
    </row>
    <row r="975" spans="1:10" ht="12.75">
      <c r="A975" s="104"/>
      <c r="B975" s="104"/>
      <c r="C975" s="104"/>
      <c r="D975" s="104"/>
      <c r="E975" s="104"/>
      <c r="F975" s="104"/>
      <c r="G975" s="104"/>
      <c r="H975" s="104"/>
      <c r="I975" s="104"/>
      <c r="J975" s="104"/>
    </row>
    <row r="976" spans="1:10" ht="12.75">
      <c r="A976" s="104"/>
      <c r="B976" s="104"/>
      <c r="C976" s="104"/>
      <c r="D976" s="104"/>
      <c r="E976" s="104"/>
      <c r="F976" s="104"/>
      <c r="G976" s="104"/>
      <c r="H976" s="104"/>
      <c r="I976" s="104"/>
      <c r="J976" s="104"/>
    </row>
    <row r="977" spans="1:10" ht="12.75">
      <c r="A977" s="104"/>
      <c r="B977" s="104"/>
      <c r="C977" s="104"/>
      <c r="D977" s="104"/>
      <c r="E977" s="104"/>
      <c r="F977" s="104"/>
      <c r="G977" s="104"/>
      <c r="H977" s="104"/>
      <c r="I977" s="104"/>
      <c r="J977" s="104"/>
    </row>
    <row r="978" spans="1:10" ht="12.75">
      <c r="A978" s="104"/>
      <c r="B978" s="104"/>
      <c r="C978" s="104"/>
      <c r="D978" s="104"/>
      <c r="E978" s="104"/>
      <c r="F978" s="104"/>
      <c r="G978" s="104"/>
      <c r="H978" s="104"/>
      <c r="I978" s="104"/>
      <c r="J978" s="104"/>
    </row>
    <row r="979" spans="1:10" ht="12.75">
      <c r="A979" s="104"/>
      <c r="B979" s="104"/>
      <c r="C979" s="104"/>
      <c r="D979" s="104"/>
      <c r="E979" s="104"/>
      <c r="F979" s="104"/>
      <c r="G979" s="104"/>
      <c r="H979" s="104"/>
      <c r="I979" s="104"/>
      <c r="J979" s="104"/>
    </row>
    <row r="980" spans="1:10" ht="12.75">
      <c r="A980" s="104"/>
      <c r="B980" s="104"/>
      <c r="C980" s="104"/>
      <c r="D980" s="104"/>
      <c r="E980" s="104"/>
      <c r="F980" s="104"/>
      <c r="G980" s="104"/>
      <c r="H980" s="104"/>
      <c r="I980" s="104"/>
      <c r="J980" s="104"/>
    </row>
    <row r="981" spans="1:10" ht="12.75">
      <c r="A981" s="104"/>
      <c r="B981" s="104"/>
      <c r="C981" s="104"/>
      <c r="D981" s="104"/>
      <c r="E981" s="104"/>
      <c r="F981" s="104"/>
      <c r="G981" s="104"/>
      <c r="H981" s="104"/>
      <c r="I981" s="104"/>
      <c r="J981" s="104"/>
    </row>
    <row r="982" spans="1:10" ht="12.75">
      <c r="A982" s="104"/>
      <c r="B982" s="104"/>
      <c r="C982" s="104"/>
      <c r="D982" s="104"/>
      <c r="E982" s="104"/>
      <c r="F982" s="104"/>
      <c r="G982" s="104"/>
      <c r="H982" s="104"/>
      <c r="I982" s="104"/>
      <c r="J982" s="104"/>
    </row>
    <row r="983" spans="1:10" ht="12.75">
      <c r="A983" s="104"/>
      <c r="B983" s="104"/>
      <c r="C983" s="104"/>
      <c r="D983" s="104"/>
      <c r="E983" s="104"/>
      <c r="F983" s="104"/>
      <c r="G983" s="104"/>
      <c r="H983" s="104"/>
      <c r="I983" s="104"/>
      <c r="J983" s="104"/>
    </row>
    <row r="984" spans="1:10" ht="12.75">
      <c r="A984" s="104"/>
      <c r="B984" s="104"/>
      <c r="C984" s="104"/>
      <c r="D984" s="104"/>
      <c r="E984" s="104"/>
      <c r="F984" s="104"/>
      <c r="G984" s="104"/>
      <c r="H984" s="104"/>
      <c r="I984" s="104"/>
      <c r="J984" s="104"/>
    </row>
    <row r="985" spans="1:10" ht="12.75">
      <c r="A985" s="104"/>
      <c r="B985" s="104"/>
      <c r="C985" s="104"/>
      <c r="D985" s="104"/>
      <c r="E985" s="104"/>
      <c r="F985" s="104"/>
      <c r="G985" s="104"/>
      <c r="H985" s="104"/>
      <c r="I985" s="104"/>
      <c r="J985" s="104"/>
    </row>
    <row r="986" spans="1:10" ht="12.75">
      <c r="A986" s="104"/>
      <c r="B986" s="104"/>
      <c r="C986" s="104"/>
      <c r="D986" s="104"/>
      <c r="E986" s="104"/>
      <c r="F986" s="104"/>
      <c r="G986" s="104"/>
      <c r="H986" s="104"/>
      <c r="I986" s="104"/>
      <c r="J986" s="104"/>
    </row>
    <row r="987" spans="1:10" ht="12.75">
      <c r="A987" s="104"/>
      <c r="B987" s="104"/>
      <c r="C987" s="104"/>
      <c r="D987" s="104"/>
      <c r="E987" s="104"/>
      <c r="F987" s="104"/>
      <c r="G987" s="104"/>
      <c r="H987" s="104"/>
      <c r="I987" s="104"/>
      <c r="J987" s="104"/>
    </row>
    <row r="988" spans="1:10" ht="12.75">
      <c r="A988" s="104"/>
      <c r="B988" s="104"/>
      <c r="C988" s="104"/>
      <c r="D988" s="104"/>
      <c r="E988" s="104"/>
      <c r="F988" s="104"/>
      <c r="G988" s="104"/>
      <c r="H988" s="104"/>
      <c r="I988" s="104"/>
      <c r="J988" s="104"/>
    </row>
    <row r="989" spans="1:10" ht="12.75">
      <c r="A989" s="104"/>
      <c r="B989" s="104"/>
      <c r="C989" s="104"/>
      <c r="D989" s="104"/>
      <c r="E989" s="104"/>
      <c r="F989" s="104"/>
      <c r="G989" s="104"/>
      <c r="H989" s="104"/>
      <c r="I989" s="104"/>
      <c r="J989" s="104"/>
    </row>
    <row r="990" spans="1:10" ht="12.75">
      <c r="A990" s="104"/>
      <c r="B990" s="104"/>
      <c r="C990" s="104"/>
      <c r="D990" s="104"/>
      <c r="E990" s="104"/>
      <c r="F990" s="104"/>
      <c r="G990" s="104"/>
      <c r="H990" s="104"/>
      <c r="I990" s="104"/>
      <c r="J990" s="104"/>
    </row>
    <row r="991" spans="1:10" ht="12.75">
      <c r="A991" s="104"/>
      <c r="B991" s="104"/>
      <c r="C991" s="104"/>
      <c r="D991" s="104"/>
      <c r="E991" s="104"/>
      <c r="F991" s="104"/>
      <c r="G991" s="104"/>
      <c r="H991" s="104"/>
      <c r="I991" s="104"/>
      <c r="J991" s="104"/>
    </row>
    <row r="992" spans="1:10" ht="12.75">
      <c r="A992" s="104"/>
      <c r="B992" s="104"/>
      <c r="C992" s="104"/>
      <c r="D992" s="104"/>
      <c r="E992" s="104"/>
      <c r="F992" s="104"/>
      <c r="G992" s="104"/>
      <c r="H992" s="104"/>
      <c r="I992" s="104"/>
      <c r="J992" s="104"/>
    </row>
    <row r="993" spans="1:10" ht="12.75">
      <c r="A993" s="104"/>
      <c r="B993" s="104"/>
      <c r="C993" s="104"/>
      <c r="D993" s="104"/>
      <c r="E993" s="104"/>
      <c r="F993" s="104"/>
      <c r="G993" s="104"/>
      <c r="H993" s="104"/>
      <c r="I993" s="104"/>
      <c r="J993" s="104"/>
    </row>
    <row r="994" spans="1:10" ht="12.75">
      <c r="A994" s="104"/>
      <c r="B994" s="104"/>
      <c r="C994" s="104"/>
      <c r="D994" s="104"/>
      <c r="E994" s="104"/>
      <c r="F994" s="104"/>
      <c r="G994" s="104"/>
      <c r="H994" s="104"/>
      <c r="I994" s="104"/>
      <c r="J994" s="104"/>
    </row>
    <row r="995" spans="1:10" ht="12.75">
      <c r="A995" s="104"/>
      <c r="B995" s="104"/>
      <c r="C995" s="104"/>
      <c r="D995" s="104"/>
      <c r="E995" s="104"/>
      <c r="F995" s="104"/>
      <c r="G995" s="104"/>
      <c r="H995" s="104"/>
      <c r="I995" s="104"/>
      <c r="J995" s="104"/>
    </row>
    <row r="996" spans="1:10" ht="12.75">
      <c r="A996" s="104"/>
      <c r="B996" s="104"/>
      <c r="C996" s="104"/>
      <c r="D996" s="104"/>
      <c r="E996" s="104"/>
      <c r="F996" s="104"/>
      <c r="G996" s="104"/>
      <c r="H996" s="104"/>
      <c r="I996" s="104"/>
      <c r="J996" s="104"/>
    </row>
    <row r="997" spans="1:10" ht="12.75">
      <c r="A997" s="104"/>
      <c r="B997" s="104"/>
      <c r="C997" s="104"/>
      <c r="D997" s="104"/>
      <c r="E997" s="104"/>
      <c r="F997" s="104"/>
      <c r="G997" s="104"/>
      <c r="H997" s="104"/>
      <c r="I997" s="104"/>
      <c r="J997" s="104"/>
    </row>
    <row r="998" spans="1:10" ht="12.75">
      <c r="A998" s="104"/>
      <c r="B998" s="104"/>
      <c r="C998" s="104"/>
      <c r="D998" s="104"/>
      <c r="E998" s="104"/>
      <c r="F998" s="104"/>
      <c r="G998" s="104"/>
      <c r="H998" s="104"/>
      <c r="I998" s="104"/>
      <c r="J998" s="104"/>
    </row>
    <row r="999" spans="1:10" ht="12.75">
      <c r="A999" s="104"/>
      <c r="B999" s="104"/>
      <c r="C999" s="104"/>
      <c r="D999" s="104"/>
      <c r="E999" s="104"/>
      <c r="F999" s="104"/>
      <c r="G999" s="104"/>
      <c r="H999" s="104"/>
      <c r="I999" s="104"/>
      <c r="J999" s="104"/>
    </row>
    <row r="1000" spans="1:10" ht="12.75">
      <c r="A1000" s="104"/>
      <c r="B1000" s="104"/>
      <c r="C1000" s="104"/>
      <c r="D1000" s="104"/>
      <c r="E1000" s="104"/>
      <c r="F1000" s="104"/>
      <c r="G1000" s="104"/>
      <c r="H1000" s="104"/>
      <c r="I1000" s="104"/>
      <c r="J1000" s="10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Datos originales</vt:lpstr>
      <vt:lpstr>Datos procesados 2008</vt:lpstr>
      <vt:lpstr>Datos procesados 2023</vt:lpstr>
      <vt:lpstr>Indicador_MUN</vt:lpstr>
      <vt:lpstr>Absoluto_MUN</vt:lpstr>
      <vt:lpstr>Indicador_DEP</vt:lpstr>
      <vt:lpstr>Absoluto_DEP</vt:lpstr>
      <vt:lpstr>Umbral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gcalderon</dc:creator>
  <cp:lastModifiedBy>Valeria Aramayo</cp:lastModifiedBy>
  <dcterms:created xsi:type="dcterms:W3CDTF">2005-02-28T12:58:17Z</dcterms:created>
  <dcterms:modified xsi:type="dcterms:W3CDTF">2026-05-04T15:01:03Z</dcterms:modified>
</cp:coreProperties>
</file>