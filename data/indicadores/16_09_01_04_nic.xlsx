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1BFECACD-6700-4BB0-87FA-965AA2B0B043}" xr6:coauthVersionLast="47" xr6:coauthVersionMax="47" xr10:uidLastSave="{00000000-0000-0000-0000-000000000000}"/>
  <bookViews>
    <workbookView xWindow="-120" yWindow="-120" windowWidth="20730" windowHeight="10545" firstSheet="1" activeTab="1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</sheets>
  <definedNames>
    <definedName name="_xlnm._FilterDatabase" localSheetId="0" hidden="1">'Datos originales'!$A$6:$O$1409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vzjPF2IkZ0Zw1PmUXzKDFbcy3BeLlxVDi1izKXECZE="/>
    </ext>
  </extLst>
</workbook>
</file>

<file path=xl/calcChain.xml><?xml version="1.0" encoding="utf-8"?>
<calcChain xmlns="http://schemas.openxmlformats.org/spreadsheetml/2006/main">
  <c r="X12" i="2" l="1"/>
  <c r="T12" i="2"/>
  <c r="F2" i="2"/>
  <c r="W12" i="2"/>
  <c r="V12" i="2"/>
  <c r="U12" i="2"/>
  <c r="S12" i="2"/>
  <c r="R12" i="2"/>
  <c r="Q12" i="2"/>
  <c r="N344" i="2"/>
  <c r="L344" i="2"/>
  <c r="H344" i="2"/>
  <c r="F344" i="2"/>
  <c r="N343" i="2"/>
  <c r="L343" i="2"/>
  <c r="H343" i="2"/>
  <c r="F343" i="2"/>
  <c r="N342" i="2"/>
  <c r="L342" i="2"/>
  <c r="H342" i="2"/>
  <c r="F342" i="2"/>
  <c r="N341" i="2"/>
  <c r="L341" i="2"/>
  <c r="H341" i="2"/>
  <c r="F341" i="2"/>
  <c r="N340" i="2"/>
  <c r="L340" i="2"/>
  <c r="H340" i="2"/>
  <c r="F340" i="2"/>
  <c r="N339" i="2"/>
  <c r="L339" i="2"/>
  <c r="H339" i="2"/>
  <c r="F339" i="2"/>
  <c r="N338" i="2"/>
  <c r="L338" i="2"/>
  <c r="H338" i="2"/>
  <c r="F338" i="2"/>
  <c r="N337" i="2"/>
  <c r="L337" i="2"/>
  <c r="H337" i="2"/>
  <c r="F337" i="2"/>
  <c r="N336" i="2"/>
  <c r="L336" i="2"/>
  <c r="H336" i="2"/>
  <c r="F336" i="2"/>
  <c r="N335" i="2"/>
  <c r="L335" i="2"/>
  <c r="H335" i="2"/>
  <c r="F335" i="2"/>
  <c r="N334" i="2"/>
  <c r="L334" i="2"/>
  <c r="H334" i="2"/>
  <c r="F334" i="2"/>
  <c r="N333" i="2"/>
  <c r="L333" i="2"/>
  <c r="H333" i="2"/>
  <c r="F333" i="2"/>
  <c r="N332" i="2"/>
  <c r="L332" i="2"/>
  <c r="H332" i="2"/>
  <c r="F332" i="2"/>
  <c r="N331" i="2"/>
  <c r="L331" i="2"/>
  <c r="H331" i="2"/>
  <c r="F331" i="2"/>
  <c r="N330" i="2"/>
  <c r="L330" i="2"/>
  <c r="H330" i="2"/>
  <c r="F330" i="2"/>
  <c r="N329" i="2"/>
  <c r="L329" i="2"/>
  <c r="H329" i="2"/>
  <c r="F329" i="2"/>
  <c r="N328" i="2"/>
  <c r="L328" i="2"/>
  <c r="H328" i="2"/>
  <c r="F328" i="2"/>
  <c r="N327" i="2"/>
  <c r="L327" i="2"/>
  <c r="H327" i="2"/>
  <c r="F327" i="2"/>
  <c r="N326" i="2"/>
  <c r="L326" i="2"/>
  <c r="H326" i="2"/>
  <c r="F326" i="2"/>
  <c r="N325" i="2"/>
  <c r="L325" i="2"/>
  <c r="H325" i="2"/>
  <c r="F325" i="2"/>
  <c r="N324" i="2"/>
  <c r="L324" i="2"/>
  <c r="H324" i="2"/>
  <c r="F324" i="2"/>
  <c r="N323" i="2"/>
  <c r="L323" i="2"/>
  <c r="H323" i="2"/>
  <c r="F323" i="2"/>
  <c r="N322" i="2"/>
  <c r="L322" i="2"/>
  <c r="H322" i="2"/>
  <c r="F322" i="2"/>
  <c r="N321" i="2"/>
  <c r="L321" i="2"/>
  <c r="H321" i="2"/>
  <c r="F321" i="2"/>
  <c r="N320" i="2"/>
  <c r="L320" i="2"/>
  <c r="H320" i="2"/>
  <c r="F320" i="2"/>
  <c r="N319" i="2"/>
  <c r="L319" i="2"/>
  <c r="H319" i="2"/>
  <c r="F319" i="2"/>
  <c r="N318" i="2"/>
  <c r="L318" i="2"/>
  <c r="H318" i="2"/>
  <c r="F318" i="2"/>
  <c r="N317" i="2"/>
  <c r="L317" i="2"/>
  <c r="H317" i="2"/>
  <c r="F317" i="2"/>
  <c r="N316" i="2"/>
  <c r="L316" i="2"/>
  <c r="H316" i="2"/>
  <c r="F316" i="2"/>
  <c r="N315" i="2"/>
  <c r="L315" i="2"/>
  <c r="H315" i="2"/>
  <c r="F315" i="2"/>
  <c r="N314" i="2"/>
  <c r="L314" i="2"/>
  <c r="H314" i="2"/>
  <c r="F314" i="2"/>
  <c r="N313" i="2"/>
  <c r="L313" i="2"/>
  <c r="H313" i="2"/>
  <c r="F313" i="2"/>
  <c r="N312" i="2"/>
  <c r="L312" i="2"/>
  <c r="H312" i="2"/>
  <c r="F312" i="2"/>
  <c r="N311" i="2"/>
  <c r="L311" i="2"/>
  <c r="H311" i="2"/>
  <c r="F311" i="2"/>
  <c r="N310" i="2"/>
  <c r="L310" i="2"/>
  <c r="H310" i="2"/>
  <c r="F310" i="2"/>
  <c r="N309" i="2"/>
  <c r="L309" i="2"/>
  <c r="H309" i="2"/>
  <c r="F309" i="2"/>
  <c r="N308" i="2"/>
  <c r="L308" i="2"/>
  <c r="H308" i="2"/>
  <c r="F308" i="2"/>
  <c r="N307" i="2"/>
  <c r="L307" i="2"/>
  <c r="H307" i="2"/>
  <c r="F307" i="2"/>
  <c r="N306" i="2"/>
  <c r="L306" i="2"/>
  <c r="H306" i="2"/>
  <c r="F306" i="2"/>
  <c r="N305" i="2"/>
  <c r="L305" i="2"/>
  <c r="H305" i="2"/>
  <c r="F305" i="2"/>
  <c r="N304" i="2"/>
  <c r="L304" i="2"/>
  <c r="H304" i="2"/>
  <c r="F304" i="2"/>
  <c r="N303" i="2"/>
  <c r="L303" i="2"/>
  <c r="H303" i="2"/>
  <c r="F303" i="2"/>
  <c r="N302" i="2"/>
  <c r="L302" i="2"/>
  <c r="H302" i="2"/>
  <c r="F302" i="2"/>
  <c r="N301" i="2"/>
  <c r="L301" i="2"/>
  <c r="H301" i="2"/>
  <c r="F301" i="2"/>
  <c r="N300" i="2"/>
  <c r="L300" i="2"/>
  <c r="H300" i="2"/>
  <c r="F300" i="2"/>
  <c r="N299" i="2"/>
  <c r="L299" i="2"/>
  <c r="H299" i="2"/>
  <c r="F299" i="2"/>
  <c r="N298" i="2"/>
  <c r="L298" i="2"/>
  <c r="H298" i="2"/>
  <c r="F298" i="2"/>
  <c r="N297" i="2"/>
  <c r="L297" i="2"/>
  <c r="H297" i="2"/>
  <c r="F297" i="2"/>
  <c r="N296" i="2"/>
  <c r="L296" i="2"/>
  <c r="H296" i="2"/>
  <c r="F296" i="2"/>
  <c r="N295" i="2"/>
  <c r="L295" i="2"/>
  <c r="H295" i="2"/>
  <c r="F295" i="2"/>
  <c r="N294" i="2"/>
  <c r="L294" i="2"/>
  <c r="H294" i="2"/>
  <c r="F294" i="2"/>
  <c r="N293" i="2"/>
  <c r="L293" i="2"/>
  <c r="H293" i="2"/>
  <c r="F293" i="2"/>
  <c r="N292" i="2"/>
  <c r="L292" i="2"/>
  <c r="H292" i="2"/>
  <c r="F292" i="2"/>
  <c r="N291" i="2"/>
  <c r="L291" i="2"/>
  <c r="H291" i="2"/>
  <c r="F291" i="2"/>
  <c r="N290" i="2"/>
  <c r="L290" i="2"/>
  <c r="H290" i="2"/>
  <c r="F290" i="2"/>
  <c r="N289" i="2"/>
  <c r="L289" i="2"/>
  <c r="H289" i="2"/>
  <c r="F289" i="2"/>
  <c r="N288" i="2"/>
  <c r="L288" i="2"/>
  <c r="H288" i="2"/>
  <c r="F288" i="2"/>
  <c r="N287" i="2"/>
  <c r="L287" i="2"/>
  <c r="H287" i="2"/>
  <c r="F287" i="2"/>
  <c r="N286" i="2"/>
  <c r="L286" i="2"/>
  <c r="H286" i="2"/>
  <c r="F286" i="2"/>
  <c r="N285" i="2"/>
  <c r="L285" i="2"/>
  <c r="H285" i="2"/>
  <c r="F285" i="2"/>
  <c r="N284" i="2"/>
  <c r="L284" i="2"/>
  <c r="H284" i="2"/>
  <c r="F284" i="2"/>
  <c r="N283" i="2"/>
  <c r="L283" i="2"/>
  <c r="H283" i="2"/>
  <c r="F283" i="2"/>
  <c r="N282" i="2"/>
  <c r="L282" i="2"/>
  <c r="H282" i="2"/>
  <c r="F282" i="2"/>
  <c r="N281" i="2"/>
  <c r="L281" i="2"/>
  <c r="H281" i="2"/>
  <c r="F281" i="2"/>
  <c r="N280" i="2"/>
  <c r="L280" i="2"/>
  <c r="H280" i="2"/>
  <c r="F280" i="2"/>
  <c r="N279" i="2"/>
  <c r="L279" i="2"/>
  <c r="H279" i="2"/>
  <c r="F279" i="2"/>
  <c r="N278" i="2"/>
  <c r="L278" i="2"/>
  <c r="H278" i="2"/>
  <c r="F278" i="2"/>
  <c r="N277" i="2"/>
  <c r="L277" i="2"/>
  <c r="H277" i="2"/>
  <c r="F277" i="2"/>
  <c r="N276" i="2"/>
  <c r="L276" i="2"/>
  <c r="H276" i="2"/>
  <c r="F276" i="2"/>
  <c r="N275" i="2"/>
  <c r="L275" i="2"/>
  <c r="H275" i="2"/>
  <c r="F275" i="2"/>
  <c r="N274" i="2"/>
  <c r="L274" i="2"/>
  <c r="H274" i="2"/>
  <c r="F274" i="2"/>
  <c r="N273" i="2"/>
  <c r="L273" i="2"/>
  <c r="H273" i="2"/>
  <c r="F273" i="2"/>
  <c r="N272" i="2"/>
  <c r="L272" i="2"/>
  <c r="H272" i="2"/>
  <c r="F272" i="2"/>
  <c r="N271" i="2"/>
  <c r="L271" i="2"/>
  <c r="H271" i="2"/>
  <c r="F271" i="2"/>
  <c r="N270" i="2"/>
  <c r="L270" i="2"/>
  <c r="H270" i="2"/>
  <c r="F270" i="2"/>
  <c r="N269" i="2"/>
  <c r="L269" i="2"/>
  <c r="H269" i="2"/>
  <c r="F269" i="2"/>
  <c r="N268" i="2"/>
  <c r="L268" i="2"/>
  <c r="H268" i="2"/>
  <c r="F268" i="2"/>
  <c r="N267" i="2"/>
  <c r="L267" i="2"/>
  <c r="H267" i="2"/>
  <c r="F267" i="2"/>
  <c r="N266" i="2"/>
  <c r="L266" i="2"/>
  <c r="H266" i="2"/>
  <c r="F266" i="2"/>
  <c r="N265" i="2"/>
  <c r="L265" i="2"/>
  <c r="H265" i="2"/>
  <c r="F265" i="2"/>
  <c r="N264" i="2"/>
  <c r="L264" i="2"/>
  <c r="H264" i="2"/>
  <c r="F264" i="2"/>
  <c r="N263" i="2"/>
  <c r="L263" i="2"/>
  <c r="H263" i="2"/>
  <c r="F263" i="2"/>
  <c r="N262" i="2"/>
  <c r="L262" i="2"/>
  <c r="H262" i="2"/>
  <c r="F262" i="2"/>
  <c r="N261" i="2"/>
  <c r="L261" i="2"/>
  <c r="H261" i="2"/>
  <c r="F261" i="2"/>
  <c r="N260" i="2"/>
  <c r="L260" i="2"/>
  <c r="H260" i="2"/>
  <c r="F260" i="2"/>
  <c r="N259" i="2"/>
  <c r="L259" i="2"/>
  <c r="H259" i="2"/>
  <c r="F259" i="2"/>
  <c r="N258" i="2"/>
  <c r="L258" i="2"/>
  <c r="H258" i="2"/>
  <c r="F258" i="2"/>
  <c r="N257" i="2"/>
  <c r="L257" i="2"/>
  <c r="H257" i="2"/>
  <c r="F257" i="2"/>
  <c r="N256" i="2"/>
  <c r="L256" i="2"/>
  <c r="H256" i="2"/>
  <c r="F256" i="2"/>
  <c r="N255" i="2"/>
  <c r="L255" i="2"/>
  <c r="H255" i="2"/>
  <c r="F255" i="2"/>
  <c r="N254" i="2"/>
  <c r="L254" i="2"/>
  <c r="H254" i="2"/>
  <c r="F254" i="2"/>
  <c r="N253" i="2"/>
  <c r="L253" i="2"/>
  <c r="H253" i="2"/>
  <c r="F253" i="2"/>
  <c r="N252" i="2"/>
  <c r="L252" i="2"/>
  <c r="H252" i="2"/>
  <c r="F252" i="2"/>
  <c r="N251" i="2"/>
  <c r="L251" i="2"/>
  <c r="H251" i="2"/>
  <c r="F251" i="2"/>
  <c r="N250" i="2"/>
  <c r="L250" i="2"/>
  <c r="H250" i="2"/>
  <c r="F250" i="2"/>
  <c r="N249" i="2"/>
  <c r="L249" i="2"/>
  <c r="H249" i="2"/>
  <c r="F249" i="2"/>
  <c r="N248" i="2"/>
  <c r="L248" i="2"/>
  <c r="H248" i="2"/>
  <c r="F248" i="2"/>
  <c r="N247" i="2"/>
  <c r="L247" i="2"/>
  <c r="H247" i="2"/>
  <c r="F247" i="2"/>
  <c r="N246" i="2"/>
  <c r="L246" i="2"/>
  <c r="H246" i="2"/>
  <c r="F246" i="2"/>
  <c r="N245" i="2"/>
  <c r="L245" i="2"/>
  <c r="H245" i="2"/>
  <c r="F245" i="2"/>
  <c r="N244" i="2"/>
  <c r="L244" i="2"/>
  <c r="H244" i="2"/>
  <c r="F244" i="2"/>
  <c r="N243" i="2"/>
  <c r="L243" i="2"/>
  <c r="H243" i="2"/>
  <c r="F243" i="2"/>
  <c r="N242" i="2"/>
  <c r="L242" i="2"/>
  <c r="H242" i="2"/>
  <c r="F242" i="2"/>
  <c r="N241" i="2"/>
  <c r="L241" i="2"/>
  <c r="H241" i="2"/>
  <c r="F241" i="2"/>
  <c r="N240" i="2"/>
  <c r="L240" i="2"/>
  <c r="H240" i="2"/>
  <c r="F240" i="2"/>
  <c r="N239" i="2"/>
  <c r="L239" i="2"/>
  <c r="H239" i="2"/>
  <c r="F239" i="2"/>
  <c r="N238" i="2"/>
  <c r="L238" i="2"/>
  <c r="H238" i="2"/>
  <c r="F238" i="2"/>
  <c r="N237" i="2"/>
  <c r="L237" i="2"/>
  <c r="H237" i="2"/>
  <c r="F237" i="2"/>
  <c r="N236" i="2"/>
  <c r="L236" i="2"/>
  <c r="H236" i="2"/>
  <c r="F236" i="2"/>
  <c r="N235" i="2"/>
  <c r="L235" i="2"/>
  <c r="H235" i="2"/>
  <c r="F235" i="2"/>
  <c r="N234" i="2"/>
  <c r="L234" i="2"/>
  <c r="H234" i="2"/>
  <c r="F234" i="2"/>
  <c r="N233" i="2"/>
  <c r="L233" i="2"/>
  <c r="H233" i="2"/>
  <c r="F233" i="2"/>
  <c r="N232" i="2"/>
  <c r="L232" i="2"/>
  <c r="H232" i="2"/>
  <c r="F232" i="2"/>
  <c r="N231" i="2"/>
  <c r="L231" i="2"/>
  <c r="H231" i="2"/>
  <c r="F231" i="2"/>
  <c r="N230" i="2"/>
  <c r="L230" i="2"/>
  <c r="H230" i="2"/>
  <c r="F230" i="2"/>
  <c r="N229" i="2"/>
  <c r="L229" i="2"/>
  <c r="H229" i="2"/>
  <c r="F229" i="2"/>
  <c r="N228" i="2"/>
  <c r="L228" i="2"/>
  <c r="H228" i="2"/>
  <c r="F228" i="2"/>
  <c r="N227" i="2"/>
  <c r="L227" i="2"/>
  <c r="H227" i="2"/>
  <c r="F227" i="2"/>
  <c r="N226" i="2"/>
  <c r="L226" i="2"/>
  <c r="H226" i="2"/>
  <c r="F226" i="2"/>
  <c r="N225" i="2"/>
  <c r="L225" i="2"/>
  <c r="H225" i="2"/>
  <c r="F225" i="2"/>
  <c r="N224" i="2"/>
  <c r="L224" i="2"/>
  <c r="H224" i="2"/>
  <c r="F224" i="2"/>
  <c r="N223" i="2"/>
  <c r="L223" i="2"/>
  <c r="H223" i="2"/>
  <c r="F223" i="2"/>
  <c r="N222" i="2"/>
  <c r="L222" i="2"/>
  <c r="H222" i="2"/>
  <c r="F222" i="2"/>
  <c r="N221" i="2"/>
  <c r="L221" i="2"/>
  <c r="H221" i="2"/>
  <c r="F221" i="2"/>
  <c r="N220" i="2"/>
  <c r="L220" i="2"/>
  <c r="H220" i="2"/>
  <c r="F220" i="2"/>
  <c r="N219" i="2"/>
  <c r="L219" i="2"/>
  <c r="H219" i="2"/>
  <c r="F219" i="2"/>
  <c r="N218" i="2"/>
  <c r="L218" i="2"/>
  <c r="H218" i="2"/>
  <c r="F218" i="2"/>
  <c r="N217" i="2"/>
  <c r="L217" i="2"/>
  <c r="H217" i="2"/>
  <c r="F217" i="2"/>
  <c r="N216" i="2"/>
  <c r="L216" i="2"/>
  <c r="H216" i="2"/>
  <c r="F216" i="2"/>
  <c r="N215" i="2"/>
  <c r="L215" i="2"/>
  <c r="H215" i="2"/>
  <c r="F215" i="2"/>
  <c r="N214" i="2"/>
  <c r="L214" i="2"/>
  <c r="H214" i="2"/>
  <c r="F214" i="2"/>
  <c r="N213" i="2"/>
  <c r="L213" i="2"/>
  <c r="H213" i="2"/>
  <c r="F213" i="2"/>
  <c r="N212" i="2"/>
  <c r="L212" i="2"/>
  <c r="H212" i="2"/>
  <c r="F212" i="2"/>
  <c r="N211" i="2"/>
  <c r="L211" i="2"/>
  <c r="H211" i="2"/>
  <c r="F211" i="2"/>
  <c r="N210" i="2"/>
  <c r="L210" i="2"/>
  <c r="H210" i="2"/>
  <c r="F210" i="2"/>
  <c r="N209" i="2"/>
  <c r="L209" i="2"/>
  <c r="H209" i="2"/>
  <c r="F209" i="2"/>
  <c r="N208" i="2"/>
  <c r="L208" i="2"/>
  <c r="H208" i="2"/>
  <c r="F208" i="2"/>
  <c r="N207" i="2"/>
  <c r="L207" i="2"/>
  <c r="H207" i="2"/>
  <c r="F207" i="2"/>
  <c r="N206" i="2"/>
  <c r="L206" i="2"/>
  <c r="H206" i="2"/>
  <c r="F206" i="2"/>
  <c r="N205" i="2"/>
  <c r="L205" i="2"/>
  <c r="H205" i="2"/>
  <c r="F205" i="2"/>
  <c r="N204" i="2"/>
  <c r="L204" i="2"/>
  <c r="H204" i="2"/>
  <c r="F204" i="2"/>
  <c r="N203" i="2"/>
  <c r="L203" i="2"/>
  <c r="H203" i="2"/>
  <c r="F203" i="2"/>
  <c r="N202" i="2"/>
  <c r="L202" i="2"/>
  <c r="H202" i="2"/>
  <c r="F202" i="2"/>
  <c r="N201" i="2"/>
  <c r="L201" i="2"/>
  <c r="H201" i="2"/>
  <c r="F201" i="2"/>
  <c r="N200" i="2"/>
  <c r="L200" i="2"/>
  <c r="H200" i="2"/>
  <c r="F200" i="2"/>
  <c r="N199" i="2"/>
  <c r="L199" i="2"/>
  <c r="H199" i="2"/>
  <c r="F199" i="2"/>
  <c r="N198" i="2"/>
  <c r="L198" i="2"/>
  <c r="H198" i="2"/>
  <c r="F198" i="2"/>
  <c r="N197" i="2"/>
  <c r="L197" i="2"/>
  <c r="H197" i="2"/>
  <c r="F197" i="2"/>
  <c r="N196" i="2"/>
  <c r="L196" i="2"/>
  <c r="H196" i="2"/>
  <c r="F196" i="2"/>
  <c r="N195" i="2"/>
  <c r="L195" i="2"/>
  <c r="H195" i="2"/>
  <c r="F195" i="2"/>
  <c r="N194" i="2"/>
  <c r="L194" i="2"/>
  <c r="H194" i="2"/>
  <c r="F194" i="2"/>
  <c r="N193" i="2"/>
  <c r="L193" i="2"/>
  <c r="H193" i="2"/>
  <c r="F193" i="2"/>
  <c r="N192" i="2"/>
  <c r="L192" i="2"/>
  <c r="H192" i="2"/>
  <c r="F192" i="2"/>
  <c r="N191" i="2"/>
  <c r="L191" i="2"/>
  <c r="H191" i="2"/>
  <c r="F191" i="2"/>
  <c r="N190" i="2"/>
  <c r="L190" i="2"/>
  <c r="H190" i="2"/>
  <c r="F190" i="2"/>
  <c r="N189" i="2"/>
  <c r="L189" i="2"/>
  <c r="H189" i="2"/>
  <c r="F189" i="2"/>
  <c r="N188" i="2"/>
  <c r="L188" i="2"/>
  <c r="H188" i="2"/>
  <c r="F188" i="2"/>
  <c r="N187" i="2"/>
  <c r="L187" i="2"/>
  <c r="H187" i="2"/>
  <c r="F187" i="2"/>
  <c r="N186" i="2"/>
  <c r="L186" i="2"/>
  <c r="H186" i="2"/>
  <c r="F186" i="2"/>
  <c r="N185" i="2"/>
  <c r="L185" i="2"/>
  <c r="H185" i="2"/>
  <c r="F185" i="2"/>
  <c r="N184" i="2"/>
  <c r="L184" i="2"/>
  <c r="H184" i="2"/>
  <c r="F184" i="2"/>
  <c r="N183" i="2"/>
  <c r="L183" i="2"/>
  <c r="H183" i="2"/>
  <c r="F183" i="2"/>
  <c r="N182" i="2"/>
  <c r="L182" i="2"/>
  <c r="H182" i="2"/>
  <c r="F182" i="2"/>
  <c r="N181" i="2"/>
  <c r="L181" i="2"/>
  <c r="H181" i="2"/>
  <c r="F181" i="2"/>
  <c r="N180" i="2"/>
  <c r="L180" i="2"/>
  <c r="H180" i="2"/>
  <c r="F180" i="2"/>
  <c r="N179" i="2"/>
  <c r="L179" i="2"/>
  <c r="H179" i="2"/>
  <c r="F179" i="2"/>
  <c r="N178" i="2"/>
  <c r="L178" i="2"/>
  <c r="H178" i="2"/>
  <c r="F178" i="2"/>
  <c r="N177" i="2"/>
  <c r="L177" i="2"/>
  <c r="H177" i="2"/>
  <c r="F177" i="2"/>
  <c r="N176" i="2"/>
  <c r="L176" i="2"/>
  <c r="H176" i="2"/>
  <c r="F176" i="2"/>
  <c r="N175" i="2"/>
  <c r="L175" i="2"/>
  <c r="H175" i="2"/>
  <c r="F175" i="2"/>
  <c r="N174" i="2"/>
  <c r="L174" i="2"/>
  <c r="H174" i="2"/>
  <c r="F174" i="2"/>
  <c r="N173" i="2"/>
  <c r="L173" i="2"/>
  <c r="H173" i="2"/>
  <c r="F173" i="2"/>
  <c r="N172" i="2"/>
  <c r="L172" i="2"/>
  <c r="H172" i="2"/>
  <c r="F172" i="2"/>
  <c r="N171" i="2"/>
  <c r="L171" i="2"/>
  <c r="H171" i="2"/>
  <c r="F171" i="2"/>
  <c r="N170" i="2"/>
  <c r="L170" i="2"/>
  <c r="H170" i="2"/>
  <c r="F170" i="2"/>
  <c r="N169" i="2"/>
  <c r="L169" i="2"/>
  <c r="H169" i="2"/>
  <c r="F169" i="2"/>
  <c r="N168" i="2"/>
  <c r="L168" i="2"/>
  <c r="H168" i="2"/>
  <c r="F168" i="2"/>
  <c r="N167" i="2"/>
  <c r="L167" i="2"/>
  <c r="H167" i="2"/>
  <c r="F167" i="2"/>
  <c r="N166" i="2"/>
  <c r="L166" i="2"/>
  <c r="H166" i="2"/>
  <c r="F166" i="2"/>
  <c r="N165" i="2"/>
  <c r="L165" i="2"/>
  <c r="H165" i="2"/>
  <c r="F165" i="2"/>
  <c r="N164" i="2"/>
  <c r="L164" i="2"/>
  <c r="H164" i="2"/>
  <c r="F164" i="2"/>
  <c r="N163" i="2"/>
  <c r="L163" i="2"/>
  <c r="H163" i="2"/>
  <c r="F163" i="2"/>
  <c r="N162" i="2"/>
  <c r="L162" i="2"/>
  <c r="H162" i="2"/>
  <c r="F162" i="2"/>
  <c r="N161" i="2"/>
  <c r="L161" i="2"/>
  <c r="H161" i="2"/>
  <c r="F161" i="2"/>
  <c r="N160" i="2"/>
  <c r="L160" i="2"/>
  <c r="H160" i="2"/>
  <c r="F160" i="2"/>
  <c r="N159" i="2"/>
  <c r="L159" i="2"/>
  <c r="H159" i="2"/>
  <c r="F159" i="2"/>
  <c r="N158" i="2"/>
  <c r="L158" i="2"/>
  <c r="H158" i="2"/>
  <c r="F158" i="2"/>
  <c r="N157" i="2"/>
  <c r="L157" i="2"/>
  <c r="H157" i="2"/>
  <c r="F157" i="2"/>
  <c r="N156" i="2"/>
  <c r="L156" i="2"/>
  <c r="H156" i="2"/>
  <c r="F156" i="2"/>
  <c r="N155" i="2"/>
  <c r="L155" i="2"/>
  <c r="H155" i="2"/>
  <c r="F155" i="2"/>
  <c r="N154" i="2"/>
  <c r="L154" i="2"/>
  <c r="H154" i="2"/>
  <c r="F154" i="2"/>
  <c r="N153" i="2"/>
  <c r="L153" i="2"/>
  <c r="H153" i="2"/>
  <c r="F153" i="2"/>
  <c r="N152" i="2"/>
  <c r="L152" i="2"/>
  <c r="H152" i="2"/>
  <c r="F152" i="2"/>
  <c r="N151" i="2"/>
  <c r="L151" i="2"/>
  <c r="H151" i="2"/>
  <c r="F151" i="2"/>
  <c r="N150" i="2"/>
  <c r="L150" i="2"/>
  <c r="H150" i="2"/>
  <c r="F150" i="2"/>
  <c r="N149" i="2"/>
  <c r="L149" i="2"/>
  <c r="H149" i="2"/>
  <c r="F149" i="2"/>
  <c r="N148" i="2"/>
  <c r="L148" i="2"/>
  <c r="H148" i="2"/>
  <c r="F148" i="2"/>
  <c r="N147" i="2"/>
  <c r="L147" i="2"/>
  <c r="H147" i="2"/>
  <c r="F147" i="2"/>
  <c r="N146" i="2"/>
  <c r="L146" i="2"/>
  <c r="H146" i="2"/>
  <c r="F146" i="2"/>
  <c r="N145" i="2"/>
  <c r="L145" i="2"/>
  <c r="H145" i="2"/>
  <c r="F145" i="2"/>
  <c r="N144" i="2"/>
  <c r="L144" i="2"/>
  <c r="H144" i="2"/>
  <c r="F144" i="2"/>
  <c r="N143" i="2"/>
  <c r="L143" i="2"/>
  <c r="H143" i="2"/>
  <c r="F143" i="2"/>
  <c r="N142" i="2"/>
  <c r="L142" i="2"/>
  <c r="H142" i="2"/>
  <c r="F142" i="2"/>
  <c r="N141" i="2"/>
  <c r="L141" i="2"/>
  <c r="H141" i="2"/>
  <c r="F141" i="2"/>
  <c r="N140" i="2"/>
  <c r="L140" i="2"/>
  <c r="H140" i="2"/>
  <c r="F140" i="2"/>
  <c r="N139" i="2"/>
  <c r="L139" i="2"/>
  <c r="H139" i="2"/>
  <c r="F139" i="2"/>
  <c r="N138" i="2"/>
  <c r="L138" i="2"/>
  <c r="H138" i="2"/>
  <c r="F138" i="2"/>
  <c r="N137" i="2"/>
  <c r="L137" i="2"/>
  <c r="H137" i="2"/>
  <c r="F137" i="2"/>
  <c r="N136" i="2"/>
  <c r="L136" i="2"/>
  <c r="H136" i="2"/>
  <c r="F136" i="2"/>
  <c r="N135" i="2"/>
  <c r="L135" i="2"/>
  <c r="H135" i="2"/>
  <c r="F135" i="2"/>
  <c r="N134" i="2"/>
  <c r="L134" i="2"/>
  <c r="H134" i="2"/>
  <c r="F134" i="2"/>
  <c r="N133" i="2"/>
  <c r="L133" i="2"/>
  <c r="H133" i="2"/>
  <c r="F133" i="2"/>
  <c r="N132" i="2"/>
  <c r="L132" i="2"/>
  <c r="H132" i="2"/>
  <c r="F132" i="2"/>
  <c r="N131" i="2"/>
  <c r="L131" i="2"/>
  <c r="H131" i="2"/>
  <c r="F131" i="2"/>
  <c r="N130" i="2"/>
  <c r="L130" i="2"/>
  <c r="H130" i="2"/>
  <c r="F130" i="2"/>
  <c r="N129" i="2"/>
  <c r="L129" i="2"/>
  <c r="H129" i="2"/>
  <c r="F129" i="2"/>
  <c r="N128" i="2"/>
  <c r="L128" i="2"/>
  <c r="H128" i="2"/>
  <c r="F128" i="2"/>
  <c r="N127" i="2"/>
  <c r="L127" i="2"/>
  <c r="H127" i="2"/>
  <c r="F127" i="2"/>
  <c r="N126" i="2"/>
  <c r="L126" i="2"/>
  <c r="H126" i="2"/>
  <c r="F126" i="2"/>
  <c r="N125" i="2"/>
  <c r="L125" i="2"/>
  <c r="H125" i="2"/>
  <c r="F125" i="2"/>
  <c r="N124" i="2"/>
  <c r="L124" i="2"/>
  <c r="H124" i="2"/>
  <c r="F124" i="2"/>
  <c r="N123" i="2"/>
  <c r="L123" i="2"/>
  <c r="H123" i="2"/>
  <c r="F123" i="2"/>
  <c r="N122" i="2"/>
  <c r="L122" i="2"/>
  <c r="H122" i="2"/>
  <c r="F122" i="2"/>
  <c r="N121" i="2"/>
  <c r="L121" i="2"/>
  <c r="H121" i="2"/>
  <c r="F121" i="2"/>
  <c r="N120" i="2"/>
  <c r="L120" i="2"/>
  <c r="H120" i="2"/>
  <c r="F120" i="2"/>
  <c r="N119" i="2"/>
  <c r="L119" i="2"/>
  <c r="H119" i="2"/>
  <c r="F119" i="2"/>
  <c r="N118" i="2"/>
  <c r="L118" i="2"/>
  <c r="H118" i="2"/>
  <c r="F118" i="2"/>
  <c r="N117" i="2"/>
  <c r="L117" i="2"/>
  <c r="H117" i="2"/>
  <c r="F117" i="2"/>
  <c r="N116" i="2"/>
  <c r="L116" i="2"/>
  <c r="H116" i="2"/>
  <c r="F116" i="2"/>
  <c r="N115" i="2"/>
  <c r="L115" i="2"/>
  <c r="H115" i="2"/>
  <c r="F115" i="2"/>
  <c r="N114" i="2"/>
  <c r="L114" i="2"/>
  <c r="H114" i="2"/>
  <c r="F114" i="2"/>
  <c r="N113" i="2"/>
  <c r="L113" i="2"/>
  <c r="H113" i="2"/>
  <c r="F113" i="2"/>
  <c r="N112" i="2"/>
  <c r="L112" i="2"/>
  <c r="H112" i="2"/>
  <c r="F112" i="2"/>
  <c r="N111" i="2"/>
  <c r="L111" i="2"/>
  <c r="H111" i="2"/>
  <c r="F111" i="2"/>
  <c r="N110" i="2"/>
  <c r="L110" i="2"/>
  <c r="H110" i="2"/>
  <c r="F110" i="2"/>
  <c r="N109" i="2"/>
  <c r="L109" i="2"/>
  <c r="H109" i="2"/>
  <c r="F109" i="2"/>
  <c r="N108" i="2"/>
  <c r="L108" i="2"/>
  <c r="H108" i="2"/>
  <c r="F108" i="2"/>
  <c r="N107" i="2"/>
  <c r="L107" i="2"/>
  <c r="H107" i="2"/>
  <c r="F107" i="2"/>
  <c r="N106" i="2"/>
  <c r="L106" i="2"/>
  <c r="H106" i="2"/>
  <c r="F106" i="2"/>
  <c r="N105" i="2"/>
  <c r="L105" i="2"/>
  <c r="H105" i="2"/>
  <c r="F105" i="2"/>
  <c r="N104" i="2"/>
  <c r="L104" i="2"/>
  <c r="H104" i="2"/>
  <c r="F104" i="2"/>
  <c r="N103" i="2"/>
  <c r="L103" i="2"/>
  <c r="H103" i="2"/>
  <c r="F103" i="2"/>
  <c r="N102" i="2"/>
  <c r="L102" i="2"/>
  <c r="H102" i="2"/>
  <c r="F102" i="2"/>
  <c r="N101" i="2"/>
  <c r="L101" i="2"/>
  <c r="H101" i="2"/>
  <c r="F101" i="2"/>
  <c r="N100" i="2"/>
  <c r="L100" i="2"/>
  <c r="H100" i="2"/>
  <c r="F100" i="2"/>
  <c r="N99" i="2"/>
  <c r="L99" i="2"/>
  <c r="H99" i="2"/>
  <c r="F99" i="2"/>
  <c r="N98" i="2"/>
  <c r="L98" i="2"/>
  <c r="H98" i="2"/>
  <c r="F98" i="2"/>
  <c r="N97" i="2"/>
  <c r="L97" i="2"/>
  <c r="H97" i="2"/>
  <c r="F97" i="2"/>
  <c r="N96" i="2"/>
  <c r="L96" i="2"/>
  <c r="H96" i="2"/>
  <c r="F96" i="2"/>
  <c r="N95" i="2"/>
  <c r="L95" i="2"/>
  <c r="H95" i="2"/>
  <c r="F95" i="2"/>
  <c r="N94" i="2"/>
  <c r="L94" i="2"/>
  <c r="H94" i="2"/>
  <c r="F94" i="2"/>
  <c r="N93" i="2"/>
  <c r="L93" i="2"/>
  <c r="H93" i="2"/>
  <c r="F93" i="2"/>
  <c r="N92" i="2"/>
  <c r="L92" i="2"/>
  <c r="H92" i="2"/>
  <c r="F92" i="2"/>
  <c r="N91" i="2"/>
  <c r="L91" i="2"/>
  <c r="H91" i="2"/>
  <c r="F91" i="2"/>
  <c r="N90" i="2"/>
  <c r="L90" i="2"/>
  <c r="H90" i="2"/>
  <c r="F90" i="2"/>
  <c r="N89" i="2"/>
  <c r="L89" i="2"/>
  <c r="H89" i="2"/>
  <c r="F89" i="2"/>
  <c r="N88" i="2"/>
  <c r="L88" i="2"/>
  <c r="H88" i="2"/>
  <c r="F88" i="2"/>
  <c r="N87" i="2"/>
  <c r="L87" i="2"/>
  <c r="H87" i="2"/>
  <c r="F87" i="2"/>
  <c r="N86" i="2"/>
  <c r="L86" i="2"/>
  <c r="H86" i="2"/>
  <c r="F86" i="2"/>
  <c r="N85" i="2"/>
  <c r="L85" i="2"/>
  <c r="H85" i="2"/>
  <c r="F85" i="2"/>
  <c r="N84" i="2"/>
  <c r="L84" i="2"/>
  <c r="H84" i="2"/>
  <c r="F84" i="2"/>
  <c r="N83" i="2"/>
  <c r="L83" i="2"/>
  <c r="H83" i="2"/>
  <c r="F83" i="2"/>
  <c r="N82" i="2"/>
  <c r="L82" i="2"/>
  <c r="H82" i="2"/>
  <c r="F82" i="2"/>
  <c r="N81" i="2"/>
  <c r="L81" i="2"/>
  <c r="H81" i="2"/>
  <c r="F81" i="2"/>
  <c r="N80" i="2"/>
  <c r="L80" i="2"/>
  <c r="H80" i="2"/>
  <c r="F80" i="2"/>
  <c r="N79" i="2"/>
  <c r="L79" i="2"/>
  <c r="H79" i="2"/>
  <c r="F79" i="2"/>
  <c r="N78" i="2"/>
  <c r="L78" i="2"/>
  <c r="H78" i="2"/>
  <c r="F78" i="2"/>
  <c r="N77" i="2"/>
  <c r="L77" i="2"/>
  <c r="H77" i="2"/>
  <c r="F77" i="2"/>
  <c r="N76" i="2"/>
  <c r="L76" i="2"/>
  <c r="H76" i="2"/>
  <c r="F76" i="2"/>
  <c r="N75" i="2"/>
  <c r="L75" i="2"/>
  <c r="H75" i="2"/>
  <c r="F75" i="2"/>
  <c r="N74" i="2"/>
  <c r="L74" i="2"/>
  <c r="H74" i="2"/>
  <c r="F74" i="2"/>
  <c r="N73" i="2"/>
  <c r="L73" i="2"/>
  <c r="H73" i="2"/>
  <c r="F73" i="2"/>
  <c r="N72" i="2"/>
  <c r="L72" i="2"/>
  <c r="H72" i="2"/>
  <c r="F72" i="2"/>
  <c r="N71" i="2"/>
  <c r="L71" i="2"/>
  <c r="H71" i="2"/>
  <c r="F71" i="2"/>
  <c r="N70" i="2"/>
  <c r="L70" i="2"/>
  <c r="H70" i="2"/>
  <c r="F70" i="2"/>
  <c r="N69" i="2"/>
  <c r="L69" i="2"/>
  <c r="H69" i="2"/>
  <c r="F69" i="2"/>
  <c r="N68" i="2"/>
  <c r="L68" i="2"/>
  <c r="H68" i="2"/>
  <c r="F68" i="2"/>
  <c r="N67" i="2"/>
  <c r="L67" i="2"/>
  <c r="H67" i="2"/>
  <c r="F67" i="2"/>
  <c r="N66" i="2"/>
  <c r="L66" i="2"/>
  <c r="H66" i="2"/>
  <c r="F66" i="2"/>
  <c r="N65" i="2"/>
  <c r="L65" i="2"/>
  <c r="H65" i="2"/>
  <c r="F65" i="2"/>
  <c r="N64" i="2"/>
  <c r="L64" i="2"/>
  <c r="H64" i="2"/>
  <c r="F64" i="2"/>
  <c r="N63" i="2"/>
  <c r="L63" i="2"/>
  <c r="H63" i="2"/>
  <c r="F63" i="2"/>
  <c r="N62" i="2"/>
  <c r="L62" i="2"/>
  <c r="H62" i="2"/>
  <c r="F62" i="2"/>
  <c r="N61" i="2"/>
  <c r="L61" i="2"/>
  <c r="H61" i="2"/>
  <c r="F61" i="2"/>
  <c r="N60" i="2"/>
  <c r="L60" i="2"/>
  <c r="H60" i="2"/>
  <c r="F60" i="2"/>
  <c r="N59" i="2"/>
  <c r="L59" i="2"/>
  <c r="H59" i="2"/>
  <c r="F59" i="2"/>
  <c r="N58" i="2"/>
  <c r="L58" i="2"/>
  <c r="H58" i="2"/>
  <c r="F58" i="2"/>
  <c r="N57" i="2"/>
  <c r="L57" i="2"/>
  <c r="H57" i="2"/>
  <c r="F57" i="2"/>
  <c r="N56" i="2"/>
  <c r="L56" i="2"/>
  <c r="H56" i="2"/>
  <c r="F56" i="2"/>
  <c r="N55" i="2"/>
  <c r="L55" i="2"/>
  <c r="H55" i="2"/>
  <c r="F55" i="2"/>
  <c r="N54" i="2"/>
  <c r="L54" i="2"/>
  <c r="H54" i="2"/>
  <c r="F54" i="2"/>
  <c r="N53" i="2"/>
  <c r="L53" i="2"/>
  <c r="H53" i="2"/>
  <c r="F53" i="2"/>
  <c r="N52" i="2"/>
  <c r="L52" i="2"/>
  <c r="H52" i="2"/>
  <c r="F52" i="2"/>
  <c r="N51" i="2"/>
  <c r="L51" i="2"/>
  <c r="H51" i="2"/>
  <c r="F51" i="2"/>
  <c r="N50" i="2"/>
  <c r="L50" i="2"/>
  <c r="H50" i="2"/>
  <c r="F50" i="2"/>
  <c r="N49" i="2"/>
  <c r="L49" i="2"/>
  <c r="H49" i="2"/>
  <c r="F49" i="2"/>
  <c r="N48" i="2"/>
  <c r="L48" i="2"/>
  <c r="H48" i="2"/>
  <c r="F48" i="2"/>
  <c r="N47" i="2"/>
  <c r="L47" i="2"/>
  <c r="H47" i="2"/>
  <c r="F47" i="2"/>
  <c r="N46" i="2"/>
  <c r="L46" i="2"/>
  <c r="H46" i="2"/>
  <c r="F46" i="2"/>
  <c r="N45" i="2"/>
  <c r="L45" i="2"/>
  <c r="H45" i="2"/>
  <c r="F45" i="2"/>
  <c r="N44" i="2"/>
  <c r="L44" i="2"/>
  <c r="H44" i="2"/>
  <c r="F44" i="2"/>
  <c r="N43" i="2"/>
  <c r="L43" i="2"/>
  <c r="H43" i="2"/>
  <c r="F43" i="2"/>
  <c r="N42" i="2"/>
  <c r="L42" i="2"/>
  <c r="H42" i="2"/>
  <c r="F42" i="2"/>
  <c r="N41" i="2"/>
  <c r="L41" i="2"/>
  <c r="H41" i="2"/>
  <c r="F41" i="2"/>
  <c r="N40" i="2"/>
  <c r="L40" i="2"/>
  <c r="H40" i="2"/>
  <c r="F40" i="2"/>
  <c r="N39" i="2"/>
  <c r="L39" i="2"/>
  <c r="H39" i="2"/>
  <c r="F39" i="2"/>
  <c r="N38" i="2"/>
  <c r="L38" i="2"/>
  <c r="H38" i="2"/>
  <c r="F38" i="2"/>
  <c r="N37" i="2"/>
  <c r="L37" i="2"/>
  <c r="H37" i="2"/>
  <c r="F37" i="2"/>
  <c r="N36" i="2"/>
  <c r="L36" i="2"/>
  <c r="H36" i="2"/>
  <c r="F36" i="2"/>
  <c r="N35" i="2"/>
  <c r="L35" i="2"/>
  <c r="H35" i="2"/>
  <c r="F35" i="2"/>
  <c r="N34" i="2"/>
  <c r="L34" i="2"/>
  <c r="H34" i="2"/>
  <c r="F34" i="2"/>
  <c r="N33" i="2"/>
  <c r="L33" i="2"/>
  <c r="H33" i="2"/>
  <c r="F33" i="2"/>
  <c r="N32" i="2"/>
  <c r="L32" i="2"/>
  <c r="H32" i="2"/>
  <c r="F32" i="2"/>
  <c r="N31" i="2"/>
  <c r="L31" i="2"/>
  <c r="H31" i="2"/>
  <c r="F31" i="2"/>
  <c r="N30" i="2"/>
  <c r="L30" i="2"/>
  <c r="H30" i="2"/>
  <c r="F30" i="2"/>
  <c r="N29" i="2"/>
  <c r="L29" i="2"/>
  <c r="H29" i="2"/>
  <c r="F29" i="2"/>
  <c r="N28" i="2"/>
  <c r="L28" i="2"/>
  <c r="H28" i="2"/>
  <c r="F28" i="2"/>
  <c r="N27" i="2"/>
  <c r="L27" i="2"/>
  <c r="H27" i="2"/>
  <c r="F27" i="2"/>
  <c r="N26" i="2"/>
  <c r="L26" i="2"/>
  <c r="H26" i="2"/>
  <c r="F26" i="2"/>
  <c r="N25" i="2"/>
  <c r="L25" i="2"/>
  <c r="H25" i="2"/>
  <c r="F25" i="2"/>
  <c r="N24" i="2"/>
  <c r="L24" i="2"/>
  <c r="H24" i="2"/>
  <c r="F24" i="2"/>
  <c r="N23" i="2"/>
  <c r="L23" i="2"/>
  <c r="H23" i="2"/>
  <c r="F23" i="2"/>
  <c r="N22" i="2"/>
  <c r="L22" i="2"/>
  <c r="H22" i="2"/>
  <c r="F22" i="2"/>
  <c r="N21" i="2"/>
  <c r="L21" i="2"/>
  <c r="H21" i="2"/>
  <c r="F21" i="2"/>
  <c r="N20" i="2"/>
  <c r="L20" i="2"/>
  <c r="H20" i="2"/>
  <c r="F20" i="2"/>
  <c r="N19" i="2"/>
  <c r="L19" i="2"/>
  <c r="H19" i="2"/>
  <c r="F19" i="2"/>
  <c r="N18" i="2"/>
  <c r="L18" i="2"/>
  <c r="H18" i="2"/>
  <c r="F18" i="2"/>
  <c r="N17" i="2"/>
  <c r="L17" i="2"/>
  <c r="H17" i="2"/>
  <c r="F17" i="2"/>
  <c r="N16" i="2"/>
  <c r="L16" i="2"/>
  <c r="H16" i="2"/>
  <c r="F16" i="2"/>
  <c r="N15" i="2"/>
  <c r="L15" i="2"/>
  <c r="H15" i="2"/>
  <c r="F15" i="2"/>
  <c r="N14" i="2"/>
  <c r="L14" i="2"/>
  <c r="H14" i="2"/>
  <c r="F14" i="2"/>
  <c r="N13" i="2"/>
  <c r="L13" i="2"/>
  <c r="H13" i="2"/>
  <c r="F13" i="2"/>
  <c r="N12" i="2"/>
  <c r="L12" i="2"/>
  <c r="H12" i="2"/>
  <c r="F12" i="2"/>
  <c r="X11" i="2"/>
  <c r="T11" i="2"/>
  <c r="N11" i="2"/>
  <c r="L11" i="2"/>
  <c r="H11" i="2"/>
  <c r="F11" i="2"/>
  <c r="X10" i="2"/>
  <c r="T10" i="2"/>
  <c r="N10" i="2"/>
  <c r="L10" i="2"/>
  <c r="H10" i="2"/>
  <c r="F10" i="2"/>
  <c r="X9" i="2"/>
  <c r="T9" i="2"/>
  <c r="N9" i="2"/>
  <c r="L9" i="2"/>
  <c r="H9" i="2"/>
  <c r="F9" i="2"/>
  <c r="X8" i="2"/>
  <c r="T8" i="2"/>
  <c r="N8" i="2"/>
  <c r="L8" i="2"/>
  <c r="H8" i="2"/>
  <c r="F8" i="2"/>
  <c r="X7" i="2"/>
  <c r="T7" i="2"/>
  <c r="N7" i="2"/>
  <c r="L7" i="2"/>
  <c r="H7" i="2"/>
  <c r="F7" i="2"/>
  <c r="X6" i="2"/>
  <c r="T6" i="2"/>
  <c r="N6" i="2"/>
  <c r="L6" i="2"/>
  <c r="H6" i="2"/>
  <c r="F6" i="2"/>
  <c r="X5" i="2"/>
  <c r="T5" i="2"/>
  <c r="N5" i="2"/>
  <c r="L5" i="2"/>
  <c r="H5" i="2"/>
  <c r="F5" i="2"/>
  <c r="X4" i="2"/>
  <c r="T4" i="2"/>
  <c r="N4" i="2"/>
  <c r="L4" i="2"/>
  <c r="H4" i="2"/>
  <c r="F4" i="2"/>
  <c r="X3" i="2"/>
  <c r="T3" i="2"/>
  <c r="N3" i="2"/>
  <c r="L3" i="2"/>
  <c r="H3" i="2"/>
  <c r="F3" i="2"/>
  <c r="X2" i="2"/>
  <c r="T2" i="2"/>
  <c r="N2" i="2"/>
  <c r="L2" i="2"/>
  <c r="H2" i="2"/>
  <c r="P1402" i="1"/>
  <c r="K1402" i="1"/>
  <c r="P1399" i="1"/>
  <c r="K1399" i="1"/>
  <c r="P1396" i="1"/>
  <c r="K1396" i="1"/>
  <c r="P1390" i="1"/>
  <c r="K1390" i="1"/>
  <c r="P1387" i="1"/>
  <c r="K1387" i="1"/>
  <c r="P1381" i="1"/>
  <c r="K1381" i="1"/>
  <c r="P1378" i="1"/>
  <c r="K1378" i="1"/>
  <c r="P1375" i="1"/>
  <c r="K1375" i="1"/>
  <c r="P1369" i="1"/>
  <c r="K1369" i="1"/>
  <c r="P1366" i="1"/>
  <c r="K1366" i="1"/>
  <c r="P1363" i="1"/>
  <c r="K1363" i="1"/>
  <c r="P1357" i="1"/>
  <c r="K1357" i="1"/>
  <c r="P1354" i="1"/>
  <c r="K1354" i="1"/>
  <c r="P1351" i="1"/>
  <c r="K1351" i="1"/>
  <c r="P1348" i="1"/>
  <c r="K1348" i="1"/>
  <c r="P1342" i="1"/>
  <c r="K1342" i="1"/>
  <c r="P1339" i="1"/>
  <c r="K1339" i="1"/>
  <c r="P1333" i="1"/>
  <c r="K1333" i="1"/>
  <c r="P1330" i="1"/>
  <c r="K1330" i="1"/>
  <c r="P1327" i="1"/>
  <c r="K1327" i="1"/>
  <c r="P1321" i="1"/>
  <c r="K1321" i="1"/>
  <c r="P1318" i="1"/>
  <c r="K1318" i="1"/>
  <c r="P1315" i="1"/>
  <c r="K1315" i="1"/>
  <c r="P1309" i="1"/>
  <c r="K1309" i="1"/>
  <c r="P1306" i="1"/>
  <c r="K1306" i="1"/>
  <c r="P1300" i="1"/>
  <c r="K1300" i="1"/>
  <c r="P1294" i="1"/>
  <c r="K1294" i="1"/>
  <c r="P1291" i="1"/>
  <c r="K1291" i="1"/>
  <c r="P1285" i="1"/>
  <c r="K1285" i="1"/>
  <c r="P1282" i="1"/>
  <c r="K1282" i="1"/>
  <c r="P1279" i="1"/>
  <c r="K1279" i="1"/>
  <c r="P1276" i="1"/>
  <c r="K1276" i="1"/>
  <c r="P1270" i="1"/>
  <c r="K1270" i="1"/>
  <c r="P1267" i="1"/>
  <c r="K1267" i="1"/>
  <c r="P1261" i="1"/>
  <c r="K1261" i="1"/>
  <c r="P1258" i="1"/>
  <c r="K1258" i="1"/>
  <c r="P1252" i="1"/>
  <c r="K1252" i="1"/>
  <c r="P1249" i="1"/>
  <c r="K1249" i="1"/>
  <c r="P1246" i="1"/>
  <c r="K1246" i="1"/>
  <c r="P1243" i="1"/>
  <c r="K1243" i="1"/>
  <c r="P1237" i="1"/>
  <c r="K1237" i="1"/>
  <c r="P1234" i="1"/>
  <c r="K1234" i="1"/>
  <c r="P1231" i="1"/>
  <c r="K1231" i="1"/>
  <c r="P1225" i="1"/>
  <c r="K1225" i="1"/>
  <c r="P1222" i="1"/>
  <c r="K1222" i="1"/>
  <c r="P1216" i="1"/>
  <c r="K1216" i="1"/>
  <c r="P1210" i="1"/>
  <c r="K1210" i="1"/>
  <c r="P1207" i="1"/>
  <c r="K1207" i="1"/>
  <c r="P1204" i="1"/>
  <c r="K1204" i="1"/>
  <c r="P1201" i="1"/>
  <c r="K1201" i="1"/>
  <c r="P1198" i="1"/>
  <c r="K1198" i="1"/>
  <c r="P1195" i="1"/>
  <c r="K1195" i="1"/>
  <c r="P1189" i="1"/>
  <c r="K1189" i="1"/>
  <c r="P1186" i="1"/>
  <c r="K1186" i="1"/>
  <c r="P1183" i="1"/>
  <c r="K1183" i="1"/>
  <c r="P1180" i="1"/>
  <c r="K1180" i="1"/>
  <c r="P1177" i="1"/>
  <c r="K1177" i="1"/>
  <c r="P1171" i="1"/>
  <c r="K1171" i="1"/>
  <c r="P1168" i="1"/>
  <c r="K1168" i="1"/>
  <c r="P1165" i="1"/>
  <c r="K1165" i="1"/>
  <c r="P1162" i="1"/>
  <c r="K1162" i="1"/>
  <c r="P1156" i="1"/>
  <c r="K1156" i="1"/>
  <c r="P1153" i="1"/>
  <c r="K1153" i="1"/>
  <c r="P1150" i="1"/>
  <c r="K1150" i="1"/>
  <c r="P1147" i="1"/>
  <c r="K1147" i="1"/>
  <c r="P1144" i="1"/>
  <c r="K1144" i="1"/>
  <c r="P1138" i="1"/>
  <c r="K1138" i="1"/>
  <c r="P1135" i="1"/>
  <c r="K1135" i="1"/>
  <c r="P1132" i="1"/>
  <c r="K1132" i="1"/>
  <c r="P1129" i="1"/>
  <c r="K1129" i="1"/>
  <c r="P1126" i="1"/>
  <c r="K1126" i="1"/>
  <c r="P1123" i="1"/>
  <c r="K1123" i="1"/>
  <c r="P1120" i="1"/>
  <c r="K1120" i="1"/>
  <c r="P1114" i="1"/>
  <c r="K1114" i="1"/>
  <c r="P1111" i="1"/>
  <c r="K1111" i="1"/>
  <c r="P1108" i="1"/>
  <c r="K1108" i="1"/>
  <c r="P1102" i="1"/>
  <c r="K1102" i="1"/>
  <c r="P1099" i="1"/>
  <c r="K1099" i="1"/>
  <c r="P1096" i="1"/>
  <c r="K1096" i="1"/>
  <c r="P1090" i="1"/>
  <c r="K1090" i="1"/>
  <c r="P1087" i="1"/>
  <c r="K1087" i="1"/>
  <c r="P1084" i="1"/>
  <c r="K1084" i="1"/>
  <c r="P1081" i="1"/>
  <c r="K1081" i="1"/>
  <c r="P1075" i="1"/>
  <c r="K1075" i="1"/>
  <c r="P1072" i="1"/>
  <c r="K1072" i="1"/>
  <c r="P1069" i="1"/>
  <c r="K1069" i="1"/>
  <c r="P1063" i="1"/>
  <c r="K1063" i="1"/>
  <c r="P1060" i="1"/>
  <c r="K1060" i="1"/>
  <c r="P1054" i="1"/>
  <c r="K1054" i="1"/>
  <c r="P1051" i="1"/>
  <c r="K1051" i="1"/>
  <c r="P1048" i="1"/>
  <c r="K1048" i="1"/>
  <c r="P1045" i="1"/>
  <c r="K1045" i="1"/>
  <c r="P1042" i="1"/>
  <c r="K1042" i="1"/>
  <c r="P1036" i="1"/>
  <c r="K1036" i="1"/>
  <c r="P1033" i="1"/>
  <c r="K1033" i="1"/>
  <c r="P1027" i="1"/>
  <c r="K1027" i="1"/>
  <c r="P1024" i="1"/>
  <c r="K1024" i="1"/>
  <c r="P1018" i="1"/>
  <c r="K1018" i="1"/>
  <c r="P1015" i="1"/>
  <c r="K1015" i="1"/>
  <c r="P1009" i="1"/>
  <c r="K1009" i="1"/>
  <c r="P1006" i="1"/>
  <c r="K1006" i="1"/>
  <c r="P1003" i="1"/>
  <c r="K1003" i="1"/>
  <c r="P997" i="1"/>
  <c r="K997" i="1"/>
  <c r="P994" i="1"/>
  <c r="K994" i="1"/>
  <c r="P988" i="1"/>
  <c r="K988" i="1"/>
  <c r="P982" i="1"/>
  <c r="K982" i="1"/>
  <c r="P979" i="1"/>
  <c r="K979" i="1"/>
  <c r="P973" i="1"/>
  <c r="K973" i="1"/>
  <c r="P967" i="1"/>
  <c r="K967" i="1"/>
  <c r="P964" i="1"/>
  <c r="K964" i="1"/>
  <c r="P958" i="1"/>
  <c r="K958" i="1"/>
  <c r="P955" i="1"/>
  <c r="K955" i="1"/>
  <c r="P949" i="1"/>
  <c r="K949" i="1"/>
  <c r="P946" i="1"/>
  <c r="K946" i="1"/>
  <c r="P943" i="1"/>
  <c r="K943" i="1"/>
  <c r="P940" i="1"/>
  <c r="K940" i="1"/>
  <c r="P934" i="1"/>
  <c r="K934" i="1"/>
  <c r="P931" i="1"/>
  <c r="K931" i="1"/>
  <c r="P928" i="1"/>
  <c r="K928" i="1"/>
  <c r="P922" i="1"/>
  <c r="K922" i="1"/>
  <c r="P919" i="1"/>
  <c r="K919" i="1"/>
  <c r="P916" i="1"/>
  <c r="K916" i="1"/>
  <c r="P910" i="1"/>
  <c r="K910" i="1"/>
  <c r="P907" i="1"/>
  <c r="K907" i="1"/>
  <c r="P901" i="1"/>
  <c r="K901" i="1"/>
  <c r="P898" i="1"/>
  <c r="K898" i="1"/>
  <c r="P892" i="1"/>
  <c r="K892" i="1"/>
  <c r="P889" i="1"/>
  <c r="K889" i="1"/>
  <c r="P883" i="1"/>
  <c r="K883" i="1"/>
  <c r="P880" i="1"/>
  <c r="K880" i="1"/>
  <c r="P874" i="1"/>
  <c r="K874" i="1"/>
  <c r="P871" i="1"/>
  <c r="K871" i="1"/>
  <c r="P865" i="1"/>
  <c r="K865" i="1"/>
  <c r="P862" i="1"/>
  <c r="K862" i="1"/>
  <c r="P859" i="1"/>
  <c r="K859" i="1"/>
  <c r="P856" i="1"/>
  <c r="K856" i="1"/>
  <c r="P853" i="1"/>
  <c r="K853" i="1"/>
  <c r="P847" i="1"/>
  <c r="K847" i="1"/>
  <c r="P844" i="1"/>
  <c r="K844" i="1"/>
  <c r="P841" i="1"/>
  <c r="K841" i="1"/>
  <c r="P835" i="1"/>
  <c r="K835" i="1"/>
  <c r="P832" i="1"/>
  <c r="K832" i="1"/>
  <c r="P829" i="1"/>
  <c r="K829" i="1"/>
  <c r="P826" i="1"/>
  <c r="K826" i="1"/>
  <c r="P820" i="1"/>
  <c r="K820" i="1"/>
  <c r="P817" i="1"/>
  <c r="K817" i="1"/>
  <c r="P814" i="1"/>
  <c r="K814" i="1"/>
  <c r="P811" i="1"/>
  <c r="K811" i="1"/>
  <c r="P805" i="1"/>
  <c r="K805" i="1"/>
  <c r="P802" i="1"/>
  <c r="K802" i="1"/>
  <c r="P796" i="1"/>
  <c r="K796" i="1"/>
  <c r="P793" i="1"/>
  <c r="K793" i="1"/>
  <c r="P790" i="1"/>
  <c r="K790" i="1"/>
  <c r="P784" i="1"/>
  <c r="K784" i="1"/>
  <c r="P778" i="1"/>
  <c r="K778" i="1"/>
  <c r="P772" i="1"/>
  <c r="K772" i="1"/>
  <c r="P769" i="1"/>
  <c r="K769" i="1"/>
  <c r="P763" i="1"/>
  <c r="K763" i="1"/>
  <c r="P757" i="1"/>
  <c r="K757" i="1"/>
  <c r="P751" i="1"/>
  <c r="K751" i="1"/>
  <c r="P748" i="1"/>
  <c r="K748" i="1"/>
  <c r="P745" i="1"/>
  <c r="K745" i="1"/>
  <c r="P739" i="1"/>
  <c r="K739" i="1"/>
  <c r="P736" i="1"/>
  <c r="K736" i="1"/>
  <c r="P730" i="1"/>
  <c r="K730" i="1"/>
  <c r="P727" i="1"/>
  <c r="K727" i="1"/>
  <c r="P721" i="1"/>
  <c r="K721" i="1"/>
  <c r="P718" i="1"/>
  <c r="K718" i="1"/>
  <c r="P715" i="1"/>
  <c r="K715" i="1"/>
  <c r="P709" i="1"/>
  <c r="K709" i="1"/>
  <c r="P706" i="1"/>
  <c r="K706" i="1"/>
  <c r="P703" i="1"/>
  <c r="K703" i="1"/>
  <c r="P700" i="1"/>
  <c r="K700" i="1"/>
  <c r="P697" i="1"/>
  <c r="K697" i="1"/>
  <c r="P691" i="1"/>
  <c r="K691" i="1"/>
  <c r="P688" i="1"/>
  <c r="K688" i="1"/>
  <c r="P682" i="1"/>
  <c r="K682" i="1"/>
  <c r="P679" i="1"/>
  <c r="K679" i="1"/>
  <c r="P673" i="1"/>
  <c r="K673" i="1"/>
  <c r="P670" i="1"/>
  <c r="K670" i="1"/>
  <c r="P664" i="1"/>
  <c r="K664" i="1"/>
  <c r="P661" i="1"/>
  <c r="K661" i="1"/>
  <c r="P658" i="1"/>
  <c r="K658" i="1"/>
  <c r="P655" i="1"/>
  <c r="K655" i="1"/>
  <c r="P649" i="1"/>
  <c r="K649" i="1"/>
  <c r="P646" i="1"/>
  <c r="K646" i="1"/>
  <c r="P643" i="1"/>
  <c r="K643" i="1"/>
  <c r="P637" i="1"/>
  <c r="K637" i="1"/>
  <c r="P631" i="1"/>
  <c r="K631" i="1"/>
  <c r="P628" i="1"/>
  <c r="K628" i="1"/>
  <c r="P625" i="1"/>
  <c r="K625" i="1"/>
  <c r="P622" i="1"/>
  <c r="K622" i="1"/>
  <c r="P619" i="1"/>
  <c r="K619" i="1"/>
  <c r="P613" i="1"/>
  <c r="K613" i="1"/>
  <c r="P610" i="1"/>
  <c r="K610" i="1"/>
  <c r="P607" i="1"/>
  <c r="K607" i="1"/>
  <c r="P604" i="1"/>
  <c r="K604" i="1"/>
  <c r="P598" i="1"/>
  <c r="K598" i="1"/>
  <c r="P595" i="1"/>
  <c r="K595" i="1"/>
  <c r="P592" i="1"/>
  <c r="K592" i="1"/>
  <c r="P589" i="1"/>
  <c r="K589" i="1"/>
  <c r="P586" i="1"/>
  <c r="K586" i="1"/>
  <c r="P583" i="1"/>
  <c r="K583" i="1"/>
  <c r="P577" i="1"/>
  <c r="K577" i="1"/>
  <c r="P571" i="1"/>
  <c r="K571" i="1"/>
  <c r="P568" i="1"/>
  <c r="K568" i="1"/>
  <c r="P565" i="1"/>
  <c r="K565" i="1"/>
  <c r="P559" i="1"/>
  <c r="K559" i="1"/>
  <c r="P556" i="1"/>
  <c r="K556" i="1"/>
  <c r="P553" i="1"/>
  <c r="K553" i="1"/>
  <c r="P550" i="1"/>
  <c r="K550" i="1"/>
  <c r="P547" i="1"/>
  <c r="K547" i="1"/>
  <c r="P541" i="1"/>
  <c r="K541" i="1"/>
  <c r="P538" i="1"/>
  <c r="K538" i="1"/>
  <c r="P535" i="1"/>
  <c r="K535" i="1"/>
  <c r="P529" i="1"/>
  <c r="K529" i="1"/>
  <c r="P526" i="1"/>
  <c r="K526" i="1"/>
  <c r="P523" i="1"/>
  <c r="K523" i="1"/>
  <c r="P517" i="1"/>
  <c r="K517" i="1"/>
  <c r="P514" i="1"/>
  <c r="K514" i="1"/>
  <c r="P508" i="1"/>
  <c r="K508" i="1"/>
  <c r="P505" i="1"/>
  <c r="K505" i="1"/>
  <c r="P499" i="1"/>
  <c r="K499" i="1"/>
  <c r="P496" i="1"/>
  <c r="K496" i="1"/>
  <c r="P493" i="1"/>
  <c r="K493" i="1"/>
  <c r="P490" i="1"/>
  <c r="K490" i="1"/>
  <c r="P484" i="1"/>
  <c r="K484" i="1"/>
  <c r="P481" i="1"/>
  <c r="K481" i="1"/>
  <c r="P478" i="1"/>
  <c r="K478" i="1"/>
  <c r="P472" i="1"/>
  <c r="K472" i="1"/>
  <c r="P469" i="1"/>
  <c r="K469" i="1"/>
  <c r="P466" i="1"/>
  <c r="K466" i="1"/>
  <c r="P460" i="1"/>
  <c r="K460" i="1"/>
  <c r="P454" i="1"/>
  <c r="K454" i="1"/>
  <c r="P451" i="1"/>
  <c r="K451" i="1"/>
  <c r="P448" i="1"/>
  <c r="K448" i="1"/>
  <c r="P442" i="1"/>
  <c r="K442" i="1"/>
  <c r="P439" i="1"/>
  <c r="K439" i="1"/>
  <c r="P433" i="1"/>
  <c r="K433" i="1"/>
  <c r="P430" i="1"/>
  <c r="K430" i="1"/>
  <c r="P427" i="1"/>
  <c r="K427" i="1"/>
  <c r="P421" i="1"/>
  <c r="K421" i="1"/>
  <c r="P418" i="1"/>
  <c r="K418" i="1"/>
  <c r="P415" i="1"/>
  <c r="K415" i="1"/>
  <c r="P409" i="1"/>
  <c r="K409" i="1"/>
  <c r="P406" i="1"/>
  <c r="K406" i="1"/>
  <c r="P400" i="1"/>
  <c r="K400" i="1"/>
  <c r="P397" i="1"/>
  <c r="K397" i="1"/>
  <c r="P391" i="1"/>
  <c r="K391" i="1"/>
  <c r="P388" i="1"/>
  <c r="K388" i="1"/>
  <c r="P382" i="1"/>
  <c r="K382" i="1"/>
  <c r="P379" i="1"/>
  <c r="K379" i="1"/>
  <c r="P376" i="1"/>
  <c r="K376" i="1"/>
  <c r="P373" i="1"/>
  <c r="K373" i="1"/>
  <c r="P370" i="1"/>
  <c r="K370" i="1"/>
  <c r="P367" i="1"/>
  <c r="K367" i="1"/>
  <c r="P364" i="1"/>
  <c r="K364" i="1"/>
  <c r="P358" i="1"/>
  <c r="K358" i="1"/>
  <c r="P355" i="1"/>
  <c r="K355" i="1"/>
  <c r="P352" i="1"/>
  <c r="K352" i="1"/>
  <c r="P349" i="1"/>
  <c r="K349" i="1"/>
  <c r="P343" i="1"/>
  <c r="K343" i="1"/>
  <c r="P340" i="1"/>
  <c r="K340" i="1"/>
  <c r="P337" i="1"/>
  <c r="K337" i="1"/>
  <c r="P334" i="1"/>
  <c r="K334" i="1"/>
  <c r="P331" i="1"/>
  <c r="K331" i="1"/>
  <c r="P325" i="1"/>
  <c r="K325" i="1"/>
  <c r="P322" i="1"/>
  <c r="K322" i="1"/>
  <c r="P319" i="1"/>
  <c r="K319" i="1"/>
  <c r="P316" i="1"/>
  <c r="K316" i="1"/>
  <c r="P313" i="1"/>
  <c r="K313" i="1"/>
  <c r="P310" i="1"/>
  <c r="K310" i="1"/>
  <c r="P304" i="1"/>
  <c r="K304" i="1"/>
  <c r="P301" i="1"/>
  <c r="K301" i="1"/>
  <c r="P298" i="1"/>
  <c r="K298" i="1"/>
  <c r="P295" i="1"/>
  <c r="K295" i="1"/>
  <c r="P292" i="1"/>
  <c r="K292" i="1"/>
  <c r="P286" i="1"/>
  <c r="K286" i="1"/>
  <c r="P283" i="1"/>
  <c r="K283" i="1"/>
  <c r="P280" i="1"/>
  <c r="K280" i="1"/>
  <c r="P277" i="1"/>
  <c r="K277" i="1"/>
  <c r="P274" i="1"/>
  <c r="K274" i="1"/>
  <c r="P271" i="1"/>
  <c r="K271" i="1"/>
  <c r="P268" i="1"/>
  <c r="K268" i="1"/>
  <c r="P262" i="1"/>
  <c r="K262" i="1"/>
  <c r="P259" i="1"/>
  <c r="K259" i="1"/>
  <c r="P253" i="1"/>
  <c r="K253" i="1"/>
  <c r="P250" i="1"/>
  <c r="K250" i="1"/>
  <c r="P247" i="1"/>
  <c r="K247" i="1"/>
  <c r="P244" i="1"/>
  <c r="K244" i="1"/>
  <c r="P241" i="1"/>
  <c r="K241" i="1"/>
  <c r="P238" i="1"/>
  <c r="K238" i="1"/>
  <c r="P235" i="1"/>
  <c r="K235" i="1"/>
  <c r="P232" i="1"/>
  <c r="K232" i="1"/>
  <c r="P226" i="1"/>
  <c r="K226" i="1"/>
  <c r="P223" i="1"/>
  <c r="K223" i="1"/>
  <c r="P220" i="1"/>
  <c r="K220" i="1"/>
  <c r="P214" i="1"/>
  <c r="K214" i="1"/>
  <c r="P211" i="1"/>
  <c r="K211" i="1"/>
  <c r="P208" i="1"/>
  <c r="K208" i="1"/>
  <c r="P205" i="1"/>
  <c r="K205" i="1"/>
  <c r="P202" i="1"/>
  <c r="K202" i="1"/>
  <c r="P196" i="1"/>
  <c r="K196" i="1"/>
  <c r="P193" i="1"/>
  <c r="K193" i="1"/>
  <c r="P190" i="1"/>
  <c r="K190" i="1"/>
  <c r="P187" i="1"/>
  <c r="K187" i="1"/>
  <c r="P184" i="1"/>
  <c r="K184" i="1"/>
  <c r="P181" i="1"/>
  <c r="K181" i="1"/>
  <c r="P178" i="1"/>
  <c r="K178" i="1"/>
  <c r="P175" i="1"/>
  <c r="K175" i="1"/>
  <c r="P169" i="1"/>
  <c r="K169" i="1"/>
  <c r="P166" i="1"/>
  <c r="K166" i="1"/>
  <c r="P163" i="1"/>
  <c r="K163" i="1"/>
  <c r="P160" i="1"/>
  <c r="K160" i="1"/>
  <c r="P157" i="1"/>
  <c r="K157" i="1"/>
  <c r="P154" i="1"/>
  <c r="K154" i="1"/>
  <c r="P148" i="1"/>
  <c r="K148" i="1"/>
  <c r="P145" i="1"/>
  <c r="K145" i="1"/>
  <c r="P142" i="1"/>
  <c r="K142" i="1"/>
  <c r="P139" i="1"/>
  <c r="K139" i="1"/>
  <c r="P136" i="1"/>
  <c r="K136" i="1"/>
  <c r="P130" i="1"/>
  <c r="K130" i="1"/>
  <c r="P127" i="1"/>
  <c r="K127" i="1"/>
  <c r="P124" i="1"/>
  <c r="K124" i="1"/>
  <c r="P121" i="1"/>
  <c r="K121" i="1"/>
  <c r="P115" i="1"/>
  <c r="K115" i="1"/>
  <c r="P112" i="1"/>
  <c r="K112" i="1"/>
  <c r="P109" i="1"/>
  <c r="K109" i="1"/>
  <c r="P103" i="1"/>
  <c r="K103" i="1"/>
  <c r="P97" i="1"/>
  <c r="K97" i="1"/>
  <c r="P94" i="1"/>
  <c r="K94" i="1"/>
  <c r="P91" i="1"/>
  <c r="K91" i="1"/>
  <c r="P88" i="1"/>
  <c r="K88" i="1"/>
  <c r="P82" i="1"/>
  <c r="K82" i="1"/>
  <c r="P79" i="1"/>
  <c r="K79" i="1"/>
  <c r="P73" i="1"/>
  <c r="K73" i="1"/>
  <c r="P70" i="1"/>
  <c r="K70" i="1"/>
  <c r="P64" i="1"/>
  <c r="K64" i="1"/>
  <c r="P61" i="1"/>
  <c r="K61" i="1"/>
  <c r="P58" i="1"/>
  <c r="K58" i="1"/>
  <c r="P55" i="1"/>
  <c r="K55" i="1"/>
  <c r="P52" i="1"/>
  <c r="K52" i="1"/>
  <c r="P46" i="1"/>
  <c r="K46" i="1"/>
  <c r="P43" i="1"/>
  <c r="K43" i="1"/>
  <c r="P40" i="1"/>
  <c r="K40" i="1"/>
  <c r="P37" i="1"/>
  <c r="K37" i="1"/>
  <c r="P31" i="1"/>
  <c r="K31" i="1"/>
  <c r="P28" i="1"/>
  <c r="K28" i="1"/>
  <c r="P22" i="1"/>
  <c r="K22" i="1"/>
  <c r="P19" i="1"/>
  <c r="K19" i="1"/>
  <c r="P16" i="1"/>
  <c r="K16" i="1"/>
  <c r="P10" i="1"/>
  <c r="K10" i="1"/>
  <c r="P7" i="1"/>
  <c r="K7" i="1"/>
</calcChain>
</file>

<file path=xl/sharedStrings.xml><?xml version="1.0" encoding="utf-8"?>
<sst xmlns="http://schemas.openxmlformats.org/spreadsheetml/2006/main" count="7725" uniqueCount="488">
  <si>
    <t>Cuadro N° 15. INDICADOR COMPLEMENTARIO ODS 16.9.1</t>
  </si>
  <si>
    <t>BOLIVIA: NIÑAS Y NIÑOS MENORES DE 5 AÑOS Y PORCENTAJE DE INSCRIPCIÓN DE SU NACIMIENTO EN EL REGISTRO CIVIL POR CATEGORÍAS SELECCIONADAS, SEGÚN DEPARTAMENTO, PROVINCIA, MUNICIPIO O TERRITORIO INDÍGENA ORIGINARIO CAMPESINO (TIOC) Y ÁREA, CENSOS 2012 Y 2024</t>
  </si>
  <si>
    <t>(En número y porcentaje)</t>
  </si>
  <si>
    <t xml:space="preserve">NIÑAS Y NIÑOS MENORES DE 5 AÑOS </t>
  </si>
  <si>
    <t>N°</t>
  </si>
  <si>
    <t>NIVEL</t>
  </si>
  <si>
    <t>DEPARTAMENTO</t>
  </si>
  <si>
    <t>PROVINCIA</t>
  </si>
  <si>
    <t>MUNICIPIO/TIOC</t>
  </si>
  <si>
    <t>ÁREA</t>
  </si>
  <si>
    <t>Inscrito</t>
  </si>
  <si>
    <t xml:space="preserve">No inscrito </t>
  </si>
  <si>
    <t>Sin especificar</t>
  </si>
  <si>
    <r>
      <rPr>
        <b/>
        <sz val="10"/>
        <color theme="1"/>
        <rFont val="Arial"/>
        <family val="2"/>
      </rPr>
      <t>PORCENTAJE</t>
    </r>
    <r>
      <rPr>
        <b/>
        <vertAlign val="superscript"/>
        <sz val="10"/>
        <color theme="1"/>
        <rFont val="Arial"/>
        <family val="2"/>
      </rPr>
      <t>(1)</t>
    </r>
  </si>
  <si>
    <t>Total</t>
  </si>
  <si>
    <r>
      <rPr>
        <b/>
        <sz val="10"/>
        <color theme="1"/>
        <rFont val="Arial"/>
        <family val="2"/>
      </rPr>
      <t>PORCENTAJE</t>
    </r>
    <r>
      <rPr>
        <b/>
        <vertAlign val="superscript"/>
        <sz val="10"/>
        <color theme="1"/>
        <rFont val="Arial"/>
        <family val="2"/>
      </rPr>
      <t>(1)</t>
    </r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</si>
  <si>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</si>
  <si>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</si>
  <si>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</si>
  <si>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</si>
  <si>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</si>
  <si>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</si>
  <si>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</si>
  <si>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</si>
  <si>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</si>
  <si>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</si>
  <si>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</si>
  <si>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</si>
  <si>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</si>
  <si>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</si>
  <si>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</si>
  <si>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</si>
  <si>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</si>
  <si>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</si>
  <si>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</si>
  <si>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</si>
  <si>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</si>
  <si>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</si>
  <si>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</si>
  <si>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</si>
  <si>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</si>
  <si>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</si>
  <si>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</si>
  <si>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</si>
  <si>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</si>
  <si>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</si>
  <si>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</si>
  <si>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</si>
  <si>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</si>
  <si>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</si>
  <si>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</si>
  <si>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</si>
  <si>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</si>
  <si>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</si>
  <si>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</si>
  <si>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</si>
  <si>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</si>
  <si>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</si>
  <si>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</si>
  <si>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</si>
  <si>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</si>
  <si>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</si>
  <si>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</si>
  <si>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</si>
  <si>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</si>
  <si>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</si>
  <si>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</si>
  <si>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</si>
  <si>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</si>
  <si>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</si>
  <si>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</si>
  <si>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</si>
  <si>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</si>
  <si>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</si>
  <si>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</si>
  <si>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</si>
  <si>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</si>
  <si>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</si>
  <si>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</si>
  <si>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</si>
  <si>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</si>
  <si>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</si>
  <si>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</si>
  <si>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</si>
  <si>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</si>
  <si>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</si>
  <si>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</si>
  <si>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</si>
  <si>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</si>
  <si>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</si>
  <si>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</si>
  <si>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</si>
  <si>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</si>
  <si>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</si>
  <si>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</si>
  <si>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</si>
  <si>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</si>
  <si>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</si>
  <si>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</si>
  <si>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</si>
  <si>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</si>
  <si>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</si>
  <si>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</si>
  <si>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</si>
  <si>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</si>
  <si>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</si>
  <si>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</si>
  <si>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</si>
  <si>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</si>
  <si>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</si>
  <si>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</si>
  <si>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</si>
  <si>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</si>
  <si>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</si>
  <si>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</si>
  <si>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</si>
  <si>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</si>
  <si>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</si>
  <si>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</si>
  <si>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</si>
  <si>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</si>
  <si>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</si>
  <si>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</si>
  <si>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</si>
  <si>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</si>
  <si>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</si>
  <si>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</si>
  <si>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</si>
  <si>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</si>
  <si>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</si>
  <si>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</si>
  <si>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</si>
  <si>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</si>
  <si>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</si>
  <si>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</si>
  <si>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</si>
  <si>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</si>
  <si>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</si>
  <si>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</si>
  <si>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</si>
  <si>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</si>
  <si>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</si>
  <si>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</si>
  <si>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</si>
  <si>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</si>
  <si>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</si>
  <si>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</si>
  <si>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</si>
  <si>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</si>
  <si>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</si>
  <si>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</si>
  <si>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</si>
  <si>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</si>
  <si>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</si>
  <si>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</si>
  <si>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</si>
  <si>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</si>
  <si>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</si>
  <si>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</si>
  <si>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</si>
  <si>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</si>
  <si>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</si>
  <si>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</si>
  <si>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</si>
  <si>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</si>
  <si>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</si>
  <si>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</si>
  <si>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</si>
  <si>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</si>
  <si>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</si>
  <si>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</si>
  <si>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</si>
  <si>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</si>
  <si>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</si>
  <si>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</si>
  <si>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</si>
  <si>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</si>
  <si>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</si>
  <si>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</si>
  <si>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</si>
  <si>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</si>
  <si>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</si>
  <si>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</si>
  <si>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</si>
  <si>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</si>
  <si>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</si>
  <si>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</si>
  <si>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</si>
  <si>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</si>
  <si>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</si>
  <si>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</si>
  <si>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</si>
  <si>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</si>
  <si>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</si>
  <si>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</si>
  <si>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</si>
  <si>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</si>
  <si>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</si>
  <si>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</si>
  <si>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</si>
  <si>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</si>
  <si>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</si>
  <si>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</si>
  <si>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</si>
  <si>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</si>
  <si>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</si>
  <si>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</si>
  <si>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</si>
  <si>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</si>
  <si>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</si>
  <si>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</si>
  <si>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</si>
  <si>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</si>
  <si>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</si>
  <si>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</si>
  <si>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</si>
  <si>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</si>
  <si>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</si>
  <si>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</si>
  <si>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</si>
  <si>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</si>
  <si>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</si>
  <si>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</si>
  <si>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</si>
  <si>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</si>
  <si>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</si>
  <si>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</si>
  <si>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</si>
  <si>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</si>
  <si>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</si>
  <si>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</si>
  <si>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</si>
  <si>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</si>
  <si>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</si>
  <si>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</si>
  <si>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</si>
  <si>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</si>
  <si>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</si>
  <si>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</si>
  <si>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</si>
  <si>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</si>
  <si>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</si>
  <si>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</si>
  <si>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</si>
  <si>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</si>
  <si>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</si>
  <si>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</si>
  <si>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</si>
  <si>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</si>
  <si>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</si>
  <si>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</si>
  <si>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</si>
  <si>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</si>
  <si>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</si>
  <si>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</si>
  <si>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</si>
  <si>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</si>
  <si>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</si>
  <si>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</si>
  <si>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</si>
  <si>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</si>
  <si>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</si>
  <si>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</si>
  <si>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</si>
  <si>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</si>
  <si>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</si>
  <si>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</si>
  <si>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</si>
  <si>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</si>
  <si>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</si>
  <si>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</si>
  <si>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</si>
  <si>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</si>
  <si>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</si>
  <si>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</si>
  <si>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</si>
  <si>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</si>
  <si>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</si>
  <si>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</si>
  <si>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</si>
  <si>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</si>
  <si>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</si>
  <si>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</si>
  <si>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</si>
  <si>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</si>
  <si>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</si>
  <si>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</si>
  <si>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</si>
  <si>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</si>
  <si>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</si>
  <si>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</si>
  <si>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</si>
  <si>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</si>
  <si>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</si>
  <si>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</si>
  <si>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</si>
  <si>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</si>
  <si>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</si>
  <si>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</si>
  <si>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</si>
  <si>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</si>
  <si>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</si>
  <si>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</si>
  <si>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</si>
  <si>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</si>
  <si>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</si>
  <si>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</si>
  <si>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</si>
  <si>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</si>
  <si>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</si>
  <si>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</si>
  <si>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</si>
  <si>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</si>
  <si>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</si>
  <si>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</si>
  <si>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</si>
  <si>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</si>
  <si>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</si>
  <si>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</si>
  <si>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</si>
  <si>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</si>
  <si>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</si>
  <si>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</si>
  <si>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</si>
  <si>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</si>
  <si>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</si>
  <si>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</si>
  <si>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</si>
  <si>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</si>
  <si>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</si>
  <si>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</si>
  <si>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</si>
  <si>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</si>
  <si>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</si>
  <si>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</si>
  <si>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</si>
  <si>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</si>
  <si>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</si>
  <si>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</si>
  <si>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</si>
  <si>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</si>
  <si>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</si>
  <si>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</si>
  <si>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</si>
  <si>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</si>
  <si>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</si>
  <si>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</si>
  <si>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</si>
  <si>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</si>
  <si>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</si>
  <si>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</si>
  <si>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</si>
  <si>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</si>
  <si>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</si>
  <si>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</si>
  <si>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</si>
  <si>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</si>
  <si>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</si>
  <si>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</si>
  <si>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</si>
  <si>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</si>
  <si>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</si>
  <si>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</si>
  <si>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</si>
  <si>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</si>
  <si>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</si>
  <si>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</si>
  <si>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</si>
  <si>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</si>
  <si>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</si>
  <si>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</si>
  <si>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</si>
  <si>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</si>
  <si>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</si>
  <si>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</si>
  <si>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</si>
  <si>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</si>
  <si>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</si>
  <si>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</si>
  <si>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</si>
  <si>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</si>
  <si>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</si>
  <si>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</si>
  <si>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</si>
  <si>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</si>
  <si>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</si>
  <si>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</si>
  <si>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</si>
  <si>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</si>
  <si>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</si>
  <si>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</si>
  <si>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</si>
  <si>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</si>
  <si>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</si>
  <si>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</si>
  <si>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</si>
  <si>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</si>
  <si>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</si>
  <si>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</si>
  <si>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</si>
  <si>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</si>
  <si>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</si>
  <si>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</si>
  <si>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</si>
  <si>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</si>
  <si>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</si>
  <si>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</si>
  <si>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</si>
  <si>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</si>
  <si>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</si>
  <si>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</si>
  <si>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</si>
  <si>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</si>
  <si>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</si>
  <si>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</si>
  <si>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</si>
  <si>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</si>
  <si>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</si>
  <si>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</si>
  <si>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</si>
  <si>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</si>
  <si>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</si>
  <si>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</si>
  <si>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</si>
  <si>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</si>
  <si>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</si>
  <si>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</si>
  <si>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</si>
  <si>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</si>
  <si>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</si>
  <si>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</si>
  <si>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</si>
  <si>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</si>
  <si>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</si>
  <si>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</si>
  <si>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</si>
  <si>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</si>
  <si>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</si>
  <si>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</si>
  <si>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</si>
  <si>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</si>
  <si>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</si>
  <si>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</si>
  <si>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</si>
  <si>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</si>
  <si>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</si>
  <si>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</si>
  <si>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</si>
  <si>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</si>
  <si>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(1) No incluye personas que no declararon en la pregunta.</t>
  </si>
  <si>
    <t>(2) Para personas que residen habitualmente en el país.</t>
  </si>
  <si>
    <t>(3) Corresponde a personas que declararon haber nacido en otro país que no sea Bolivia.</t>
  </si>
  <si>
    <t>ID</t>
  </si>
  <si>
    <t>Municipio</t>
  </si>
  <si>
    <t>Menores de 5 años inscritos 2012</t>
  </si>
  <si>
    <t>Menores de 5 años no inscritos 2012</t>
  </si>
  <si>
    <t>Total menores de 5 años 2012</t>
  </si>
  <si>
    <t>Niños menores de 5 años inscritos en registro civil (%) 2012</t>
  </si>
  <si>
    <t>Población 2012</t>
  </si>
  <si>
    <t>Porcentaje de la población menores de 5 años 2012</t>
  </si>
  <si>
    <t>Menores de 5 años inscritos 2024</t>
  </si>
  <si>
    <t>Menores de 5 años no inscritos 2024</t>
  </si>
  <si>
    <t>Menores de 5 años 2024</t>
  </si>
  <si>
    <t>Niños menores de 5 años inscritos en registro civil (%) 2024</t>
  </si>
  <si>
    <t>Población 2024</t>
  </si>
  <si>
    <t>Porcentaje de la población menores de 5 años 2024</t>
  </si>
  <si>
    <t>Menores de 5 que no están inscritos 2012</t>
  </si>
  <si>
    <t>Menores de 5 años 2012</t>
  </si>
  <si>
    <t>TIOCaRaqaypampa</t>
  </si>
  <si>
    <t>TIOCaJatun Ayllu Yura</t>
  </si>
  <si>
    <t>TIOCaTerritorio Indígena Multiétnico</t>
  </si>
  <si>
    <t>sdg16_9_niños_registro_civil_2012</t>
  </si>
  <si>
    <t>sdg16_9_niños_registro_civil_2024</t>
  </si>
  <si>
    <t>sdg16_9_niños_registro_civil_abs_2012</t>
  </si>
  <si>
    <t>sdg16_9_niños_registro_civil_abs_2024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</si>
  <si>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</si>
  <si>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</si>
  <si>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</si>
  <si>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</si>
  <si>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</si>
  <si>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</si>
  <si>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</si>
  <si>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</si>
  <si>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</si>
  <si>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</si>
  <si>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</si>
  <si>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Niños inscritos en el registro civil (&lt; 5 años)</t>
  </si>
  <si>
    <t>Menores de 5 que no están inscritos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</si>
</sst>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_ ;\-#,##0\ "/>
    <numFmt numFmtId="166" formatCode="0.0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17223D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8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&quot;Aptos Display&quot;"/>
    </font>
    <font>
      <b/>
      <vertAlign val="superscript"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2" fillId="2" borderId="1" xfId="0" applyFont="1" applyFill="1" applyBorder="1"/>
    <xf numFmtId="164" fontId="5" fillId="2" borderId="1" xfId="0" applyNumberFormat="1" applyFont="1" applyFill="1" applyBorder="1"/>
    <xf numFmtId="3" fontId="5" fillId="2" borderId="1" xfId="0" applyNumberFormat="1" applyFont="1" applyFill="1" applyBorder="1"/>
    <xf numFmtId="3" fontId="5" fillId="2" borderId="0" xfId="0" applyNumberFormat="1" applyFont="1" applyFill="1"/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left" vertical="center"/>
    </xf>
    <xf numFmtId="3" fontId="9" fillId="4" borderId="13" xfId="0" applyNumberFormat="1" applyFont="1" applyFill="1" applyBorder="1" applyAlignment="1">
      <alignment vertical="center"/>
    </xf>
    <xf numFmtId="164" fontId="9" fillId="4" borderId="13" xfId="0" applyNumberFormat="1" applyFont="1" applyFill="1" applyBorder="1" applyAlignment="1">
      <alignment horizontal="right" vertical="center"/>
    </xf>
    <xf numFmtId="165" fontId="9" fillId="4" borderId="13" xfId="0" applyNumberFormat="1" applyFont="1" applyFill="1" applyBorder="1" applyAlignment="1">
      <alignment vertical="center"/>
    </xf>
    <xf numFmtId="164" fontId="9" fillId="4" borderId="0" xfId="0" applyNumberFormat="1" applyFont="1" applyFill="1" applyAlignment="1">
      <alignment horizontal="right" vertical="center"/>
    </xf>
    <xf numFmtId="0" fontId="9" fillId="2" borderId="14" xfId="0" applyFont="1" applyFill="1" applyBorder="1" applyAlignment="1">
      <alignment horizontal="right" vertical="center"/>
    </xf>
    <xf numFmtId="0" fontId="9" fillId="2" borderId="14" xfId="0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vertical="center"/>
    </xf>
    <xf numFmtId="164" fontId="10" fillId="2" borderId="14" xfId="0" applyNumberFormat="1" applyFont="1" applyFill="1" applyBorder="1" applyAlignment="1">
      <alignment horizontal="right" vertical="center"/>
    </xf>
    <xf numFmtId="165" fontId="10" fillId="2" borderId="14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0" fontId="9" fillId="5" borderId="14" xfId="0" applyFont="1" applyFill="1" applyBorder="1" applyAlignment="1">
      <alignment horizontal="right" vertical="center"/>
    </xf>
    <xf numFmtId="0" fontId="9" fillId="5" borderId="14" xfId="0" applyFont="1" applyFill="1" applyBorder="1" applyAlignment="1">
      <alignment horizontal="left" vertical="center"/>
    </xf>
    <xf numFmtId="3" fontId="9" fillId="5" borderId="14" xfId="0" applyNumberFormat="1" applyFont="1" applyFill="1" applyBorder="1" applyAlignment="1">
      <alignment vertical="center"/>
    </xf>
    <xf numFmtId="164" fontId="9" fillId="5" borderId="14" xfId="0" applyNumberFormat="1" applyFont="1" applyFill="1" applyBorder="1" applyAlignment="1">
      <alignment horizontal="right" vertical="center"/>
    </xf>
    <xf numFmtId="165" fontId="9" fillId="5" borderId="14" xfId="0" applyNumberFormat="1" applyFont="1" applyFill="1" applyBorder="1" applyAlignment="1">
      <alignment vertical="center"/>
    </xf>
    <xf numFmtId="164" fontId="9" fillId="5" borderId="0" xfId="0" applyNumberFormat="1" applyFont="1" applyFill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vertical="center"/>
    </xf>
    <xf numFmtId="0" fontId="10" fillId="6" borderId="14" xfId="0" applyFont="1" applyFill="1" applyBorder="1" applyAlignment="1">
      <alignment horizontal="left" vertical="center"/>
    </xf>
    <xf numFmtId="3" fontId="10" fillId="6" borderId="14" xfId="0" applyNumberFormat="1" applyFont="1" applyFill="1" applyBorder="1" applyAlignment="1">
      <alignment vertical="center"/>
    </xf>
    <xf numFmtId="164" fontId="10" fillId="6" borderId="14" xfId="0" applyNumberFormat="1" applyFont="1" applyFill="1" applyBorder="1" applyAlignment="1">
      <alignment horizontal="right" vertical="center"/>
    </xf>
    <xf numFmtId="165" fontId="10" fillId="6" borderId="14" xfId="0" applyNumberFormat="1" applyFont="1" applyFill="1" applyBorder="1" applyAlignment="1">
      <alignment vertical="center"/>
    </xf>
    <xf numFmtId="164" fontId="10" fillId="6" borderId="0" xfId="0" applyNumberFormat="1" applyFont="1" applyFill="1" applyAlignment="1">
      <alignment horizontal="right" vertical="center"/>
    </xf>
    <xf numFmtId="0" fontId="10" fillId="7" borderId="14" xfId="0" applyFont="1" applyFill="1" applyBorder="1" applyAlignment="1">
      <alignment horizontal="right" vertical="center"/>
    </xf>
    <xf numFmtId="0" fontId="10" fillId="7" borderId="14" xfId="0" applyFont="1" applyFill="1" applyBorder="1" applyAlignment="1">
      <alignment horizontal="left" vertical="center"/>
    </xf>
    <xf numFmtId="3" fontId="10" fillId="7" borderId="14" xfId="0" applyNumberFormat="1" applyFont="1" applyFill="1" applyBorder="1" applyAlignment="1">
      <alignment vertical="center"/>
    </xf>
    <xf numFmtId="164" fontId="10" fillId="7" borderId="14" xfId="0" applyNumberFormat="1" applyFont="1" applyFill="1" applyBorder="1" applyAlignment="1">
      <alignment horizontal="right" vertical="center"/>
    </xf>
    <xf numFmtId="165" fontId="10" fillId="7" borderId="14" xfId="0" applyNumberFormat="1" applyFont="1" applyFill="1" applyBorder="1" applyAlignment="1">
      <alignment vertical="center"/>
    </xf>
    <xf numFmtId="164" fontId="10" fillId="7" borderId="0" xfId="0" applyNumberFormat="1" applyFont="1" applyFill="1" applyAlignment="1">
      <alignment horizontal="right" vertical="center"/>
    </xf>
    <xf numFmtId="0" fontId="9" fillId="2" borderId="14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1" fontId="10" fillId="7" borderId="14" xfId="0" applyNumberFormat="1" applyFont="1" applyFill="1" applyBorder="1" applyAlignment="1">
      <alignment vertical="center"/>
    </xf>
    <xf numFmtId="1" fontId="10" fillId="7" borderId="14" xfId="0" applyNumberFormat="1" applyFont="1" applyFill="1" applyBorder="1" applyAlignment="1">
      <alignment horizontal="left" vertical="center"/>
    </xf>
    <xf numFmtId="0" fontId="10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vertical="center"/>
    </xf>
    <xf numFmtId="0" fontId="10" fillId="6" borderId="16" xfId="0" applyFont="1" applyFill="1" applyBorder="1" applyAlignment="1">
      <alignment horizontal="left" vertical="center"/>
    </xf>
    <xf numFmtId="3" fontId="10" fillId="6" borderId="16" xfId="0" applyNumberFormat="1" applyFont="1" applyFill="1" applyBorder="1" applyAlignment="1">
      <alignment vertical="center"/>
    </xf>
    <xf numFmtId="164" fontId="10" fillId="6" borderId="16" xfId="0" applyNumberFormat="1" applyFont="1" applyFill="1" applyBorder="1" applyAlignment="1">
      <alignment horizontal="right" vertical="center"/>
    </xf>
    <xf numFmtId="165" fontId="10" fillId="6" borderId="16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/>
    <xf numFmtId="2" fontId="13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3" fontId="16" fillId="8" borderId="10" xfId="0" applyNumberFormat="1" applyFont="1" applyFill="1" applyBorder="1" applyAlignment="1">
      <alignment horizontal="center" vertical="center" wrapText="1"/>
    </xf>
    <xf numFmtId="166" fontId="16" fillId="8" borderId="10" xfId="0" applyNumberFormat="1" applyFont="1" applyFill="1" applyBorder="1" applyAlignment="1">
      <alignment vertical="center" wrapText="1"/>
    </xf>
    <xf numFmtId="0" fontId="16" fillId="9" borderId="10" xfId="0" applyFont="1" applyFill="1" applyBorder="1" applyAlignment="1">
      <alignment horizontal="center" vertical="center" wrapText="1"/>
    </xf>
    <xf numFmtId="3" fontId="16" fillId="9" borderId="10" xfId="0" applyNumberFormat="1" applyFont="1" applyFill="1" applyBorder="1" applyAlignment="1">
      <alignment horizontal="center" vertical="center" wrapText="1"/>
    </xf>
    <xf numFmtId="166" fontId="16" fillId="9" borderId="10" xfId="0" applyNumberFormat="1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9" fillId="0" borderId="0" xfId="0" applyFont="1"/>
    <xf numFmtId="3" fontId="17" fillId="0" borderId="0" xfId="0" applyNumberFormat="1" applyFont="1"/>
    <xf numFmtId="164" fontId="17" fillId="0" borderId="0" xfId="0" applyNumberFormat="1" applyFont="1"/>
    <xf numFmtId="166" fontId="17" fillId="0" borderId="0" xfId="0" applyNumberFormat="1" applyFont="1"/>
    <xf numFmtId="165" fontId="17" fillId="0" borderId="0" xfId="0" applyNumberFormat="1" applyFont="1"/>
    <xf numFmtId="0" fontId="17" fillId="0" borderId="10" xfId="0" applyFont="1" applyBorder="1"/>
    <xf numFmtId="3" fontId="17" fillId="0" borderId="10" xfId="0" applyNumberFormat="1" applyFont="1" applyBorder="1"/>
    <xf numFmtId="164" fontId="17" fillId="0" borderId="10" xfId="0" applyNumberFormat="1" applyFont="1" applyBorder="1"/>
    <xf numFmtId="165" fontId="17" fillId="0" borderId="10" xfId="0" applyNumberFormat="1" applyFont="1" applyBorder="1"/>
    <xf numFmtId="1" fontId="19" fillId="0" borderId="0" xfId="0" applyNumberFormat="1" applyFont="1"/>
    <xf numFmtId="0" fontId="17" fillId="0" borderId="0" xfId="0" applyFont="1"/>
    <xf numFmtId="0" fontId="20" fillId="0" borderId="10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" fontId="17" fillId="0" borderId="10" xfId="0" applyNumberFormat="1" applyFont="1" applyBorder="1"/>
    <xf numFmtId="0" fontId="20" fillId="0" borderId="0" xfId="0" applyFont="1" applyAlignment="1">
      <alignment vertical="center"/>
    </xf>
    <xf numFmtId="0" fontId="17" fillId="0" borderId="10" xfId="0" applyFont="1" applyBorder="1" applyAlignment="1">
      <alignment wrapText="1"/>
    </xf>
    <xf numFmtId="164" fontId="17" fillId="0" borderId="10" xfId="0" applyNumberFormat="1" applyFont="1" applyBorder="1" applyAlignment="1">
      <alignment wrapText="1"/>
    </xf>
    <xf numFmtId="0" fontId="16" fillId="10" borderId="10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21" fillId="12" borderId="10" xfId="0" applyFont="1" applyFill="1" applyBorder="1" applyAlignment="1">
      <alignment horizontal="center" vertical="center" wrapText="1"/>
    </xf>
    <xf numFmtId="0" fontId="21" fillId="13" borderId="10" xfId="0" applyFont="1" applyFill="1" applyBorder="1" applyAlignment="1">
      <alignment horizontal="center" vertical="center" wrapText="1"/>
    </xf>
    <xf numFmtId="0" fontId="21" fillId="14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17" fillId="0" borderId="13" xfId="0" applyFont="1" applyBorder="1" applyAlignment="1">
      <alignment wrapText="1"/>
    </xf>
    <xf numFmtId="164" fontId="17" fillId="0" borderId="13" xfId="0" applyNumberFormat="1" applyFont="1" applyBorder="1" applyAlignment="1">
      <alignment wrapText="1"/>
    </xf>
    <xf numFmtId="0" fontId="1" fillId="0" borderId="17" xfId="0" applyFont="1" applyFill="1" applyBorder="1" applyAlignment="1">
      <alignment wrapText="1"/>
    </xf>
    <xf numFmtId="165" fontId="17" fillId="0" borderId="13" xfId="0" applyNumberFormat="1" applyFont="1" applyBorder="1"/>
    <xf numFmtId="3" fontId="17" fillId="0" borderId="13" xfId="0" applyNumberFormat="1" applyFont="1" applyBorder="1"/>
    <xf numFmtId="164" fontId="17" fillId="0" borderId="13" xfId="0" applyNumberFormat="1" applyFont="1" applyBorder="1"/>
    <xf numFmtId="165" fontId="1" fillId="0" borderId="17" xfId="0" applyNumberFormat="1" applyFont="1" applyBorder="1"/>
    <xf numFmtId="3" fontId="0" fillId="0" borderId="17" xfId="0" applyNumberFormat="1" applyBorder="1"/>
    <xf numFmtId="164" fontId="17" fillId="0" borderId="17" xfId="0" applyNumberFormat="1" applyFont="1" applyBorder="1"/>
    <xf numFmtId="164" fontId="0" fillId="0" borderId="17" xfId="0" applyNumberFormat="1" applyBorder="1"/>
    <xf numFmtId="165" fontId="0" fillId="0" borderId="17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409"/>
  <sheetViews>
    <sheetView showGridLines="0" workbookViewId="0">
      <pane ySplit="6" topLeftCell="A7" activePane="bottomLeft" state="frozen"/>
      <selection pane="bottomLeft" activeCell="K16" sqref="K16"/>
    </sheetView>
  </sheetViews>
  <sheetFormatPr baseColWidth="10" defaultColWidth="14.42578125" defaultRowHeight="15" customHeight="1"/>
  <cols>
    <col min="1" max="1" width="6.7109375" customWidth="1"/>
    <col min="2" max="2" width="14.7109375" customWidth="1"/>
    <col min="3" max="3" width="17.7109375" customWidth="1"/>
    <col min="4" max="5" width="20.7109375" customWidth="1"/>
    <col min="6" max="6" width="30.7109375" customWidth="1"/>
    <col min="7" max="16" width="14.28515625" customWidth="1"/>
  </cols>
  <sheetData>
    <row r="1" spans="1:16" ht="15" customHeight="1">
      <c r="A1" s="1" t="s">
        <v>0</v>
      </c>
      <c r="B1" s="2"/>
      <c r="C1" s="3"/>
      <c r="D1" s="2"/>
      <c r="E1" s="2"/>
      <c r="F1" s="4"/>
      <c r="G1" s="5"/>
      <c r="H1" s="5"/>
      <c r="I1" s="5"/>
      <c r="J1" s="6"/>
      <c r="K1" s="6"/>
      <c r="L1" s="5"/>
      <c r="M1" s="5"/>
      <c r="N1" s="5"/>
      <c r="O1" s="6"/>
      <c r="P1" s="7"/>
    </row>
    <row r="2" spans="1:16" ht="15" customHeight="1">
      <c r="A2" s="8" t="s">
        <v>1</v>
      </c>
      <c r="B2" s="9"/>
      <c r="D2" s="9"/>
      <c r="E2" s="9"/>
      <c r="F2" s="10"/>
      <c r="G2" s="5"/>
      <c r="H2" s="5"/>
      <c r="I2" s="5"/>
      <c r="J2" s="6"/>
      <c r="K2" s="6"/>
      <c r="L2" s="5"/>
      <c r="M2" s="5"/>
      <c r="N2" s="5"/>
      <c r="O2" s="6"/>
      <c r="P2" s="7"/>
    </row>
    <row r="3" spans="1:16" ht="15" customHeight="1">
      <c r="A3" s="11" t="s">
        <v>2</v>
      </c>
      <c r="B3" s="12"/>
      <c r="D3" s="12"/>
      <c r="E3" s="12"/>
      <c r="G3" s="5"/>
      <c r="H3" s="5"/>
      <c r="I3" s="5"/>
      <c r="J3" s="6"/>
      <c r="K3" s="6"/>
      <c r="L3" s="5"/>
      <c r="M3" s="5"/>
      <c r="N3" s="5"/>
      <c r="O3" s="6"/>
      <c r="P3" s="7"/>
    </row>
    <row r="4" spans="1:16" ht="19.5" customHeight="1">
      <c r="G4" s="110">
        <v>2012</v>
      </c>
      <c r="H4" s="111"/>
      <c r="I4" s="111"/>
      <c r="J4" s="111"/>
      <c r="K4" s="13"/>
      <c r="L4" s="112">
        <v>2024</v>
      </c>
      <c r="M4" s="111"/>
      <c r="N4" s="111"/>
      <c r="O4" s="111"/>
      <c r="P4" s="15"/>
    </row>
    <row r="5" spans="1:16" ht="19.5" customHeight="1">
      <c r="A5" s="16"/>
      <c r="B5" s="16"/>
      <c r="C5" s="16"/>
      <c r="D5" s="16"/>
      <c r="E5" s="16"/>
      <c r="F5" s="16"/>
      <c r="G5" s="110" t="s">
        <v>3</v>
      </c>
      <c r="H5" s="111"/>
      <c r="I5" s="111"/>
      <c r="L5" s="112" t="s">
        <v>3</v>
      </c>
      <c r="M5" s="111"/>
      <c r="N5" s="113"/>
      <c r="O5" s="17"/>
      <c r="P5" s="18"/>
    </row>
    <row r="6" spans="1:16" ht="27.75" customHeight="1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20" t="s">
        <v>10</v>
      </c>
      <c r="H6" s="21" t="s">
        <v>11</v>
      </c>
      <c r="I6" s="22" t="s">
        <v>12</v>
      </c>
      <c r="J6" s="23" t="s">
        <v>13</v>
      </c>
      <c r="K6" s="15" t="s">
        <v>14</v>
      </c>
      <c r="L6" s="24" t="s">
        <v>10</v>
      </c>
      <c r="M6" s="24" t="s">
        <v>11</v>
      </c>
      <c r="N6" s="22" t="s">
        <v>12</v>
      </c>
      <c r="O6" s="14" t="s">
        <v>15</v>
      </c>
      <c r="P6" s="15" t="s">
        <v>14</v>
      </c>
    </row>
    <row r="7" spans="1:16" ht="15" hidden="1" customHeight="1">
      <c r="A7" s="25">
        <v>1</v>
      </c>
      <c r="B7" s="26" t="s">
        <v>16</v>
      </c>
      <c r="C7" s="26"/>
      <c r="D7" s="26"/>
      <c r="E7" s="26"/>
      <c r="F7" s="26" t="s">
        <v>17</v>
      </c>
      <c r="G7" s="27">
        <v>957169</v>
      </c>
      <c r="H7" s="27">
        <v>117894</v>
      </c>
      <c r="I7" s="27">
        <v>14885</v>
      </c>
      <c r="J7" s="28">
        <v>89.033758951801005</v>
      </c>
      <c r="K7" s="28">
        <f>G7+H7+I7</f>
        <v>1089948</v>
      </c>
      <c r="L7" s="29">
        <v>815104</v>
      </c>
      <c r="M7" s="29">
        <v>30812</v>
      </c>
      <c r="N7" s="29">
        <v>6633</v>
      </c>
      <c r="O7" s="28">
        <v>96.357557960837696</v>
      </c>
      <c r="P7" s="30">
        <f>L7+M7+N7</f>
        <v>852549</v>
      </c>
    </row>
    <row r="8" spans="1:16" ht="15" hidden="1" customHeight="1">
      <c r="A8" s="31">
        <v>2</v>
      </c>
      <c r="B8" s="32" t="s">
        <v>16</v>
      </c>
      <c r="C8" s="32"/>
      <c r="D8" s="32"/>
      <c r="E8" s="32"/>
      <c r="F8" s="32" t="s">
        <v>18</v>
      </c>
      <c r="G8" s="33">
        <v>642102</v>
      </c>
      <c r="H8" s="33">
        <v>69266</v>
      </c>
      <c r="I8" s="33">
        <v>8388</v>
      </c>
      <c r="J8" s="34">
        <v>90.262986246218603</v>
      </c>
      <c r="K8" s="34"/>
      <c r="L8" s="35">
        <v>544957</v>
      </c>
      <c r="M8" s="35">
        <v>15488</v>
      </c>
      <c r="N8" s="35">
        <v>3221</v>
      </c>
      <c r="O8" s="34">
        <v>97.236481724344003</v>
      </c>
      <c r="P8" s="36"/>
    </row>
    <row r="9" spans="1:16" ht="15" hidden="1" customHeight="1">
      <c r="A9" s="31">
        <v>3</v>
      </c>
      <c r="B9" s="32" t="s">
        <v>16</v>
      </c>
      <c r="C9" s="32"/>
      <c r="D9" s="32"/>
      <c r="E9" s="32"/>
      <c r="F9" s="32" t="s">
        <v>19</v>
      </c>
      <c r="G9" s="33">
        <v>315067</v>
      </c>
      <c r="H9" s="33">
        <v>48628</v>
      </c>
      <c r="I9" s="33">
        <v>6497</v>
      </c>
      <c r="J9" s="34">
        <v>86.629456000220003</v>
      </c>
      <c r="K9" s="34"/>
      <c r="L9" s="35">
        <v>270147</v>
      </c>
      <c r="M9" s="35">
        <v>15324</v>
      </c>
      <c r="N9" s="35">
        <v>3412</v>
      </c>
      <c r="O9" s="34">
        <v>94.632029172840703</v>
      </c>
      <c r="P9" s="36"/>
    </row>
    <row r="10" spans="1:16" ht="15" hidden="1" customHeight="1">
      <c r="A10" s="25">
        <v>4</v>
      </c>
      <c r="B10" s="26" t="s">
        <v>20</v>
      </c>
      <c r="C10" s="26" t="s">
        <v>21</v>
      </c>
      <c r="D10" s="26"/>
      <c r="E10" s="26"/>
      <c r="F10" s="26" t="s">
        <v>21</v>
      </c>
      <c r="G10" s="27">
        <v>57918</v>
      </c>
      <c r="H10" s="27">
        <v>5339</v>
      </c>
      <c r="I10" s="27">
        <v>993</v>
      </c>
      <c r="J10" s="28">
        <v>91.559827370883895</v>
      </c>
      <c r="K10" s="28">
        <f>G10+H10+I10</f>
        <v>64250</v>
      </c>
      <c r="L10" s="29">
        <v>41815</v>
      </c>
      <c r="M10" s="29">
        <v>996</v>
      </c>
      <c r="N10" s="29">
        <v>248</v>
      </c>
      <c r="O10" s="28">
        <v>97.673495129756404</v>
      </c>
      <c r="P10" s="30">
        <f>L10+M10+N10</f>
        <v>43059</v>
      </c>
    </row>
    <row r="11" spans="1:16" ht="15" hidden="1" customHeight="1">
      <c r="A11" s="31">
        <v>5</v>
      </c>
      <c r="B11" s="32" t="s">
        <v>20</v>
      </c>
      <c r="C11" s="32" t="s">
        <v>21</v>
      </c>
      <c r="D11" s="32"/>
      <c r="E11" s="32"/>
      <c r="F11" s="32" t="s">
        <v>18</v>
      </c>
      <c r="G11" s="33">
        <v>27680</v>
      </c>
      <c r="H11" s="33">
        <v>1468</v>
      </c>
      <c r="I11" s="33">
        <v>403</v>
      </c>
      <c r="J11" s="34">
        <v>94.963633868532995</v>
      </c>
      <c r="K11" s="34"/>
      <c r="L11" s="35">
        <v>22198</v>
      </c>
      <c r="M11" s="35">
        <v>320</v>
      </c>
      <c r="N11" s="35">
        <v>90</v>
      </c>
      <c r="O11" s="34">
        <v>98.578914646060895</v>
      </c>
      <c r="P11" s="36"/>
    </row>
    <row r="12" spans="1:16" ht="15" hidden="1" customHeight="1">
      <c r="A12" s="31">
        <v>6</v>
      </c>
      <c r="B12" s="32" t="s">
        <v>20</v>
      </c>
      <c r="C12" s="32" t="s">
        <v>21</v>
      </c>
      <c r="D12" s="32"/>
      <c r="E12" s="32"/>
      <c r="F12" s="32" t="s">
        <v>19</v>
      </c>
      <c r="G12" s="33">
        <v>30238</v>
      </c>
      <c r="H12" s="33">
        <v>3871</v>
      </c>
      <c r="I12" s="33">
        <v>590</v>
      </c>
      <c r="J12" s="34">
        <v>88.651089155354896</v>
      </c>
      <c r="K12" s="34"/>
      <c r="L12" s="35">
        <v>19617</v>
      </c>
      <c r="M12" s="35">
        <v>676</v>
      </c>
      <c r="N12" s="35">
        <v>158</v>
      </c>
      <c r="O12" s="34">
        <v>96.668802049967994</v>
      </c>
      <c r="P12" s="36"/>
    </row>
    <row r="13" spans="1:16" ht="15" hidden="1" customHeight="1">
      <c r="A13" s="37">
        <v>7</v>
      </c>
      <c r="B13" s="38" t="s">
        <v>22</v>
      </c>
      <c r="C13" s="38" t="s">
        <v>21</v>
      </c>
      <c r="D13" s="38" t="s">
        <v>23</v>
      </c>
      <c r="E13" s="38"/>
      <c r="F13" s="38" t="s">
        <v>23</v>
      </c>
      <c r="G13" s="39">
        <v>28257</v>
      </c>
      <c r="H13" s="39">
        <v>1648</v>
      </c>
      <c r="I13" s="39">
        <v>469</v>
      </c>
      <c r="J13" s="40">
        <v>94.489215850192295</v>
      </c>
      <c r="K13" s="40"/>
      <c r="L13" s="41">
        <v>21008</v>
      </c>
      <c r="M13" s="41">
        <v>260</v>
      </c>
      <c r="N13" s="41">
        <v>93</v>
      </c>
      <c r="O13" s="40">
        <v>98.777506112469396</v>
      </c>
      <c r="P13" s="42"/>
    </row>
    <row r="14" spans="1:16" ht="15" hidden="1" customHeight="1">
      <c r="A14" s="43">
        <v>8</v>
      </c>
      <c r="B14" s="44" t="s">
        <v>22</v>
      </c>
      <c r="C14" s="44" t="s">
        <v>21</v>
      </c>
      <c r="D14" s="44" t="s">
        <v>23</v>
      </c>
      <c r="E14" s="44"/>
      <c r="F14" s="45" t="s">
        <v>18</v>
      </c>
      <c r="G14" s="46">
        <v>23287</v>
      </c>
      <c r="H14" s="46">
        <v>1120</v>
      </c>
      <c r="I14" s="46">
        <v>363</v>
      </c>
      <c r="J14" s="47">
        <v>95.411152538206295</v>
      </c>
      <c r="K14" s="47"/>
      <c r="L14" s="48">
        <v>17907</v>
      </c>
      <c r="M14" s="48">
        <v>222</v>
      </c>
      <c r="N14" s="48">
        <v>70</v>
      </c>
      <c r="O14" s="47">
        <v>98.775442660929997</v>
      </c>
      <c r="P14" s="49"/>
    </row>
    <row r="15" spans="1:16" ht="15" hidden="1" customHeight="1">
      <c r="A15" s="43">
        <v>9</v>
      </c>
      <c r="B15" s="44" t="s">
        <v>22</v>
      </c>
      <c r="C15" s="44" t="s">
        <v>21</v>
      </c>
      <c r="D15" s="44" t="s">
        <v>23</v>
      </c>
      <c r="E15" s="44"/>
      <c r="F15" s="45" t="s">
        <v>19</v>
      </c>
      <c r="G15" s="46">
        <v>4970</v>
      </c>
      <c r="H15" s="46">
        <v>528</v>
      </c>
      <c r="I15" s="46">
        <v>106</v>
      </c>
      <c r="J15" s="47">
        <v>90.396507821025807</v>
      </c>
      <c r="K15" s="47"/>
      <c r="L15" s="48">
        <v>3101</v>
      </c>
      <c r="M15" s="48">
        <v>38</v>
      </c>
      <c r="N15" s="48">
        <v>23</v>
      </c>
      <c r="O15" s="47">
        <v>98.789423383243104</v>
      </c>
      <c r="P15" s="49"/>
    </row>
    <row r="16" spans="1:16" ht="15" customHeight="1">
      <c r="A16" s="50">
        <v>10</v>
      </c>
      <c r="B16" s="51" t="s">
        <v>24</v>
      </c>
      <c r="C16" s="51" t="s">
        <v>21</v>
      </c>
      <c r="D16" s="51" t="s">
        <v>23</v>
      </c>
      <c r="E16" s="51" t="s">
        <v>25</v>
      </c>
      <c r="F16" s="51" t="s">
        <v>25</v>
      </c>
      <c r="G16" s="52">
        <v>25527</v>
      </c>
      <c r="H16" s="52">
        <v>1307</v>
      </c>
      <c r="I16" s="52">
        <v>414</v>
      </c>
      <c r="J16" s="53">
        <v>95.129313557427096</v>
      </c>
      <c r="K16" s="53">
        <f>G16+H16+I16</f>
        <v>27248</v>
      </c>
      <c r="L16" s="54">
        <v>19284</v>
      </c>
      <c r="M16" s="54">
        <v>234</v>
      </c>
      <c r="N16" s="54">
        <v>80</v>
      </c>
      <c r="O16" s="53">
        <v>98.801106670765407</v>
      </c>
      <c r="P16" s="55">
        <f>L16+M16+N16</f>
        <v>19598</v>
      </c>
    </row>
    <row r="17" spans="1:16" ht="15" hidden="1" customHeight="1">
      <c r="A17" s="43">
        <v>11</v>
      </c>
      <c r="B17" s="44" t="s">
        <v>24</v>
      </c>
      <c r="C17" s="44" t="s">
        <v>21</v>
      </c>
      <c r="D17" s="44" t="s">
        <v>23</v>
      </c>
      <c r="E17" s="44" t="s">
        <v>25</v>
      </c>
      <c r="F17" s="45" t="s">
        <v>18</v>
      </c>
      <c r="G17" s="46">
        <v>23287</v>
      </c>
      <c r="H17" s="46">
        <v>1120</v>
      </c>
      <c r="I17" s="46">
        <v>363</v>
      </c>
      <c r="J17" s="47">
        <v>95.411152538206295</v>
      </c>
      <c r="K17" s="47"/>
      <c r="L17" s="48">
        <v>17907</v>
      </c>
      <c r="M17" s="48">
        <v>222</v>
      </c>
      <c r="N17" s="48">
        <v>70</v>
      </c>
      <c r="O17" s="47">
        <v>98.775442660929997</v>
      </c>
      <c r="P17" s="49"/>
    </row>
    <row r="18" spans="1:16" ht="15" hidden="1" customHeight="1">
      <c r="A18" s="43">
        <v>12</v>
      </c>
      <c r="B18" s="44" t="s">
        <v>24</v>
      </c>
      <c r="C18" s="44" t="s">
        <v>21</v>
      </c>
      <c r="D18" s="44" t="s">
        <v>23</v>
      </c>
      <c r="E18" s="44" t="s">
        <v>25</v>
      </c>
      <c r="F18" s="45" t="s">
        <v>19</v>
      </c>
      <c r="G18" s="46">
        <v>2240</v>
      </c>
      <c r="H18" s="46">
        <v>187</v>
      </c>
      <c r="I18" s="46">
        <v>51</v>
      </c>
      <c r="J18" s="47">
        <v>92.295014421095999</v>
      </c>
      <c r="K18" s="47"/>
      <c r="L18" s="48">
        <v>1377</v>
      </c>
      <c r="M18" s="48">
        <v>12</v>
      </c>
      <c r="N18" s="48">
        <v>10</v>
      </c>
      <c r="O18" s="47">
        <v>99.1360691144708</v>
      </c>
      <c r="P18" s="49"/>
    </row>
    <row r="19" spans="1:16" ht="15" customHeight="1">
      <c r="A19" s="50">
        <v>13</v>
      </c>
      <c r="B19" s="51" t="s">
        <v>24</v>
      </c>
      <c r="C19" s="51" t="s">
        <v>21</v>
      </c>
      <c r="D19" s="51" t="s">
        <v>23</v>
      </c>
      <c r="E19" s="51" t="s">
        <v>26</v>
      </c>
      <c r="F19" s="51" t="s">
        <v>26</v>
      </c>
      <c r="G19" s="52">
        <v>885</v>
      </c>
      <c r="H19" s="52">
        <v>34</v>
      </c>
      <c r="I19" s="52">
        <v>9</v>
      </c>
      <c r="J19" s="53">
        <v>96.300326441784506</v>
      </c>
      <c r="K19" s="53">
        <f>G19+H19+I19</f>
        <v>928</v>
      </c>
      <c r="L19" s="54">
        <v>618</v>
      </c>
      <c r="M19" s="54">
        <v>9</v>
      </c>
      <c r="N19" s="54">
        <v>1</v>
      </c>
      <c r="O19" s="53">
        <v>98.564593301435394</v>
      </c>
      <c r="P19" s="55">
        <f>L19+M19+N19</f>
        <v>628</v>
      </c>
    </row>
    <row r="20" spans="1:16" ht="15" hidden="1" customHeight="1">
      <c r="A20" s="43">
        <v>14</v>
      </c>
      <c r="B20" s="44" t="s">
        <v>24</v>
      </c>
      <c r="C20" s="44" t="s">
        <v>21</v>
      </c>
      <c r="D20" s="44" t="s">
        <v>23</v>
      </c>
      <c r="E20" s="44" t="s">
        <v>26</v>
      </c>
      <c r="F20" s="45" t="s">
        <v>18</v>
      </c>
      <c r="G20" s="46"/>
      <c r="H20" s="46"/>
      <c r="I20" s="46"/>
      <c r="J20" s="47"/>
      <c r="K20" s="47"/>
      <c r="L20" s="48"/>
      <c r="M20" s="48"/>
      <c r="N20" s="48"/>
      <c r="O20" s="47"/>
      <c r="P20" s="49"/>
    </row>
    <row r="21" spans="1:16" ht="15" hidden="1" customHeight="1">
      <c r="A21" s="43">
        <v>15</v>
      </c>
      <c r="B21" s="44" t="s">
        <v>24</v>
      </c>
      <c r="C21" s="44" t="s">
        <v>21</v>
      </c>
      <c r="D21" s="44" t="s">
        <v>23</v>
      </c>
      <c r="E21" s="44" t="s">
        <v>26</v>
      </c>
      <c r="F21" s="45" t="s">
        <v>19</v>
      </c>
      <c r="G21" s="46">
        <v>885</v>
      </c>
      <c r="H21" s="46">
        <v>34</v>
      </c>
      <c r="I21" s="46">
        <v>9</v>
      </c>
      <c r="J21" s="47">
        <v>96.300326441784506</v>
      </c>
      <c r="K21" s="47"/>
      <c r="L21" s="48">
        <v>618</v>
      </c>
      <c r="M21" s="48">
        <v>9</v>
      </c>
      <c r="N21" s="48">
        <v>1</v>
      </c>
      <c r="O21" s="47">
        <v>98.564593301435394</v>
      </c>
      <c r="P21" s="49"/>
    </row>
    <row r="22" spans="1:16" ht="15" customHeight="1">
      <c r="A22" s="50">
        <v>16</v>
      </c>
      <c r="B22" s="51" t="s">
        <v>24</v>
      </c>
      <c r="C22" s="51" t="s">
        <v>21</v>
      </c>
      <c r="D22" s="51" t="s">
        <v>23</v>
      </c>
      <c r="E22" s="51" t="s">
        <v>27</v>
      </c>
      <c r="F22" s="51" t="s">
        <v>27</v>
      </c>
      <c r="G22" s="52">
        <v>1845</v>
      </c>
      <c r="H22" s="52">
        <v>307</v>
      </c>
      <c r="I22" s="52">
        <v>46</v>
      </c>
      <c r="J22" s="53">
        <v>85.734200743494398</v>
      </c>
      <c r="K22" s="53">
        <f>G22+H22+I22</f>
        <v>2198</v>
      </c>
      <c r="L22" s="54">
        <v>1106</v>
      </c>
      <c r="M22" s="54">
        <v>17</v>
      </c>
      <c r="N22" s="54">
        <v>12</v>
      </c>
      <c r="O22" s="53">
        <v>98.486197684772904</v>
      </c>
      <c r="P22" s="55">
        <f>L22+M22+N22</f>
        <v>1135</v>
      </c>
    </row>
    <row r="23" spans="1:16" ht="15" hidden="1" customHeight="1">
      <c r="A23" s="43">
        <v>17</v>
      </c>
      <c r="B23" s="44" t="s">
        <v>24</v>
      </c>
      <c r="C23" s="44" t="s">
        <v>21</v>
      </c>
      <c r="D23" s="44" t="s">
        <v>23</v>
      </c>
      <c r="E23" s="44" t="s">
        <v>27</v>
      </c>
      <c r="F23" s="45" t="s">
        <v>18</v>
      </c>
      <c r="G23" s="46"/>
      <c r="H23" s="46"/>
      <c r="I23" s="46"/>
      <c r="J23" s="47"/>
      <c r="K23" s="47"/>
      <c r="L23" s="48"/>
      <c r="M23" s="48"/>
      <c r="N23" s="48"/>
      <c r="O23" s="47"/>
      <c r="P23" s="49"/>
    </row>
    <row r="24" spans="1:16" ht="15" hidden="1" customHeight="1">
      <c r="A24" s="43">
        <v>18</v>
      </c>
      <c r="B24" s="44" t="s">
        <v>24</v>
      </c>
      <c r="C24" s="44" t="s">
        <v>21</v>
      </c>
      <c r="D24" s="44" t="s">
        <v>23</v>
      </c>
      <c r="E24" s="44" t="s">
        <v>27</v>
      </c>
      <c r="F24" s="45" t="s">
        <v>19</v>
      </c>
      <c r="G24" s="46">
        <v>1845</v>
      </c>
      <c r="H24" s="46">
        <v>307</v>
      </c>
      <c r="I24" s="46">
        <v>46</v>
      </c>
      <c r="J24" s="47">
        <v>85.734200743494398</v>
      </c>
      <c r="K24" s="47"/>
      <c r="L24" s="48">
        <v>1106</v>
      </c>
      <c r="M24" s="48">
        <v>17</v>
      </c>
      <c r="N24" s="48">
        <v>12</v>
      </c>
      <c r="O24" s="47">
        <v>98.486197684772904</v>
      </c>
      <c r="P24" s="49"/>
    </row>
    <row r="25" spans="1:16" ht="15" hidden="1" customHeight="1">
      <c r="A25" s="37">
        <v>19</v>
      </c>
      <c r="B25" s="38" t="s">
        <v>22</v>
      </c>
      <c r="C25" s="38" t="s">
        <v>21</v>
      </c>
      <c r="D25" s="38" t="s">
        <v>28</v>
      </c>
      <c r="E25" s="38"/>
      <c r="F25" s="38" t="s">
        <v>28</v>
      </c>
      <c r="G25" s="39">
        <v>2563</v>
      </c>
      <c r="H25" s="39">
        <v>350</v>
      </c>
      <c r="I25" s="39">
        <v>64</v>
      </c>
      <c r="J25" s="40">
        <v>87.9848952969447</v>
      </c>
      <c r="K25" s="40"/>
      <c r="L25" s="41">
        <v>2095</v>
      </c>
      <c r="M25" s="41">
        <v>63</v>
      </c>
      <c r="N25" s="41">
        <v>22</v>
      </c>
      <c r="O25" s="40">
        <v>97.080630213160305</v>
      </c>
      <c r="P25" s="42"/>
    </row>
    <row r="26" spans="1:16" ht="15" hidden="1" customHeight="1">
      <c r="A26" s="43">
        <v>20</v>
      </c>
      <c r="B26" s="44" t="s">
        <v>22</v>
      </c>
      <c r="C26" s="44" t="s">
        <v>21</v>
      </c>
      <c r="D26" s="44" t="s">
        <v>28</v>
      </c>
      <c r="E26" s="44"/>
      <c r="F26" s="45" t="s">
        <v>18</v>
      </c>
      <c r="G26" s="46"/>
      <c r="H26" s="46"/>
      <c r="I26" s="46"/>
      <c r="J26" s="47"/>
      <c r="K26" s="47"/>
      <c r="L26" s="48"/>
      <c r="M26" s="48"/>
      <c r="N26" s="48"/>
      <c r="O26" s="47"/>
      <c r="P26" s="49"/>
    </row>
    <row r="27" spans="1:16" ht="15" hidden="1" customHeight="1">
      <c r="A27" s="43">
        <v>21</v>
      </c>
      <c r="B27" s="44" t="s">
        <v>22</v>
      </c>
      <c r="C27" s="44" t="s">
        <v>21</v>
      </c>
      <c r="D27" s="44" t="s">
        <v>28</v>
      </c>
      <c r="E27" s="44"/>
      <c r="F27" s="45" t="s">
        <v>19</v>
      </c>
      <c r="G27" s="46">
        <v>2563</v>
      </c>
      <c r="H27" s="46">
        <v>350</v>
      </c>
      <c r="I27" s="46">
        <v>64</v>
      </c>
      <c r="J27" s="47">
        <v>87.9848952969447</v>
      </c>
      <c r="K27" s="47"/>
      <c r="L27" s="48">
        <v>2095</v>
      </c>
      <c r="M27" s="48">
        <v>63</v>
      </c>
      <c r="N27" s="48">
        <v>22</v>
      </c>
      <c r="O27" s="47">
        <v>97.080630213160305</v>
      </c>
      <c r="P27" s="49"/>
    </row>
    <row r="28" spans="1:16" ht="15" customHeight="1">
      <c r="A28" s="50">
        <v>22</v>
      </c>
      <c r="B28" s="51" t="s">
        <v>24</v>
      </c>
      <c r="C28" s="51" t="s">
        <v>21</v>
      </c>
      <c r="D28" s="51" t="s">
        <v>28</v>
      </c>
      <c r="E28" s="51" t="s">
        <v>28</v>
      </c>
      <c r="F28" s="51" t="s">
        <v>28</v>
      </c>
      <c r="G28" s="52">
        <v>1175</v>
      </c>
      <c r="H28" s="52">
        <v>146</v>
      </c>
      <c r="I28" s="52">
        <v>33</v>
      </c>
      <c r="J28" s="53">
        <v>88.947766843300499</v>
      </c>
      <c r="K28" s="53">
        <f>G28+H28+I28</f>
        <v>1354</v>
      </c>
      <c r="L28" s="54">
        <v>696</v>
      </c>
      <c r="M28" s="54">
        <v>16</v>
      </c>
      <c r="N28" s="54">
        <v>13</v>
      </c>
      <c r="O28" s="53">
        <v>97.752808988764002</v>
      </c>
      <c r="P28" s="55">
        <f>L28+M28+N28</f>
        <v>725</v>
      </c>
    </row>
    <row r="29" spans="1:16" ht="15" hidden="1" customHeight="1">
      <c r="A29" s="43">
        <v>23</v>
      </c>
      <c r="B29" s="44" t="s">
        <v>24</v>
      </c>
      <c r="C29" s="44" t="s">
        <v>21</v>
      </c>
      <c r="D29" s="44" t="s">
        <v>28</v>
      </c>
      <c r="E29" s="44" t="s">
        <v>28</v>
      </c>
      <c r="F29" s="45" t="s">
        <v>18</v>
      </c>
      <c r="G29" s="46"/>
      <c r="H29" s="46"/>
      <c r="I29" s="46"/>
      <c r="J29" s="47"/>
      <c r="K29" s="47"/>
      <c r="L29" s="48"/>
      <c r="M29" s="48"/>
      <c r="N29" s="48"/>
      <c r="O29" s="47"/>
      <c r="P29" s="49"/>
    </row>
    <row r="30" spans="1:16" ht="15" hidden="1" customHeight="1">
      <c r="A30" s="43">
        <v>24</v>
      </c>
      <c r="B30" s="44" t="s">
        <v>24</v>
      </c>
      <c r="C30" s="44" t="s">
        <v>21</v>
      </c>
      <c r="D30" s="44" t="s">
        <v>28</v>
      </c>
      <c r="E30" s="44" t="s">
        <v>28</v>
      </c>
      <c r="F30" s="45" t="s">
        <v>19</v>
      </c>
      <c r="G30" s="46">
        <v>1175</v>
      </c>
      <c r="H30" s="46">
        <v>146</v>
      </c>
      <c r="I30" s="46">
        <v>33</v>
      </c>
      <c r="J30" s="47">
        <v>88.947766843300499</v>
      </c>
      <c r="K30" s="47"/>
      <c r="L30" s="48">
        <v>696</v>
      </c>
      <c r="M30" s="48">
        <v>16</v>
      </c>
      <c r="N30" s="48">
        <v>13</v>
      </c>
      <c r="O30" s="47">
        <v>97.752808988764002</v>
      </c>
      <c r="P30" s="49"/>
    </row>
    <row r="31" spans="1:16" ht="15" customHeight="1">
      <c r="A31" s="50">
        <v>25</v>
      </c>
      <c r="B31" s="51" t="s">
        <v>24</v>
      </c>
      <c r="C31" s="51" t="s">
        <v>21</v>
      </c>
      <c r="D31" s="51" t="s">
        <v>28</v>
      </c>
      <c r="E31" s="51" t="s">
        <v>29</v>
      </c>
      <c r="F31" s="51" t="s">
        <v>29</v>
      </c>
      <c r="G31" s="52">
        <v>1388</v>
      </c>
      <c r="H31" s="52">
        <v>204</v>
      </c>
      <c r="I31" s="52">
        <v>31</v>
      </c>
      <c r="J31" s="53">
        <v>87.185929648241199</v>
      </c>
      <c r="K31" s="53">
        <f>G31+H31+I31</f>
        <v>1623</v>
      </c>
      <c r="L31" s="54">
        <v>1399</v>
      </c>
      <c r="M31" s="54">
        <v>47</v>
      </c>
      <c r="N31" s="54">
        <v>9</v>
      </c>
      <c r="O31" s="53">
        <v>96.749654218533905</v>
      </c>
      <c r="P31" s="55">
        <f>L31+M31+N31</f>
        <v>1455</v>
      </c>
    </row>
    <row r="32" spans="1:16" ht="15" hidden="1" customHeight="1">
      <c r="A32" s="43">
        <v>26</v>
      </c>
      <c r="B32" s="44" t="s">
        <v>24</v>
      </c>
      <c r="C32" s="44" t="s">
        <v>21</v>
      </c>
      <c r="D32" s="44" t="s">
        <v>28</v>
      </c>
      <c r="E32" s="44" t="s">
        <v>29</v>
      </c>
      <c r="F32" s="45" t="s">
        <v>18</v>
      </c>
      <c r="G32" s="46"/>
      <c r="H32" s="46"/>
      <c r="I32" s="46"/>
      <c r="J32" s="47"/>
      <c r="K32" s="47"/>
      <c r="L32" s="48"/>
      <c r="M32" s="48"/>
      <c r="N32" s="48"/>
      <c r="O32" s="47"/>
      <c r="P32" s="49"/>
    </row>
    <row r="33" spans="1:16" ht="15" hidden="1" customHeight="1">
      <c r="A33" s="43">
        <v>27</v>
      </c>
      <c r="B33" s="44" t="s">
        <v>24</v>
      </c>
      <c r="C33" s="44" t="s">
        <v>21</v>
      </c>
      <c r="D33" s="44" t="s">
        <v>28</v>
      </c>
      <c r="E33" s="44" t="s">
        <v>29</v>
      </c>
      <c r="F33" s="45" t="s">
        <v>19</v>
      </c>
      <c r="G33" s="46">
        <v>1388</v>
      </c>
      <c r="H33" s="46">
        <v>204</v>
      </c>
      <c r="I33" s="46">
        <v>31</v>
      </c>
      <c r="J33" s="47">
        <v>87.185929648241199</v>
      </c>
      <c r="K33" s="47"/>
      <c r="L33" s="48">
        <v>1399</v>
      </c>
      <c r="M33" s="48">
        <v>47</v>
      </c>
      <c r="N33" s="48">
        <v>9</v>
      </c>
      <c r="O33" s="47">
        <v>96.749654218533905</v>
      </c>
      <c r="P33" s="49"/>
    </row>
    <row r="34" spans="1:16" ht="15" hidden="1" customHeight="1">
      <c r="A34" s="37">
        <v>28</v>
      </c>
      <c r="B34" s="38" t="s">
        <v>22</v>
      </c>
      <c r="C34" s="38" t="s">
        <v>21</v>
      </c>
      <c r="D34" s="38" t="s">
        <v>30</v>
      </c>
      <c r="E34" s="38"/>
      <c r="F34" s="38" t="s">
        <v>30</v>
      </c>
      <c r="G34" s="39">
        <v>3866</v>
      </c>
      <c r="H34" s="39">
        <v>498</v>
      </c>
      <c r="I34" s="39">
        <v>79</v>
      </c>
      <c r="J34" s="40">
        <v>88.588450962419799</v>
      </c>
      <c r="K34" s="40"/>
      <c r="L34" s="41">
        <v>3177</v>
      </c>
      <c r="M34" s="41">
        <v>94</v>
      </c>
      <c r="N34" s="41">
        <v>26</v>
      </c>
      <c r="O34" s="40">
        <v>97.126261082237804</v>
      </c>
      <c r="P34" s="42"/>
    </row>
    <row r="35" spans="1:16" ht="15" hidden="1" customHeight="1">
      <c r="A35" s="43">
        <v>29</v>
      </c>
      <c r="B35" s="44" t="s">
        <v>22</v>
      </c>
      <c r="C35" s="44" t="s">
        <v>21</v>
      </c>
      <c r="D35" s="44" t="s">
        <v>30</v>
      </c>
      <c r="E35" s="44"/>
      <c r="F35" s="45" t="s">
        <v>18</v>
      </c>
      <c r="G35" s="46">
        <v>658</v>
      </c>
      <c r="H35" s="46">
        <v>57</v>
      </c>
      <c r="I35" s="46">
        <v>6</v>
      </c>
      <c r="J35" s="47">
        <v>92.027972027971998</v>
      </c>
      <c r="K35" s="47"/>
      <c r="L35" s="48">
        <v>788</v>
      </c>
      <c r="M35" s="48">
        <v>21</v>
      </c>
      <c r="N35" s="48">
        <v>5</v>
      </c>
      <c r="O35" s="47">
        <v>97.404202719406697</v>
      </c>
      <c r="P35" s="49"/>
    </row>
    <row r="36" spans="1:16" ht="15" hidden="1" customHeight="1">
      <c r="A36" s="43">
        <v>30</v>
      </c>
      <c r="B36" s="44" t="s">
        <v>22</v>
      </c>
      <c r="C36" s="44" t="s">
        <v>21</v>
      </c>
      <c r="D36" s="44" t="s">
        <v>30</v>
      </c>
      <c r="E36" s="44"/>
      <c r="F36" s="45" t="s">
        <v>19</v>
      </c>
      <c r="G36" s="46">
        <v>3208</v>
      </c>
      <c r="H36" s="46">
        <v>441</v>
      </c>
      <c r="I36" s="46">
        <v>73</v>
      </c>
      <c r="J36" s="47">
        <v>87.914497122499299</v>
      </c>
      <c r="K36" s="47"/>
      <c r="L36" s="48">
        <v>2389</v>
      </c>
      <c r="M36" s="48">
        <v>73</v>
      </c>
      <c r="N36" s="48">
        <v>21</v>
      </c>
      <c r="O36" s="47">
        <v>97.034930950446807</v>
      </c>
      <c r="P36" s="49"/>
    </row>
    <row r="37" spans="1:16" ht="15" customHeight="1">
      <c r="A37" s="50">
        <v>31</v>
      </c>
      <c r="B37" s="51" t="s">
        <v>24</v>
      </c>
      <c r="C37" s="51" t="s">
        <v>21</v>
      </c>
      <c r="D37" s="51" t="s">
        <v>30</v>
      </c>
      <c r="E37" s="51" t="s">
        <v>30</v>
      </c>
      <c r="F37" s="51" t="s">
        <v>30</v>
      </c>
      <c r="G37" s="52">
        <v>988</v>
      </c>
      <c r="H37" s="52">
        <v>97</v>
      </c>
      <c r="I37" s="52">
        <v>18</v>
      </c>
      <c r="J37" s="53">
        <v>91.059907834101395</v>
      </c>
      <c r="K37" s="53">
        <f>G37+H37+I37</f>
        <v>1103</v>
      </c>
      <c r="L37" s="54">
        <v>875</v>
      </c>
      <c r="M37" s="54">
        <v>17</v>
      </c>
      <c r="N37" s="54">
        <v>4</v>
      </c>
      <c r="O37" s="53">
        <v>98.094170403587398</v>
      </c>
      <c r="P37" s="55">
        <f>L37+M37+N37</f>
        <v>896</v>
      </c>
    </row>
    <row r="38" spans="1:16" ht="15" hidden="1" customHeight="1">
      <c r="A38" s="43">
        <v>32</v>
      </c>
      <c r="B38" s="44" t="s">
        <v>24</v>
      </c>
      <c r="C38" s="44" t="s">
        <v>21</v>
      </c>
      <c r="D38" s="44" t="s">
        <v>30</v>
      </c>
      <c r="E38" s="44" t="s">
        <v>30</v>
      </c>
      <c r="F38" s="45" t="s">
        <v>18</v>
      </c>
      <c r="G38" s="46">
        <v>330</v>
      </c>
      <c r="H38" s="46">
        <v>14</v>
      </c>
      <c r="I38" s="46">
        <v>4</v>
      </c>
      <c r="J38" s="47">
        <v>95.930232558139494</v>
      </c>
      <c r="K38" s="47"/>
      <c r="L38" s="48">
        <v>361</v>
      </c>
      <c r="M38" s="48">
        <v>11</v>
      </c>
      <c r="N38" s="48">
        <v>1</v>
      </c>
      <c r="O38" s="47">
        <v>97.043010752688204</v>
      </c>
      <c r="P38" s="49"/>
    </row>
    <row r="39" spans="1:16" ht="15" hidden="1" customHeight="1">
      <c r="A39" s="43">
        <v>33</v>
      </c>
      <c r="B39" s="44" t="s">
        <v>24</v>
      </c>
      <c r="C39" s="44" t="s">
        <v>21</v>
      </c>
      <c r="D39" s="44" t="s">
        <v>30</v>
      </c>
      <c r="E39" s="44" t="s">
        <v>30</v>
      </c>
      <c r="F39" s="45" t="s">
        <v>19</v>
      </c>
      <c r="G39" s="46">
        <v>658</v>
      </c>
      <c r="H39" s="46">
        <v>83</v>
      </c>
      <c r="I39" s="46">
        <v>14</v>
      </c>
      <c r="J39" s="47">
        <v>88.798920377867702</v>
      </c>
      <c r="K39" s="47"/>
      <c r="L39" s="48">
        <v>514</v>
      </c>
      <c r="M39" s="48">
        <v>6</v>
      </c>
      <c r="N39" s="48">
        <v>3</v>
      </c>
      <c r="O39" s="47">
        <v>98.846153846153896</v>
      </c>
      <c r="P39" s="49"/>
    </row>
    <row r="40" spans="1:16" ht="15" customHeight="1">
      <c r="A40" s="50">
        <v>34</v>
      </c>
      <c r="B40" s="51" t="s">
        <v>24</v>
      </c>
      <c r="C40" s="51" t="s">
        <v>21</v>
      </c>
      <c r="D40" s="51" t="s">
        <v>30</v>
      </c>
      <c r="E40" s="51" t="s">
        <v>31</v>
      </c>
      <c r="F40" s="51" t="s">
        <v>31</v>
      </c>
      <c r="G40" s="52">
        <v>1288</v>
      </c>
      <c r="H40" s="52">
        <v>227</v>
      </c>
      <c r="I40" s="52">
        <v>37</v>
      </c>
      <c r="J40" s="53">
        <v>85.016501650164997</v>
      </c>
      <c r="K40" s="53">
        <f>G40+H40+I40</f>
        <v>1552</v>
      </c>
      <c r="L40" s="54">
        <v>997</v>
      </c>
      <c r="M40" s="54">
        <v>38</v>
      </c>
      <c r="N40" s="54">
        <v>15</v>
      </c>
      <c r="O40" s="53">
        <v>96.3285024154589</v>
      </c>
      <c r="P40" s="55">
        <f>L40+M40+N40</f>
        <v>1050</v>
      </c>
    </row>
    <row r="41" spans="1:16" ht="15" hidden="1" customHeight="1">
      <c r="A41" s="43">
        <v>35</v>
      </c>
      <c r="B41" s="44" t="s">
        <v>24</v>
      </c>
      <c r="C41" s="44" t="s">
        <v>21</v>
      </c>
      <c r="D41" s="44" t="s">
        <v>30</v>
      </c>
      <c r="E41" s="44" t="s">
        <v>31</v>
      </c>
      <c r="F41" s="45" t="s">
        <v>18</v>
      </c>
      <c r="G41" s="46">
        <v>328</v>
      </c>
      <c r="H41" s="46">
        <v>43</v>
      </c>
      <c r="I41" s="46">
        <v>2</v>
      </c>
      <c r="J41" s="47">
        <v>88.409703504043094</v>
      </c>
      <c r="K41" s="47"/>
      <c r="L41" s="48">
        <v>180</v>
      </c>
      <c r="M41" s="48">
        <v>4</v>
      </c>
      <c r="N41" s="48">
        <v>4</v>
      </c>
      <c r="O41" s="47">
        <v>97.826086956521706</v>
      </c>
      <c r="P41" s="49"/>
    </row>
    <row r="42" spans="1:16" ht="15" hidden="1" customHeight="1">
      <c r="A42" s="43">
        <v>36</v>
      </c>
      <c r="B42" s="44" t="s">
        <v>24</v>
      </c>
      <c r="C42" s="44" t="s">
        <v>21</v>
      </c>
      <c r="D42" s="44" t="s">
        <v>30</v>
      </c>
      <c r="E42" s="44" t="s">
        <v>31</v>
      </c>
      <c r="F42" s="45" t="s">
        <v>19</v>
      </c>
      <c r="G42" s="46">
        <v>960</v>
      </c>
      <c r="H42" s="46">
        <v>184</v>
      </c>
      <c r="I42" s="46">
        <v>35</v>
      </c>
      <c r="J42" s="47">
        <v>83.916083916083906</v>
      </c>
      <c r="K42" s="47"/>
      <c r="L42" s="48">
        <v>817</v>
      </c>
      <c r="M42" s="48">
        <v>34</v>
      </c>
      <c r="N42" s="48">
        <v>11</v>
      </c>
      <c r="O42" s="47">
        <v>96.004700352526399</v>
      </c>
      <c r="P42" s="49"/>
    </row>
    <row r="43" spans="1:16" ht="15" customHeight="1">
      <c r="A43" s="50">
        <v>37</v>
      </c>
      <c r="B43" s="51" t="s">
        <v>24</v>
      </c>
      <c r="C43" s="51" t="s">
        <v>21</v>
      </c>
      <c r="D43" s="51" t="s">
        <v>30</v>
      </c>
      <c r="E43" s="51" t="s">
        <v>32</v>
      </c>
      <c r="F43" s="51" t="s">
        <v>32</v>
      </c>
      <c r="G43" s="52">
        <v>855</v>
      </c>
      <c r="H43" s="52">
        <v>76</v>
      </c>
      <c r="I43" s="52">
        <v>14</v>
      </c>
      <c r="J43" s="53">
        <v>91.836734693877602</v>
      </c>
      <c r="K43" s="53">
        <f>G43+H43+I43</f>
        <v>945</v>
      </c>
      <c r="L43" s="54">
        <v>733</v>
      </c>
      <c r="M43" s="54">
        <v>30</v>
      </c>
      <c r="N43" s="54">
        <v>2</v>
      </c>
      <c r="O43" s="53">
        <v>96.068152031454801</v>
      </c>
      <c r="P43" s="55">
        <f>L43+M43+N43</f>
        <v>765</v>
      </c>
    </row>
    <row r="44" spans="1:16" ht="15" hidden="1" customHeight="1">
      <c r="A44" s="43">
        <v>38</v>
      </c>
      <c r="B44" s="44" t="s">
        <v>24</v>
      </c>
      <c r="C44" s="44" t="s">
        <v>21</v>
      </c>
      <c r="D44" s="44" t="s">
        <v>30</v>
      </c>
      <c r="E44" s="44" t="s">
        <v>32</v>
      </c>
      <c r="F44" s="45" t="s">
        <v>18</v>
      </c>
      <c r="G44" s="46"/>
      <c r="H44" s="46"/>
      <c r="I44" s="46"/>
      <c r="J44" s="47"/>
      <c r="K44" s="47"/>
      <c r="L44" s="48">
        <v>247</v>
      </c>
      <c r="M44" s="48">
        <v>6</v>
      </c>
      <c r="N44" s="48">
        <v>0</v>
      </c>
      <c r="O44" s="47">
        <v>97.628458498023704</v>
      </c>
      <c r="P44" s="49"/>
    </row>
    <row r="45" spans="1:16" ht="15" hidden="1" customHeight="1">
      <c r="A45" s="43">
        <v>39</v>
      </c>
      <c r="B45" s="44" t="s">
        <v>24</v>
      </c>
      <c r="C45" s="44" t="s">
        <v>21</v>
      </c>
      <c r="D45" s="44" t="s">
        <v>30</v>
      </c>
      <c r="E45" s="44" t="s">
        <v>32</v>
      </c>
      <c r="F45" s="45" t="s">
        <v>19</v>
      </c>
      <c r="G45" s="46">
        <v>855</v>
      </c>
      <c r="H45" s="46">
        <v>76</v>
      </c>
      <c r="I45" s="46">
        <v>14</v>
      </c>
      <c r="J45" s="47">
        <v>91.836734693877602</v>
      </c>
      <c r="K45" s="47"/>
      <c r="L45" s="48">
        <v>486</v>
      </c>
      <c r="M45" s="48">
        <v>24</v>
      </c>
      <c r="N45" s="48">
        <v>2</v>
      </c>
      <c r="O45" s="47">
        <v>95.294117647058798</v>
      </c>
      <c r="P45" s="49"/>
    </row>
    <row r="46" spans="1:16" ht="15" customHeight="1">
      <c r="A46" s="50">
        <v>40</v>
      </c>
      <c r="B46" s="51" t="s">
        <v>24</v>
      </c>
      <c r="C46" s="51" t="s">
        <v>21</v>
      </c>
      <c r="D46" s="51" t="s">
        <v>30</v>
      </c>
      <c r="E46" s="51" t="s">
        <v>33</v>
      </c>
      <c r="F46" s="51" t="s">
        <v>33</v>
      </c>
      <c r="G46" s="52">
        <v>735</v>
      </c>
      <c r="H46" s="52">
        <v>98</v>
      </c>
      <c r="I46" s="52">
        <v>10</v>
      </c>
      <c r="J46" s="53">
        <v>88.235294117647101</v>
      </c>
      <c r="K46" s="53">
        <f>G46+H46+I46</f>
        <v>843</v>
      </c>
      <c r="L46" s="54">
        <v>572</v>
      </c>
      <c r="M46" s="54">
        <v>9</v>
      </c>
      <c r="N46" s="54">
        <v>5</v>
      </c>
      <c r="O46" s="53">
        <v>98.4509466437177</v>
      </c>
      <c r="P46" s="55">
        <f>L46+M46+N46</f>
        <v>586</v>
      </c>
    </row>
    <row r="47" spans="1:16" ht="15" hidden="1" customHeight="1">
      <c r="A47" s="43">
        <v>41</v>
      </c>
      <c r="B47" s="44" t="s">
        <v>24</v>
      </c>
      <c r="C47" s="44" t="s">
        <v>21</v>
      </c>
      <c r="D47" s="44" t="s">
        <v>30</v>
      </c>
      <c r="E47" s="44" t="s">
        <v>33</v>
      </c>
      <c r="F47" s="45" t="s">
        <v>18</v>
      </c>
      <c r="G47" s="46"/>
      <c r="H47" s="46"/>
      <c r="I47" s="46"/>
      <c r="J47" s="47"/>
      <c r="K47" s="47"/>
      <c r="L47" s="48"/>
      <c r="M47" s="48"/>
      <c r="N47" s="48"/>
      <c r="O47" s="47"/>
      <c r="P47" s="49"/>
    </row>
    <row r="48" spans="1:16" ht="15" hidden="1" customHeight="1">
      <c r="A48" s="43">
        <v>42</v>
      </c>
      <c r="B48" s="44" t="s">
        <v>24</v>
      </c>
      <c r="C48" s="44" t="s">
        <v>21</v>
      </c>
      <c r="D48" s="44" t="s">
        <v>30</v>
      </c>
      <c r="E48" s="44" t="s">
        <v>33</v>
      </c>
      <c r="F48" s="45" t="s">
        <v>19</v>
      </c>
      <c r="G48" s="46">
        <v>735</v>
      </c>
      <c r="H48" s="46">
        <v>98</v>
      </c>
      <c r="I48" s="46">
        <v>10</v>
      </c>
      <c r="J48" s="47">
        <v>88.235294117647101</v>
      </c>
      <c r="K48" s="47"/>
      <c r="L48" s="48">
        <v>572</v>
      </c>
      <c r="M48" s="48">
        <v>9</v>
      </c>
      <c r="N48" s="48">
        <v>5</v>
      </c>
      <c r="O48" s="47">
        <v>98.4509466437177</v>
      </c>
      <c r="P48" s="49"/>
    </row>
    <row r="49" spans="1:16" ht="15" hidden="1" customHeight="1">
      <c r="A49" s="37">
        <v>43</v>
      </c>
      <c r="B49" s="38" t="s">
        <v>22</v>
      </c>
      <c r="C49" s="38" t="s">
        <v>21</v>
      </c>
      <c r="D49" s="38" t="s">
        <v>34</v>
      </c>
      <c r="E49" s="38"/>
      <c r="F49" s="38" t="s">
        <v>34</v>
      </c>
      <c r="G49" s="39">
        <v>3343</v>
      </c>
      <c r="H49" s="39">
        <v>364</v>
      </c>
      <c r="I49" s="39">
        <v>70</v>
      </c>
      <c r="J49" s="40">
        <v>90.180739142163503</v>
      </c>
      <c r="K49" s="40"/>
      <c r="L49" s="41">
        <v>2448</v>
      </c>
      <c r="M49" s="41">
        <v>63</v>
      </c>
      <c r="N49" s="41">
        <v>13</v>
      </c>
      <c r="O49" s="40">
        <v>97.491039426523301</v>
      </c>
      <c r="P49" s="42"/>
    </row>
    <row r="50" spans="1:16" ht="15" hidden="1" customHeight="1">
      <c r="A50" s="43">
        <v>44</v>
      </c>
      <c r="B50" s="44" t="s">
        <v>22</v>
      </c>
      <c r="C50" s="44" t="s">
        <v>21</v>
      </c>
      <c r="D50" s="44" t="s">
        <v>34</v>
      </c>
      <c r="E50" s="44"/>
      <c r="F50" s="45" t="s">
        <v>18</v>
      </c>
      <c r="G50" s="46">
        <v>545</v>
      </c>
      <c r="H50" s="46">
        <v>37</v>
      </c>
      <c r="I50" s="46">
        <v>6</v>
      </c>
      <c r="J50" s="47">
        <v>93.642611683848799</v>
      </c>
      <c r="K50" s="47"/>
      <c r="L50" s="48">
        <v>472</v>
      </c>
      <c r="M50" s="48">
        <v>4</v>
      </c>
      <c r="N50" s="48">
        <v>3</v>
      </c>
      <c r="O50" s="47">
        <v>99.159663865546193</v>
      </c>
      <c r="P50" s="49"/>
    </row>
    <row r="51" spans="1:16" ht="15" hidden="1" customHeight="1">
      <c r="A51" s="43">
        <v>45</v>
      </c>
      <c r="B51" s="44" t="s">
        <v>22</v>
      </c>
      <c r="C51" s="44" t="s">
        <v>21</v>
      </c>
      <c r="D51" s="44" t="s">
        <v>34</v>
      </c>
      <c r="E51" s="44"/>
      <c r="F51" s="45" t="s">
        <v>19</v>
      </c>
      <c r="G51" s="46">
        <v>2798</v>
      </c>
      <c r="H51" s="46">
        <v>327</v>
      </c>
      <c r="I51" s="46">
        <v>64</v>
      </c>
      <c r="J51" s="47">
        <v>89.536000000000001</v>
      </c>
      <c r="K51" s="47"/>
      <c r="L51" s="48">
        <v>1976</v>
      </c>
      <c r="M51" s="48">
        <v>59</v>
      </c>
      <c r="N51" s="48">
        <v>10</v>
      </c>
      <c r="O51" s="47">
        <v>97.100737100737106</v>
      </c>
      <c r="P51" s="49"/>
    </row>
    <row r="52" spans="1:16" ht="15" customHeight="1">
      <c r="A52" s="50">
        <v>46</v>
      </c>
      <c r="B52" s="51" t="s">
        <v>24</v>
      </c>
      <c r="C52" s="51" t="s">
        <v>21</v>
      </c>
      <c r="D52" s="51" t="s">
        <v>34</v>
      </c>
      <c r="E52" s="51" t="s">
        <v>35</v>
      </c>
      <c r="F52" s="51" t="s">
        <v>35</v>
      </c>
      <c r="G52" s="52">
        <v>892</v>
      </c>
      <c r="H52" s="52">
        <v>105</v>
      </c>
      <c r="I52" s="52">
        <v>36</v>
      </c>
      <c r="J52" s="53">
        <v>89.468405215646897</v>
      </c>
      <c r="K52" s="53">
        <f>G52+H52+I52</f>
        <v>1033</v>
      </c>
      <c r="L52" s="54">
        <v>669</v>
      </c>
      <c r="M52" s="54">
        <v>16</v>
      </c>
      <c r="N52" s="54">
        <v>4</v>
      </c>
      <c r="O52" s="53">
        <v>97.664233576642303</v>
      </c>
      <c r="P52" s="55">
        <f>L52+M52+N52</f>
        <v>689</v>
      </c>
    </row>
    <row r="53" spans="1:16" ht="15" hidden="1" customHeight="1">
      <c r="A53" s="43">
        <v>47</v>
      </c>
      <c r="B53" s="44" t="s">
        <v>24</v>
      </c>
      <c r="C53" s="44" t="s">
        <v>21</v>
      </c>
      <c r="D53" s="44" t="s">
        <v>34</v>
      </c>
      <c r="E53" s="44" t="s">
        <v>35</v>
      </c>
      <c r="F53" s="45" t="s">
        <v>18</v>
      </c>
      <c r="G53" s="46">
        <v>324</v>
      </c>
      <c r="H53" s="46">
        <v>23</v>
      </c>
      <c r="I53" s="46">
        <v>5</v>
      </c>
      <c r="J53" s="47">
        <v>93.371757925072004</v>
      </c>
      <c r="K53" s="47"/>
      <c r="L53" s="48">
        <v>309</v>
      </c>
      <c r="M53" s="48">
        <v>2</v>
      </c>
      <c r="N53" s="48">
        <v>0</v>
      </c>
      <c r="O53" s="47">
        <v>99.356913183279701</v>
      </c>
      <c r="P53" s="49"/>
    </row>
    <row r="54" spans="1:16" ht="15" hidden="1" customHeight="1">
      <c r="A54" s="43">
        <v>48</v>
      </c>
      <c r="B54" s="44" t="s">
        <v>24</v>
      </c>
      <c r="C54" s="44" t="s">
        <v>21</v>
      </c>
      <c r="D54" s="44" t="s">
        <v>34</v>
      </c>
      <c r="E54" s="44" t="s">
        <v>35</v>
      </c>
      <c r="F54" s="45" t="s">
        <v>19</v>
      </c>
      <c r="G54" s="46">
        <v>568</v>
      </c>
      <c r="H54" s="46">
        <v>82</v>
      </c>
      <c r="I54" s="46">
        <v>31</v>
      </c>
      <c r="J54" s="47">
        <v>87.384615384615401</v>
      </c>
      <c r="K54" s="47"/>
      <c r="L54" s="48">
        <v>360</v>
      </c>
      <c r="M54" s="48">
        <v>14</v>
      </c>
      <c r="N54" s="48">
        <v>4</v>
      </c>
      <c r="O54" s="47">
        <v>96.256684491978604</v>
      </c>
      <c r="P54" s="49"/>
    </row>
    <row r="55" spans="1:16" ht="15" customHeight="1">
      <c r="A55" s="50">
        <v>49</v>
      </c>
      <c r="B55" s="51" t="s">
        <v>24</v>
      </c>
      <c r="C55" s="51" t="s">
        <v>21</v>
      </c>
      <c r="D55" s="51" t="s">
        <v>34</v>
      </c>
      <c r="E55" s="51" t="s">
        <v>34</v>
      </c>
      <c r="F55" s="51" t="s">
        <v>34</v>
      </c>
      <c r="G55" s="52">
        <v>849</v>
      </c>
      <c r="H55" s="52">
        <v>90</v>
      </c>
      <c r="I55" s="52">
        <v>15</v>
      </c>
      <c r="J55" s="53">
        <v>90.415335463258799</v>
      </c>
      <c r="K55" s="53">
        <f>G55+H55+I55</f>
        <v>954</v>
      </c>
      <c r="L55" s="54">
        <v>611</v>
      </c>
      <c r="M55" s="54">
        <v>13</v>
      </c>
      <c r="N55" s="54">
        <v>3</v>
      </c>
      <c r="O55" s="53">
        <v>97.9166666666667</v>
      </c>
      <c r="P55" s="55">
        <f>L55+M55+N55</f>
        <v>627</v>
      </c>
    </row>
    <row r="56" spans="1:16" ht="15" hidden="1" customHeight="1">
      <c r="A56" s="43">
        <v>50</v>
      </c>
      <c r="B56" s="44" t="s">
        <v>24</v>
      </c>
      <c r="C56" s="44" t="s">
        <v>21</v>
      </c>
      <c r="D56" s="44" t="s">
        <v>34</v>
      </c>
      <c r="E56" s="44" t="s">
        <v>34</v>
      </c>
      <c r="F56" s="45" t="s">
        <v>18</v>
      </c>
      <c r="G56" s="46"/>
      <c r="H56" s="46"/>
      <c r="I56" s="46"/>
      <c r="J56" s="47"/>
      <c r="K56" s="47"/>
      <c r="L56" s="48">
        <v>163</v>
      </c>
      <c r="M56" s="48">
        <v>2</v>
      </c>
      <c r="N56" s="48">
        <v>3</v>
      </c>
      <c r="O56" s="47">
        <v>98.787878787878796</v>
      </c>
      <c r="P56" s="49"/>
    </row>
    <row r="57" spans="1:16" ht="15" hidden="1" customHeight="1">
      <c r="A57" s="43">
        <v>51</v>
      </c>
      <c r="B57" s="44" t="s">
        <v>24</v>
      </c>
      <c r="C57" s="44" t="s">
        <v>21</v>
      </c>
      <c r="D57" s="44" t="s">
        <v>34</v>
      </c>
      <c r="E57" s="44" t="s">
        <v>34</v>
      </c>
      <c r="F57" s="45" t="s">
        <v>19</v>
      </c>
      <c r="G57" s="46">
        <v>849</v>
      </c>
      <c r="H57" s="46">
        <v>90</v>
      </c>
      <c r="I57" s="46">
        <v>15</v>
      </c>
      <c r="J57" s="47">
        <v>90.415335463258799</v>
      </c>
      <c r="K57" s="47"/>
      <c r="L57" s="48">
        <v>448</v>
      </c>
      <c r="M57" s="48">
        <v>11</v>
      </c>
      <c r="N57" s="48">
        <v>0</v>
      </c>
      <c r="O57" s="47">
        <v>97.603485838780003</v>
      </c>
      <c r="P57" s="49"/>
    </row>
    <row r="58" spans="1:16" ht="15" customHeight="1">
      <c r="A58" s="50">
        <v>52</v>
      </c>
      <c r="B58" s="51" t="s">
        <v>24</v>
      </c>
      <c r="C58" s="51" t="s">
        <v>21</v>
      </c>
      <c r="D58" s="51" t="s">
        <v>34</v>
      </c>
      <c r="E58" s="51" t="s">
        <v>36</v>
      </c>
      <c r="F58" s="51" t="s">
        <v>36</v>
      </c>
      <c r="G58" s="52">
        <v>765</v>
      </c>
      <c r="H58" s="52">
        <v>88</v>
      </c>
      <c r="I58" s="52">
        <v>10</v>
      </c>
      <c r="J58" s="53">
        <v>89.683470105509997</v>
      </c>
      <c r="K58" s="53">
        <f>G58+H58+I58</f>
        <v>863</v>
      </c>
      <c r="L58" s="54">
        <v>528</v>
      </c>
      <c r="M58" s="54">
        <v>15</v>
      </c>
      <c r="N58" s="54">
        <v>2</v>
      </c>
      <c r="O58" s="53">
        <v>97.237569060773495</v>
      </c>
      <c r="P58" s="55">
        <f>L58+M58+N58</f>
        <v>545</v>
      </c>
    </row>
    <row r="59" spans="1:16" ht="15" hidden="1" customHeight="1">
      <c r="A59" s="43">
        <v>53</v>
      </c>
      <c r="B59" s="44" t="s">
        <v>24</v>
      </c>
      <c r="C59" s="44" t="s">
        <v>21</v>
      </c>
      <c r="D59" s="44" t="s">
        <v>34</v>
      </c>
      <c r="E59" s="44" t="s">
        <v>36</v>
      </c>
      <c r="F59" s="45" t="s">
        <v>18</v>
      </c>
      <c r="G59" s="46">
        <v>221</v>
      </c>
      <c r="H59" s="46">
        <v>14</v>
      </c>
      <c r="I59" s="46">
        <v>1</v>
      </c>
      <c r="J59" s="47">
        <v>94.042553191489404</v>
      </c>
      <c r="K59" s="47"/>
      <c r="L59" s="48"/>
      <c r="M59" s="48"/>
      <c r="N59" s="48"/>
      <c r="O59" s="47"/>
      <c r="P59" s="49"/>
    </row>
    <row r="60" spans="1:16" ht="15" hidden="1" customHeight="1">
      <c r="A60" s="43">
        <v>54</v>
      </c>
      <c r="B60" s="44" t="s">
        <v>24</v>
      </c>
      <c r="C60" s="44" t="s">
        <v>21</v>
      </c>
      <c r="D60" s="44" t="s">
        <v>34</v>
      </c>
      <c r="E60" s="44" t="s">
        <v>36</v>
      </c>
      <c r="F60" s="45" t="s">
        <v>19</v>
      </c>
      <c r="G60" s="46">
        <v>544</v>
      </c>
      <c r="H60" s="46">
        <v>74</v>
      </c>
      <c r="I60" s="46">
        <v>9</v>
      </c>
      <c r="J60" s="47">
        <v>88.025889967637497</v>
      </c>
      <c r="K60" s="47"/>
      <c r="L60" s="48">
        <v>528</v>
      </c>
      <c r="M60" s="48">
        <v>15</v>
      </c>
      <c r="N60" s="48">
        <v>2</v>
      </c>
      <c r="O60" s="47">
        <v>97.237569060773495</v>
      </c>
      <c r="P60" s="49"/>
    </row>
    <row r="61" spans="1:16" ht="15" customHeight="1">
      <c r="A61" s="50">
        <v>55</v>
      </c>
      <c r="B61" s="51" t="s">
        <v>24</v>
      </c>
      <c r="C61" s="51" t="s">
        <v>21</v>
      </c>
      <c r="D61" s="51" t="s">
        <v>34</v>
      </c>
      <c r="E61" s="51" t="s">
        <v>37</v>
      </c>
      <c r="F61" s="51" t="s">
        <v>37</v>
      </c>
      <c r="G61" s="52">
        <v>432</v>
      </c>
      <c r="H61" s="52">
        <v>63</v>
      </c>
      <c r="I61" s="52">
        <v>5</v>
      </c>
      <c r="J61" s="53">
        <v>87.272727272727295</v>
      </c>
      <c r="K61" s="53">
        <f>G61+H61+I61</f>
        <v>500</v>
      </c>
      <c r="L61" s="54">
        <v>228</v>
      </c>
      <c r="M61" s="54">
        <v>5</v>
      </c>
      <c r="N61" s="54">
        <v>1</v>
      </c>
      <c r="O61" s="53">
        <v>97.854077253218904</v>
      </c>
      <c r="P61" s="55">
        <f>L61+M61+N61</f>
        <v>234</v>
      </c>
    </row>
    <row r="62" spans="1:16" ht="15" hidden="1" customHeight="1">
      <c r="A62" s="43">
        <v>56</v>
      </c>
      <c r="B62" s="44" t="s">
        <v>24</v>
      </c>
      <c r="C62" s="44" t="s">
        <v>21</v>
      </c>
      <c r="D62" s="44" t="s">
        <v>34</v>
      </c>
      <c r="E62" s="44" t="s">
        <v>37</v>
      </c>
      <c r="F62" s="45" t="s">
        <v>18</v>
      </c>
      <c r="G62" s="46"/>
      <c r="H62" s="46"/>
      <c r="I62" s="46"/>
      <c r="J62" s="47"/>
      <c r="K62" s="47"/>
      <c r="L62" s="48"/>
      <c r="M62" s="48"/>
      <c r="N62" s="48"/>
      <c r="O62" s="47"/>
      <c r="P62" s="49"/>
    </row>
    <row r="63" spans="1:16" ht="15" hidden="1" customHeight="1">
      <c r="A63" s="43">
        <v>57</v>
      </c>
      <c r="B63" s="44" t="s">
        <v>24</v>
      </c>
      <c r="C63" s="44" t="s">
        <v>21</v>
      </c>
      <c r="D63" s="44" t="s">
        <v>34</v>
      </c>
      <c r="E63" s="44" t="s">
        <v>37</v>
      </c>
      <c r="F63" s="45" t="s">
        <v>19</v>
      </c>
      <c r="G63" s="46">
        <v>432</v>
      </c>
      <c r="H63" s="46">
        <v>63</v>
      </c>
      <c r="I63" s="46">
        <v>5</v>
      </c>
      <c r="J63" s="47">
        <v>87.272727272727295</v>
      </c>
      <c r="K63" s="47"/>
      <c r="L63" s="48">
        <v>228</v>
      </c>
      <c r="M63" s="48">
        <v>5</v>
      </c>
      <c r="N63" s="48">
        <v>1</v>
      </c>
      <c r="O63" s="47">
        <v>97.854077253218904</v>
      </c>
      <c r="P63" s="49"/>
    </row>
    <row r="64" spans="1:16" ht="15" customHeight="1">
      <c r="A64" s="50">
        <v>58</v>
      </c>
      <c r="B64" s="51" t="s">
        <v>24</v>
      </c>
      <c r="C64" s="51" t="s">
        <v>21</v>
      </c>
      <c r="D64" s="51" t="s">
        <v>34</v>
      </c>
      <c r="E64" s="51" t="s">
        <v>38</v>
      </c>
      <c r="F64" s="51" t="s">
        <v>38</v>
      </c>
      <c r="G64" s="52">
        <v>405</v>
      </c>
      <c r="H64" s="52">
        <v>18</v>
      </c>
      <c r="I64" s="52">
        <v>4</v>
      </c>
      <c r="J64" s="53">
        <v>95.744680851063805</v>
      </c>
      <c r="K64" s="53">
        <f>G64+H64+I64</f>
        <v>427</v>
      </c>
      <c r="L64" s="54">
        <v>412</v>
      </c>
      <c r="M64" s="54">
        <v>14</v>
      </c>
      <c r="N64" s="54">
        <v>3</v>
      </c>
      <c r="O64" s="53">
        <v>96.713615023474205</v>
      </c>
      <c r="P64" s="55">
        <f>L64+M64+N64</f>
        <v>429</v>
      </c>
    </row>
    <row r="65" spans="1:16" ht="15" hidden="1" customHeight="1">
      <c r="A65" s="43">
        <v>59</v>
      </c>
      <c r="B65" s="44" t="s">
        <v>24</v>
      </c>
      <c r="C65" s="44" t="s">
        <v>21</v>
      </c>
      <c r="D65" s="44" t="s">
        <v>34</v>
      </c>
      <c r="E65" s="44" t="s">
        <v>38</v>
      </c>
      <c r="F65" s="45" t="s">
        <v>18</v>
      </c>
      <c r="G65" s="46"/>
      <c r="H65" s="46"/>
      <c r="I65" s="46"/>
      <c r="J65" s="47"/>
      <c r="K65" s="47"/>
      <c r="L65" s="48"/>
      <c r="M65" s="48"/>
      <c r="N65" s="48"/>
      <c r="O65" s="47"/>
      <c r="P65" s="49"/>
    </row>
    <row r="66" spans="1:16" ht="15" hidden="1" customHeight="1">
      <c r="A66" s="43">
        <v>60</v>
      </c>
      <c r="B66" s="44" t="s">
        <v>24</v>
      </c>
      <c r="C66" s="44" t="s">
        <v>21</v>
      </c>
      <c r="D66" s="44" t="s">
        <v>34</v>
      </c>
      <c r="E66" s="44" t="s">
        <v>38</v>
      </c>
      <c r="F66" s="45" t="s">
        <v>19</v>
      </c>
      <c r="G66" s="46">
        <v>405</v>
      </c>
      <c r="H66" s="46">
        <v>18</v>
      </c>
      <c r="I66" s="46">
        <v>4</v>
      </c>
      <c r="J66" s="47">
        <v>95.744680851063805</v>
      </c>
      <c r="K66" s="47"/>
      <c r="L66" s="48">
        <v>412</v>
      </c>
      <c r="M66" s="48">
        <v>14</v>
      </c>
      <c r="N66" s="48">
        <v>3</v>
      </c>
      <c r="O66" s="47">
        <v>96.713615023474205</v>
      </c>
      <c r="P66" s="49"/>
    </row>
    <row r="67" spans="1:16" ht="15" hidden="1" customHeight="1">
      <c r="A67" s="37">
        <v>61</v>
      </c>
      <c r="B67" s="38" t="s">
        <v>22</v>
      </c>
      <c r="C67" s="38" t="s">
        <v>21</v>
      </c>
      <c r="D67" s="38" t="s">
        <v>39</v>
      </c>
      <c r="E67" s="38"/>
      <c r="F67" s="38" t="s">
        <v>39</v>
      </c>
      <c r="G67" s="39">
        <v>3185</v>
      </c>
      <c r="H67" s="39">
        <v>307</v>
      </c>
      <c r="I67" s="39">
        <v>37</v>
      </c>
      <c r="J67" s="40">
        <v>91.208476517754903</v>
      </c>
      <c r="K67" s="40"/>
      <c r="L67" s="41">
        <v>2263</v>
      </c>
      <c r="M67" s="41">
        <v>57</v>
      </c>
      <c r="N67" s="41">
        <v>16</v>
      </c>
      <c r="O67" s="40">
        <v>97.5431034482759</v>
      </c>
      <c r="P67" s="42"/>
    </row>
    <row r="68" spans="1:16" ht="15" hidden="1" customHeight="1">
      <c r="A68" s="43">
        <v>62</v>
      </c>
      <c r="B68" s="44" t="s">
        <v>22</v>
      </c>
      <c r="C68" s="44" t="s">
        <v>21</v>
      </c>
      <c r="D68" s="44" t="s">
        <v>39</v>
      </c>
      <c r="E68" s="44"/>
      <c r="F68" s="45" t="s">
        <v>18</v>
      </c>
      <c r="G68" s="46">
        <v>1112</v>
      </c>
      <c r="H68" s="46">
        <v>72</v>
      </c>
      <c r="I68" s="46">
        <v>4</v>
      </c>
      <c r="J68" s="47">
        <v>93.918918918918905</v>
      </c>
      <c r="K68" s="47"/>
      <c r="L68" s="48">
        <v>954</v>
      </c>
      <c r="M68" s="48">
        <v>17</v>
      </c>
      <c r="N68" s="48">
        <v>6</v>
      </c>
      <c r="O68" s="47">
        <v>98.249227600411899</v>
      </c>
      <c r="P68" s="49"/>
    </row>
    <row r="69" spans="1:16" ht="15" hidden="1" customHeight="1">
      <c r="A69" s="43">
        <v>63</v>
      </c>
      <c r="B69" s="44" t="s">
        <v>22</v>
      </c>
      <c r="C69" s="44" t="s">
        <v>21</v>
      </c>
      <c r="D69" s="44" t="s">
        <v>39</v>
      </c>
      <c r="E69" s="44"/>
      <c r="F69" s="45" t="s">
        <v>19</v>
      </c>
      <c r="G69" s="46">
        <v>2073</v>
      </c>
      <c r="H69" s="46">
        <v>235</v>
      </c>
      <c r="I69" s="46">
        <v>33</v>
      </c>
      <c r="J69" s="47">
        <v>89.818024263431496</v>
      </c>
      <c r="K69" s="47"/>
      <c r="L69" s="48">
        <v>1309</v>
      </c>
      <c r="M69" s="48">
        <v>40</v>
      </c>
      <c r="N69" s="48">
        <v>10</v>
      </c>
      <c r="O69" s="47">
        <v>97.034840622683504</v>
      </c>
      <c r="P69" s="49"/>
    </row>
    <row r="70" spans="1:16" ht="15" customHeight="1">
      <c r="A70" s="50">
        <v>64</v>
      </c>
      <c r="B70" s="51" t="s">
        <v>24</v>
      </c>
      <c r="C70" s="51" t="s">
        <v>21</v>
      </c>
      <c r="D70" s="51" t="s">
        <v>39</v>
      </c>
      <c r="E70" s="51" t="s">
        <v>40</v>
      </c>
      <c r="F70" s="51" t="s">
        <v>40</v>
      </c>
      <c r="G70" s="52">
        <v>2296</v>
      </c>
      <c r="H70" s="52">
        <v>219</v>
      </c>
      <c r="I70" s="52">
        <v>32</v>
      </c>
      <c r="J70" s="53">
        <v>91.292246520874798</v>
      </c>
      <c r="K70" s="53">
        <f>G70+H70+I70</f>
        <v>2547</v>
      </c>
      <c r="L70" s="54">
        <v>1683</v>
      </c>
      <c r="M70" s="54">
        <v>29</v>
      </c>
      <c r="N70" s="54">
        <v>11</v>
      </c>
      <c r="O70" s="53">
        <v>98.306074766355096</v>
      </c>
      <c r="P70" s="55">
        <f>L70+M70+N70</f>
        <v>1723</v>
      </c>
    </row>
    <row r="71" spans="1:16" ht="15" hidden="1" customHeight="1">
      <c r="A71" s="43">
        <v>65</v>
      </c>
      <c r="B71" s="44" t="s">
        <v>24</v>
      </c>
      <c r="C71" s="44" t="s">
        <v>21</v>
      </c>
      <c r="D71" s="44" t="s">
        <v>39</v>
      </c>
      <c r="E71" s="44" t="s">
        <v>40</v>
      </c>
      <c r="F71" s="45" t="s">
        <v>18</v>
      </c>
      <c r="G71" s="46">
        <v>1112</v>
      </c>
      <c r="H71" s="46">
        <v>72</v>
      </c>
      <c r="I71" s="46">
        <v>4</v>
      </c>
      <c r="J71" s="47">
        <v>93.918918918918905</v>
      </c>
      <c r="K71" s="47"/>
      <c r="L71" s="48">
        <v>954</v>
      </c>
      <c r="M71" s="48">
        <v>17</v>
      </c>
      <c r="N71" s="48">
        <v>6</v>
      </c>
      <c r="O71" s="47">
        <v>98.249227600411899</v>
      </c>
      <c r="P71" s="49"/>
    </row>
    <row r="72" spans="1:16" ht="15" hidden="1" customHeight="1">
      <c r="A72" s="43">
        <v>66</v>
      </c>
      <c r="B72" s="44" t="s">
        <v>24</v>
      </c>
      <c r="C72" s="44" t="s">
        <v>21</v>
      </c>
      <c r="D72" s="44" t="s">
        <v>39</v>
      </c>
      <c r="E72" s="44" t="s">
        <v>40</v>
      </c>
      <c r="F72" s="45" t="s">
        <v>19</v>
      </c>
      <c r="G72" s="46">
        <v>1184</v>
      </c>
      <c r="H72" s="46">
        <v>147</v>
      </c>
      <c r="I72" s="46">
        <v>28</v>
      </c>
      <c r="J72" s="47">
        <v>88.955672426746801</v>
      </c>
      <c r="K72" s="47"/>
      <c r="L72" s="48">
        <v>729</v>
      </c>
      <c r="M72" s="48">
        <v>12</v>
      </c>
      <c r="N72" s="48">
        <v>5</v>
      </c>
      <c r="O72" s="47">
        <v>98.380566801619395</v>
      </c>
      <c r="P72" s="49"/>
    </row>
    <row r="73" spans="1:16" ht="15" customHeight="1">
      <c r="A73" s="50">
        <v>67</v>
      </c>
      <c r="B73" s="51" t="s">
        <v>24</v>
      </c>
      <c r="C73" s="51" t="s">
        <v>21</v>
      </c>
      <c r="D73" s="51" t="s">
        <v>39</v>
      </c>
      <c r="E73" s="51" t="s">
        <v>41</v>
      </c>
      <c r="F73" s="51" t="s">
        <v>41</v>
      </c>
      <c r="G73" s="52">
        <v>889</v>
      </c>
      <c r="H73" s="52">
        <v>88</v>
      </c>
      <c r="I73" s="52">
        <v>5</v>
      </c>
      <c r="J73" s="53">
        <v>90.992835209825998</v>
      </c>
      <c r="K73" s="53">
        <f>G73+H73+I73</f>
        <v>982</v>
      </c>
      <c r="L73" s="54">
        <v>580</v>
      </c>
      <c r="M73" s="54">
        <v>28</v>
      </c>
      <c r="N73" s="54">
        <v>5</v>
      </c>
      <c r="O73" s="53">
        <v>95.394736842105303</v>
      </c>
      <c r="P73" s="55">
        <f>L73+M73+N73</f>
        <v>613</v>
      </c>
    </row>
    <row r="74" spans="1:16" ht="15" hidden="1" customHeight="1">
      <c r="A74" s="43">
        <v>68</v>
      </c>
      <c r="B74" s="44" t="s">
        <v>24</v>
      </c>
      <c r="C74" s="44" t="s">
        <v>21</v>
      </c>
      <c r="D74" s="44" t="s">
        <v>39</v>
      </c>
      <c r="E74" s="44" t="s">
        <v>41</v>
      </c>
      <c r="F74" s="45" t="s">
        <v>18</v>
      </c>
      <c r="G74" s="46"/>
      <c r="H74" s="46"/>
      <c r="I74" s="46"/>
      <c r="J74" s="47"/>
      <c r="K74" s="47"/>
      <c r="L74" s="48"/>
      <c r="M74" s="48"/>
      <c r="N74" s="48"/>
      <c r="O74" s="47"/>
      <c r="P74" s="49"/>
    </row>
    <row r="75" spans="1:16" ht="15" hidden="1" customHeight="1">
      <c r="A75" s="43">
        <v>69</v>
      </c>
      <c r="B75" s="44" t="s">
        <v>24</v>
      </c>
      <c r="C75" s="44" t="s">
        <v>21</v>
      </c>
      <c r="D75" s="44" t="s">
        <v>39</v>
      </c>
      <c r="E75" s="44" t="s">
        <v>41</v>
      </c>
      <c r="F75" s="45" t="s">
        <v>19</v>
      </c>
      <c r="G75" s="46">
        <v>889</v>
      </c>
      <c r="H75" s="46">
        <v>88</v>
      </c>
      <c r="I75" s="46">
        <v>5</v>
      </c>
      <c r="J75" s="47">
        <v>90.992835209825998</v>
      </c>
      <c r="K75" s="47"/>
      <c r="L75" s="48">
        <v>580</v>
      </c>
      <c r="M75" s="48">
        <v>28</v>
      </c>
      <c r="N75" s="48">
        <v>5</v>
      </c>
      <c r="O75" s="47">
        <v>95.394736842105303</v>
      </c>
      <c r="P75" s="49"/>
    </row>
    <row r="76" spans="1:16" ht="15" hidden="1" customHeight="1">
      <c r="A76" s="37">
        <v>70</v>
      </c>
      <c r="B76" s="38" t="s">
        <v>22</v>
      </c>
      <c r="C76" s="38" t="s">
        <v>21</v>
      </c>
      <c r="D76" s="38" t="s">
        <v>42</v>
      </c>
      <c r="E76" s="38"/>
      <c r="F76" s="38" t="s">
        <v>42</v>
      </c>
      <c r="G76" s="39">
        <v>2588</v>
      </c>
      <c r="H76" s="39">
        <v>192</v>
      </c>
      <c r="I76" s="39">
        <v>42</v>
      </c>
      <c r="J76" s="40">
        <v>93.093525179856101</v>
      </c>
      <c r="K76" s="40"/>
      <c r="L76" s="41">
        <v>1408</v>
      </c>
      <c r="M76" s="41">
        <v>20</v>
      </c>
      <c r="N76" s="41">
        <v>16</v>
      </c>
      <c r="O76" s="40">
        <v>98.599439775910398</v>
      </c>
      <c r="P76" s="42"/>
    </row>
    <row r="77" spans="1:16" ht="15" hidden="1" customHeight="1">
      <c r="A77" s="43">
        <v>71</v>
      </c>
      <c r="B77" s="44" t="s">
        <v>22</v>
      </c>
      <c r="C77" s="44" t="s">
        <v>21</v>
      </c>
      <c r="D77" s="44" t="s">
        <v>42</v>
      </c>
      <c r="E77" s="44"/>
      <c r="F77" s="45" t="s">
        <v>18</v>
      </c>
      <c r="G77" s="46">
        <v>324</v>
      </c>
      <c r="H77" s="46">
        <v>19</v>
      </c>
      <c r="I77" s="46">
        <v>2</v>
      </c>
      <c r="J77" s="47">
        <v>94.4606413994169</v>
      </c>
      <c r="K77" s="47"/>
      <c r="L77" s="48">
        <v>251</v>
      </c>
      <c r="M77" s="48">
        <v>5</v>
      </c>
      <c r="N77" s="48">
        <v>3</v>
      </c>
      <c r="O77" s="47">
        <v>98.046875</v>
      </c>
      <c r="P77" s="49"/>
    </row>
    <row r="78" spans="1:16" ht="15" hidden="1" customHeight="1">
      <c r="A78" s="43">
        <v>72</v>
      </c>
      <c r="B78" s="44" t="s">
        <v>22</v>
      </c>
      <c r="C78" s="44" t="s">
        <v>21</v>
      </c>
      <c r="D78" s="44" t="s">
        <v>42</v>
      </c>
      <c r="E78" s="44"/>
      <c r="F78" s="45" t="s">
        <v>19</v>
      </c>
      <c r="G78" s="46">
        <v>2264</v>
      </c>
      <c r="H78" s="46">
        <v>173</v>
      </c>
      <c r="I78" s="46">
        <v>40</v>
      </c>
      <c r="J78" s="47">
        <v>92.901107919573207</v>
      </c>
      <c r="K78" s="47"/>
      <c r="L78" s="48">
        <v>1157</v>
      </c>
      <c r="M78" s="48">
        <v>15</v>
      </c>
      <c r="N78" s="48">
        <v>13</v>
      </c>
      <c r="O78" s="47">
        <v>98.720136518771298</v>
      </c>
      <c r="P78" s="49"/>
    </row>
    <row r="79" spans="1:16" ht="15" customHeight="1">
      <c r="A79" s="50">
        <v>73</v>
      </c>
      <c r="B79" s="51" t="s">
        <v>24</v>
      </c>
      <c r="C79" s="51" t="s">
        <v>21</v>
      </c>
      <c r="D79" s="51" t="s">
        <v>42</v>
      </c>
      <c r="E79" s="51" t="s">
        <v>43</v>
      </c>
      <c r="F79" s="51" t="s">
        <v>43</v>
      </c>
      <c r="G79" s="52">
        <v>1651</v>
      </c>
      <c r="H79" s="52">
        <v>144</v>
      </c>
      <c r="I79" s="52">
        <v>24</v>
      </c>
      <c r="J79" s="53">
        <v>91.977715877437305</v>
      </c>
      <c r="K79" s="53">
        <f>G79+H79+I79</f>
        <v>1819</v>
      </c>
      <c r="L79" s="54">
        <v>880</v>
      </c>
      <c r="M79" s="54">
        <v>14</v>
      </c>
      <c r="N79" s="54">
        <v>11</v>
      </c>
      <c r="O79" s="53">
        <v>98.434004474272896</v>
      </c>
      <c r="P79" s="55">
        <f>L79+M79+N79</f>
        <v>905</v>
      </c>
    </row>
    <row r="80" spans="1:16" ht="15" hidden="1" customHeight="1">
      <c r="A80" s="43">
        <v>74</v>
      </c>
      <c r="B80" s="44" t="s">
        <v>24</v>
      </c>
      <c r="C80" s="44" t="s">
        <v>21</v>
      </c>
      <c r="D80" s="44" t="s">
        <v>42</v>
      </c>
      <c r="E80" s="44" t="s">
        <v>43</v>
      </c>
      <c r="F80" s="45" t="s">
        <v>18</v>
      </c>
      <c r="G80" s="46">
        <v>324</v>
      </c>
      <c r="H80" s="46">
        <v>19</v>
      </c>
      <c r="I80" s="46">
        <v>2</v>
      </c>
      <c r="J80" s="47">
        <v>94.4606413994169</v>
      </c>
      <c r="K80" s="47"/>
      <c r="L80" s="48">
        <v>251</v>
      </c>
      <c r="M80" s="48">
        <v>5</v>
      </c>
      <c r="N80" s="48">
        <v>3</v>
      </c>
      <c r="O80" s="47">
        <v>98.046875</v>
      </c>
      <c r="P80" s="49"/>
    </row>
    <row r="81" spans="1:16" ht="15" hidden="1" customHeight="1">
      <c r="A81" s="43">
        <v>75</v>
      </c>
      <c r="B81" s="44" t="s">
        <v>24</v>
      </c>
      <c r="C81" s="44" t="s">
        <v>21</v>
      </c>
      <c r="D81" s="44" t="s">
        <v>42</v>
      </c>
      <c r="E81" s="44" t="s">
        <v>43</v>
      </c>
      <c r="F81" s="45" t="s">
        <v>19</v>
      </c>
      <c r="G81" s="46">
        <v>1327</v>
      </c>
      <c r="H81" s="46">
        <v>125</v>
      </c>
      <c r="I81" s="46">
        <v>22</v>
      </c>
      <c r="J81" s="47">
        <v>91.391184573002803</v>
      </c>
      <c r="K81" s="47"/>
      <c r="L81" s="48">
        <v>629</v>
      </c>
      <c r="M81" s="48">
        <v>9</v>
      </c>
      <c r="N81" s="48">
        <v>8</v>
      </c>
      <c r="O81" s="47">
        <v>98.589341692790001</v>
      </c>
      <c r="P81" s="49"/>
    </row>
    <row r="82" spans="1:16" ht="15" customHeight="1">
      <c r="A82" s="50">
        <v>76</v>
      </c>
      <c r="B82" s="51" t="s">
        <v>24</v>
      </c>
      <c r="C82" s="51" t="s">
        <v>21</v>
      </c>
      <c r="D82" s="51" t="s">
        <v>42</v>
      </c>
      <c r="E82" s="51" t="s">
        <v>42</v>
      </c>
      <c r="F82" s="51" t="s">
        <v>42</v>
      </c>
      <c r="G82" s="52">
        <v>937</v>
      </c>
      <c r="H82" s="52">
        <v>48</v>
      </c>
      <c r="I82" s="52">
        <v>18</v>
      </c>
      <c r="J82" s="53">
        <v>95.126903553299499</v>
      </c>
      <c r="K82" s="53">
        <f>G82+H82+I82</f>
        <v>1003</v>
      </c>
      <c r="L82" s="54">
        <v>528</v>
      </c>
      <c r="M82" s="54">
        <v>6</v>
      </c>
      <c r="N82" s="54">
        <v>5</v>
      </c>
      <c r="O82" s="53">
        <v>98.876404494382001</v>
      </c>
      <c r="P82" s="55">
        <f>L82+M82+N82</f>
        <v>539</v>
      </c>
    </row>
    <row r="83" spans="1:16" ht="15" hidden="1" customHeight="1">
      <c r="A83" s="43">
        <v>77</v>
      </c>
      <c r="B83" s="44" t="s">
        <v>24</v>
      </c>
      <c r="C83" s="44" t="s">
        <v>21</v>
      </c>
      <c r="D83" s="44" t="s">
        <v>42</v>
      </c>
      <c r="E83" s="44" t="s">
        <v>42</v>
      </c>
      <c r="F83" s="45" t="s">
        <v>18</v>
      </c>
      <c r="G83" s="46"/>
      <c r="H83" s="46"/>
      <c r="I83" s="46"/>
      <c r="J83" s="47"/>
      <c r="K83" s="47"/>
      <c r="L83" s="48"/>
      <c r="M83" s="48"/>
      <c r="N83" s="48"/>
      <c r="O83" s="47"/>
      <c r="P83" s="49"/>
    </row>
    <row r="84" spans="1:16" ht="15" hidden="1" customHeight="1">
      <c r="A84" s="43">
        <v>78</v>
      </c>
      <c r="B84" s="44" t="s">
        <v>24</v>
      </c>
      <c r="C84" s="44" t="s">
        <v>21</v>
      </c>
      <c r="D84" s="44" t="s">
        <v>42</v>
      </c>
      <c r="E84" s="44" t="s">
        <v>42</v>
      </c>
      <c r="F84" s="45" t="s">
        <v>19</v>
      </c>
      <c r="G84" s="46">
        <v>937</v>
      </c>
      <c r="H84" s="46">
        <v>48</v>
      </c>
      <c r="I84" s="46">
        <v>18</v>
      </c>
      <c r="J84" s="47">
        <v>95.126903553299499</v>
      </c>
      <c r="K84" s="47"/>
      <c r="L84" s="48">
        <v>528</v>
      </c>
      <c r="M84" s="48">
        <v>6</v>
      </c>
      <c r="N84" s="48">
        <v>5</v>
      </c>
      <c r="O84" s="47">
        <v>98.876404494382001</v>
      </c>
      <c r="P84" s="49"/>
    </row>
    <row r="85" spans="1:16" ht="15" hidden="1" customHeight="1">
      <c r="A85" s="37">
        <v>79</v>
      </c>
      <c r="B85" s="38" t="s">
        <v>22</v>
      </c>
      <c r="C85" s="38" t="s">
        <v>21</v>
      </c>
      <c r="D85" s="38" t="s">
        <v>44</v>
      </c>
      <c r="E85" s="38"/>
      <c r="F85" s="38" t="s">
        <v>44</v>
      </c>
      <c r="G85" s="39">
        <v>8525</v>
      </c>
      <c r="H85" s="39">
        <v>1300</v>
      </c>
      <c r="I85" s="39">
        <v>146</v>
      </c>
      <c r="J85" s="40">
        <v>86.768447837150106</v>
      </c>
      <c r="K85" s="40"/>
      <c r="L85" s="41">
        <v>5545</v>
      </c>
      <c r="M85" s="41">
        <v>260</v>
      </c>
      <c r="N85" s="41">
        <v>40</v>
      </c>
      <c r="O85" s="40">
        <v>95.521102497846698</v>
      </c>
      <c r="P85" s="42"/>
    </row>
    <row r="86" spans="1:16" ht="15" hidden="1" customHeight="1">
      <c r="A86" s="43">
        <v>80</v>
      </c>
      <c r="B86" s="44" t="s">
        <v>22</v>
      </c>
      <c r="C86" s="44" t="s">
        <v>21</v>
      </c>
      <c r="D86" s="44" t="s">
        <v>44</v>
      </c>
      <c r="E86" s="44"/>
      <c r="F86" s="45" t="s">
        <v>18</v>
      </c>
      <c r="G86" s="46">
        <v>838</v>
      </c>
      <c r="H86" s="46">
        <v>90</v>
      </c>
      <c r="I86" s="46">
        <v>10</v>
      </c>
      <c r="J86" s="47">
        <v>90.301724137931004</v>
      </c>
      <c r="K86" s="47"/>
      <c r="L86" s="48">
        <v>966</v>
      </c>
      <c r="M86" s="48">
        <v>29</v>
      </c>
      <c r="N86" s="48">
        <v>0</v>
      </c>
      <c r="O86" s="47">
        <v>97.085427135678401</v>
      </c>
      <c r="P86" s="49"/>
    </row>
    <row r="87" spans="1:16" ht="15" hidden="1" customHeight="1">
      <c r="A87" s="43">
        <v>81</v>
      </c>
      <c r="B87" s="44" t="s">
        <v>22</v>
      </c>
      <c r="C87" s="44" t="s">
        <v>21</v>
      </c>
      <c r="D87" s="44" t="s">
        <v>44</v>
      </c>
      <c r="E87" s="44"/>
      <c r="F87" s="45" t="s">
        <v>19</v>
      </c>
      <c r="G87" s="46">
        <v>7687</v>
      </c>
      <c r="H87" s="46">
        <v>1210</v>
      </c>
      <c r="I87" s="46">
        <v>136</v>
      </c>
      <c r="J87" s="47">
        <v>86.399910082050098</v>
      </c>
      <c r="K87" s="47"/>
      <c r="L87" s="48">
        <v>4579</v>
      </c>
      <c r="M87" s="48">
        <v>231</v>
      </c>
      <c r="N87" s="48">
        <v>40</v>
      </c>
      <c r="O87" s="47">
        <v>95.197505197505194</v>
      </c>
      <c r="P87" s="49"/>
    </row>
    <row r="88" spans="1:16" ht="15" customHeight="1">
      <c r="A88" s="50">
        <v>82</v>
      </c>
      <c r="B88" s="51" t="s">
        <v>24</v>
      </c>
      <c r="C88" s="51" t="s">
        <v>21</v>
      </c>
      <c r="D88" s="51" t="s">
        <v>44</v>
      </c>
      <c r="E88" s="51" t="s">
        <v>45</v>
      </c>
      <c r="F88" s="51" t="s">
        <v>45</v>
      </c>
      <c r="G88" s="52">
        <v>1523</v>
      </c>
      <c r="H88" s="52">
        <v>132</v>
      </c>
      <c r="I88" s="52">
        <v>23</v>
      </c>
      <c r="J88" s="53">
        <v>92.024169184290002</v>
      </c>
      <c r="K88" s="53">
        <f>G88+H88+I88</f>
        <v>1678</v>
      </c>
      <c r="L88" s="54">
        <v>930</v>
      </c>
      <c r="M88" s="54">
        <v>28</v>
      </c>
      <c r="N88" s="54">
        <v>5</v>
      </c>
      <c r="O88" s="53">
        <v>97.077244258872696</v>
      </c>
      <c r="P88" s="55">
        <f>L88+M88+N88</f>
        <v>963</v>
      </c>
    </row>
    <row r="89" spans="1:16" ht="15" hidden="1" customHeight="1">
      <c r="A89" s="43">
        <v>83</v>
      </c>
      <c r="B89" s="44" t="s">
        <v>24</v>
      </c>
      <c r="C89" s="44" t="s">
        <v>21</v>
      </c>
      <c r="D89" s="44" t="s">
        <v>44</v>
      </c>
      <c r="E89" s="44" t="s">
        <v>45</v>
      </c>
      <c r="F89" s="45" t="s">
        <v>18</v>
      </c>
      <c r="G89" s="46">
        <v>525</v>
      </c>
      <c r="H89" s="46">
        <v>39</v>
      </c>
      <c r="I89" s="46">
        <v>4</v>
      </c>
      <c r="J89" s="47">
        <v>93.085106382978694</v>
      </c>
      <c r="K89" s="47"/>
      <c r="L89" s="48">
        <v>296</v>
      </c>
      <c r="M89" s="48">
        <v>4</v>
      </c>
      <c r="N89" s="48">
        <v>0</v>
      </c>
      <c r="O89" s="47">
        <v>98.6666666666667</v>
      </c>
      <c r="P89" s="49"/>
    </row>
    <row r="90" spans="1:16" ht="15" hidden="1" customHeight="1">
      <c r="A90" s="43">
        <v>84</v>
      </c>
      <c r="B90" s="44" t="s">
        <v>24</v>
      </c>
      <c r="C90" s="44" t="s">
        <v>21</v>
      </c>
      <c r="D90" s="44" t="s">
        <v>44</v>
      </c>
      <c r="E90" s="44" t="s">
        <v>45</v>
      </c>
      <c r="F90" s="45" t="s">
        <v>19</v>
      </c>
      <c r="G90" s="46">
        <v>998</v>
      </c>
      <c r="H90" s="46">
        <v>93</v>
      </c>
      <c r="I90" s="46">
        <v>19</v>
      </c>
      <c r="J90" s="47">
        <v>91.475710357470206</v>
      </c>
      <c r="K90" s="47"/>
      <c r="L90" s="48">
        <v>634</v>
      </c>
      <c r="M90" s="48">
        <v>24</v>
      </c>
      <c r="N90" s="48">
        <v>5</v>
      </c>
      <c r="O90" s="47">
        <v>96.352583586626096</v>
      </c>
      <c r="P90" s="49"/>
    </row>
    <row r="91" spans="1:16" ht="15" customHeight="1">
      <c r="A91" s="50">
        <v>85</v>
      </c>
      <c r="B91" s="51" t="s">
        <v>24</v>
      </c>
      <c r="C91" s="51" t="s">
        <v>21</v>
      </c>
      <c r="D91" s="51" t="s">
        <v>44</v>
      </c>
      <c r="E91" s="51" t="s">
        <v>46</v>
      </c>
      <c r="F91" s="51" t="s">
        <v>46</v>
      </c>
      <c r="G91" s="52">
        <v>3699</v>
      </c>
      <c r="H91" s="52">
        <v>526</v>
      </c>
      <c r="I91" s="52">
        <v>73</v>
      </c>
      <c r="J91" s="53">
        <v>87.550295857988203</v>
      </c>
      <c r="K91" s="53">
        <f>G91+H91+I91</f>
        <v>4298</v>
      </c>
      <c r="L91" s="54">
        <v>2196</v>
      </c>
      <c r="M91" s="54">
        <v>94</v>
      </c>
      <c r="N91" s="54">
        <v>16</v>
      </c>
      <c r="O91" s="53">
        <v>95.895196506550207</v>
      </c>
      <c r="P91" s="55">
        <f>L91+M91+N91</f>
        <v>2306</v>
      </c>
    </row>
    <row r="92" spans="1:16" ht="15" hidden="1" customHeight="1">
      <c r="A92" s="43">
        <v>86</v>
      </c>
      <c r="B92" s="44" t="s">
        <v>24</v>
      </c>
      <c r="C92" s="44" t="s">
        <v>21</v>
      </c>
      <c r="D92" s="44" t="s">
        <v>44</v>
      </c>
      <c r="E92" s="44" t="s">
        <v>46</v>
      </c>
      <c r="F92" s="45" t="s">
        <v>18</v>
      </c>
      <c r="G92" s="46"/>
      <c r="H92" s="46"/>
      <c r="I92" s="46"/>
      <c r="J92" s="47"/>
      <c r="K92" s="47"/>
      <c r="L92" s="48">
        <v>258</v>
      </c>
      <c r="M92" s="48">
        <v>8</v>
      </c>
      <c r="N92" s="48">
        <v>0</v>
      </c>
      <c r="O92" s="47">
        <v>96.9924812030075</v>
      </c>
      <c r="P92" s="49"/>
    </row>
    <row r="93" spans="1:16" ht="15" hidden="1" customHeight="1">
      <c r="A93" s="43">
        <v>87</v>
      </c>
      <c r="B93" s="44" t="s">
        <v>24</v>
      </c>
      <c r="C93" s="44" t="s">
        <v>21</v>
      </c>
      <c r="D93" s="44" t="s">
        <v>44</v>
      </c>
      <c r="E93" s="44" t="s">
        <v>46</v>
      </c>
      <c r="F93" s="45" t="s">
        <v>19</v>
      </c>
      <c r="G93" s="46">
        <v>3699</v>
      </c>
      <c r="H93" s="46">
        <v>526</v>
      </c>
      <c r="I93" s="46">
        <v>73</v>
      </c>
      <c r="J93" s="47">
        <v>87.550295857988203</v>
      </c>
      <c r="K93" s="47"/>
      <c r="L93" s="48">
        <v>1938</v>
      </c>
      <c r="M93" s="48">
        <v>86</v>
      </c>
      <c r="N93" s="48">
        <v>16</v>
      </c>
      <c r="O93" s="47">
        <v>95.750988142292499</v>
      </c>
      <c r="P93" s="49"/>
    </row>
    <row r="94" spans="1:16" ht="15" customHeight="1">
      <c r="A94" s="50">
        <v>88</v>
      </c>
      <c r="B94" s="51" t="s">
        <v>24</v>
      </c>
      <c r="C94" s="51" t="s">
        <v>21</v>
      </c>
      <c r="D94" s="51" t="s">
        <v>44</v>
      </c>
      <c r="E94" s="51" t="s">
        <v>47</v>
      </c>
      <c r="F94" s="51" t="s">
        <v>47</v>
      </c>
      <c r="G94" s="52">
        <v>1411</v>
      </c>
      <c r="H94" s="52">
        <v>356</v>
      </c>
      <c r="I94" s="52">
        <v>29</v>
      </c>
      <c r="J94" s="53">
        <v>79.852857951329895</v>
      </c>
      <c r="K94" s="53">
        <f>G94+H94+I94</f>
        <v>1796</v>
      </c>
      <c r="L94" s="54">
        <v>1310</v>
      </c>
      <c r="M94" s="54">
        <v>49</v>
      </c>
      <c r="N94" s="54">
        <v>13</v>
      </c>
      <c r="O94" s="53">
        <v>96.3944076526858</v>
      </c>
      <c r="P94" s="55">
        <f>L94+M94+N94</f>
        <v>1372</v>
      </c>
    </row>
    <row r="95" spans="1:16" ht="15" hidden="1" customHeight="1">
      <c r="A95" s="43">
        <v>89</v>
      </c>
      <c r="B95" s="44" t="s">
        <v>24</v>
      </c>
      <c r="C95" s="44" t="s">
        <v>21</v>
      </c>
      <c r="D95" s="44" t="s">
        <v>44</v>
      </c>
      <c r="E95" s="44" t="s">
        <v>47</v>
      </c>
      <c r="F95" s="45" t="s">
        <v>18</v>
      </c>
      <c r="G95" s="46"/>
      <c r="H95" s="46"/>
      <c r="I95" s="46"/>
      <c r="J95" s="47"/>
      <c r="K95" s="47"/>
      <c r="L95" s="48">
        <v>210</v>
      </c>
      <c r="M95" s="48">
        <v>5</v>
      </c>
      <c r="N95" s="48">
        <v>0</v>
      </c>
      <c r="O95" s="47">
        <v>97.674418604651194</v>
      </c>
      <c r="P95" s="49"/>
    </row>
    <row r="96" spans="1:16" ht="15" hidden="1" customHeight="1">
      <c r="A96" s="43">
        <v>90</v>
      </c>
      <c r="B96" s="44" t="s">
        <v>24</v>
      </c>
      <c r="C96" s="44" t="s">
        <v>21</v>
      </c>
      <c r="D96" s="44" t="s">
        <v>44</v>
      </c>
      <c r="E96" s="44" t="s">
        <v>47</v>
      </c>
      <c r="F96" s="45" t="s">
        <v>19</v>
      </c>
      <c r="G96" s="46">
        <v>1411</v>
      </c>
      <c r="H96" s="46">
        <v>356</v>
      </c>
      <c r="I96" s="46">
        <v>29</v>
      </c>
      <c r="J96" s="47">
        <v>79.852857951329895</v>
      </c>
      <c r="K96" s="47"/>
      <c r="L96" s="48">
        <v>1100</v>
      </c>
      <c r="M96" s="48">
        <v>44</v>
      </c>
      <c r="N96" s="48">
        <v>13</v>
      </c>
      <c r="O96" s="47">
        <v>96.153846153846203</v>
      </c>
      <c r="P96" s="49"/>
    </row>
    <row r="97" spans="1:16" ht="15" customHeight="1">
      <c r="A97" s="50">
        <v>91</v>
      </c>
      <c r="B97" s="51" t="s">
        <v>24</v>
      </c>
      <c r="C97" s="51" t="s">
        <v>21</v>
      </c>
      <c r="D97" s="51" t="s">
        <v>44</v>
      </c>
      <c r="E97" s="51" t="s">
        <v>48</v>
      </c>
      <c r="F97" s="51" t="s">
        <v>48</v>
      </c>
      <c r="G97" s="52">
        <v>1892</v>
      </c>
      <c r="H97" s="52">
        <v>286</v>
      </c>
      <c r="I97" s="52">
        <v>21</v>
      </c>
      <c r="J97" s="53">
        <v>86.868686868686893</v>
      </c>
      <c r="K97" s="53">
        <f>G97+H97+I97</f>
        <v>2199</v>
      </c>
      <c r="L97" s="54">
        <v>1109</v>
      </c>
      <c r="M97" s="54">
        <v>89</v>
      </c>
      <c r="N97" s="54">
        <v>6</v>
      </c>
      <c r="O97" s="53">
        <v>92.570951585976601</v>
      </c>
      <c r="P97" s="55">
        <f>L97+M97+N97</f>
        <v>1204</v>
      </c>
    </row>
    <row r="98" spans="1:16" ht="15" hidden="1" customHeight="1">
      <c r="A98" s="43">
        <v>92</v>
      </c>
      <c r="B98" s="44" t="s">
        <v>24</v>
      </c>
      <c r="C98" s="44" t="s">
        <v>21</v>
      </c>
      <c r="D98" s="44" t="s">
        <v>44</v>
      </c>
      <c r="E98" s="44" t="s">
        <v>48</v>
      </c>
      <c r="F98" s="45" t="s">
        <v>18</v>
      </c>
      <c r="G98" s="46">
        <v>313</v>
      </c>
      <c r="H98" s="46">
        <v>51</v>
      </c>
      <c r="I98" s="46">
        <v>6</v>
      </c>
      <c r="J98" s="47">
        <v>85.989010989011007</v>
      </c>
      <c r="K98" s="47"/>
      <c r="L98" s="48">
        <v>202</v>
      </c>
      <c r="M98" s="48">
        <v>12</v>
      </c>
      <c r="N98" s="48">
        <v>0</v>
      </c>
      <c r="O98" s="47">
        <v>94.392523364485996</v>
      </c>
      <c r="P98" s="49"/>
    </row>
    <row r="99" spans="1:16" ht="15" hidden="1" customHeight="1">
      <c r="A99" s="43">
        <v>93</v>
      </c>
      <c r="B99" s="44" t="s">
        <v>24</v>
      </c>
      <c r="C99" s="44" t="s">
        <v>21</v>
      </c>
      <c r="D99" s="44" t="s">
        <v>44</v>
      </c>
      <c r="E99" s="44" t="s">
        <v>48</v>
      </c>
      <c r="F99" s="45" t="s">
        <v>19</v>
      </c>
      <c r="G99" s="46">
        <v>1579</v>
      </c>
      <c r="H99" s="46">
        <v>235</v>
      </c>
      <c r="I99" s="46">
        <v>15</v>
      </c>
      <c r="J99" s="47">
        <v>87.045203969129005</v>
      </c>
      <c r="K99" s="47"/>
      <c r="L99" s="48">
        <v>907</v>
      </c>
      <c r="M99" s="48">
        <v>77</v>
      </c>
      <c r="N99" s="48">
        <v>6</v>
      </c>
      <c r="O99" s="47">
        <v>92.174796747967505</v>
      </c>
      <c r="P99" s="49"/>
    </row>
    <row r="100" spans="1:16" ht="15" hidden="1" customHeight="1">
      <c r="A100" s="37">
        <v>94</v>
      </c>
      <c r="B100" s="38" t="s">
        <v>22</v>
      </c>
      <c r="C100" s="38" t="s">
        <v>21</v>
      </c>
      <c r="D100" s="38" t="s">
        <v>49</v>
      </c>
      <c r="E100" s="38"/>
      <c r="F100" s="38" t="s">
        <v>49</v>
      </c>
      <c r="G100" s="39">
        <v>1051</v>
      </c>
      <c r="H100" s="39">
        <v>89</v>
      </c>
      <c r="I100" s="39">
        <v>26</v>
      </c>
      <c r="J100" s="40">
        <v>92.1929824561403</v>
      </c>
      <c r="K100" s="40"/>
      <c r="L100" s="41">
        <v>541</v>
      </c>
      <c r="M100" s="41">
        <v>10</v>
      </c>
      <c r="N100" s="41">
        <v>5</v>
      </c>
      <c r="O100" s="40">
        <v>98.185117967332104</v>
      </c>
      <c r="P100" s="42"/>
    </row>
    <row r="101" spans="1:16" ht="15" hidden="1" customHeight="1">
      <c r="A101" s="43">
        <v>95</v>
      </c>
      <c r="B101" s="44" t="s">
        <v>22</v>
      </c>
      <c r="C101" s="44" t="s">
        <v>21</v>
      </c>
      <c r="D101" s="44" t="s">
        <v>49</v>
      </c>
      <c r="E101" s="44"/>
      <c r="F101" s="45" t="s">
        <v>18</v>
      </c>
      <c r="G101" s="46">
        <v>335</v>
      </c>
      <c r="H101" s="46">
        <v>8</v>
      </c>
      <c r="I101" s="46">
        <v>8</v>
      </c>
      <c r="J101" s="47">
        <v>97.667638483965007</v>
      </c>
      <c r="K101" s="47"/>
      <c r="L101" s="48">
        <v>196</v>
      </c>
      <c r="M101" s="48">
        <v>1</v>
      </c>
      <c r="N101" s="48">
        <v>3</v>
      </c>
      <c r="O101" s="47">
        <v>99.492385786802004</v>
      </c>
      <c r="P101" s="49"/>
    </row>
    <row r="102" spans="1:16" ht="15" hidden="1" customHeight="1">
      <c r="A102" s="43">
        <v>96</v>
      </c>
      <c r="B102" s="44" t="s">
        <v>22</v>
      </c>
      <c r="C102" s="44" t="s">
        <v>21</v>
      </c>
      <c r="D102" s="44" t="s">
        <v>49</v>
      </c>
      <c r="E102" s="44"/>
      <c r="F102" s="45" t="s">
        <v>19</v>
      </c>
      <c r="G102" s="46">
        <v>716</v>
      </c>
      <c r="H102" s="46">
        <v>81</v>
      </c>
      <c r="I102" s="46">
        <v>18</v>
      </c>
      <c r="J102" s="47">
        <v>89.836888331242207</v>
      </c>
      <c r="K102" s="47"/>
      <c r="L102" s="48">
        <v>345</v>
      </c>
      <c r="M102" s="48">
        <v>9</v>
      </c>
      <c r="N102" s="48">
        <v>2</v>
      </c>
      <c r="O102" s="47">
        <v>97.457627118644098</v>
      </c>
      <c r="P102" s="49"/>
    </row>
    <row r="103" spans="1:16" ht="15" customHeight="1">
      <c r="A103" s="50">
        <v>97</v>
      </c>
      <c r="B103" s="51" t="s">
        <v>24</v>
      </c>
      <c r="C103" s="51" t="s">
        <v>21</v>
      </c>
      <c r="D103" s="51" t="s">
        <v>49</v>
      </c>
      <c r="E103" s="51" t="s">
        <v>50</v>
      </c>
      <c r="F103" s="51" t="s">
        <v>50</v>
      </c>
      <c r="G103" s="52">
        <v>1051</v>
      </c>
      <c r="H103" s="52">
        <v>89</v>
      </c>
      <c r="I103" s="52">
        <v>26</v>
      </c>
      <c r="J103" s="53">
        <v>92.1929824561403</v>
      </c>
      <c r="K103" s="53">
        <f>G103+H103+I103</f>
        <v>1166</v>
      </c>
      <c r="L103" s="54">
        <v>541</v>
      </c>
      <c r="M103" s="54">
        <v>10</v>
      </c>
      <c r="N103" s="54">
        <v>5</v>
      </c>
      <c r="O103" s="53">
        <v>98.185117967332104</v>
      </c>
      <c r="P103" s="55">
        <f>L103+M103+N103</f>
        <v>556</v>
      </c>
    </row>
    <row r="104" spans="1:16" ht="15" hidden="1" customHeight="1">
      <c r="A104" s="43">
        <v>98</v>
      </c>
      <c r="B104" s="44" t="s">
        <v>24</v>
      </c>
      <c r="C104" s="44" t="s">
        <v>21</v>
      </c>
      <c r="D104" s="44" t="s">
        <v>49</v>
      </c>
      <c r="E104" s="44" t="s">
        <v>50</v>
      </c>
      <c r="F104" s="45" t="s">
        <v>18</v>
      </c>
      <c r="G104" s="46">
        <v>335</v>
      </c>
      <c r="H104" s="46">
        <v>8</v>
      </c>
      <c r="I104" s="46">
        <v>8</v>
      </c>
      <c r="J104" s="47">
        <v>97.667638483965007</v>
      </c>
      <c r="K104" s="47"/>
      <c r="L104" s="48">
        <v>196</v>
      </c>
      <c r="M104" s="48">
        <v>1</v>
      </c>
      <c r="N104" s="48">
        <v>3</v>
      </c>
      <c r="O104" s="47">
        <v>99.492385786802004</v>
      </c>
      <c r="P104" s="49"/>
    </row>
    <row r="105" spans="1:16" ht="15" hidden="1" customHeight="1">
      <c r="A105" s="43">
        <v>99</v>
      </c>
      <c r="B105" s="44" t="s">
        <v>24</v>
      </c>
      <c r="C105" s="44" t="s">
        <v>21</v>
      </c>
      <c r="D105" s="44" t="s">
        <v>49</v>
      </c>
      <c r="E105" s="44" t="s">
        <v>50</v>
      </c>
      <c r="F105" s="45" t="s">
        <v>19</v>
      </c>
      <c r="G105" s="46">
        <v>716</v>
      </c>
      <c r="H105" s="46">
        <v>81</v>
      </c>
      <c r="I105" s="46">
        <v>18</v>
      </c>
      <c r="J105" s="47">
        <v>89.836888331242207</v>
      </c>
      <c r="K105" s="47"/>
      <c r="L105" s="48">
        <v>345</v>
      </c>
      <c r="M105" s="48">
        <v>9</v>
      </c>
      <c r="N105" s="48">
        <v>2</v>
      </c>
      <c r="O105" s="47">
        <v>97.457627118644098</v>
      </c>
      <c r="P105" s="49"/>
    </row>
    <row r="106" spans="1:16" ht="15" hidden="1" customHeight="1">
      <c r="A106" s="37">
        <v>100</v>
      </c>
      <c r="B106" s="38" t="s">
        <v>22</v>
      </c>
      <c r="C106" s="38" t="s">
        <v>21</v>
      </c>
      <c r="D106" s="38" t="s">
        <v>51</v>
      </c>
      <c r="E106" s="38"/>
      <c r="F106" s="38" t="s">
        <v>51</v>
      </c>
      <c r="G106" s="39">
        <v>2556</v>
      </c>
      <c r="H106" s="39">
        <v>368</v>
      </c>
      <c r="I106" s="39">
        <v>34</v>
      </c>
      <c r="J106" s="40">
        <v>87.414500683994504</v>
      </c>
      <c r="K106" s="40"/>
      <c r="L106" s="41">
        <v>1874</v>
      </c>
      <c r="M106" s="41">
        <v>83</v>
      </c>
      <c r="N106" s="41">
        <v>7</v>
      </c>
      <c r="O106" s="40">
        <v>95.7588145120082</v>
      </c>
      <c r="P106" s="42"/>
    </row>
    <row r="107" spans="1:16" ht="15" hidden="1" customHeight="1">
      <c r="A107" s="43">
        <v>101</v>
      </c>
      <c r="B107" s="44" t="s">
        <v>22</v>
      </c>
      <c r="C107" s="44" t="s">
        <v>21</v>
      </c>
      <c r="D107" s="44" t="s">
        <v>51</v>
      </c>
      <c r="E107" s="44"/>
      <c r="F107" s="45" t="s">
        <v>18</v>
      </c>
      <c r="G107" s="46">
        <v>271</v>
      </c>
      <c r="H107" s="46">
        <v>38</v>
      </c>
      <c r="I107" s="46">
        <v>2</v>
      </c>
      <c r="J107" s="47">
        <v>87.702265372168299</v>
      </c>
      <c r="K107" s="47"/>
      <c r="L107" s="48">
        <v>424</v>
      </c>
      <c r="M107" s="48">
        <v>16</v>
      </c>
      <c r="N107" s="48">
        <v>0</v>
      </c>
      <c r="O107" s="47">
        <v>96.363636363636402</v>
      </c>
      <c r="P107" s="49"/>
    </row>
    <row r="108" spans="1:16" ht="15" hidden="1" customHeight="1">
      <c r="A108" s="43">
        <v>102</v>
      </c>
      <c r="B108" s="44" t="s">
        <v>22</v>
      </c>
      <c r="C108" s="44" t="s">
        <v>21</v>
      </c>
      <c r="D108" s="44" t="s">
        <v>51</v>
      </c>
      <c r="E108" s="44"/>
      <c r="F108" s="45" t="s">
        <v>19</v>
      </c>
      <c r="G108" s="46">
        <v>2285</v>
      </c>
      <c r="H108" s="46">
        <v>330</v>
      </c>
      <c r="I108" s="46">
        <v>32</v>
      </c>
      <c r="J108" s="47">
        <v>87.380497131931193</v>
      </c>
      <c r="K108" s="47"/>
      <c r="L108" s="48">
        <v>1450</v>
      </c>
      <c r="M108" s="48">
        <v>67</v>
      </c>
      <c r="N108" s="48">
        <v>7</v>
      </c>
      <c r="O108" s="47">
        <v>95.583388266315097</v>
      </c>
      <c r="P108" s="49"/>
    </row>
    <row r="109" spans="1:16" ht="15" customHeight="1">
      <c r="A109" s="50">
        <v>103</v>
      </c>
      <c r="B109" s="51" t="s">
        <v>24</v>
      </c>
      <c r="C109" s="51" t="s">
        <v>21</v>
      </c>
      <c r="D109" s="51" t="s">
        <v>51</v>
      </c>
      <c r="E109" s="51" t="s">
        <v>52</v>
      </c>
      <c r="F109" s="51" t="s">
        <v>52</v>
      </c>
      <c r="G109" s="52">
        <v>372</v>
      </c>
      <c r="H109" s="52">
        <v>22</v>
      </c>
      <c r="I109" s="52">
        <v>2</v>
      </c>
      <c r="J109" s="53">
        <v>94.416243654822296</v>
      </c>
      <c r="K109" s="53">
        <f>G109+H109+I109</f>
        <v>396</v>
      </c>
      <c r="L109" s="54">
        <v>337</v>
      </c>
      <c r="M109" s="54">
        <v>20</v>
      </c>
      <c r="N109" s="54">
        <v>0</v>
      </c>
      <c r="O109" s="53">
        <v>94.397759103641405</v>
      </c>
      <c r="P109" s="55">
        <f>L109+M109+N109</f>
        <v>357</v>
      </c>
    </row>
    <row r="110" spans="1:16" ht="15" hidden="1" customHeight="1">
      <c r="A110" s="43">
        <v>104</v>
      </c>
      <c r="B110" s="44" t="s">
        <v>24</v>
      </c>
      <c r="C110" s="44" t="s">
        <v>21</v>
      </c>
      <c r="D110" s="44" t="s">
        <v>51</v>
      </c>
      <c r="E110" s="44" t="s">
        <v>52</v>
      </c>
      <c r="F110" s="45" t="s">
        <v>18</v>
      </c>
      <c r="G110" s="46"/>
      <c r="H110" s="46"/>
      <c r="I110" s="46"/>
      <c r="J110" s="47"/>
      <c r="K110" s="47"/>
      <c r="L110" s="48">
        <v>151</v>
      </c>
      <c r="M110" s="48">
        <v>7</v>
      </c>
      <c r="N110" s="48">
        <v>0</v>
      </c>
      <c r="O110" s="47">
        <v>95.569620253164601</v>
      </c>
      <c r="P110" s="49"/>
    </row>
    <row r="111" spans="1:16" ht="15" hidden="1" customHeight="1">
      <c r="A111" s="43">
        <v>105</v>
      </c>
      <c r="B111" s="44" t="s">
        <v>24</v>
      </c>
      <c r="C111" s="44" t="s">
        <v>21</v>
      </c>
      <c r="D111" s="44" t="s">
        <v>51</v>
      </c>
      <c r="E111" s="44" t="s">
        <v>52</v>
      </c>
      <c r="F111" s="45" t="s">
        <v>19</v>
      </c>
      <c r="G111" s="46">
        <v>372</v>
      </c>
      <c r="H111" s="46">
        <v>22</v>
      </c>
      <c r="I111" s="46">
        <v>2</v>
      </c>
      <c r="J111" s="47">
        <v>94.416243654822296</v>
      </c>
      <c r="K111" s="47"/>
      <c r="L111" s="48">
        <v>186</v>
      </c>
      <c r="M111" s="48">
        <v>13</v>
      </c>
      <c r="N111" s="48">
        <v>0</v>
      </c>
      <c r="O111" s="47">
        <v>93.467336683417102</v>
      </c>
      <c r="P111" s="49"/>
    </row>
    <row r="112" spans="1:16" ht="15" customHeight="1">
      <c r="A112" s="50">
        <v>106</v>
      </c>
      <c r="B112" s="51" t="s">
        <v>24</v>
      </c>
      <c r="C112" s="51" t="s">
        <v>21</v>
      </c>
      <c r="D112" s="51" t="s">
        <v>51</v>
      </c>
      <c r="E112" s="51" t="s">
        <v>53</v>
      </c>
      <c r="F112" s="51" t="s">
        <v>53</v>
      </c>
      <c r="G112" s="52">
        <v>1831</v>
      </c>
      <c r="H112" s="52">
        <v>315</v>
      </c>
      <c r="I112" s="52">
        <v>28</v>
      </c>
      <c r="J112" s="53">
        <v>85.321528424976705</v>
      </c>
      <c r="K112" s="53">
        <f>G112+H112+I112</f>
        <v>2174</v>
      </c>
      <c r="L112" s="54">
        <v>1235</v>
      </c>
      <c r="M112" s="54">
        <v>59</v>
      </c>
      <c r="N112" s="54">
        <v>4</v>
      </c>
      <c r="O112" s="53">
        <v>95.440494590417302</v>
      </c>
      <c r="P112" s="55">
        <f>L112+M112+N112</f>
        <v>1298</v>
      </c>
    </row>
    <row r="113" spans="1:16" ht="15" hidden="1" customHeight="1">
      <c r="A113" s="43">
        <v>107</v>
      </c>
      <c r="B113" s="44" t="s">
        <v>24</v>
      </c>
      <c r="C113" s="44" t="s">
        <v>21</v>
      </c>
      <c r="D113" s="44" t="s">
        <v>51</v>
      </c>
      <c r="E113" s="44" t="s">
        <v>53</v>
      </c>
      <c r="F113" s="45" t="s">
        <v>18</v>
      </c>
      <c r="G113" s="46">
        <v>271</v>
      </c>
      <c r="H113" s="46">
        <v>38</v>
      </c>
      <c r="I113" s="46">
        <v>2</v>
      </c>
      <c r="J113" s="47">
        <v>87.702265372168299</v>
      </c>
      <c r="K113" s="47"/>
      <c r="L113" s="48">
        <v>273</v>
      </c>
      <c r="M113" s="48">
        <v>9</v>
      </c>
      <c r="N113" s="48">
        <v>0</v>
      </c>
      <c r="O113" s="47">
        <v>96.808510638297903</v>
      </c>
      <c r="P113" s="49"/>
    </row>
    <row r="114" spans="1:16" ht="15" hidden="1" customHeight="1">
      <c r="A114" s="43">
        <v>108</v>
      </c>
      <c r="B114" s="44" t="s">
        <v>24</v>
      </c>
      <c r="C114" s="44" t="s">
        <v>21</v>
      </c>
      <c r="D114" s="44" t="s">
        <v>51</v>
      </c>
      <c r="E114" s="44" t="s">
        <v>53</v>
      </c>
      <c r="F114" s="45" t="s">
        <v>19</v>
      </c>
      <c r="G114" s="46">
        <v>1560</v>
      </c>
      <c r="H114" s="46">
        <v>277</v>
      </c>
      <c r="I114" s="46">
        <v>26</v>
      </c>
      <c r="J114" s="47">
        <v>84.921066956995105</v>
      </c>
      <c r="K114" s="47"/>
      <c r="L114" s="48">
        <v>962</v>
      </c>
      <c r="M114" s="48">
        <v>50</v>
      </c>
      <c r="N114" s="48">
        <v>4</v>
      </c>
      <c r="O114" s="47">
        <v>95.059288537549406</v>
      </c>
      <c r="P114" s="49"/>
    </row>
    <row r="115" spans="1:16" ht="15" customHeight="1">
      <c r="A115" s="50">
        <v>109</v>
      </c>
      <c r="B115" s="51" t="s">
        <v>24</v>
      </c>
      <c r="C115" s="51" t="s">
        <v>21</v>
      </c>
      <c r="D115" s="51" t="s">
        <v>51</v>
      </c>
      <c r="E115" s="51" t="s">
        <v>54</v>
      </c>
      <c r="F115" s="51" t="s">
        <v>54</v>
      </c>
      <c r="G115" s="52">
        <v>353</v>
      </c>
      <c r="H115" s="52">
        <v>31</v>
      </c>
      <c r="I115" s="52">
        <v>4</v>
      </c>
      <c r="J115" s="53">
        <v>91.9270833333333</v>
      </c>
      <c r="K115" s="53">
        <f>G115+H115+I115</f>
        <v>388</v>
      </c>
      <c r="L115" s="54">
        <v>302</v>
      </c>
      <c r="M115" s="54">
        <v>4</v>
      </c>
      <c r="N115" s="54">
        <v>3</v>
      </c>
      <c r="O115" s="53">
        <v>98.692810457516302</v>
      </c>
      <c r="P115" s="55">
        <f>L115+M115+N115</f>
        <v>309</v>
      </c>
    </row>
    <row r="116" spans="1:16" ht="15" hidden="1" customHeight="1">
      <c r="A116" s="43">
        <v>110</v>
      </c>
      <c r="B116" s="44" t="s">
        <v>24</v>
      </c>
      <c r="C116" s="44" t="s">
        <v>21</v>
      </c>
      <c r="D116" s="44" t="s">
        <v>51</v>
      </c>
      <c r="E116" s="44" t="s">
        <v>54</v>
      </c>
      <c r="F116" s="45" t="s">
        <v>18</v>
      </c>
      <c r="G116" s="46"/>
      <c r="H116" s="46"/>
      <c r="I116" s="46"/>
      <c r="J116" s="47"/>
      <c r="K116" s="47"/>
      <c r="L116" s="48"/>
      <c r="M116" s="48"/>
      <c r="N116" s="48"/>
      <c r="O116" s="47"/>
      <c r="P116" s="49"/>
    </row>
    <row r="117" spans="1:16" ht="15" hidden="1" customHeight="1">
      <c r="A117" s="43">
        <v>111</v>
      </c>
      <c r="B117" s="44" t="s">
        <v>24</v>
      </c>
      <c r="C117" s="44" t="s">
        <v>21</v>
      </c>
      <c r="D117" s="44" t="s">
        <v>51</v>
      </c>
      <c r="E117" s="44" t="s">
        <v>54</v>
      </c>
      <c r="F117" s="45" t="s">
        <v>19</v>
      </c>
      <c r="G117" s="46">
        <v>353</v>
      </c>
      <c r="H117" s="46">
        <v>31</v>
      </c>
      <c r="I117" s="46">
        <v>4</v>
      </c>
      <c r="J117" s="47">
        <v>91.9270833333333</v>
      </c>
      <c r="K117" s="47"/>
      <c r="L117" s="48">
        <v>302</v>
      </c>
      <c r="M117" s="48">
        <v>4</v>
      </c>
      <c r="N117" s="48">
        <v>3</v>
      </c>
      <c r="O117" s="47">
        <v>98.692810457516302</v>
      </c>
      <c r="P117" s="49"/>
    </row>
    <row r="118" spans="1:16" ht="15" hidden="1" customHeight="1">
      <c r="A118" s="37">
        <v>112</v>
      </c>
      <c r="B118" s="38" t="s">
        <v>22</v>
      </c>
      <c r="C118" s="38" t="s">
        <v>21</v>
      </c>
      <c r="D118" s="38" t="s">
        <v>55</v>
      </c>
      <c r="E118" s="38"/>
      <c r="F118" s="38" t="s">
        <v>55</v>
      </c>
      <c r="G118" s="39">
        <v>1984</v>
      </c>
      <c r="H118" s="39">
        <v>223</v>
      </c>
      <c r="I118" s="39">
        <v>26</v>
      </c>
      <c r="J118" s="40">
        <v>89.895786135024906</v>
      </c>
      <c r="K118" s="40"/>
      <c r="L118" s="41">
        <v>1456</v>
      </c>
      <c r="M118" s="41">
        <v>86</v>
      </c>
      <c r="N118" s="41">
        <v>10</v>
      </c>
      <c r="O118" s="40">
        <v>94.422827496757407</v>
      </c>
      <c r="P118" s="42"/>
    </row>
    <row r="119" spans="1:16" ht="15" hidden="1" customHeight="1">
      <c r="A119" s="43">
        <v>113</v>
      </c>
      <c r="B119" s="44" t="s">
        <v>22</v>
      </c>
      <c r="C119" s="44" t="s">
        <v>21</v>
      </c>
      <c r="D119" s="44" t="s">
        <v>55</v>
      </c>
      <c r="E119" s="44"/>
      <c r="F119" s="45" t="s">
        <v>18</v>
      </c>
      <c r="G119" s="46">
        <v>310</v>
      </c>
      <c r="H119" s="46">
        <v>27</v>
      </c>
      <c r="I119" s="46">
        <v>2</v>
      </c>
      <c r="J119" s="47">
        <v>91.988130563798194</v>
      </c>
      <c r="K119" s="47"/>
      <c r="L119" s="48">
        <v>240</v>
      </c>
      <c r="M119" s="48">
        <v>5</v>
      </c>
      <c r="N119" s="48">
        <v>0</v>
      </c>
      <c r="O119" s="47">
        <v>97.959183673469397</v>
      </c>
      <c r="P119" s="49"/>
    </row>
    <row r="120" spans="1:16" ht="15" hidden="1" customHeight="1">
      <c r="A120" s="43">
        <v>114</v>
      </c>
      <c r="B120" s="44" t="s">
        <v>22</v>
      </c>
      <c r="C120" s="44" t="s">
        <v>21</v>
      </c>
      <c r="D120" s="44" t="s">
        <v>55</v>
      </c>
      <c r="E120" s="44"/>
      <c r="F120" s="45" t="s">
        <v>19</v>
      </c>
      <c r="G120" s="46">
        <v>1674</v>
      </c>
      <c r="H120" s="46">
        <v>196</v>
      </c>
      <c r="I120" s="46">
        <v>24</v>
      </c>
      <c r="J120" s="47">
        <v>89.518716577540104</v>
      </c>
      <c r="K120" s="47"/>
      <c r="L120" s="48">
        <v>1216</v>
      </c>
      <c r="M120" s="48">
        <v>81</v>
      </c>
      <c r="N120" s="48">
        <v>10</v>
      </c>
      <c r="O120" s="47">
        <v>93.754818812644601</v>
      </c>
      <c r="P120" s="49"/>
    </row>
    <row r="121" spans="1:16" ht="15" customHeight="1">
      <c r="A121" s="50">
        <v>115</v>
      </c>
      <c r="B121" s="51" t="s">
        <v>24</v>
      </c>
      <c r="C121" s="51" t="s">
        <v>21</v>
      </c>
      <c r="D121" s="51" t="s">
        <v>55</v>
      </c>
      <c r="E121" s="51" t="s">
        <v>56</v>
      </c>
      <c r="F121" s="51" t="s">
        <v>56</v>
      </c>
      <c r="G121" s="52">
        <v>948</v>
      </c>
      <c r="H121" s="52">
        <v>126</v>
      </c>
      <c r="I121" s="52">
        <v>17</v>
      </c>
      <c r="J121" s="53">
        <v>88.268156424580994</v>
      </c>
      <c r="K121" s="53">
        <f>G121+H121+I121</f>
        <v>1091</v>
      </c>
      <c r="L121" s="54">
        <v>789</v>
      </c>
      <c r="M121" s="54">
        <v>23</v>
      </c>
      <c r="N121" s="54">
        <v>4</v>
      </c>
      <c r="O121" s="53">
        <v>97.167487684729096</v>
      </c>
      <c r="P121" s="55">
        <f>L121+M121+N121</f>
        <v>816</v>
      </c>
    </row>
    <row r="122" spans="1:16" ht="15" hidden="1" customHeight="1">
      <c r="A122" s="43">
        <v>116</v>
      </c>
      <c r="B122" s="44" t="s">
        <v>24</v>
      </c>
      <c r="C122" s="44" t="s">
        <v>21</v>
      </c>
      <c r="D122" s="44" t="s">
        <v>55</v>
      </c>
      <c r="E122" s="44" t="s">
        <v>56</v>
      </c>
      <c r="F122" s="45" t="s">
        <v>18</v>
      </c>
      <c r="G122" s="46">
        <v>310</v>
      </c>
      <c r="H122" s="46">
        <v>27</v>
      </c>
      <c r="I122" s="46">
        <v>2</v>
      </c>
      <c r="J122" s="47">
        <v>91.988130563798194</v>
      </c>
      <c r="K122" s="47"/>
      <c r="L122" s="48">
        <v>240</v>
      </c>
      <c r="M122" s="48">
        <v>5</v>
      </c>
      <c r="N122" s="48">
        <v>0</v>
      </c>
      <c r="O122" s="47">
        <v>97.959183673469397</v>
      </c>
      <c r="P122" s="49"/>
    </row>
    <row r="123" spans="1:16" ht="15" hidden="1" customHeight="1">
      <c r="A123" s="43">
        <v>117</v>
      </c>
      <c r="B123" s="44" t="s">
        <v>24</v>
      </c>
      <c r="C123" s="44" t="s">
        <v>21</v>
      </c>
      <c r="D123" s="44" t="s">
        <v>55</v>
      </c>
      <c r="E123" s="44" t="s">
        <v>56</v>
      </c>
      <c r="F123" s="45" t="s">
        <v>19</v>
      </c>
      <c r="G123" s="46">
        <v>638</v>
      </c>
      <c r="H123" s="46">
        <v>99</v>
      </c>
      <c r="I123" s="46">
        <v>15</v>
      </c>
      <c r="J123" s="47">
        <v>86.567164179104495</v>
      </c>
      <c r="K123" s="47"/>
      <c r="L123" s="48">
        <v>549</v>
      </c>
      <c r="M123" s="48">
        <v>18</v>
      </c>
      <c r="N123" s="48">
        <v>4</v>
      </c>
      <c r="O123" s="47">
        <v>96.825396825396794</v>
      </c>
      <c r="P123" s="49"/>
    </row>
    <row r="124" spans="1:16" ht="15" customHeight="1">
      <c r="A124" s="50">
        <v>118</v>
      </c>
      <c r="B124" s="51" t="s">
        <v>24</v>
      </c>
      <c r="C124" s="51" t="s">
        <v>21</v>
      </c>
      <c r="D124" s="51" t="s">
        <v>55</v>
      </c>
      <c r="E124" s="51" t="s">
        <v>57</v>
      </c>
      <c r="F124" s="51" t="s">
        <v>57</v>
      </c>
      <c r="G124" s="52">
        <v>270</v>
      </c>
      <c r="H124" s="52">
        <v>34</v>
      </c>
      <c r="I124" s="52">
        <v>1</v>
      </c>
      <c r="J124" s="53">
        <v>88.815789473684205</v>
      </c>
      <c r="K124" s="53">
        <f>G124+H124+I124</f>
        <v>305</v>
      </c>
      <c r="L124" s="54">
        <v>201</v>
      </c>
      <c r="M124" s="54">
        <v>8</v>
      </c>
      <c r="N124" s="54">
        <v>0</v>
      </c>
      <c r="O124" s="53">
        <v>96.172248803827799</v>
      </c>
      <c r="P124" s="55">
        <f>L124+M124+N124</f>
        <v>209</v>
      </c>
    </row>
    <row r="125" spans="1:16" ht="15" hidden="1" customHeight="1">
      <c r="A125" s="43">
        <v>119</v>
      </c>
      <c r="B125" s="44" t="s">
        <v>24</v>
      </c>
      <c r="C125" s="44" t="s">
        <v>21</v>
      </c>
      <c r="D125" s="44" t="s">
        <v>55</v>
      </c>
      <c r="E125" s="44" t="s">
        <v>57</v>
      </c>
      <c r="F125" s="45" t="s">
        <v>18</v>
      </c>
      <c r="G125" s="46"/>
      <c r="H125" s="46"/>
      <c r="I125" s="46"/>
      <c r="J125" s="47"/>
      <c r="K125" s="47"/>
      <c r="L125" s="48"/>
      <c r="M125" s="48"/>
      <c r="N125" s="48"/>
      <c r="O125" s="47"/>
      <c r="P125" s="49"/>
    </row>
    <row r="126" spans="1:16" ht="15" hidden="1" customHeight="1">
      <c r="A126" s="43">
        <v>120</v>
      </c>
      <c r="B126" s="44" t="s">
        <v>24</v>
      </c>
      <c r="C126" s="44" t="s">
        <v>21</v>
      </c>
      <c r="D126" s="44" t="s">
        <v>55</v>
      </c>
      <c r="E126" s="44" t="s">
        <v>57</v>
      </c>
      <c r="F126" s="45" t="s">
        <v>19</v>
      </c>
      <c r="G126" s="46">
        <v>270</v>
      </c>
      <c r="H126" s="46">
        <v>34</v>
      </c>
      <c r="I126" s="46">
        <v>1</v>
      </c>
      <c r="J126" s="47">
        <v>88.815789473684205</v>
      </c>
      <c r="K126" s="47"/>
      <c r="L126" s="48">
        <v>201</v>
      </c>
      <c r="M126" s="48">
        <v>8</v>
      </c>
      <c r="N126" s="48">
        <v>0</v>
      </c>
      <c r="O126" s="47">
        <v>96.172248803827799</v>
      </c>
      <c r="P126" s="49"/>
    </row>
    <row r="127" spans="1:16" ht="15" customHeight="1">
      <c r="A127" s="50">
        <v>121</v>
      </c>
      <c r="B127" s="51" t="s">
        <v>24</v>
      </c>
      <c r="C127" s="51" t="s">
        <v>21</v>
      </c>
      <c r="D127" s="51" t="s">
        <v>55</v>
      </c>
      <c r="E127" s="51" t="s">
        <v>58</v>
      </c>
      <c r="F127" s="51" t="s">
        <v>58</v>
      </c>
      <c r="G127" s="52">
        <v>766</v>
      </c>
      <c r="H127" s="52">
        <v>63</v>
      </c>
      <c r="I127" s="52">
        <v>8</v>
      </c>
      <c r="J127" s="53">
        <v>92.400482509046995</v>
      </c>
      <c r="K127" s="53">
        <f>G127+H127+I127</f>
        <v>837</v>
      </c>
      <c r="L127" s="54">
        <v>466</v>
      </c>
      <c r="M127" s="54">
        <v>55</v>
      </c>
      <c r="N127" s="54">
        <v>6</v>
      </c>
      <c r="O127" s="53">
        <v>89.443378119001906</v>
      </c>
      <c r="P127" s="55">
        <f>L127+M127+N127</f>
        <v>527</v>
      </c>
    </row>
    <row r="128" spans="1:16" ht="15" hidden="1" customHeight="1">
      <c r="A128" s="43">
        <v>122</v>
      </c>
      <c r="B128" s="44" t="s">
        <v>24</v>
      </c>
      <c r="C128" s="44" t="s">
        <v>21</v>
      </c>
      <c r="D128" s="44" t="s">
        <v>55</v>
      </c>
      <c r="E128" s="44" t="s">
        <v>58</v>
      </c>
      <c r="F128" s="45" t="s">
        <v>18</v>
      </c>
      <c r="G128" s="46"/>
      <c r="H128" s="46"/>
      <c r="I128" s="46"/>
      <c r="J128" s="47"/>
      <c r="K128" s="47"/>
      <c r="L128" s="48"/>
      <c r="M128" s="48"/>
      <c r="N128" s="48"/>
      <c r="O128" s="47"/>
      <c r="P128" s="49"/>
    </row>
    <row r="129" spans="1:16" ht="15" hidden="1" customHeight="1">
      <c r="A129" s="43">
        <v>123</v>
      </c>
      <c r="B129" s="44" t="s">
        <v>24</v>
      </c>
      <c r="C129" s="44" t="s">
        <v>21</v>
      </c>
      <c r="D129" s="44" t="s">
        <v>55</v>
      </c>
      <c r="E129" s="44" t="s">
        <v>58</v>
      </c>
      <c r="F129" s="45" t="s">
        <v>19</v>
      </c>
      <c r="G129" s="46">
        <v>766</v>
      </c>
      <c r="H129" s="46">
        <v>63</v>
      </c>
      <c r="I129" s="46">
        <v>8</v>
      </c>
      <c r="J129" s="47">
        <v>92.400482509046995</v>
      </c>
      <c r="K129" s="47"/>
      <c r="L129" s="48">
        <v>466</v>
      </c>
      <c r="M129" s="48">
        <v>55</v>
      </c>
      <c r="N129" s="48">
        <v>6</v>
      </c>
      <c r="O129" s="47">
        <v>89.443378119001906</v>
      </c>
      <c r="P129" s="49"/>
    </row>
    <row r="130" spans="1:16" ht="15" hidden="1" customHeight="1">
      <c r="A130" s="25">
        <v>124</v>
      </c>
      <c r="B130" s="26" t="s">
        <v>20</v>
      </c>
      <c r="C130" s="26" t="s">
        <v>59</v>
      </c>
      <c r="D130" s="26"/>
      <c r="E130" s="26"/>
      <c r="F130" s="26" t="s">
        <v>59</v>
      </c>
      <c r="G130" s="27">
        <v>241372</v>
      </c>
      <c r="H130" s="27">
        <v>19160</v>
      </c>
      <c r="I130" s="27">
        <v>1971</v>
      </c>
      <c r="J130" s="28">
        <v>92.645817020557899</v>
      </c>
      <c r="K130" s="28">
        <f>G130+H130+I130</f>
        <v>262503</v>
      </c>
      <c r="L130" s="29">
        <v>196901</v>
      </c>
      <c r="M130" s="29">
        <v>5496</v>
      </c>
      <c r="N130" s="29">
        <v>1437</v>
      </c>
      <c r="O130" s="28">
        <v>97.284544731394206</v>
      </c>
      <c r="P130" s="30">
        <f>L130+M130+N130</f>
        <v>203834</v>
      </c>
    </row>
    <row r="131" spans="1:16" ht="15" hidden="1" customHeight="1">
      <c r="A131" s="31">
        <v>125</v>
      </c>
      <c r="B131" s="32" t="s">
        <v>20</v>
      </c>
      <c r="C131" s="56" t="s">
        <v>59</v>
      </c>
      <c r="D131" s="56"/>
      <c r="E131" s="56"/>
      <c r="F131" s="32" t="s">
        <v>18</v>
      </c>
      <c r="G131" s="33">
        <v>165452</v>
      </c>
      <c r="H131" s="33">
        <v>10482</v>
      </c>
      <c r="I131" s="33">
        <v>1191</v>
      </c>
      <c r="J131" s="34">
        <v>94.042083963304407</v>
      </c>
      <c r="K131" s="34"/>
      <c r="L131" s="35">
        <v>123356</v>
      </c>
      <c r="M131" s="35">
        <v>2635</v>
      </c>
      <c r="N131" s="35">
        <v>605</v>
      </c>
      <c r="O131" s="34">
        <v>97.908580771642406</v>
      </c>
      <c r="P131" s="36"/>
    </row>
    <row r="132" spans="1:16" ht="15" hidden="1" customHeight="1">
      <c r="A132" s="31">
        <v>126</v>
      </c>
      <c r="B132" s="32" t="s">
        <v>20</v>
      </c>
      <c r="C132" s="56" t="s">
        <v>59</v>
      </c>
      <c r="D132" s="56"/>
      <c r="E132" s="56"/>
      <c r="F132" s="32" t="s">
        <v>19</v>
      </c>
      <c r="G132" s="33">
        <v>75920</v>
      </c>
      <c r="H132" s="33">
        <v>8678</v>
      </c>
      <c r="I132" s="33">
        <v>780</v>
      </c>
      <c r="J132" s="34">
        <v>89.742074280715897</v>
      </c>
      <c r="K132" s="34"/>
      <c r="L132" s="35">
        <v>73545</v>
      </c>
      <c r="M132" s="35">
        <v>2861</v>
      </c>
      <c r="N132" s="35">
        <v>832</v>
      </c>
      <c r="O132" s="34">
        <v>96.255529670444702</v>
      </c>
      <c r="P132" s="36"/>
    </row>
    <row r="133" spans="1:16" ht="15" hidden="1" customHeight="1">
      <c r="A133" s="37">
        <v>127</v>
      </c>
      <c r="B133" s="38" t="s">
        <v>22</v>
      </c>
      <c r="C133" s="57" t="s">
        <v>59</v>
      </c>
      <c r="D133" s="57" t="s">
        <v>60</v>
      </c>
      <c r="E133" s="57"/>
      <c r="F133" s="38" t="s">
        <v>60</v>
      </c>
      <c r="G133" s="39">
        <v>150373</v>
      </c>
      <c r="H133" s="39">
        <v>9362</v>
      </c>
      <c r="I133" s="39">
        <v>1055</v>
      </c>
      <c r="J133" s="40">
        <v>94.139042789620305</v>
      </c>
      <c r="K133" s="40"/>
      <c r="L133" s="41">
        <v>105130</v>
      </c>
      <c r="M133" s="41">
        <v>1954</v>
      </c>
      <c r="N133" s="41">
        <v>474</v>
      </c>
      <c r="O133" s="40">
        <v>98.175264278510298</v>
      </c>
      <c r="P133" s="42"/>
    </row>
    <row r="134" spans="1:16" ht="15" hidden="1" customHeight="1">
      <c r="A134" s="43">
        <v>128</v>
      </c>
      <c r="B134" s="44" t="s">
        <v>22</v>
      </c>
      <c r="C134" s="44" t="s">
        <v>59</v>
      </c>
      <c r="D134" s="44" t="s">
        <v>60</v>
      </c>
      <c r="E134" s="44"/>
      <c r="F134" s="45" t="s">
        <v>18</v>
      </c>
      <c r="G134" s="46">
        <v>146718</v>
      </c>
      <c r="H134" s="46">
        <v>8972</v>
      </c>
      <c r="I134" s="46">
        <v>1015</v>
      </c>
      <c r="J134" s="47">
        <v>94.237266362643695</v>
      </c>
      <c r="K134" s="47"/>
      <c r="L134" s="48">
        <v>101159</v>
      </c>
      <c r="M134" s="48">
        <v>1854</v>
      </c>
      <c r="N134" s="48">
        <v>426</v>
      </c>
      <c r="O134" s="47">
        <v>98.200227155795901</v>
      </c>
      <c r="P134" s="49"/>
    </row>
    <row r="135" spans="1:16" ht="15" hidden="1" customHeight="1">
      <c r="A135" s="43">
        <v>129</v>
      </c>
      <c r="B135" s="44" t="s">
        <v>22</v>
      </c>
      <c r="C135" s="44" t="s">
        <v>59</v>
      </c>
      <c r="D135" s="44" t="s">
        <v>60</v>
      </c>
      <c r="E135" s="44"/>
      <c r="F135" s="45" t="s">
        <v>19</v>
      </c>
      <c r="G135" s="46">
        <v>3655</v>
      </c>
      <c r="H135" s="46">
        <v>390</v>
      </c>
      <c r="I135" s="46">
        <v>40</v>
      </c>
      <c r="J135" s="47">
        <v>90.358467243510503</v>
      </c>
      <c r="K135" s="47"/>
      <c r="L135" s="48">
        <v>3971</v>
      </c>
      <c r="M135" s="48">
        <v>100</v>
      </c>
      <c r="N135" s="48">
        <v>48</v>
      </c>
      <c r="O135" s="47">
        <v>97.543601080815506</v>
      </c>
      <c r="P135" s="49"/>
    </row>
    <row r="136" spans="1:16" ht="15" customHeight="1">
      <c r="A136" s="50">
        <v>130</v>
      </c>
      <c r="B136" s="51" t="s">
        <v>24</v>
      </c>
      <c r="C136" s="51" t="s">
        <v>59</v>
      </c>
      <c r="D136" s="51" t="s">
        <v>60</v>
      </c>
      <c r="E136" s="51" t="s">
        <v>61</v>
      </c>
      <c r="F136" s="51" t="s">
        <v>61</v>
      </c>
      <c r="G136" s="52">
        <v>59958</v>
      </c>
      <c r="H136" s="52">
        <v>2649</v>
      </c>
      <c r="I136" s="52">
        <v>381</v>
      </c>
      <c r="J136" s="53">
        <v>95.768843739517905</v>
      </c>
      <c r="K136" s="53">
        <f>G136+H136+I136</f>
        <v>62988</v>
      </c>
      <c r="L136" s="54">
        <v>36597</v>
      </c>
      <c r="M136" s="54">
        <v>571</v>
      </c>
      <c r="N136" s="54">
        <v>130</v>
      </c>
      <c r="O136" s="53">
        <v>98.463732242789504</v>
      </c>
      <c r="P136" s="55">
        <f>L136+M136+N136</f>
        <v>37298</v>
      </c>
    </row>
    <row r="137" spans="1:16" ht="15" hidden="1" customHeight="1">
      <c r="A137" s="43">
        <v>131</v>
      </c>
      <c r="B137" s="44" t="s">
        <v>24</v>
      </c>
      <c r="C137" s="44" t="s">
        <v>59</v>
      </c>
      <c r="D137" s="44" t="s">
        <v>60</v>
      </c>
      <c r="E137" s="44" t="s">
        <v>61</v>
      </c>
      <c r="F137" s="45" t="s">
        <v>18</v>
      </c>
      <c r="G137" s="46">
        <v>59362</v>
      </c>
      <c r="H137" s="46">
        <v>2619</v>
      </c>
      <c r="I137" s="46">
        <v>372</v>
      </c>
      <c r="J137" s="47">
        <v>95.7745115438602</v>
      </c>
      <c r="K137" s="47"/>
      <c r="L137" s="48">
        <v>36136</v>
      </c>
      <c r="M137" s="48">
        <v>566</v>
      </c>
      <c r="N137" s="48">
        <v>128</v>
      </c>
      <c r="O137" s="47">
        <v>98.457849708462703</v>
      </c>
      <c r="P137" s="49"/>
    </row>
    <row r="138" spans="1:16" ht="15" hidden="1" customHeight="1">
      <c r="A138" s="43">
        <v>132</v>
      </c>
      <c r="B138" s="44" t="s">
        <v>24</v>
      </c>
      <c r="C138" s="44" t="s">
        <v>59</v>
      </c>
      <c r="D138" s="44" t="s">
        <v>60</v>
      </c>
      <c r="E138" s="44" t="s">
        <v>61</v>
      </c>
      <c r="F138" s="45" t="s">
        <v>19</v>
      </c>
      <c r="G138" s="46">
        <v>596</v>
      </c>
      <c r="H138" s="46">
        <v>30</v>
      </c>
      <c r="I138" s="46">
        <v>9</v>
      </c>
      <c r="J138" s="47">
        <v>95.2076677316294</v>
      </c>
      <c r="K138" s="47"/>
      <c r="L138" s="48">
        <v>461</v>
      </c>
      <c r="M138" s="48">
        <v>5</v>
      </c>
      <c r="N138" s="48">
        <v>2</v>
      </c>
      <c r="O138" s="47">
        <v>98.927038626609402</v>
      </c>
      <c r="P138" s="49"/>
    </row>
    <row r="139" spans="1:16" ht="15" customHeight="1">
      <c r="A139" s="50">
        <v>133</v>
      </c>
      <c r="B139" s="51" t="s">
        <v>24</v>
      </c>
      <c r="C139" s="58" t="s">
        <v>59</v>
      </c>
      <c r="D139" s="58" t="s">
        <v>60</v>
      </c>
      <c r="E139" s="58" t="s">
        <v>62</v>
      </c>
      <c r="F139" s="59" t="s">
        <v>62</v>
      </c>
      <c r="G139" s="52">
        <v>1448</v>
      </c>
      <c r="H139" s="52">
        <v>224</v>
      </c>
      <c r="I139" s="52">
        <v>12</v>
      </c>
      <c r="J139" s="53">
        <v>86.602870813397104</v>
      </c>
      <c r="K139" s="53">
        <f>G139+H139+I139</f>
        <v>1684</v>
      </c>
      <c r="L139" s="54">
        <v>1707</v>
      </c>
      <c r="M139" s="54">
        <v>60</v>
      </c>
      <c r="N139" s="54">
        <v>36</v>
      </c>
      <c r="O139" s="53">
        <v>96.604414261460093</v>
      </c>
      <c r="P139" s="55">
        <f>L139+M139+N139</f>
        <v>1803</v>
      </c>
    </row>
    <row r="140" spans="1:16" ht="15" hidden="1" customHeight="1">
      <c r="A140" s="43">
        <v>134</v>
      </c>
      <c r="B140" s="44" t="s">
        <v>24</v>
      </c>
      <c r="C140" s="44" t="s">
        <v>59</v>
      </c>
      <c r="D140" s="44" t="s">
        <v>60</v>
      </c>
      <c r="E140" s="44" t="s">
        <v>62</v>
      </c>
      <c r="F140" s="45" t="s">
        <v>18</v>
      </c>
      <c r="G140" s="46"/>
      <c r="H140" s="46"/>
      <c r="I140" s="46"/>
      <c r="J140" s="47"/>
      <c r="K140" s="47"/>
      <c r="L140" s="48"/>
      <c r="M140" s="48"/>
      <c r="N140" s="48"/>
      <c r="O140" s="47"/>
      <c r="P140" s="49"/>
    </row>
    <row r="141" spans="1:16" ht="15" hidden="1" customHeight="1">
      <c r="A141" s="43">
        <v>135</v>
      </c>
      <c r="B141" s="44" t="s">
        <v>24</v>
      </c>
      <c r="C141" s="44" t="s">
        <v>59</v>
      </c>
      <c r="D141" s="44" t="s">
        <v>60</v>
      </c>
      <c r="E141" s="44" t="s">
        <v>62</v>
      </c>
      <c r="F141" s="45" t="s">
        <v>19</v>
      </c>
      <c r="G141" s="46">
        <v>1448</v>
      </c>
      <c r="H141" s="46">
        <v>224</v>
      </c>
      <c r="I141" s="46">
        <v>12</v>
      </c>
      <c r="J141" s="47">
        <v>86.602870813397104</v>
      </c>
      <c r="K141" s="47"/>
      <c r="L141" s="48">
        <v>1707</v>
      </c>
      <c r="M141" s="48">
        <v>60</v>
      </c>
      <c r="N141" s="48">
        <v>36</v>
      </c>
      <c r="O141" s="47">
        <v>96.604414261460093</v>
      </c>
      <c r="P141" s="49"/>
    </row>
    <row r="142" spans="1:16" ht="15" customHeight="1">
      <c r="A142" s="50">
        <v>136</v>
      </c>
      <c r="B142" s="51" t="s">
        <v>24</v>
      </c>
      <c r="C142" s="58" t="s">
        <v>59</v>
      </c>
      <c r="D142" s="58" t="s">
        <v>60</v>
      </c>
      <c r="E142" s="58" t="s">
        <v>63</v>
      </c>
      <c r="F142" s="59" t="s">
        <v>63</v>
      </c>
      <c r="G142" s="52">
        <v>1217</v>
      </c>
      <c r="H142" s="52">
        <v>95</v>
      </c>
      <c r="I142" s="52">
        <v>14</v>
      </c>
      <c r="J142" s="53">
        <v>92.759146341463406</v>
      </c>
      <c r="K142" s="53">
        <f>G142+H142+I142</f>
        <v>1326</v>
      </c>
      <c r="L142" s="54">
        <v>1270</v>
      </c>
      <c r="M142" s="54">
        <v>20</v>
      </c>
      <c r="N142" s="54">
        <v>7</v>
      </c>
      <c r="O142" s="53">
        <v>98.449612403100801</v>
      </c>
      <c r="P142" s="55">
        <f>L142+M142+N142</f>
        <v>1297</v>
      </c>
    </row>
    <row r="143" spans="1:16" ht="15" hidden="1" customHeight="1">
      <c r="A143" s="43">
        <v>137</v>
      </c>
      <c r="B143" s="44" t="s">
        <v>24</v>
      </c>
      <c r="C143" s="44" t="s">
        <v>59</v>
      </c>
      <c r="D143" s="44" t="s">
        <v>60</v>
      </c>
      <c r="E143" s="44" t="s">
        <v>63</v>
      </c>
      <c r="F143" s="45" t="s">
        <v>18</v>
      </c>
      <c r="G143" s="46"/>
      <c r="H143" s="46"/>
      <c r="I143" s="46"/>
      <c r="J143" s="47"/>
      <c r="K143" s="47"/>
      <c r="L143" s="48"/>
      <c r="M143" s="48"/>
      <c r="N143" s="48"/>
      <c r="O143" s="47"/>
      <c r="P143" s="49"/>
    </row>
    <row r="144" spans="1:16" ht="15" hidden="1" customHeight="1">
      <c r="A144" s="43">
        <v>138</v>
      </c>
      <c r="B144" s="44" t="s">
        <v>24</v>
      </c>
      <c r="C144" s="44" t="s">
        <v>59</v>
      </c>
      <c r="D144" s="44" t="s">
        <v>60</v>
      </c>
      <c r="E144" s="44" t="s">
        <v>63</v>
      </c>
      <c r="F144" s="45" t="s">
        <v>19</v>
      </c>
      <c r="G144" s="46">
        <v>1217</v>
      </c>
      <c r="H144" s="46">
        <v>95</v>
      </c>
      <c r="I144" s="46">
        <v>14</v>
      </c>
      <c r="J144" s="47">
        <v>92.759146341463406</v>
      </c>
      <c r="K144" s="47"/>
      <c r="L144" s="48">
        <v>1270</v>
      </c>
      <c r="M144" s="48">
        <v>20</v>
      </c>
      <c r="N144" s="48">
        <v>7</v>
      </c>
      <c r="O144" s="47">
        <v>98.449612403100801</v>
      </c>
      <c r="P144" s="49"/>
    </row>
    <row r="145" spans="1:16" ht="15" customHeight="1">
      <c r="A145" s="50">
        <v>139</v>
      </c>
      <c r="B145" s="51" t="s">
        <v>24</v>
      </c>
      <c r="C145" s="58" t="s">
        <v>59</v>
      </c>
      <c r="D145" s="58" t="s">
        <v>60</v>
      </c>
      <c r="E145" s="58" t="s">
        <v>64</v>
      </c>
      <c r="F145" s="59" t="s">
        <v>64</v>
      </c>
      <c r="G145" s="52">
        <v>1955</v>
      </c>
      <c r="H145" s="52">
        <v>142</v>
      </c>
      <c r="I145" s="52">
        <v>21</v>
      </c>
      <c r="J145" s="53">
        <v>93.228421554601795</v>
      </c>
      <c r="K145" s="53">
        <f>G145+H145+I145</f>
        <v>2118</v>
      </c>
      <c r="L145" s="54">
        <v>3204</v>
      </c>
      <c r="M145" s="54">
        <v>46</v>
      </c>
      <c r="N145" s="54">
        <v>14</v>
      </c>
      <c r="O145" s="53">
        <v>98.584615384615404</v>
      </c>
      <c r="P145" s="55">
        <f>L145+M145+N145</f>
        <v>3264</v>
      </c>
    </row>
    <row r="146" spans="1:16" ht="15" hidden="1" customHeight="1">
      <c r="A146" s="43">
        <v>140</v>
      </c>
      <c r="B146" s="44" t="s">
        <v>24</v>
      </c>
      <c r="C146" s="44" t="s">
        <v>59</v>
      </c>
      <c r="D146" s="44" t="s">
        <v>60</v>
      </c>
      <c r="E146" s="44" t="s">
        <v>64</v>
      </c>
      <c r="F146" s="45" t="s">
        <v>18</v>
      </c>
      <c r="G146" s="46">
        <v>1668</v>
      </c>
      <c r="H146" s="46">
        <v>120</v>
      </c>
      <c r="I146" s="46">
        <v>16</v>
      </c>
      <c r="J146" s="47">
        <v>93.288590604026894</v>
      </c>
      <c r="K146" s="47"/>
      <c r="L146" s="48">
        <v>2710</v>
      </c>
      <c r="M146" s="48">
        <v>33</v>
      </c>
      <c r="N146" s="48">
        <v>11</v>
      </c>
      <c r="O146" s="47">
        <v>98.796937659496905</v>
      </c>
      <c r="P146" s="49"/>
    </row>
    <row r="147" spans="1:16" ht="15" hidden="1" customHeight="1">
      <c r="A147" s="43">
        <v>141</v>
      </c>
      <c r="B147" s="44" t="s">
        <v>24</v>
      </c>
      <c r="C147" s="44" t="s">
        <v>59</v>
      </c>
      <c r="D147" s="44" t="s">
        <v>60</v>
      </c>
      <c r="E147" s="44" t="s">
        <v>64</v>
      </c>
      <c r="F147" s="45" t="s">
        <v>19</v>
      </c>
      <c r="G147" s="46">
        <v>287</v>
      </c>
      <c r="H147" s="46">
        <v>22</v>
      </c>
      <c r="I147" s="46">
        <v>5</v>
      </c>
      <c r="J147" s="47">
        <v>92.880258899676406</v>
      </c>
      <c r="K147" s="47"/>
      <c r="L147" s="48">
        <v>494</v>
      </c>
      <c r="M147" s="48">
        <v>13</v>
      </c>
      <c r="N147" s="48">
        <v>3</v>
      </c>
      <c r="O147" s="47">
        <v>97.435897435897402</v>
      </c>
      <c r="P147" s="49"/>
    </row>
    <row r="148" spans="1:16" ht="15" customHeight="1">
      <c r="A148" s="50">
        <v>142</v>
      </c>
      <c r="B148" s="51" t="s">
        <v>24</v>
      </c>
      <c r="C148" s="58" t="s">
        <v>59</v>
      </c>
      <c r="D148" s="58" t="s">
        <v>60</v>
      </c>
      <c r="E148" s="58" t="s">
        <v>65</v>
      </c>
      <c r="F148" s="59" t="s">
        <v>65</v>
      </c>
      <c r="G148" s="52">
        <v>85795</v>
      </c>
      <c r="H148" s="52">
        <v>6252</v>
      </c>
      <c r="I148" s="52">
        <v>627</v>
      </c>
      <c r="J148" s="53">
        <v>93.207817745282298</v>
      </c>
      <c r="K148" s="53">
        <f>G148+H148+I148</f>
        <v>92674</v>
      </c>
      <c r="L148" s="54">
        <v>62352</v>
      </c>
      <c r="M148" s="54">
        <v>1257</v>
      </c>
      <c r="N148" s="54">
        <v>287</v>
      </c>
      <c r="O148" s="53">
        <v>98.023864547469699</v>
      </c>
      <c r="P148" s="55">
        <f>L148+M148+N148</f>
        <v>63896</v>
      </c>
    </row>
    <row r="149" spans="1:16" ht="15" hidden="1" customHeight="1">
      <c r="A149" s="43">
        <v>143</v>
      </c>
      <c r="B149" s="44" t="s">
        <v>24</v>
      </c>
      <c r="C149" s="44" t="s">
        <v>59</v>
      </c>
      <c r="D149" s="44" t="s">
        <v>60</v>
      </c>
      <c r="E149" s="44" t="s">
        <v>65</v>
      </c>
      <c r="F149" s="45" t="s">
        <v>18</v>
      </c>
      <c r="G149" s="46">
        <v>85688</v>
      </c>
      <c r="H149" s="46">
        <v>6233</v>
      </c>
      <c r="I149" s="46">
        <v>627</v>
      </c>
      <c r="J149" s="47">
        <v>93.219177337061197</v>
      </c>
      <c r="K149" s="47"/>
      <c r="L149" s="48">
        <v>62313</v>
      </c>
      <c r="M149" s="48">
        <v>1255</v>
      </c>
      <c r="N149" s="48">
        <v>287</v>
      </c>
      <c r="O149" s="47">
        <v>98.025736219481502</v>
      </c>
      <c r="P149" s="49"/>
    </row>
    <row r="150" spans="1:16" ht="15" hidden="1" customHeight="1">
      <c r="A150" s="43">
        <v>144</v>
      </c>
      <c r="B150" s="44" t="s">
        <v>24</v>
      </c>
      <c r="C150" s="44" t="s">
        <v>59</v>
      </c>
      <c r="D150" s="44" t="s">
        <v>60</v>
      </c>
      <c r="E150" s="44" t="s">
        <v>65</v>
      </c>
      <c r="F150" s="45" t="s">
        <v>19</v>
      </c>
      <c r="G150" s="46">
        <v>107</v>
      </c>
      <c r="H150" s="46">
        <v>19</v>
      </c>
      <c r="I150" s="46">
        <v>0</v>
      </c>
      <c r="J150" s="47">
        <v>84.920634920634896</v>
      </c>
      <c r="K150" s="47"/>
      <c r="L150" s="48">
        <v>39</v>
      </c>
      <c r="M150" s="48">
        <v>2</v>
      </c>
      <c r="N150" s="48">
        <v>0</v>
      </c>
      <c r="O150" s="47">
        <v>95.121951219512198</v>
      </c>
      <c r="P150" s="49"/>
    </row>
    <row r="151" spans="1:16" ht="15" hidden="1" customHeight="1">
      <c r="A151" s="37">
        <v>145</v>
      </c>
      <c r="B151" s="38" t="s">
        <v>22</v>
      </c>
      <c r="C151" s="57" t="s">
        <v>59</v>
      </c>
      <c r="D151" s="57" t="s">
        <v>66</v>
      </c>
      <c r="E151" s="57"/>
      <c r="F151" s="38" t="s">
        <v>66</v>
      </c>
      <c r="G151" s="39">
        <v>6052</v>
      </c>
      <c r="H151" s="39">
        <v>436</v>
      </c>
      <c r="I151" s="39">
        <v>55</v>
      </c>
      <c r="J151" s="40">
        <v>93.279901356350194</v>
      </c>
      <c r="K151" s="40"/>
      <c r="L151" s="41">
        <v>5308</v>
      </c>
      <c r="M151" s="41">
        <v>113</v>
      </c>
      <c r="N151" s="41">
        <v>53</v>
      </c>
      <c r="O151" s="40">
        <v>97.9155137428519</v>
      </c>
      <c r="P151" s="42"/>
    </row>
    <row r="152" spans="1:16" ht="15" hidden="1" customHeight="1">
      <c r="A152" s="43">
        <v>146</v>
      </c>
      <c r="B152" s="44" t="s">
        <v>22</v>
      </c>
      <c r="C152" s="44" t="s">
        <v>59</v>
      </c>
      <c r="D152" s="44" t="s">
        <v>66</v>
      </c>
      <c r="E152" s="44"/>
      <c r="F152" s="45" t="s">
        <v>18</v>
      </c>
      <c r="G152" s="46">
        <v>806</v>
      </c>
      <c r="H152" s="46">
        <v>53</v>
      </c>
      <c r="I152" s="46">
        <v>13</v>
      </c>
      <c r="J152" s="47">
        <v>93.830034924330604</v>
      </c>
      <c r="K152" s="47"/>
      <c r="L152" s="48">
        <v>603</v>
      </c>
      <c r="M152" s="48">
        <v>15</v>
      </c>
      <c r="N152" s="48">
        <v>0</v>
      </c>
      <c r="O152" s="47">
        <v>97.572815533980602</v>
      </c>
      <c r="P152" s="49"/>
    </row>
    <row r="153" spans="1:16" ht="15" hidden="1" customHeight="1">
      <c r="A153" s="43">
        <v>147</v>
      </c>
      <c r="B153" s="44" t="s">
        <v>22</v>
      </c>
      <c r="C153" s="44" t="s">
        <v>59</v>
      </c>
      <c r="D153" s="44" t="s">
        <v>66</v>
      </c>
      <c r="E153" s="44"/>
      <c r="F153" s="45" t="s">
        <v>19</v>
      </c>
      <c r="G153" s="46">
        <v>5246</v>
      </c>
      <c r="H153" s="46">
        <v>383</v>
      </c>
      <c r="I153" s="46">
        <v>42</v>
      </c>
      <c r="J153" s="47">
        <v>93.1959495469888</v>
      </c>
      <c r="K153" s="47"/>
      <c r="L153" s="48">
        <v>4705</v>
      </c>
      <c r="M153" s="48">
        <v>98</v>
      </c>
      <c r="N153" s="48">
        <v>53</v>
      </c>
      <c r="O153" s="47">
        <v>97.959608577972105</v>
      </c>
      <c r="P153" s="49"/>
    </row>
    <row r="154" spans="1:16" ht="15" customHeight="1">
      <c r="A154" s="50">
        <v>148</v>
      </c>
      <c r="B154" s="51" t="s">
        <v>24</v>
      </c>
      <c r="C154" s="58" t="s">
        <v>59</v>
      </c>
      <c r="D154" s="58" t="s">
        <v>66</v>
      </c>
      <c r="E154" s="58" t="s">
        <v>67</v>
      </c>
      <c r="F154" s="59" t="s">
        <v>67</v>
      </c>
      <c r="G154" s="52">
        <v>3470</v>
      </c>
      <c r="H154" s="52">
        <v>311</v>
      </c>
      <c r="I154" s="52">
        <v>30</v>
      </c>
      <c r="J154" s="53">
        <v>91.774662787622304</v>
      </c>
      <c r="K154" s="53">
        <f>G154+H154+I154</f>
        <v>3811</v>
      </c>
      <c r="L154" s="54">
        <v>2778</v>
      </c>
      <c r="M154" s="54">
        <v>59</v>
      </c>
      <c r="N154" s="54">
        <v>28</v>
      </c>
      <c r="O154" s="53">
        <v>97.920338385618606</v>
      </c>
      <c r="P154" s="55">
        <f>L154+M154+N154</f>
        <v>2865</v>
      </c>
    </row>
    <row r="155" spans="1:16" ht="15" hidden="1" customHeight="1">
      <c r="A155" s="43">
        <v>149</v>
      </c>
      <c r="B155" s="44" t="s">
        <v>24</v>
      </c>
      <c r="C155" s="44" t="s">
        <v>59</v>
      </c>
      <c r="D155" s="44" t="s">
        <v>66</v>
      </c>
      <c r="E155" s="44" t="s">
        <v>67</v>
      </c>
      <c r="F155" s="45" t="s">
        <v>18</v>
      </c>
      <c r="G155" s="46">
        <v>806</v>
      </c>
      <c r="H155" s="46">
        <v>53</v>
      </c>
      <c r="I155" s="46">
        <v>13</v>
      </c>
      <c r="J155" s="47">
        <v>93.830034924330604</v>
      </c>
      <c r="K155" s="47"/>
      <c r="L155" s="48">
        <v>603</v>
      </c>
      <c r="M155" s="48">
        <v>15</v>
      </c>
      <c r="N155" s="48">
        <v>0</v>
      </c>
      <c r="O155" s="47">
        <v>97.572815533980602</v>
      </c>
      <c r="P155" s="49"/>
    </row>
    <row r="156" spans="1:16" ht="15" hidden="1" customHeight="1">
      <c r="A156" s="43">
        <v>150</v>
      </c>
      <c r="B156" s="44" t="s">
        <v>24</v>
      </c>
      <c r="C156" s="44" t="s">
        <v>59</v>
      </c>
      <c r="D156" s="44" t="s">
        <v>66</v>
      </c>
      <c r="E156" s="44" t="s">
        <v>67</v>
      </c>
      <c r="F156" s="45" t="s">
        <v>19</v>
      </c>
      <c r="G156" s="46">
        <v>2664</v>
      </c>
      <c r="H156" s="46">
        <v>258</v>
      </c>
      <c r="I156" s="46">
        <v>17</v>
      </c>
      <c r="J156" s="47">
        <v>91.170431211498993</v>
      </c>
      <c r="K156" s="47"/>
      <c r="L156" s="48">
        <v>2175</v>
      </c>
      <c r="M156" s="48">
        <v>44</v>
      </c>
      <c r="N156" s="48">
        <v>28</v>
      </c>
      <c r="O156" s="47">
        <v>98.017124831004907</v>
      </c>
      <c r="P156" s="49"/>
    </row>
    <row r="157" spans="1:16" ht="15" customHeight="1">
      <c r="A157" s="50">
        <v>151</v>
      </c>
      <c r="B157" s="51" t="s">
        <v>24</v>
      </c>
      <c r="C157" s="58" t="s">
        <v>59</v>
      </c>
      <c r="D157" s="58" t="s">
        <v>66</v>
      </c>
      <c r="E157" s="58" t="s">
        <v>68</v>
      </c>
      <c r="F157" s="59" t="s">
        <v>68</v>
      </c>
      <c r="G157" s="52">
        <v>871</v>
      </c>
      <c r="H157" s="52">
        <v>67</v>
      </c>
      <c r="I157" s="52">
        <v>10</v>
      </c>
      <c r="J157" s="53">
        <v>92.857142857142904</v>
      </c>
      <c r="K157" s="53">
        <f>G157+H157+I157</f>
        <v>948</v>
      </c>
      <c r="L157" s="54">
        <v>974</v>
      </c>
      <c r="M157" s="54">
        <v>15</v>
      </c>
      <c r="N157" s="54">
        <v>9</v>
      </c>
      <c r="O157" s="53">
        <v>98.483316481294196</v>
      </c>
      <c r="P157" s="55">
        <f>L157+M157+N157</f>
        <v>998</v>
      </c>
    </row>
    <row r="158" spans="1:16" ht="15" hidden="1" customHeight="1">
      <c r="A158" s="43">
        <v>152</v>
      </c>
      <c r="B158" s="44" t="s">
        <v>24</v>
      </c>
      <c r="C158" s="44" t="s">
        <v>59</v>
      </c>
      <c r="D158" s="44" t="s">
        <v>66</v>
      </c>
      <c r="E158" s="44" t="s">
        <v>68</v>
      </c>
      <c r="F158" s="45" t="s">
        <v>18</v>
      </c>
      <c r="G158" s="46"/>
      <c r="H158" s="46"/>
      <c r="I158" s="46"/>
      <c r="J158" s="47"/>
      <c r="K158" s="47"/>
      <c r="L158" s="48"/>
      <c r="M158" s="48"/>
      <c r="N158" s="48"/>
      <c r="O158" s="47"/>
      <c r="P158" s="49"/>
    </row>
    <row r="159" spans="1:16" ht="15" hidden="1" customHeight="1">
      <c r="A159" s="43">
        <v>153</v>
      </c>
      <c r="B159" s="44" t="s">
        <v>24</v>
      </c>
      <c r="C159" s="44" t="s">
        <v>59</v>
      </c>
      <c r="D159" s="44" t="s">
        <v>66</v>
      </c>
      <c r="E159" s="44" t="s">
        <v>68</v>
      </c>
      <c r="F159" s="45" t="s">
        <v>19</v>
      </c>
      <c r="G159" s="46">
        <v>871</v>
      </c>
      <c r="H159" s="46">
        <v>67</v>
      </c>
      <c r="I159" s="46">
        <v>10</v>
      </c>
      <c r="J159" s="47">
        <v>92.857142857142904</v>
      </c>
      <c r="K159" s="47"/>
      <c r="L159" s="48">
        <v>974</v>
      </c>
      <c r="M159" s="48">
        <v>15</v>
      </c>
      <c r="N159" s="48">
        <v>9</v>
      </c>
      <c r="O159" s="47">
        <v>98.483316481294196</v>
      </c>
      <c r="P159" s="49"/>
    </row>
    <row r="160" spans="1:16" ht="15" customHeight="1">
      <c r="A160" s="50">
        <v>154</v>
      </c>
      <c r="B160" s="51" t="s">
        <v>24</v>
      </c>
      <c r="C160" s="58" t="s">
        <v>59</v>
      </c>
      <c r="D160" s="58" t="s">
        <v>66</v>
      </c>
      <c r="E160" s="58" t="s">
        <v>69</v>
      </c>
      <c r="F160" s="59" t="s">
        <v>69</v>
      </c>
      <c r="G160" s="52">
        <v>490</v>
      </c>
      <c r="H160" s="52">
        <v>14</v>
      </c>
      <c r="I160" s="52">
        <v>8</v>
      </c>
      <c r="J160" s="53">
        <v>97.2222222222222</v>
      </c>
      <c r="K160" s="53">
        <f>G160+H160+I160</f>
        <v>512</v>
      </c>
      <c r="L160" s="54">
        <v>456</v>
      </c>
      <c r="M160" s="54">
        <v>9</v>
      </c>
      <c r="N160" s="54">
        <v>4</v>
      </c>
      <c r="O160" s="53">
        <v>98.064516129032299</v>
      </c>
      <c r="P160" s="55">
        <f>L160+M160+N160</f>
        <v>469</v>
      </c>
    </row>
    <row r="161" spans="1:16" ht="15" hidden="1" customHeight="1">
      <c r="A161" s="43">
        <v>155</v>
      </c>
      <c r="B161" s="44" t="s">
        <v>24</v>
      </c>
      <c r="C161" s="44" t="s">
        <v>59</v>
      </c>
      <c r="D161" s="44" t="s">
        <v>66</v>
      </c>
      <c r="E161" s="44" t="s">
        <v>69</v>
      </c>
      <c r="F161" s="45" t="s">
        <v>18</v>
      </c>
      <c r="G161" s="46"/>
      <c r="H161" s="46"/>
      <c r="I161" s="46"/>
      <c r="J161" s="47"/>
      <c r="K161" s="47"/>
      <c r="L161" s="48"/>
      <c r="M161" s="48"/>
      <c r="N161" s="48"/>
      <c r="O161" s="47"/>
      <c r="P161" s="49"/>
    </row>
    <row r="162" spans="1:16" ht="15" hidden="1" customHeight="1">
      <c r="A162" s="43">
        <v>156</v>
      </c>
      <c r="B162" s="44" t="s">
        <v>24</v>
      </c>
      <c r="C162" s="44" t="s">
        <v>59</v>
      </c>
      <c r="D162" s="44" t="s">
        <v>66</v>
      </c>
      <c r="E162" s="44" t="s">
        <v>69</v>
      </c>
      <c r="F162" s="45" t="s">
        <v>19</v>
      </c>
      <c r="G162" s="46">
        <v>490</v>
      </c>
      <c r="H162" s="46">
        <v>14</v>
      </c>
      <c r="I162" s="46">
        <v>8</v>
      </c>
      <c r="J162" s="47">
        <v>97.2222222222222</v>
      </c>
      <c r="K162" s="47"/>
      <c r="L162" s="48">
        <v>456</v>
      </c>
      <c r="M162" s="48">
        <v>9</v>
      </c>
      <c r="N162" s="48">
        <v>4</v>
      </c>
      <c r="O162" s="47">
        <v>98.064516129032299</v>
      </c>
      <c r="P162" s="49"/>
    </row>
    <row r="163" spans="1:16" ht="15" customHeight="1">
      <c r="A163" s="50">
        <v>157</v>
      </c>
      <c r="B163" s="51" t="s">
        <v>24</v>
      </c>
      <c r="C163" s="58" t="s">
        <v>59</v>
      </c>
      <c r="D163" s="58" t="s">
        <v>66</v>
      </c>
      <c r="E163" s="58" t="s">
        <v>70</v>
      </c>
      <c r="F163" s="59" t="s">
        <v>70</v>
      </c>
      <c r="G163" s="52">
        <v>574</v>
      </c>
      <c r="H163" s="52">
        <v>23</v>
      </c>
      <c r="I163" s="52">
        <v>5</v>
      </c>
      <c r="J163" s="53">
        <v>96.147403685092101</v>
      </c>
      <c r="K163" s="53">
        <f>G163+H163+I163</f>
        <v>602</v>
      </c>
      <c r="L163" s="54">
        <v>440</v>
      </c>
      <c r="M163" s="54">
        <v>9</v>
      </c>
      <c r="N163" s="54">
        <v>9</v>
      </c>
      <c r="O163" s="53">
        <v>97.995545657015597</v>
      </c>
      <c r="P163" s="55">
        <f>L163+M163+N163</f>
        <v>458</v>
      </c>
    </row>
    <row r="164" spans="1:16" ht="15" hidden="1" customHeight="1">
      <c r="A164" s="43">
        <v>158</v>
      </c>
      <c r="B164" s="44" t="s">
        <v>24</v>
      </c>
      <c r="C164" s="44" t="s">
        <v>59</v>
      </c>
      <c r="D164" s="44" t="s">
        <v>66</v>
      </c>
      <c r="E164" s="44" t="s">
        <v>70</v>
      </c>
      <c r="F164" s="45" t="s">
        <v>18</v>
      </c>
      <c r="G164" s="46"/>
      <c r="H164" s="46"/>
      <c r="I164" s="46"/>
      <c r="J164" s="47"/>
      <c r="K164" s="47"/>
      <c r="L164" s="48"/>
      <c r="M164" s="48"/>
      <c r="N164" s="48"/>
      <c r="O164" s="47"/>
      <c r="P164" s="49"/>
    </row>
    <row r="165" spans="1:16" ht="15" hidden="1" customHeight="1">
      <c r="A165" s="43">
        <v>159</v>
      </c>
      <c r="B165" s="44" t="s">
        <v>24</v>
      </c>
      <c r="C165" s="44" t="s">
        <v>59</v>
      </c>
      <c r="D165" s="44" t="s">
        <v>66</v>
      </c>
      <c r="E165" s="44" t="s">
        <v>70</v>
      </c>
      <c r="F165" s="45" t="s">
        <v>19</v>
      </c>
      <c r="G165" s="46">
        <v>574</v>
      </c>
      <c r="H165" s="46">
        <v>23</v>
      </c>
      <c r="I165" s="46">
        <v>5</v>
      </c>
      <c r="J165" s="47">
        <v>96.147403685092101</v>
      </c>
      <c r="K165" s="47"/>
      <c r="L165" s="48">
        <v>440</v>
      </c>
      <c r="M165" s="48">
        <v>9</v>
      </c>
      <c r="N165" s="48">
        <v>9</v>
      </c>
      <c r="O165" s="47">
        <v>97.995545657015597</v>
      </c>
      <c r="P165" s="49"/>
    </row>
    <row r="166" spans="1:16" ht="15" customHeight="1">
      <c r="A166" s="50">
        <v>160</v>
      </c>
      <c r="B166" s="51" t="s">
        <v>24</v>
      </c>
      <c r="C166" s="58" t="s">
        <v>59</v>
      </c>
      <c r="D166" s="58" t="s">
        <v>66</v>
      </c>
      <c r="E166" s="58" t="s">
        <v>71</v>
      </c>
      <c r="F166" s="59" t="s">
        <v>71</v>
      </c>
      <c r="G166" s="52">
        <v>335</v>
      </c>
      <c r="H166" s="52">
        <v>6</v>
      </c>
      <c r="I166" s="52">
        <v>0</v>
      </c>
      <c r="J166" s="53">
        <v>98.240469208211195</v>
      </c>
      <c r="K166" s="53">
        <f>G166+H166+I166</f>
        <v>341</v>
      </c>
      <c r="L166" s="54">
        <v>279</v>
      </c>
      <c r="M166" s="54">
        <v>16</v>
      </c>
      <c r="N166" s="54">
        <v>0</v>
      </c>
      <c r="O166" s="53">
        <v>94.576271186440707</v>
      </c>
      <c r="P166" s="55">
        <f>L166+M166+N166</f>
        <v>295</v>
      </c>
    </row>
    <row r="167" spans="1:16" ht="15" hidden="1" customHeight="1">
      <c r="A167" s="43">
        <v>161</v>
      </c>
      <c r="B167" s="44" t="s">
        <v>24</v>
      </c>
      <c r="C167" s="44" t="s">
        <v>59</v>
      </c>
      <c r="D167" s="44" t="s">
        <v>66</v>
      </c>
      <c r="E167" s="44" t="s">
        <v>71</v>
      </c>
      <c r="F167" s="45" t="s">
        <v>18</v>
      </c>
      <c r="G167" s="46"/>
      <c r="H167" s="46"/>
      <c r="I167" s="46"/>
      <c r="J167" s="47"/>
      <c r="K167" s="47"/>
      <c r="L167" s="48"/>
      <c r="M167" s="48"/>
      <c r="N167" s="48"/>
      <c r="O167" s="47"/>
      <c r="P167" s="49"/>
    </row>
    <row r="168" spans="1:16" ht="15" hidden="1" customHeight="1">
      <c r="A168" s="43">
        <v>162</v>
      </c>
      <c r="B168" s="44" t="s">
        <v>24</v>
      </c>
      <c r="C168" s="44" t="s">
        <v>59</v>
      </c>
      <c r="D168" s="44" t="s">
        <v>66</v>
      </c>
      <c r="E168" s="44" t="s">
        <v>71</v>
      </c>
      <c r="F168" s="45" t="s">
        <v>19</v>
      </c>
      <c r="G168" s="46">
        <v>335</v>
      </c>
      <c r="H168" s="46">
        <v>6</v>
      </c>
      <c r="I168" s="46">
        <v>0</v>
      </c>
      <c r="J168" s="47">
        <v>98.240469208211195</v>
      </c>
      <c r="K168" s="47"/>
      <c r="L168" s="48">
        <v>279</v>
      </c>
      <c r="M168" s="48">
        <v>16</v>
      </c>
      <c r="N168" s="48">
        <v>0</v>
      </c>
      <c r="O168" s="47">
        <v>94.576271186440707</v>
      </c>
      <c r="P168" s="49"/>
    </row>
    <row r="169" spans="1:16" ht="15" customHeight="1">
      <c r="A169" s="50">
        <v>163</v>
      </c>
      <c r="B169" s="51" t="s">
        <v>24</v>
      </c>
      <c r="C169" s="58" t="s">
        <v>59</v>
      </c>
      <c r="D169" s="58" t="s">
        <v>66</v>
      </c>
      <c r="E169" s="58" t="s">
        <v>72</v>
      </c>
      <c r="F169" s="59" t="s">
        <v>72</v>
      </c>
      <c r="G169" s="52">
        <v>312</v>
      </c>
      <c r="H169" s="52">
        <v>15</v>
      </c>
      <c r="I169" s="52">
        <v>2</v>
      </c>
      <c r="J169" s="53">
        <v>95.412844036697294</v>
      </c>
      <c r="K169" s="53">
        <f>G169+H169+I169</f>
        <v>329</v>
      </c>
      <c r="L169" s="54">
        <v>381</v>
      </c>
      <c r="M169" s="54">
        <v>5</v>
      </c>
      <c r="N169" s="54">
        <v>3</v>
      </c>
      <c r="O169" s="53">
        <v>98.704663212435193</v>
      </c>
      <c r="P169" s="55">
        <f>L169+M169+N169</f>
        <v>389</v>
      </c>
    </row>
    <row r="170" spans="1:16" ht="15" hidden="1" customHeight="1">
      <c r="A170" s="43">
        <v>164</v>
      </c>
      <c r="B170" s="44" t="s">
        <v>24</v>
      </c>
      <c r="C170" s="44" t="s">
        <v>59</v>
      </c>
      <c r="D170" s="44" t="s">
        <v>66</v>
      </c>
      <c r="E170" s="44" t="s">
        <v>72</v>
      </c>
      <c r="F170" s="45" t="s">
        <v>18</v>
      </c>
      <c r="G170" s="46"/>
      <c r="H170" s="46"/>
      <c r="I170" s="46"/>
      <c r="J170" s="47"/>
      <c r="K170" s="47"/>
      <c r="L170" s="48"/>
      <c r="M170" s="48"/>
      <c r="N170" s="48"/>
      <c r="O170" s="47"/>
      <c r="P170" s="49"/>
    </row>
    <row r="171" spans="1:16" ht="15" hidden="1" customHeight="1">
      <c r="A171" s="43">
        <v>165</v>
      </c>
      <c r="B171" s="44" t="s">
        <v>24</v>
      </c>
      <c r="C171" s="44" t="s">
        <v>59</v>
      </c>
      <c r="D171" s="44" t="s">
        <v>66</v>
      </c>
      <c r="E171" s="44" t="s">
        <v>72</v>
      </c>
      <c r="F171" s="45" t="s">
        <v>19</v>
      </c>
      <c r="G171" s="46">
        <v>312</v>
      </c>
      <c r="H171" s="46">
        <v>15</v>
      </c>
      <c r="I171" s="46">
        <v>2</v>
      </c>
      <c r="J171" s="47">
        <v>95.412844036697294</v>
      </c>
      <c r="K171" s="47"/>
      <c r="L171" s="48">
        <v>381</v>
      </c>
      <c r="M171" s="48">
        <v>5</v>
      </c>
      <c r="N171" s="48">
        <v>3</v>
      </c>
      <c r="O171" s="47">
        <v>98.704663212435193</v>
      </c>
      <c r="P171" s="49"/>
    </row>
    <row r="172" spans="1:16" ht="15" hidden="1" customHeight="1">
      <c r="A172" s="37">
        <v>166</v>
      </c>
      <c r="B172" s="38" t="s">
        <v>22</v>
      </c>
      <c r="C172" s="57" t="s">
        <v>59</v>
      </c>
      <c r="D172" s="57" t="s">
        <v>73</v>
      </c>
      <c r="E172" s="57"/>
      <c r="F172" s="38" t="s">
        <v>73</v>
      </c>
      <c r="G172" s="39">
        <v>4247</v>
      </c>
      <c r="H172" s="39">
        <v>212</v>
      </c>
      <c r="I172" s="39">
        <v>59</v>
      </c>
      <c r="J172" s="40">
        <v>95.245570755774807</v>
      </c>
      <c r="K172" s="40"/>
      <c r="L172" s="41">
        <v>4322</v>
      </c>
      <c r="M172" s="41">
        <v>91</v>
      </c>
      <c r="N172" s="41">
        <v>48</v>
      </c>
      <c r="O172" s="40">
        <v>97.937910718332205</v>
      </c>
      <c r="P172" s="42"/>
    </row>
    <row r="173" spans="1:16" ht="15" hidden="1" customHeight="1">
      <c r="A173" s="43">
        <v>167</v>
      </c>
      <c r="B173" s="44" t="s">
        <v>22</v>
      </c>
      <c r="C173" s="44" t="s">
        <v>59</v>
      </c>
      <c r="D173" s="44" t="s">
        <v>73</v>
      </c>
      <c r="E173" s="44"/>
      <c r="F173" s="45" t="s">
        <v>18</v>
      </c>
      <c r="G173" s="46">
        <v>191</v>
      </c>
      <c r="H173" s="46">
        <v>16</v>
      </c>
      <c r="I173" s="46">
        <v>1</v>
      </c>
      <c r="J173" s="47">
        <v>92.270531400966206</v>
      </c>
      <c r="K173" s="47"/>
      <c r="L173" s="48">
        <v>256</v>
      </c>
      <c r="M173" s="48">
        <v>5</v>
      </c>
      <c r="N173" s="48">
        <v>5</v>
      </c>
      <c r="O173" s="47">
        <v>98.084291187739495</v>
      </c>
      <c r="P173" s="49"/>
    </row>
    <row r="174" spans="1:16" ht="15" hidden="1" customHeight="1">
      <c r="A174" s="43">
        <v>168</v>
      </c>
      <c r="B174" s="44" t="s">
        <v>22</v>
      </c>
      <c r="C174" s="44" t="s">
        <v>59</v>
      </c>
      <c r="D174" s="44" t="s">
        <v>73</v>
      </c>
      <c r="E174" s="44"/>
      <c r="F174" s="45" t="s">
        <v>19</v>
      </c>
      <c r="G174" s="46">
        <v>4056</v>
      </c>
      <c r="H174" s="46">
        <v>196</v>
      </c>
      <c r="I174" s="46">
        <v>58</v>
      </c>
      <c r="J174" s="47">
        <v>95.390404515522107</v>
      </c>
      <c r="K174" s="47"/>
      <c r="L174" s="48">
        <v>4066</v>
      </c>
      <c r="M174" s="48">
        <v>86</v>
      </c>
      <c r="N174" s="48">
        <v>43</v>
      </c>
      <c r="O174" s="47">
        <v>97.928709055876695</v>
      </c>
      <c r="P174" s="49"/>
    </row>
    <row r="175" spans="1:16" ht="15" customHeight="1">
      <c r="A175" s="50">
        <v>169</v>
      </c>
      <c r="B175" s="51" t="s">
        <v>24</v>
      </c>
      <c r="C175" s="58" t="s">
        <v>59</v>
      </c>
      <c r="D175" s="58" t="s">
        <v>73</v>
      </c>
      <c r="E175" s="58" t="s">
        <v>74</v>
      </c>
      <c r="F175" s="59" t="s">
        <v>74</v>
      </c>
      <c r="G175" s="52">
        <v>809</v>
      </c>
      <c r="H175" s="52">
        <v>38</v>
      </c>
      <c r="I175" s="52">
        <v>23</v>
      </c>
      <c r="J175" s="53">
        <v>95.513577331759194</v>
      </c>
      <c r="K175" s="53">
        <f>G175+H175+I175</f>
        <v>870</v>
      </c>
      <c r="L175" s="54">
        <v>867</v>
      </c>
      <c r="M175" s="54">
        <v>11</v>
      </c>
      <c r="N175" s="54">
        <v>18</v>
      </c>
      <c r="O175" s="53">
        <v>98.747152619589997</v>
      </c>
      <c r="P175" s="55">
        <f>L175+M175+N175</f>
        <v>896</v>
      </c>
    </row>
    <row r="176" spans="1:16" ht="15" hidden="1" customHeight="1">
      <c r="A176" s="43">
        <v>170</v>
      </c>
      <c r="B176" s="44" t="s">
        <v>24</v>
      </c>
      <c r="C176" s="44" t="s">
        <v>59</v>
      </c>
      <c r="D176" s="44" t="s">
        <v>73</v>
      </c>
      <c r="E176" s="44" t="s">
        <v>74</v>
      </c>
      <c r="F176" s="45" t="s">
        <v>18</v>
      </c>
      <c r="G176" s="46"/>
      <c r="H176" s="46"/>
      <c r="I176" s="46"/>
      <c r="J176" s="47"/>
      <c r="K176" s="47"/>
      <c r="L176" s="48">
        <v>126</v>
      </c>
      <c r="M176" s="48">
        <v>1</v>
      </c>
      <c r="N176" s="48">
        <v>2</v>
      </c>
      <c r="O176" s="47">
        <v>99.212598425196902</v>
      </c>
      <c r="P176" s="49"/>
    </row>
    <row r="177" spans="1:16" ht="15" hidden="1" customHeight="1">
      <c r="A177" s="43">
        <v>171</v>
      </c>
      <c r="B177" s="44" t="s">
        <v>24</v>
      </c>
      <c r="C177" s="44" t="s">
        <v>59</v>
      </c>
      <c r="D177" s="44" t="s">
        <v>73</v>
      </c>
      <c r="E177" s="44" t="s">
        <v>74</v>
      </c>
      <c r="F177" s="45" t="s">
        <v>19</v>
      </c>
      <c r="G177" s="46">
        <v>809</v>
      </c>
      <c r="H177" s="46">
        <v>38</v>
      </c>
      <c r="I177" s="46">
        <v>23</v>
      </c>
      <c r="J177" s="47">
        <v>95.513577331759194</v>
      </c>
      <c r="K177" s="47"/>
      <c r="L177" s="48">
        <v>741</v>
      </c>
      <c r="M177" s="48">
        <v>10</v>
      </c>
      <c r="N177" s="48">
        <v>16</v>
      </c>
      <c r="O177" s="47">
        <v>98.668442077230395</v>
      </c>
      <c r="P177" s="49"/>
    </row>
    <row r="178" spans="1:16" ht="15" customHeight="1">
      <c r="A178" s="50">
        <v>172</v>
      </c>
      <c r="B178" s="51" t="s">
        <v>24</v>
      </c>
      <c r="C178" s="58" t="s">
        <v>59</v>
      </c>
      <c r="D178" s="58" t="s">
        <v>73</v>
      </c>
      <c r="E178" s="58" t="s">
        <v>75</v>
      </c>
      <c r="F178" s="59" t="s">
        <v>75</v>
      </c>
      <c r="G178" s="52">
        <v>1149</v>
      </c>
      <c r="H178" s="52">
        <v>55</v>
      </c>
      <c r="I178" s="52">
        <v>11</v>
      </c>
      <c r="J178" s="53">
        <v>95.4318936877076</v>
      </c>
      <c r="K178" s="53">
        <f>G178+H178+I178</f>
        <v>1215</v>
      </c>
      <c r="L178" s="54">
        <v>1017</v>
      </c>
      <c r="M178" s="54">
        <v>22</v>
      </c>
      <c r="N178" s="54">
        <v>5</v>
      </c>
      <c r="O178" s="53">
        <v>97.882579403272402</v>
      </c>
      <c r="P178" s="55">
        <f>L178+M178+N178</f>
        <v>1044</v>
      </c>
    </row>
    <row r="179" spans="1:16" ht="15" hidden="1" customHeight="1">
      <c r="A179" s="43">
        <v>173</v>
      </c>
      <c r="B179" s="44" t="s">
        <v>24</v>
      </c>
      <c r="C179" s="44" t="s">
        <v>59</v>
      </c>
      <c r="D179" s="44" t="s">
        <v>73</v>
      </c>
      <c r="E179" s="44" t="s">
        <v>75</v>
      </c>
      <c r="F179" s="45" t="s">
        <v>18</v>
      </c>
      <c r="G179" s="46"/>
      <c r="H179" s="46"/>
      <c r="I179" s="46"/>
      <c r="J179" s="47"/>
      <c r="K179" s="47"/>
      <c r="L179" s="48"/>
      <c r="M179" s="48"/>
      <c r="N179" s="48"/>
      <c r="O179" s="47"/>
      <c r="P179" s="49"/>
    </row>
    <row r="180" spans="1:16" ht="15" hidden="1" customHeight="1">
      <c r="A180" s="43">
        <v>174</v>
      </c>
      <c r="B180" s="44" t="s">
        <v>24</v>
      </c>
      <c r="C180" s="44" t="s">
        <v>59</v>
      </c>
      <c r="D180" s="44" t="s">
        <v>73</v>
      </c>
      <c r="E180" s="44" t="s">
        <v>75</v>
      </c>
      <c r="F180" s="45" t="s">
        <v>19</v>
      </c>
      <c r="G180" s="46">
        <v>1149</v>
      </c>
      <c r="H180" s="46">
        <v>55</v>
      </c>
      <c r="I180" s="46">
        <v>11</v>
      </c>
      <c r="J180" s="47">
        <v>95.4318936877076</v>
      </c>
      <c r="K180" s="47"/>
      <c r="L180" s="48">
        <v>1017</v>
      </c>
      <c r="M180" s="48">
        <v>22</v>
      </c>
      <c r="N180" s="48">
        <v>5</v>
      </c>
      <c r="O180" s="47">
        <v>97.882579403272402</v>
      </c>
      <c r="P180" s="49"/>
    </row>
    <row r="181" spans="1:16" ht="15" customHeight="1">
      <c r="A181" s="50">
        <v>175</v>
      </c>
      <c r="B181" s="51" t="s">
        <v>24</v>
      </c>
      <c r="C181" s="58" t="s">
        <v>59</v>
      </c>
      <c r="D181" s="58" t="s">
        <v>73</v>
      </c>
      <c r="E181" s="58" t="s">
        <v>76</v>
      </c>
      <c r="F181" s="59" t="s">
        <v>76</v>
      </c>
      <c r="G181" s="52">
        <v>670</v>
      </c>
      <c r="H181" s="52">
        <v>31</v>
      </c>
      <c r="I181" s="52">
        <v>12</v>
      </c>
      <c r="J181" s="53">
        <v>95.577746077032799</v>
      </c>
      <c r="K181" s="53">
        <f>G181+H181+I181</f>
        <v>713</v>
      </c>
      <c r="L181" s="54">
        <v>755</v>
      </c>
      <c r="M181" s="54">
        <v>19</v>
      </c>
      <c r="N181" s="54">
        <v>7</v>
      </c>
      <c r="O181" s="53">
        <v>97.545219638242898</v>
      </c>
      <c r="P181" s="55">
        <f>L181+M181+N181</f>
        <v>781</v>
      </c>
    </row>
    <row r="182" spans="1:16" ht="15" hidden="1" customHeight="1">
      <c r="A182" s="43">
        <v>176</v>
      </c>
      <c r="B182" s="44" t="s">
        <v>24</v>
      </c>
      <c r="C182" s="44" t="s">
        <v>59</v>
      </c>
      <c r="D182" s="44" t="s">
        <v>73</v>
      </c>
      <c r="E182" s="44" t="s">
        <v>76</v>
      </c>
      <c r="F182" s="45" t="s">
        <v>18</v>
      </c>
      <c r="G182" s="46"/>
      <c r="H182" s="46"/>
      <c r="I182" s="46"/>
      <c r="J182" s="47"/>
      <c r="K182" s="47"/>
      <c r="L182" s="48"/>
      <c r="M182" s="48"/>
      <c r="N182" s="48"/>
      <c r="O182" s="47"/>
      <c r="P182" s="49"/>
    </row>
    <row r="183" spans="1:16" ht="15" hidden="1" customHeight="1">
      <c r="A183" s="43">
        <v>177</v>
      </c>
      <c r="B183" s="44" t="s">
        <v>24</v>
      </c>
      <c r="C183" s="44" t="s">
        <v>59</v>
      </c>
      <c r="D183" s="44" t="s">
        <v>73</v>
      </c>
      <c r="E183" s="44" t="s">
        <v>76</v>
      </c>
      <c r="F183" s="45" t="s">
        <v>19</v>
      </c>
      <c r="G183" s="46">
        <v>670</v>
      </c>
      <c r="H183" s="46">
        <v>31</v>
      </c>
      <c r="I183" s="46">
        <v>12</v>
      </c>
      <c r="J183" s="47">
        <v>95.577746077032799</v>
      </c>
      <c r="K183" s="47"/>
      <c r="L183" s="48">
        <v>755</v>
      </c>
      <c r="M183" s="48">
        <v>19</v>
      </c>
      <c r="N183" s="48">
        <v>7</v>
      </c>
      <c r="O183" s="47">
        <v>97.545219638242898</v>
      </c>
      <c r="P183" s="49"/>
    </row>
    <row r="184" spans="1:16" ht="15" customHeight="1">
      <c r="A184" s="50">
        <v>178</v>
      </c>
      <c r="B184" s="51" t="s">
        <v>24</v>
      </c>
      <c r="C184" s="58" t="s">
        <v>59</v>
      </c>
      <c r="D184" s="58" t="s">
        <v>73</v>
      </c>
      <c r="E184" s="58" t="s">
        <v>77</v>
      </c>
      <c r="F184" s="59" t="s">
        <v>77</v>
      </c>
      <c r="G184" s="52">
        <v>303</v>
      </c>
      <c r="H184" s="52">
        <v>20</v>
      </c>
      <c r="I184" s="52">
        <v>2</v>
      </c>
      <c r="J184" s="53">
        <v>93.808049535603701</v>
      </c>
      <c r="K184" s="53">
        <f>G184+H184+I184</f>
        <v>325</v>
      </c>
      <c r="L184" s="54">
        <v>369</v>
      </c>
      <c r="M184" s="54">
        <v>5</v>
      </c>
      <c r="N184" s="54">
        <v>2</v>
      </c>
      <c r="O184" s="53">
        <v>98.663101604278097</v>
      </c>
      <c r="P184" s="55">
        <f>L184+M184+N184</f>
        <v>376</v>
      </c>
    </row>
    <row r="185" spans="1:16" ht="15" hidden="1" customHeight="1">
      <c r="A185" s="43">
        <v>179</v>
      </c>
      <c r="B185" s="44" t="s">
        <v>24</v>
      </c>
      <c r="C185" s="44" t="s">
        <v>59</v>
      </c>
      <c r="D185" s="44" t="s">
        <v>73</v>
      </c>
      <c r="E185" s="44" t="s">
        <v>77</v>
      </c>
      <c r="F185" s="45" t="s">
        <v>18</v>
      </c>
      <c r="G185" s="46"/>
      <c r="H185" s="46"/>
      <c r="I185" s="46"/>
      <c r="J185" s="47"/>
      <c r="K185" s="47"/>
      <c r="L185" s="48"/>
      <c r="M185" s="48"/>
      <c r="N185" s="48"/>
      <c r="O185" s="47"/>
      <c r="P185" s="49"/>
    </row>
    <row r="186" spans="1:16" ht="15" hidden="1" customHeight="1">
      <c r="A186" s="43">
        <v>180</v>
      </c>
      <c r="B186" s="44" t="s">
        <v>24</v>
      </c>
      <c r="C186" s="44" t="s">
        <v>59</v>
      </c>
      <c r="D186" s="44" t="s">
        <v>73</v>
      </c>
      <c r="E186" s="44" t="s">
        <v>77</v>
      </c>
      <c r="F186" s="45" t="s">
        <v>19</v>
      </c>
      <c r="G186" s="46">
        <v>303</v>
      </c>
      <c r="H186" s="46">
        <v>20</v>
      </c>
      <c r="I186" s="46">
        <v>2</v>
      </c>
      <c r="J186" s="47">
        <v>93.808049535603701</v>
      </c>
      <c r="K186" s="47"/>
      <c r="L186" s="48">
        <v>369</v>
      </c>
      <c r="M186" s="48">
        <v>5</v>
      </c>
      <c r="N186" s="48">
        <v>2</v>
      </c>
      <c r="O186" s="47">
        <v>98.663101604278097</v>
      </c>
      <c r="P186" s="49"/>
    </row>
    <row r="187" spans="1:16" ht="15" customHeight="1">
      <c r="A187" s="50">
        <v>181</v>
      </c>
      <c r="B187" s="51" t="s">
        <v>24</v>
      </c>
      <c r="C187" s="58" t="s">
        <v>59</v>
      </c>
      <c r="D187" s="58" t="s">
        <v>73</v>
      </c>
      <c r="E187" s="58" t="s">
        <v>78</v>
      </c>
      <c r="F187" s="59" t="s">
        <v>78</v>
      </c>
      <c r="G187" s="52">
        <v>273</v>
      </c>
      <c r="H187" s="52">
        <v>8</v>
      </c>
      <c r="I187" s="52">
        <v>1</v>
      </c>
      <c r="J187" s="53">
        <v>97.153024911032006</v>
      </c>
      <c r="K187" s="53">
        <f>G187+H187+I187</f>
        <v>282</v>
      </c>
      <c r="L187" s="54">
        <v>267</v>
      </c>
      <c r="M187" s="54">
        <v>16</v>
      </c>
      <c r="N187" s="54">
        <v>5</v>
      </c>
      <c r="O187" s="53">
        <v>94.346289752650193</v>
      </c>
      <c r="P187" s="55">
        <f>L187+M187+N187</f>
        <v>288</v>
      </c>
    </row>
    <row r="188" spans="1:16" ht="15" hidden="1" customHeight="1">
      <c r="A188" s="43">
        <v>182</v>
      </c>
      <c r="B188" s="44" t="s">
        <v>24</v>
      </c>
      <c r="C188" s="44" t="s">
        <v>59</v>
      </c>
      <c r="D188" s="44" t="s">
        <v>73</v>
      </c>
      <c r="E188" s="44" t="s">
        <v>78</v>
      </c>
      <c r="F188" s="45" t="s">
        <v>18</v>
      </c>
      <c r="G188" s="46"/>
      <c r="H188" s="46"/>
      <c r="I188" s="46"/>
      <c r="J188" s="47"/>
      <c r="K188" s="47"/>
      <c r="L188" s="48"/>
      <c r="M188" s="48"/>
      <c r="N188" s="48"/>
      <c r="O188" s="47"/>
      <c r="P188" s="49"/>
    </row>
    <row r="189" spans="1:16" ht="15" hidden="1" customHeight="1">
      <c r="A189" s="43">
        <v>183</v>
      </c>
      <c r="B189" s="44" t="s">
        <v>24</v>
      </c>
      <c r="C189" s="44" t="s">
        <v>59</v>
      </c>
      <c r="D189" s="44" t="s">
        <v>73</v>
      </c>
      <c r="E189" s="44" t="s">
        <v>78</v>
      </c>
      <c r="F189" s="45" t="s">
        <v>19</v>
      </c>
      <c r="G189" s="46">
        <v>273</v>
      </c>
      <c r="H189" s="46">
        <v>8</v>
      </c>
      <c r="I189" s="46">
        <v>1</v>
      </c>
      <c r="J189" s="47">
        <v>97.153024911032006</v>
      </c>
      <c r="K189" s="47"/>
      <c r="L189" s="48">
        <v>267</v>
      </c>
      <c r="M189" s="48">
        <v>16</v>
      </c>
      <c r="N189" s="48">
        <v>5</v>
      </c>
      <c r="O189" s="47">
        <v>94.346289752650193</v>
      </c>
      <c r="P189" s="49"/>
    </row>
    <row r="190" spans="1:16" ht="15" customHeight="1">
      <c r="A190" s="50">
        <v>184</v>
      </c>
      <c r="B190" s="51" t="s">
        <v>24</v>
      </c>
      <c r="C190" s="58" t="s">
        <v>59</v>
      </c>
      <c r="D190" s="58" t="s">
        <v>73</v>
      </c>
      <c r="E190" s="58" t="s">
        <v>79</v>
      </c>
      <c r="F190" s="59" t="s">
        <v>79</v>
      </c>
      <c r="G190" s="52">
        <v>484</v>
      </c>
      <c r="H190" s="52">
        <v>32</v>
      </c>
      <c r="I190" s="52">
        <v>4</v>
      </c>
      <c r="J190" s="53">
        <v>93.798449612403104</v>
      </c>
      <c r="K190" s="53">
        <f>G190+H190+I190</f>
        <v>520</v>
      </c>
      <c r="L190" s="54">
        <v>347</v>
      </c>
      <c r="M190" s="54">
        <v>7</v>
      </c>
      <c r="N190" s="54">
        <v>4</v>
      </c>
      <c r="O190" s="53">
        <v>98.022598870056498</v>
      </c>
      <c r="P190" s="55">
        <f>L190+M190+N190</f>
        <v>358</v>
      </c>
    </row>
    <row r="191" spans="1:16" ht="15" hidden="1" customHeight="1">
      <c r="A191" s="43">
        <v>185</v>
      </c>
      <c r="B191" s="44" t="s">
        <v>24</v>
      </c>
      <c r="C191" s="44" t="s">
        <v>59</v>
      </c>
      <c r="D191" s="44" t="s">
        <v>73</v>
      </c>
      <c r="E191" s="44" t="s">
        <v>79</v>
      </c>
      <c r="F191" s="45" t="s">
        <v>18</v>
      </c>
      <c r="G191" s="46">
        <v>191</v>
      </c>
      <c r="H191" s="46">
        <v>16</v>
      </c>
      <c r="I191" s="46">
        <v>1</v>
      </c>
      <c r="J191" s="47">
        <v>92.270531400966206</v>
      </c>
      <c r="K191" s="47"/>
      <c r="L191" s="48">
        <v>130</v>
      </c>
      <c r="M191" s="48">
        <v>4</v>
      </c>
      <c r="N191" s="48">
        <v>3</v>
      </c>
      <c r="O191" s="47">
        <v>97.014925373134304</v>
      </c>
      <c r="P191" s="49"/>
    </row>
    <row r="192" spans="1:16" ht="15" hidden="1" customHeight="1">
      <c r="A192" s="43">
        <v>186</v>
      </c>
      <c r="B192" s="44" t="s">
        <v>24</v>
      </c>
      <c r="C192" s="44" t="s">
        <v>59</v>
      </c>
      <c r="D192" s="44" t="s">
        <v>73</v>
      </c>
      <c r="E192" s="44" t="s">
        <v>79</v>
      </c>
      <c r="F192" s="45" t="s">
        <v>19</v>
      </c>
      <c r="G192" s="46">
        <v>293</v>
      </c>
      <c r="H192" s="46">
        <v>16</v>
      </c>
      <c r="I192" s="46">
        <v>3</v>
      </c>
      <c r="J192" s="47">
        <v>94.822006472491907</v>
      </c>
      <c r="K192" s="47"/>
      <c r="L192" s="48">
        <v>217</v>
      </c>
      <c r="M192" s="48">
        <v>3</v>
      </c>
      <c r="N192" s="48">
        <v>1</v>
      </c>
      <c r="O192" s="47">
        <v>98.636363636363598</v>
      </c>
      <c r="P192" s="49"/>
    </row>
    <row r="193" spans="1:16" ht="15" customHeight="1">
      <c r="A193" s="50">
        <v>187</v>
      </c>
      <c r="B193" s="51" t="s">
        <v>24</v>
      </c>
      <c r="C193" s="58" t="s">
        <v>59</v>
      </c>
      <c r="D193" s="58" t="s">
        <v>73</v>
      </c>
      <c r="E193" s="58" t="s">
        <v>80</v>
      </c>
      <c r="F193" s="59" t="s">
        <v>80</v>
      </c>
      <c r="G193" s="52">
        <v>55</v>
      </c>
      <c r="H193" s="52">
        <v>2</v>
      </c>
      <c r="I193" s="52">
        <v>0</v>
      </c>
      <c r="J193" s="53">
        <v>96.491228070175396</v>
      </c>
      <c r="K193" s="53">
        <f>G193+H193+I193</f>
        <v>57</v>
      </c>
      <c r="L193" s="54">
        <v>260</v>
      </c>
      <c r="M193" s="54">
        <v>3</v>
      </c>
      <c r="N193" s="54">
        <v>1</v>
      </c>
      <c r="O193" s="53">
        <v>98.859315589353599</v>
      </c>
      <c r="P193" s="55">
        <f>L193+M193+N193</f>
        <v>264</v>
      </c>
    </row>
    <row r="194" spans="1:16" ht="15" hidden="1" customHeight="1">
      <c r="A194" s="43">
        <v>188</v>
      </c>
      <c r="B194" s="44" t="s">
        <v>24</v>
      </c>
      <c r="C194" s="44" t="s">
        <v>59</v>
      </c>
      <c r="D194" s="44" t="s">
        <v>73</v>
      </c>
      <c r="E194" s="44" t="s">
        <v>80</v>
      </c>
      <c r="F194" s="45" t="s">
        <v>18</v>
      </c>
      <c r="G194" s="46"/>
      <c r="H194" s="46"/>
      <c r="I194" s="46"/>
      <c r="J194" s="47"/>
      <c r="K194" s="47"/>
      <c r="L194" s="48"/>
      <c r="M194" s="48"/>
      <c r="N194" s="48"/>
      <c r="O194" s="47"/>
      <c r="P194" s="49"/>
    </row>
    <row r="195" spans="1:16" ht="15" hidden="1" customHeight="1">
      <c r="A195" s="43">
        <v>189</v>
      </c>
      <c r="B195" s="44" t="s">
        <v>24</v>
      </c>
      <c r="C195" s="44" t="s">
        <v>59</v>
      </c>
      <c r="D195" s="44" t="s">
        <v>73</v>
      </c>
      <c r="E195" s="44" t="s">
        <v>80</v>
      </c>
      <c r="F195" s="45" t="s">
        <v>19</v>
      </c>
      <c r="G195" s="46">
        <v>55</v>
      </c>
      <c r="H195" s="46">
        <v>2</v>
      </c>
      <c r="I195" s="46">
        <v>0</v>
      </c>
      <c r="J195" s="47">
        <v>96.491228070175396</v>
      </c>
      <c r="K195" s="47"/>
      <c r="L195" s="48">
        <v>260</v>
      </c>
      <c r="M195" s="48">
        <v>3</v>
      </c>
      <c r="N195" s="48">
        <v>1</v>
      </c>
      <c r="O195" s="47">
        <v>98.859315589353599</v>
      </c>
      <c r="P195" s="49"/>
    </row>
    <row r="196" spans="1:16" ht="15" customHeight="1">
      <c r="A196" s="50">
        <v>190</v>
      </c>
      <c r="B196" s="51" t="s">
        <v>24</v>
      </c>
      <c r="C196" s="58" t="s">
        <v>59</v>
      </c>
      <c r="D196" s="58" t="s">
        <v>73</v>
      </c>
      <c r="E196" s="58" t="s">
        <v>81</v>
      </c>
      <c r="F196" s="59" t="s">
        <v>81</v>
      </c>
      <c r="G196" s="52">
        <v>504</v>
      </c>
      <c r="H196" s="52">
        <v>26</v>
      </c>
      <c r="I196" s="52">
        <v>6</v>
      </c>
      <c r="J196" s="53">
        <v>95.094339622641499</v>
      </c>
      <c r="K196" s="53">
        <f>G196+H196+I196</f>
        <v>536</v>
      </c>
      <c r="L196" s="54">
        <v>440</v>
      </c>
      <c r="M196" s="54">
        <v>8</v>
      </c>
      <c r="N196" s="54">
        <v>6</v>
      </c>
      <c r="O196" s="53">
        <v>98.214285714285694</v>
      </c>
      <c r="P196" s="55">
        <f>L196+M196+N196</f>
        <v>454</v>
      </c>
    </row>
    <row r="197" spans="1:16" ht="15" hidden="1" customHeight="1">
      <c r="A197" s="43">
        <v>191</v>
      </c>
      <c r="B197" s="44" t="s">
        <v>24</v>
      </c>
      <c r="C197" s="44" t="s">
        <v>59</v>
      </c>
      <c r="D197" s="44" t="s">
        <v>73</v>
      </c>
      <c r="E197" s="44" t="s">
        <v>81</v>
      </c>
      <c r="F197" s="45" t="s">
        <v>18</v>
      </c>
      <c r="G197" s="46"/>
      <c r="H197" s="46"/>
      <c r="I197" s="46"/>
      <c r="J197" s="47"/>
      <c r="K197" s="47"/>
      <c r="L197" s="48"/>
      <c r="M197" s="48"/>
      <c r="N197" s="48"/>
      <c r="O197" s="47"/>
      <c r="P197" s="49"/>
    </row>
    <row r="198" spans="1:16" ht="15" hidden="1" customHeight="1">
      <c r="A198" s="43">
        <v>192</v>
      </c>
      <c r="B198" s="44" t="s">
        <v>24</v>
      </c>
      <c r="C198" s="44" t="s">
        <v>59</v>
      </c>
      <c r="D198" s="44" t="s">
        <v>73</v>
      </c>
      <c r="E198" s="44" t="s">
        <v>81</v>
      </c>
      <c r="F198" s="45" t="s">
        <v>19</v>
      </c>
      <c r="G198" s="46">
        <v>504</v>
      </c>
      <c r="H198" s="46">
        <v>26</v>
      </c>
      <c r="I198" s="46">
        <v>6</v>
      </c>
      <c r="J198" s="47">
        <v>95.094339622641499</v>
      </c>
      <c r="K198" s="47"/>
      <c r="L198" s="48">
        <v>440</v>
      </c>
      <c r="M198" s="48">
        <v>8</v>
      </c>
      <c r="N198" s="48">
        <v>6</v>
      </c>
      <c r="O198" s="47">
        <v>98.214285714285694</v>
      </c>
      <c r="P198" s="49"/>
    </row>
    <row r="199" spans="1:16" ht="15" hidden="1" customHeight="1">
      <c r="A199" s="37">
        <v>193</v>
      </c>
      <c r="B199" s="38" t="s">
        <v>22</v>
      </c>
      <c r="C199" s="57" t="s">
        <v>59</v>
      </c>
      <c r="D199" s="57" t="s">
        <v>82</v>
      </c>
      <c r="E199" s="57"/>
      <c r="F199" s="38" t="s">
        <v>82</v>
      </c>
      <c r="G199" s="39">
        <v>3939</v>
      </c>
      <c r="H199" s="39">
        <v>317</v>
      </c>
      <c r="I199" s="39">
        <v>44</v>
      </c>
      <c r="J199" s="40">
        <v>92.551691729323295</v>
      </c>
      <c r="K199" s="40"/>
      <c r="L199" s="41">
        <v>3375</v>
      </c>
      <c r="M199" s="41">
        <v>77</v>
      </c>
      <c r="N199" s="41">
        <v>48</v>
      </c>
      <c r="O199" s="40">
        <v>97.769409038238706</v>
      </c>
      <c r="P199" s="42"/>
    </row>
    <row r="200" spans="1:16" ht="15" hidden="1" customHeight="1">
      <c r="A200" s="43">
        <v>194</v>
      </c>
      <c r="B200" s="44" t="s">
        <v>22</v>
      </c>
      <c r="C200" s="44" t="s">
        <v>59</v>
      </c>
      <c r="D200" s="44" t="s">
        <v>82</v>
      </c>
      <c r="E200" s="44"/>
      <c r="F200" s="45" t="s">
        <v>18</v>
      </c>
      <c r="G200" s="46"/>
      <c r="H200" s="46"/>
      <c r="I200" s="46"/>
      <c r="J200" s="47"/>
      <c r="K200" s="47"/>
      <c r="L200" s="48"/>
      <c r="M200" s="48"/>
      <c r="N200" s="48"/>
      <c r="O200" s="47"/>
      <c r="P200" s="49"/>
    </row>
    <row r="201" spans="1:16" ht="15" hidden="1" customHeight="1">
      <c r="A201" s="43">
        <v>195</v>
      </c>
      <c r="B201" s="44" t="s">
        <v>22</v>
      </c>
      <c r="C201" s="44" t="s">
        <v>59</v>
      </c>
      <c r="D201" s="44" t="s">
        <v>82</v>
      </c>
      <c r="E201" s="44"/>
      <c r="F201" s="45" t="s">
        <v>19</v>
      </c>
      <c r="G201" s="46">
        <v>3939</v>
      </c>
      <c r="H201" s="46">
        <v>317</v>
      </c>
      <c r="I201" s="46">
        <v>44</v>
      </c>
      <c r="J201" s="47">
        <v>92.551691729323295</v>
      </c>
      <c r="K201" s="47"/>
      <c r="L201" s="48">
        <v>3375</v>
      </c>
      <c r="M201" s="48">
        <v>77</v>
      </c>
      <c r="N201" s="48">
        <v>48</v>
      </c>
      <c r="O201" s="47">
        <v>97.769409038238706</v>
      </c>
      <c r="P201" s="49"/>
    </row>
    <row r="202" spans="1:16" ht="15" customHeight="1">
      <c r="A202" s="50">
        <v>196</v>
      </c>
      <c r="B202" s="51" t="s">
        <v>24</v>
      </c>
      <c r="C202" s="58" t="s">
        <v>59</v>
      </c>
      <c r="D202" s="58" t="s">
        <v>82</v>
      </c>
      <c r="E202" s="58" t="s">
        <v>83</v>
      </c>
      <c r="F202" s="59" t="s">
        <v>83</v>
      </c>
      <c r="G202" s="52">
        <v>718</v>
      </c>
      <c r="H202" s="52">
        <v>60</v>
      </c>
      <c r="I202" s="52">
        <v>12</v>
      </c>
      <c r="J202" s="53">
        <v>92.287917737789201</v>
      </c>
      <c r="K202" s="53">
        <f>G202+H202+I202</f>
        <v>790</v>
      </c>
      <c r="L202" s="54">
        <v>704</v>
      </c>
      <c r="M202" s="54">
        <v>13</v>
      </c>
      <c r="N202" s="54">
        <v>6</v>
      </c>
      <c r="O202" s="53">
        <v>98.186889818688996</v>
      </c>
      <c r="P202" s="55">
        <f>L202+M202+N202</f>
        <v>723</v>
      </c>
    </row>
    <row r="203" spans="1:16" ht="15" hidden="1" customHeight="1">
      <c r="A203" s="43">
        <v>197</v>
      </c>
      <c r="B203" s="44" t="s">
        <v>24</v>
      </c>
      <c r="C203" s="44" t="s">
        <v>59</v>
      </c>
      <c r="D203" s="44" t="s">
        <v>82</v>
      </c>
      <c r="E203" s="44" t="s">
        <v>83</v>
      </c>
      <c r="F203" s="45" t="s">
        <v>18</v>
      </c>
      <c r="G203" s="46"/>
      <c r="H203" s="46"/>
      <c r="I203" s="46"/>
      <c r="J203" s="47"/>
      <c r="K203" s="47"/>
      <c r="L203" s="48"/>
      <c r="M203" s="48"/>
      <c r="N203" s="48"/>
      <c r="O203" s="47"/>
      <c r="P203" s="49"/>
    </row>
    <row r="204" spans="1:16" ht="15" hidden="1" customHeight="1">
      <c r="A204" s="43">
        <v>198</v>
      </c>
      <c r="B204" s="44" t="s">
        <v>24</v>
      </c>
      <c r="C204" s="44" t="s">
        <v>59</v>
      </c>
      <c r="D204" s="44" t="s">
        <v>82</v>
      </c>
      <c r="E204" s="44" t="s">
        <v>83</v>
      </c>
      <c r="F204" s="45" t="s">
        <v>19</v>
      </c>
      <c r="G204" s="46">
        <v>718</v>
      </c>
      <c r="H204" s="46">
        <v>60</v>
      </c>
      <c r="I204" s="46">
        <v>12</v>
      </c>
      <c r="J204" s="47">
        <v>92.287917737789201</v>
      </c>
      <c r="K204" s="47"/>
      <c r="L204" s="48">
        <v>704</v>
      </c>
      <c r="M204" s="48">
        <v>13</v>
      </c>
      <c r="N204" s="48">
        <v>6</v>
      </c>
      <c r="O204" s="47">
        <v>98.186889818688996</v>
      </c>
      <c r="P204" s="49"/>
    </row>
    <row r="205" spans="1:16" ht="15" customHeight="1">
      <c r="A205" s="50">
        <v>199</v>
      </c>
      <c r="B205" s="51" t="s">
        <v>24</v>
      </c>
      <c r="C205" s="58" t="s">
        <v>59</v>
      </c>
      <c r="D205" s="58" t="s">
        <v>82</v>
      </c>
      <c r="E205" s="58" t="s">
        <v>84</v>
      </c>
      <c r="F205" s="59" t="s">
        <v>84</v>
      </c>
      <c r="G205" s="52">
        <v>1234</v>
      </c>
      <c r="H205" s="52">
        <v>85</v>
      </c>
      <c r="I205" s="52">
        <v>9</v>
      </c>
      <c r="J205" s="53">
        <v>93.555724033358601</v>
      </c>
      <c r="K205" s="53">
        <f>G205+H205+I205</f>
        <v>1328</v>
      </c>
      <c r="L205" s="54">
        <v>960</v>
      </c>
      <c r="M205" s="54">
        <v>24</v>
      </c>
      <c r="N205" s="54">
        <v>31</v>
      </c>
      <c r="O205" s="53">
        <v>97.560975609756099</v>
      </c>
      <c r="P205" s="55">
        <f>L205+M205+N205</f>
        <v>1015</v>
      </c>
    </row>
    <row r="206" spans="1:16" ht="15" hidden="1" customHeight="1">
      <c r="A206" s="43">
        <v>200</v>
      </c>
      <c r="B206" s="44" t="s">
        <v>24</v>
      </c>
      <c r="C206" s="44" t="s">
        <v>59</v>
      </c>
      <c r="D206" s="44" t="s">
        <v>82</v>
      </c>
      <c r="E206" s="44" t="s">
        <v>84</v>
      </c>
      <c r="F206" s="45" t="s">
        <v>18</v>
      </c>
      <c r="G206" s="46"/>
      <c r="H206" s="46"/>
      <c r="I206" s="46"/>
      <c r="J206" s="47"/>
      <c r="K206" s="47"/>
      <c r="L206" s="48"/>
      <c r="M206" s="48"/>
      <c r="N206" s="48"/>
      <c r="O206" s="47"/>
      <c r="P206" s="49"/>
    </row>
    <row r="207" spans="1:16" ht="15" hidden="1" customHeight="1">
      <c r="A207" s="43">
        <v>201</v>
      </c>
      <c r="B207" s="44" t="s">
        <v>24</v>
      </c>
      <c r="C207" s="44" t="s">
        <v>59</v>
      </c>
      <c r="D207" s="44" t="s">
        <v>82</v>
      </c>
      <c r="E207" s="44" t="s">
        <v>84</v>
      </c>
      <c r="F207" s="45" t="s">
        <v>19</v>
      </c>
      <c r="G207" s="46">
        <v>1234</v>
      </c>
      <c r="H207" s="46">
        <v>85</v>
      </c>
      <c r="I207" s="46">
        <v>9</v>
      </c>
      <c r="J207" s="47">
        <v>93.555724033358601</v>
      </c>
      <c r="K207" s="47"/>
      <c r="L207" s="48">
        <v>960</v>
      </c>
      <c r="M207" s="48">
        <v>24</v>
      </c>
      <c r="N207" s="48">
        <v>31</v>
      </c>
      <c r="O207" s="47">
        <v>97.560975609756099</v>
      </c>
      <c r="P207" s="49"/>
    </row>
    <row r="208" spans="1:16" ht="15" customHeight="1">
      <c r="A208" s="50">
        <v>202</v>
      </c>
      <c r="B208" s="51" t="s">
        <v>24</v>
      </c>
      <c r="C208" s="58" t="s">
        <v>59</v>
      </c>
      <c r="D208" s="58" t="s">
        <v>82</v>
      </c>
      <c r="E208" s="58" t="s">
        <v>85</v>
      </c>
      <c r="F208" s="59" t="s">
        <v>85</v>
      </c>
      <c r="G208" s="52">
        <v>1206</v>
      </c>
      <c r="H208" s="52">
        <v>79</v>
      </c>
      <c r="I208" s="52">
        <v>12</v>
      </c>
      <c r="J208" s="53">
        <v>93.852140077821005</v>
      </c>
      <c r="K208" s="53">
        <f>G208+H208+I208</f>
        <v>1297</v>
      </c>
      <c r="L208" s="54">
        <v>941</v>
      </c>
      <c r="M208" s="54">
        <v>20</v>
      </c>
      <c r="N208" s="54">
        <v>7</v>
      </c>
      <c r="O208" s="53">
        <v>97.918834547346506</v>
      </c>
      <c r="P208" s="55">
        <f>L208+M208+N208</f>
        <v>968</v>
      </c>
    </row>
    <row r="209" spans="1:16" ht="15" hidden="1" customHeight="1">
      <c r="A209" s="43">
        <v>203</v>
      </c>
      <c r="B209" s="44" t="s">
        <v>24</v>
      </c>
      <c r="C209" s="44" t="s">
        <v>59</v>
      </c>
      <c r="D209" s="44" t="s">
        <v>82</v>
      </c>
      <c r="E209" s="44" t="s">
        <v>85</v>
      </c>
      <c r="F209" s="45" t="s">
        <v>18</v>
      </c>
      <c r="G209" s="46"/>
      <c r="H209" s="46"/>
      <c r="I209" s="46"/>
      <c r="J209" s="47"/>
      <c r="K209" s="47"/>
      <c r="L209" s="48"/>
      <c r="M209" s="48"/>
      <c r="N209" s="48"/>
      <c r="O209" s="47"/>
      <c r="P209" s="49"/>
    </row>
    <row r="210" spans="1:16" ht="15" hidden="1" customHeight="1">
      <c r="A210" s="43">
        <v>204</v>
      </c>
      <c r="B210" s="44" t="s">
        <v>24</v>
      </c>
      <c r="C210" s="44" t="s">
        <v>59</v>
      </c>
      <c r="D210" s="44" t="s">
        <v>82</v>
      </c>
      <c r="E210" s="44" t="s">
        <v>85</v>
      </c>
      <c r="F210" s="45" t="s">
        <v>19</v>
      </c>
      <c r="G210" s="46">
        <v>1206</v>
      </c>
      <c r="H210" s="46">
        <v>79</v>
      </c>
      <c r="I210" s="46">
        <v>12</v>
      </c>
      <c r="J210" s="47">
        <v>93.852140077821005</v>
      </c>
      <c r="K210" s="47"/>
      <c r="L210" s="48">
        <v>941</v>
      </c>
      <c r="M210" s="48">
        <v>20</v>
      </c>
      <c r="N210" s="48">
        <v>7</v>
      </c>
      <c r="O210" s="47">
        <v>97.918834547346506</v>
      </c>
      <c r="P210" s="49"/>
    </row>
    <row r="211" spans="1:16" ht="15" customHeight="1">
      <c r="A211" s="50">
        <v>205</v>
      </c>
      <c r="B211" s="51" t="s">
        <v>24</v>
      </c>
      <c r="C211" s="58" t="s">
        <v>59</v>
      </c>
      <c r="D211" s="58" t="s">
        <v>82</v>
      </c>
      <c r="E211" s="58" t="s">
        <v>86</v>
      </c>
      <c r="F211" s="59" t="s">
        <v>86</v>
      </c>
      <c r="G211" s="52">
        <v>362</v>
      </c>
      <c r="H211" s="52">
        <v>49</v>
      </c>
      <c r="I211" s="52">
        <v>7</v>
      </c>
      <c r="J211" s="53">
        <v>88.077858880778606</v>
      </c>
      <c r="K211" s="53">
        <f>G211+H211+I211</f>
        <v>418</v>
      </c>
      <c r="L211" s="54">
        <v>340</v>
      </c>
      <c r="M211" s="54">
        <v>4</v>
      </c>
      <c r="N211" s="54">
        <v>2</v>
      </c>
      <c r="O211" s="53">
        <v>98.837209302325604</v>
      </c>
      <c r="P211" s="55">
        <f>L211+M211+N211</f>
        <v>346</v>
      </c>
    </row>
    <row r="212" spans="1:16" ht="15" hidden="1" customHeight="1">
      <c r="A212" s="43">
        <v>206</v>
      </c>
      <c r="B212" s="44" t="s">
        <v>24</v>
      </c>
      <c r="C212" s="44" t="s">
        <v>59</v>
      </c>
      <c r="D212" s="44" t="s">
        <v>82</v>
      </c>
      <c r="E212" s="44" t="s">
        <v>86</v>
      </c>
      <c r="F212" s="45" t="s">
        <v>18</v>
      </c>
      <c r="G212" s="46"/>
      <c r="H212" s="46"/>
      <c r="I212" s="46"/>
      <c r="J212" s="47"/>
      <c r="K212" s="47"/>
      <c r="L212" s="48"/>
      <c r="M212" s="48"/>
      <c r="N212" s="48"/>
      <c r="O212" s="47"/>
      <c r="P212" s="49"/>
    </row>
    <row r="213" spans="1:16" ht="15" hidden="1" customHeight="1">
      <c r="A213" s="43">
        <v>207</v>
      </c>
      <c r="B213" s="44" t="s">
        <v>24</v>
      </c>
      <c r="C213" s="44" t="s">
        <v>59</v>
      </c>
      <c r="D213" s="44" t="s">
        <v>82</v>
      </c>
      <c r="E213" s="44" t="s">
        <v>86</v>
      </c>
      <c r="F213" s="45" t="s">
        <v>19</v>
      </c>
      <c r="G213" s="46">
        <v>362</v>
      </c>
      <c r="H213" s="46">
        <v>49</v>
      </c>
      <c r="I213" s="46">
        <v>7</v>
      </c>
      <c r="J213" s="47">
        <v>88.077858880778606</v>
      </c>
      <c r="K213" s="47"/>
      <c r="L213" s="48">
        <v>340</v>
      </c>
      <c r="M213" s="48">
        <v>4</v>
      </c>
      <c r="N213" s="48">
        <v>2</v>
      </c>
      <c r="O213" s="47">
        <v>98.837209302325604</v>
      </c>
      <c r="P213" s="49"/>
    </row>
    <row r="214" spans="1:16" ht="15" customHeight="1">
      <c r="A214" s="50">
        <v>208</v>
      </c>
      <c r="B214" s="51" t="s">
        <v>24</v>
      </c>
      <c r="C214" s="58" t="s">
        <v>59</v>
      </c>
      <c r="D214" s="58" t="s">
        <v>82</v>
      </c>
      <c r="E214" s="58" t="s">
        <v>87</v>
      </c>
      <c r="F214" s="59" t="s">
        <v>87</v>
      </c>
      <c r="G214" s="52">
        <v>419</v>
      </c>
      <c r="H214" s="52">
        <v>44</v>
      </c>
      <c r="I214" s="52">
        <v>4</v>
      </c>
      <c r="J214" s="53">
        <v>90.496760259179297</v>
      </c>
      <c r="K214" s="53">
        <f>G214+H214+I214</f>
        <v>467</v>
      </c>
      <c r="L214" s="54">
        <v>430</v>
      </c>
      <c r="M214" s="54">
        <v>16</v>
      </c>
      <c r="N214" s="54">
        <v>2</v>
      </c>
      <c r="O214" s="53">
        <v>96.412556053811699</v>
      </c>
      <c r="P214" s="55">
        <f>L214+M214+N214</f>
        <v>448</v>
      </c>
    </row>
    <row r="215" spans="1:16" ht="15" hidden="1" customHeight="1">
      <c r="A215" s="43">
        <v>209</v>
      </c>
      <c r="B215" s="44" t="s">
        <v>24</v>
      </c>
      <c r="C215" s="44" t="s">
        <v>59</v>
      </c>
      <c r="D215" s="44" t="s">
        <v>82</v>
      </c>
      <c r="E215" s="44" t="s">
        <v>87</v>
      </c>
      <c r="F215" s="45" t="s">
        <v>18</v>
      </c>
      <c r="G215" s="46"/>
      <c r="H215" s="46"/>
      <c r="I215" s="46"/>
      <c r="J215" s="47"/>
      <c r="K215" s="47"/>
      <c r="L215" s="48"/>
      <c r="M215" s="48"/>
      <c r="N215" s="48"/>
      <c r="O215" s="47"/>
      <c r="P215" s="49"/>
    </row>
    <row r="216" spans="1:16" ht="15" hidden="1" customHeight="1">
      <c r="A216" s="43">
        <v>210</v>
      </c>
      <c r="B216" s="44" t="s">
        <v>24</v>
      </c>
      <c r="C216" s="44" t="s">
        <v>59</v>
      </c>
      <c r="D216" s="44" t="s">
        <v>82</v>
      </c>
      <c r="E216" s="44" t="s">
        <v>87</v>
      </c>
      <c r="F216" s="45" t="s">
        <v>19</v>
      </c>
      <c r="G216" s="46">
        <v>419</v>
      </c>
      <c r="H216" s="46">
        <v>44</v>
      </c>
      <c r="I216" s="46">
        <v>4</v>
      </c>
      <c r="J216" s="47">
        <v>90.496760259179297</v>
      </c>
      <c r="K216" s="47"/>
      <c r="L216" s="48">
        <v>430</v>
      </c>
      <c r="M216" s="48">
        <v>16</v>
      </c>
      <c r="N216" s="48">
        <v>2</v>
      </c>
      <c r="O216" s="47">
        <v>96.412556053811699</v>
      </c>
      <c r="P216" s="49"/>
    </row>
    <row r="217" spans="1:16" ht="15" hidden="1" customHeight="1">
      <c r="A217" s="37">
        <v>211</v>
      </c>
      <c r="B217" s="38" t="s">
        <v>22</v>
      </c>
      <c r="C217" s="57" t="s">
        <v>59</v>
      </c>
      <c r="D217" s="57" t="s">
        <v>88</v>
      </c>
      <c r="E217" s="57"/>
      <c r="F217" s="38" t="s">
        <v>88</v>
      </c>
      <c r="G217" s="39">
        <v>2212</v>
      </c>
      <c r="H217" s="39">
        <v>282</v>
      </c>
      <c r="I217" s="39">
        <v>32</v>
      </c>
      <c r="J217" s="40">
        <v>88.692862870890096</v>
      </c>
      <c r="K217" s="40"/>
      <c r="L217" s="41">
        <v>2487</v>
      </c>
      <c r="M217" s="41">
        <v>119</v>
      </c>
      <c r="N217" s="41">
        <v>51</v>
      </c>
      <c r="O217" s="40">
        <v>95.433614735226399</v>
      </c>
      <c r="P217" s="42"/>
    </row>
    <row r="218" spans="1:16" ht="15" hidden="1" customHeight="1">
      <c r="A218" s="43">
        <v>212</v>
      </c>
      <c r="B218" s="44" t="s">
        <v>22</v>
      </c>
      <c r="C218" s="44" t="s">
        <v>59</v>
      </c>
      <c r="D218" s="44" t="s">
        <v>88</v>
      </c>
      <c r="E218" s="44"/>
      <c r="F218" s="45" t="s">
        <v>18</v>
      </c>
      <c r="G218" s="46"/>
      <c r="H218" s="46"/>
      <c r="I218" s="46"/>
      <c r="J218" s="47"/>
      <c r="K218" s="47"/>
      <c r="L218" s="48"/>
      <c r="M218" s="48"/>
      <c r="N218" s="48"/>
      <c r="O218" s="47"/>
      <c r="P218" s="49"/>
    </row>
    <row r="219" spans="1:16" ht="15" hidden="1" customHeight="1">
      <c r="A219" s="43">
        <v>213</v>
      </c>
      <c r="B219" s="44" t="s">
        <v>22</v>
      </c>
      <c r="C219" s="44" t="s">
        <v>59</v>
      </c>
      <c r="D219" s="44" t="s">
        <v>88</v>
      </c>
      <c r="E219" s="44"/>
      <c r="F219" s="45" t="s">
        <v>19</v>
      </c>
      <c r="G219" s="46">
        <v>2212</v>
      </c>
      <c r="H219" s="46">
        <v>282</v>
      </c>
      <c r="I219" s="46">
        <v>32</v>
      </c>
      <c r="J219" s="47">
        <v>88.692862870890096</v>
      </c>
      <c r="K219" s="47"/>
      <c r="L219" s="48">
        <v>2487</v>
      </c>
      <c r="M219" s="48">
        <v>119</v>
      </c>
      <c r="N219" s="48">
        <v>51</v>
      </c>
      <c r="O219" s="47">
        <v>95.433614735226399</v>
      </c>
      <c r="P219" s="49"/>
    </row>
    <row r="220" spans="1:16" ht="15" customHeight="1">
      <c r="A220" s="50">
        <v>214</v>
      </c>
      <c r="B220" s="51" t="s">
        <v>24</v>
      </c>
      <c r="C220" s="58" t="s">
        <v>59</v>
      </c>
      <c r="D220" s="58" t="s">
        <v>88</v>
      </c>
      <c r="E220" s="58" t="s">
        <v>89</v>
      </c>
      <c r="F220" s="59" t="s">
        <v>89</v>
      </c>
      <c r="G220" s="52">
        <v>915</v>
      </c>
      <c r="H220" s="52">
        <v>103</v>
      </c>
      <c r="I220" s="52">
        <v>11</v>
      </c>
      <c r="J220" s="53">
        <v>89.882121807465595</v>
      </c>
      <c r="K220" s="53">
        <f>G220+H220+I220</f>
        <v>1029</v>
      </c>
      <c r="L220" s="54">
        <v>1281</v>
      </c>
      <c r="M220" s="54">
        <v>69</v>
      </c>
      <c r="N220" s="54">
        <v>27</v>
      </c>
      <c r="O220" s="53">
        <v>94.8888888888889</v>
      </c>
      <c r="P220" s="55">
        <f>L220+M220+N220</f>
        <v>1377</v>
      </c>
    </row>
    <row r="221" spans="1:16" ht="15" hidden="1" customHeight="1">
      <c r="A221" s="43">
        <v>215</v>
      </c>
      <c r="B221" s="44" t="s">
        <v>24</v>
      </c>
      <c r="C221" s="44" t="s">
        <v>59</v>
      </c>
      <c r="D221" s="44" t="s">
        <v>88</v>
      </c>
      <c r="E221" s="44" t="s">
        <v>89</v>
      </c>
      <c r="F221" s="45" t="s">
        <v>18</v>
      </c>
      <c r="G221" s="46"/>
      <c r="H221" s="46"/>
      <c r="I221" s="46"/>
      <c r="J221" s="47"/>
      <c r="K221" s="47"/>
      <c r="L221" s="48"/>
      <c r="M221" s="48"/>
      <c r="N221" s="48"/>
      <c r="O221" s="47"/>
      <c r="P221" s="49"/>
    </row>
    <row r="222" spans="1:16" ht="15" hidden="1" customHeight="1">
      <c r="A222" s="43">
        <v>216</v>
      </c>
      <c r="B222" s="44" t="s">
        <v>24</v>
      </c>
      <c r="C222" s="44" t="s">
        <v>59</v>
      </c>
      <c r="D222" s="44" t="s">
        <v>88</v>
      </c>
      <c r="E222" s="44" t="s">
        <v>89</v>
      </c>
      <c r="F222" s="45" t="s">
        <v>19</v>
      </c>
      <c r="G222" s="46">
        <v>915</v>
      </c>
      <c r="H222" s="46">
        <v>103</v>
      </c>
      <c r="I222" s="46">
        <v>11</v>
      </c>
      <c r="J222" s="47">
        <v>89.882121807465595</v>
      </c>
      <c r="K222" s="47"/>
      <c r="L222" s="48">
        <v>1281</v>
      </c>
      <c r="M222" s="48">
        <v>69</v>
      </c>
      <c r="N222" s="48">
        <v>27</v>
      </c>
      <c r="O222" s="47">
        <v>94.8888888888889</v>
      </c>
      <c r="P222" s="49"/>
    </row>
    <row r="223" spans="1:16" ht="15" customHeight="1">
      <c r="A223" s="50">
        <v>217</v>
      </c>
      <c r="B223" s="51" t="s">
        <v>24</v>
      </c>
      <c r="C223" s="58" t="s">
        <v>59</v>
      </c>
      <c r="D223" s="58" t="s">
        <v>88</v>
      </c>
      <c r="E223" s="58" t="s">
        <v>90</v>
      </c>
      <c r="F223" s="59" t="s">
        <v>90</v>
      </c>
      <c r="G223" s="52">
        <v>751</v>
      </c>
      <c r="H223" s="52">
        <v>128</v>
      </c>
      <c r="I223" s="52">
        <v>12</v>
      </c>
      <c r="J223" s="53">
        <v>85.437997724687094</v>
      </c>
      <c r="K223" s="53">
        <f>G223+H223+I223</f>
        <v>891</v>
      </c>
      <c r="L223" s="54">
        <v>640</v>
      </c>
      <c r="M223" s="54">
        <v>36</v>
      </c>
      <c r="N223" s="54">
        <v>14</v>
      </c>
      <c r="O223" s="53">
        <v>94.674556213017794</v>
      </c>
      <c r="P223" s="55">
        <f>L223+M223+N223</f>
        <v>690</v>
      </c>
    </row>
    <row r="224" spans="1:16" ht="15" hidden="1" customHeight="1">
      <c r="A224" s="43">
        <v>218</v>
      </c>
      <c r="B224" s="44" t="s">
        <v>24</v>
      </c>
      <c r="C224" s="44" t="s">
        <v>59</v>
      </c>
      <c r="D224" s="44" t="s">
        <v>88</v>
      </c>
      <c r="E224" s="44" t="s">
        <v>90</v>
      </c>
      <c r="F224" s="45" t="s">
        <v>18</v>
      </c>
      <c r="G224" s="46"/>
      <c r="H224" s="46"/>
      <c r="I224" s="46"/>
      <c r="J224" s="47"/>
      <c r="K224" s="47"/>
      <c r="L224" s="48"/>
      <c r="M224" s="48"/>
      <c r="N224" s="48"/>
      <c r="O224" s="47"/>
      <c r="P224" s="49"/>
    </row>
    <row r="225" spans="1:16" ht="15" hidden="1" customHeight="1">
      <c r="A225" s="43">
        <v>219</v>
      </c>
      <c r="B225" s="44" t="s">
        <v>24</v>
      </c>
      <c r="C225" s="44" t="s">
        <v>59</v>
      </c>
      <c r="D225" s="44" t="s">
        <v>88</v>
      </c>
      <c r="E225" s="44" t="s">
        <v>90</v>
      </c>
      <c r="F225" s="45" t="s">
        <v>19</v>
      </c>
      <c r="G225" s="46">
        <v>751</v>
      </c>
      <c r="H225" s="46">
        <v>128</v>
      </c>
      <c r="I225" s="46">
        <v>12</v>
      </c>
      <c r="J225" s="47">
        <v>85.437997724687094</v>
      </c>
      <c r="K225" s="47"/>
      <c r="L225" s="48">
        <v>640</v>
      </c>
      <c r="M225" s="48">
        <v>36</v>
      </c>
      <c r="N225" s="48">
        <v>14</v>
      </c>
      <c r="O225" s="47">
        <v>94.674556213017794</v>
      </c>
      <c r="P225" s="49"/>
    </row>
    <row r="226" spans="1:16" ht="15" customHeight="1">
      <c r="A226" s="50">
        <v>220</v>
      </c>
      <c r="B226" s="51" t="s">
        <v>24</v>
      </c>
      <c r="C226" s="58" t="s">
        <v>59</v>
      </c>
      <c r="D226" s="58" t="s">
        <v>88</v>
      </c>
      <c r="E226" s="58" t="s">
        <v>91</v>
      </c>
      <c r="F226" s="59" t="s">
        <v>91</v>
      </c>
      <c r="G226" s="52">
        <v>546</v>
      </c>
      <c r="H226" s="52">
        <v>51</v>
      </c>
      <c r="I226" s="52">
        <v>9</v>
      </c>
      <c r="J226" s="53">
        <v>91.457286432160799</v>
      </c>
      <c r="K226" s="53">
        <f>G226+H226+I226</f>
        <v>606</v>
      </c>
      <c r="L226" s="54">
        <v>566</v>
      </c>
      <c r="M226" s="54">
        <v>14</v>
      </c>
      <c r="N226" s="54">
        <v>10</v>
      </c>
      <c r="O226" s="53">
        <v>97.586206896551701</v>
      </c>
      <c r="P226" s="55">
        <f>L226+M226+N226</f>
        <v>590</v>
      </c>
    </row>
    <row r="227" spans="1:16" ht="15" hidden="1" customHeight="1">
      <c r="A227" s="43">
        <v>221</v>
      </c>
      <c r="B227" s="44" t="s">
        <v>24</v>
      </c>
      <c r="C227" s="44" t="s">
        <v>59</v>
      </c>
      <c r="D227" s="44" t="s">
        <v>88</v>
      </c>
      <c r="E227" s="44" t="s">
        <v>91</v>
      </c>
      <c r="F227" s="45" t="s">
        <v>18</v>
      </c>
      <c r="G227" s="46"/>
      <c r="H227" s="46"/>
      <c r="I227" s="46"/>
      <c r="J227" s="47"/>
      <c r="K227" s="47"/>
      <c r="L227" s="48"/>
      <c r="M227" s="48"/>
      <c r="N227" s="48"/>
      <c r="O227" s="47"/>
      <c r="P227" s="49"/>
    </row>
    <row r="228" spans="1:16" ht="15" hidden="1" customHeight="1">
      <c r="A228" s="43">
        <v>222</v>
      </c>
      <c r="B228" s="44" t="s">
        <v>24</v>
      </c>
      <c r="C228" s="44" t="s">
        <v>59</v>
      </c>
      <c r="D228" s="44" t="s">
        <v>88</v>
      </c>
      <c r="E228" s="44" t="s">
        <v>91</v>
      </c>
      <c r="F228" s="45" t="s">
        <v>19</v>
      </c>
      <c r="G228" s="46">
        <v>546</v>
      </c>
      <c r="H228" s="46">
        <v>51</v>
      </c>
      <c r="I228" s="46">
        <v>9</v>
      </c>
      <c r="J228" s="47">
        <v>91.457286432160799</v>
      </c>
      <c r="K228" s="47"/>
      <c r="L228" s="48">
        <v>566</v>
      </c>
      <c r="M228" s="48">
        <v>14</v>
      </c>
      <c r="N228" s="48">
        <v>10</v>
      </c>
      <c r="O228" s="47">
        <v>97.586206896551701</v>
      </c>
      <c r="P228" s="49"/>
    </row>
    <row r="229" spans="1:16" ht="15" hidden="1" customHeight="1">
      <c r="A229" s="37">
        <v>223</v>
      </c>
      <c r="B229" s="38" t="s">
        <v>22</v>
      </c>
      <c r="C229" s="57" t="s">
        <v>59</v>
      </c>
      <c r="D229" s="57" t="s">
        <v>92</v>
      </c>
      <c r="E229" s="57"/>
      <c r="F229" s="38" t="s">
        <v>92</v>
      </c>
      <c r="G229" s="39">
        <v>7836</v>
      </c>
      <c r="H229" s="39">
        <v>1315</v>
      </c>
      <c r="I229" s="39">
        <v>81</v>
      </c>
      <c r="J229" s="40">
        <v>85.629985793902307</v>
      </c>
      <c r="K229" s="40"/>
      <c r="L229" s="41">
        <v>8339</v>
      </c>
      <c r="M229" s="41">
        <v>500</v>
      </c>
      <c r="N229" s="41">
        <v>92</v>
      </c>
      <c r="O229" s="40">
        <v>94.343251499038303</v>
      </c>
      <c r="P229" s="42"/>
    </row>
    <row r="230" spans="1:16" ht="15" hidden="1" customHeight="1">
      <c r="A230" s="43">
        <v>224</v>
      </c>
      <c r="B230" s="44" t="s">
        <v>22</v>
      </c>
      <c r="C230" s="44" t="s">
        <v>59</v>
      </c>
      <c r="D230" s="44" t="s">
        <v>92</v>
      </c>
      <c r="E230" s="44"/>
      <c r="F230" s="45" t="s">
        <v>18</v>
      </c>
      <c r="G230" s="46">
        <v>1504</v>
      </c>
      <c r="H230" s="46">
        <v>252</v>
      </c>
      <c r="I230" s="46">
        <v>15</v>
      </c>
      <c r="J230" s="47">
        <v>85.649202733485197</v>
      </c>
      <c r="K230" s="47"/>
      <c r="L230" s="48">
        <v>1992</v>
      </c>
      <c r="M230" s="48">
        <v>149</v>
      </c>
      <c r="N230" s="48">
        <v>19</v>
      </c>
      <c r="O230" s="47">
        <v>93.040635217188196</v>
      </c>
      <c r="P230" s="49"/>
    </row>
    <row r="231" spans="1:16" ht="15" hidden="1" customHeight="1">
      <c r="A231" s="43">
        <v>225</v>
      </c>
      <c r="B231" s="44" t="s">
        <v>22</v>
      </c>
      <c r="C231" s="44" t="s">
        <v>59</v>
      </c>
      <c r="D231" s="44" t="s">
        <v>92</v>
      </c>
      <c r="E231" s="44"/>
      <c r="F231" s="45" t="s">
        <v>19</v>
      </c>
      <c r="G231" s="46">
        <v>6332</v>
      </c>
      <c r="H231" s="46">
        <v>1063</v>
      </c>
      <c r="I231" s="46">
        <v>66</v>
      </c>
      <c r="J231" s="47">
        <v>85.625422582826204</v>
      </c>
      <c r="K231" s="47"/>
      <c r="L231" s="48">
        <v>6347</v>
      </c>
      <c r="M231" s="48">
        <v>351</v>
      </c>
      <c r="N231" s="48">
        <v>73</v>
      </c>
      <c r="O231" s="47">
        <v>94.759629740221001</v>
      </c>
      <c r="P231" s="49"/>
    </row>
    <row r="232" spans="1:16" ht="15" customHeight="1">
      <c r="A232" s="50">
        <v>226</v>
      </c>
      <c r="B232" s="51" t="s">
        <v>24</v>
      </c>
      <c r="C232" s="58" t="s">
        <v>59</v>
      </c>
      <c r="D232" s="58" t="s">
        <v>92</v>
      </c>
      <c r="E232" s="58" t="s">
        <v>93</v>
      </c>
      <c r="F232" s="59" t="s">
        <v>93</v>
      </c>
      <c r="G232" s="52">
        <v>2002</v>
      </c>
      <c r="H232" s="52">
        <v>233</v>
      </c>
      <c r="I232" s="52">
        <v>21</v>
      </c>
      <c r="J232" s="53">
        <v>89.574944071588405</v>
      </c>
      <c r="K232" s="53">
        <f>G232+H232+I232</f>
        <v>2256</v>
      </c>
      <c r="L232" s="54">
        <v>2230</v>
      </c>
      <c r="M232" s="54">
        <v>79</v>
      </c>
      <c r="N232" s="54">
        <v>23</v>
      </c>
      <c r="O232" s="53">
        <v>96.578605456907795</v>
      </c>
      <c r="P232" s="55">
        <f>L232+M232+N232</f>
        <v>2332</v>
      </c>
    </row>
    <row r="233" spans="1:16" ht="15" hidden="1" customHeight="1">
      <c r="A233" s="43">
        <v>227</v>
      </c>
      <c r="B233" s="44" t="s">
        <v>24</v>
      </c>
      <c r="C233" s="44" t="s">
        <v>59</v>
      </c>
      <c r="D233" s="44" t="s">
        <v>92</v>
      </c>
      <c r="E233" s="44" t="s">
        <v>93</v>
      </c>
      <c r="F233" s="45" t="s">
        <v>18</v>
      </c>
      <c r="G233" s="46">
        <v>256</v>
      </c>
      <c r="H233" s="46">
        <v>7</v>
      </c>
      <c r="I233" s="46">
        <v>2</v>
      </c>
      <c r="J233" s="47">
        <v>97.338403041825103</v>
      </c>
      <c r="K233" s="47"/>
      <c r="L233" s="48">
        <v>300</v>
      </c>
      <c r="M233" s="48">
        <v>6</v>
      </c>
      <c r="N233" s="48">
        <v>0</v>
      </c>
      <c r="O233" s="47">
        <v>98.039215686274503</v>
      </c>
      <c r="P233" s="49"/>
    </row>
    <row r="234" spans="1:16" ht="15" hidden="1" customHeight="1">
      <c r="A234" s="43">
        <v>228</v>
      </c>
      <c r="B234" s="44" t="s">
        <v>24</v>
      </c>
      <c r="C234" s="44" t="s">
        <v>59</v>
      </c>
      <c r="D234" s="44" t="s">
        <v>92</v>
      </c>
      <c r="E234" s="44" t="s">
        <v>93</v>
      </c>
      <c r="F234" s="45" t="s">
        <v>19</v>
      </c>
      <c r="G234" s="46">
        <v>1746</v>
      </c>
      <c r="H234" s="46">
        <v>226</v>
      </c>
      <c r="I234" s="46">
        <v>19</v>
      </c>
      <c r="J234" s="47">
        <v>88.539553752535497</v>
      </c>
      <c r="K234" s="47"/>
      <c r="L234" s="48">
        <v>1930</v>
      </c>
      <c r="M234" s="48">
        <v>73</v>
      </c>
      <c r="N234" s="48">
        <v>23</v>
      </c>
      <c r="O234" s="47">
        <v>96.355466799800297</v>
      </c>
      <c r="P234" s="49"/>
    </row>
    <row r="235" spans="1:16" ht="15" customHeight="1">
      <c r="A235" s="50">
        <v>229</v>
      </c>
      <c r="B235" s="51" t="s">
        <v>24</v>
      </c>
      <c r="C235" s="58" t="s">
        <v>59</v>
      </c>
      <c r="D235" s="58" t="s">
        <v>92</v>
      </c>
      <c r="E235" s="58" t="s">
        <v>94</v>
      </c>
      <c r="F235" s="59" t="s">
        <v>94</v>
      </c>
      <c r="G235" s="52">
        <v>1343</v>
      </c>
      <c r="H235" s="52">
        <v>266</v>
      </c>
      <c r="I235" s="52">
        <v>14</v>
      </c>
      <c r="J235" s="53">
        <v>83.467992541951503</v>
      </c>
      <c r="K235" s="53">
        <f>G235+H235+I235</f>
        <v>1623</v>
      </c>
      <c r="L235" s="54">
        <v>1279</v>
      </c>
      <c r="M235" s="54">
        <v>62</v>
      </c>
      <c r="N235" s="54">
        <v>19</v>
      </c>
      <c r="O235" s="53">
        <v>95.376584638329604</v>
      </c>
      <c r="P235" s="55">
        <f>L235+M235+N235</f>
        <v>1360</v>
      </c>
    </row>
    <row r="236" spans="1:16" ht="15" hidden="1" customHeight="1">
      <c r="A236" s="43">
        <v>230</v>
      </c>
      <c r="B236" s="44" t="s">
        <v>24</v>
      </c>
      <c r="C236" s="44" t="s">
        <v>59</v>
      </c>
      <c r="D236" s="44" t="s">
        <v>92</v>
      </c>
      <c r="E236" s="44" t="s">
        <v>94</v>
      </c>
      <c r="F236" s="45" t="s">
        <v>18</v>
      </c>
      <c r="G236" s="46">
        <v>401</v>
      </c>
      <c r="H236" s="46">
        <v>44</v>
      </c>
      <c r="I236" s="46">
        <v>5</v>
      </c>
      <c r="J236" s="47">
        <v>90.112359550561806</v>
      </c>
      <c r="K236" s="47"/>
      <c r="L236" s="48">
        <v>318</v>
      </c>
      <c r="M236" s="48">
        <v>16</v>
      </c>
      <c r="N236" s="48">
        <v>2</v>
      </c>
      <c r="O236" s="47">
        <v>95.209580838323305</v>
      </c>
      <c r="P236" s="49"/>
    </row>
    <row r="237" spans="1:16" ht="15" hidden="1" customHeight="1">
      <c r="A237" s="43">
        <v>231</v>
      </c>
      <c r="B237" s="44" t="s">
        <v>24</v>
      </c>
      <c r="C237" s="44" t="s">
        <v>59</v>
      </c>
      <c r="D237" s="44" t="s">
        <v>92</v>
      </c>
      <c r="E237" s="44" t="s">
        <v>94</v>
      </c>
      <c r="F237" s="45" t="s">
        <v>19</v>
      </c>
      <c r="G237" s="46">
        <v>942</v>
      </c>
      <c r="H237" s="46">
        <v>222</v>
      </c>
      <c r="I237" s="46">
        <v>9</v>
      </c>
      <c r="J237" s="47">
        <v>80.927835051546396</v>
      </c>
      <c r="K237" s="47"/>
      <c r="L237" s="48">
        <v>961</v>
      </c>
      <c r="M237" s="48">
        <v>46</v>
      </c>
      <c r="N237" s="48">
        <v>17</v>
      </c>
      <c r="O237" s="47">
        <v>95.4319761668322</v>
      </c>
      <c r="P237" s="49"/>
    </row>
    <row r="238" spans="1:16" ht="15" customHeight="1">
      <c r="A238" s="50">
        <v>232</v>
      </c>
      <c r="B238" s="51" t="s">
        <v>24</v>
      </c>
      <c r="C238" s="58" t="s">
        <v>59</v>
      </c>
      <c r="D238" s="58" t="s">
        <v>92</v>
      </c>
      <c r="E238" s="58" t="s">
        <v>95</v>
      </c>
      <c r="F238" s="59" t="s">
        <v>95</v>
      </c>
      <c r="G238" s="52">
        <v>746</v>
      </c>
      <c r="H238" s="52">
        <v>134</v>
      </c>
      <c r="I238" s="52">
        <v>9</v>
      </c>
      <c r="J238" s="53">
        <v>84.772727272727295</v>
      </c>
      <c r="K238" s="53">
        <f>G238+H238+I238</f>
        <v>889</v>
      </c>
      <c r="L238" s="54">
        <v>759</v>
      </c>
      <c r="M238" s="54">
        <v>36</v>
      </c>
      <c r="N238" s="54">
        <v>8</v>
      </c>
      <c r="O238" s="53">
        <v>95.471698113207594</v>
      </c>
      <c r="P238" s="55">
        <f>L238+M238+N238</f>
        <v>803</v>
      </c>
    </row>
    <row r="239" spans="1:16" ht="15" hidden="1" customHeight="1">
      <c r="A239" s="43">
        <v>233</v>
      </c>
      <c r="B239" s="44" t="s">
        <v>24</v>
      </c>
      <c r="C239" s="44" t="s">
        <v>59</v>
      </c>
      <c r="D239" s="44" t="s">
        <v>92</v>
      </c>
      <c r="E239" s="44" t="s">
        <v>95</v>
      </c>
      <c r="F239" s="45" t="s">
        <v>18</v>
      </c>
      <c r="G239" s="46"/>
      <c r="H239" s="46"/>
      <c r="I239" s="46"/>
      <c r="J239" s="47"/>
      <c r="K239" s="47"/>
      <c r="L239" s="48"/>
      <c r="M239" s="48"/>
      <c r="N239" s="48"/>
      <c r="O239" s="47"/>
      <c r="P239" s="49"/>
    </row>
    <row r="240" spans="1:16" ht="15" hidden="1" customHeight="1">
      <c r="A240" s="43">
        <v>234</v>
      </c>
      <c r="B240" s="44" t="s">
        <v>24</v>
      </c>
      <c r="C240" s="44" t="s">
        <v>59</v>
      </c>
      <c r="D240" s="44" t="s">
        <v>92</v>
      </c>
      <c r="E240" s="44" t="s">
        <v>95</v>
      </c>
      <c r="F240" s="45" t="s">
        <v>19</v>
      </c>
      <c r="G240" s="46">
        <v>746</v>
      </c>
      <c r="H240" s="46">
        <v>134</v>
      </c>
      <c r="I240" s="46">
        <v>9</v>
      </c>
      <c r="J240" s="47">
        <v>84.772727272727295</v>
      </c>
      <c r="K240" s="47"/>
      <c r="L240" s="48">
        <v>759</v>
      </c>
      <c r="M240" s="48">
        <v>36</v>
      </c>
      <c r="N240" s="48">
        <v>8</v>
      </c>
      <c r="O240" s="47">
        <v>95.471698113207594</v>
      </c>
      <c r="P240" s="49"/>
    </row>
    <row r="241" spans="1:16" ht="15" customHeight="1">
      <c r="A241" s="50">
        <v>235</v>
      </c>
      <c r="B241" s="51" t="s">
        <v>24</v>
      </c>
      <c r="C241" s="58" t="s">
        <v>59</v>
      </c>
      <c r="D241" s="58" t="s">
        <v>92</v>
      </c>
      <c r="E241" s="58" t="s">
        <v>96</v>
      </c>
      <c r="F241" s="59" t="s">
        <v>96</v>
      </c>
      <c r="G241" s="52">
        <v>239</v>
      </c>
      <c r="H241" s="52">
        <v>26</v>
      </c>
      <c r="I241" s="52">
        <v>3</v>
      </c>
      <c r="J241" s="53">
        <v>90.188679245282998</v>
      </c>
      <c r="K241" s="53">
        <f>G241+H241+I241</f>
        <v>268</v>
      </c>
      <c r="L241" s="54">
        <v>364</v>
      </c>
      <c r="M241" s="54">
        <v>13</v>
      </c>
      <c r="N241" s="54">
        <v>3</v>
      </c>
      <c r="O241" s="53">
        <v>96.551724137931004</v>
      </c>
      <c r="P241" s="55">
        <f>L241+M241+N241</f>
        <v>380</v>
      </c>
    </row>
    <row r="242" spans="1:16" ht="15" hidden="1" customHeight="1">
      <c r="A242" s="43">
        <v>236</v>
      </c>
      <c r="B242" s="44" t="s">
        <v>24</v>
      </c>
      <c r="C242" s="44" t="s">
        <v>59</v>
      </c>
      <c r="D242" s="44" t="s">
        <v>92</v>
      </c>
      <c r="E242" s="44" t="s">
        <v>96</v>
      </c>
      <c r="F242" s="45" t="s">
        <v>18</v>
      </c>
      <c r="G242" s="46"/>
      <c r="H242" s="46"/>
      <c r="I242" s="46"/>
      <c r="J242" s="47"/>
      <c r="K242" s="47"/>
      <c r="L242" s="48"/>
      <c r="M242" s="48"/>
      <c r="N242" s="48"/>
      <c r="O242" s="47"/>
      <c r="P242" s="49"/>
    </row>
    <row r="243" spans="1:16" ht="15" hidden="1" customHeight="1">
      <c r="A243" s="43">
        <v>237</v>
      </c>
      <c r="B243" s="44" t="s">
        <v>24</v>
      </c>
      <c r="C243" s="44" t="s">
        <v>59</v>
      </c>
      <c r="D243" s="44" t="s">
        <v>92</v>
      </c>
      <c r="E243" s="44" t="s">
        <v>96</v>
      </c>
      <c r="F243" s="45" t="s">
        <v>19</v>
      </c>
      <c r="G243" s="46">
        <v>239</v>
      </c>
      <c r="H243" s="46">
        <v>26</v>
      </c>
      <c r="I243" s="46">
        <v>3</v>
      </c>
      <c r="J243" s="47">
        <v>90.188679245282998</v>
      </c>
      <c r="K243" s="47"/>
      <c r="L243" s="48">
        <v>364</v>
      </c>
      <c r="M243" s="48">
        <v>13</v>
      </c>
      <c r="N243" s="48">
        <v>3</v>
      </c>
      <c r="O243" s="47">
        <v>96.551724137931004</v>
      </c>
      <c r="P243" s="49"/>
    </row>
    <row r="244" spans="1:16" ht="15" customHeight="1">
      <c r="A244" s="50">
        <v>238</v>
      </c>
      <c r="B244" s="51" t="s">
        <v>24</v>
      </c>
      <c r="C244" s="58" t="s">
        <v>59</v>
      </c>
      <c r="D244" s="58" t="s">
        <v>92</v>
      </c>
      <c r="E244" s="58" t="s">
        <v>97</v>
      </c>
      <c r="F244" s="59" t="s">
        <v>97</v>
      </c>
      <c r="G244" s="52">
        <v>221</v>
      </c>
      <c r="H244" s="52">
        <v>13</v>
      </c>
      <c r="I244" s="52">
        <v>1</v>
      </c>
      <c r="J244" s="53">
        <v>94.4444444444444</v>
      </c>
      <c r="K244" s="53">
        <f>G244+H244+I244</f>
        <v>235</v>
      </c>
      <c r="L244" s="54">
        <v>207</v>
      </c>
      <c r="M244" s="54">
        <v>4</v>
      </c>
      <c r="N244" s="54">
        <v>5</v>
      </c>
      <c r="O244" s="53">
        <v>98.104265402843595</v>
      </c>
      <c r="P244" s="55">
        <f>L244+M244+N244</f>
        <v>216</v>
      </c>
    </row>
    <row r="245" spans="1:16" ht="15" hidden="1" customHeight="1">
      <c r="A245" s="43">
        <v>239</v>
      </c>
      <c r="B245" s="44" t="s">
        <v>24</v>
      </c>
      <c r="C245" s="44" t="s">
        <v>59</v>
      </c>
      <c r="D245" s="44" t="s">
        <v>92</v>
      </c>
      <c r="E245" s="44" t="s">
        <v>97</v>
      </c>
      <c r="F245" s="45" t="s">
        <v>18</v>
      </c>
      <c r="G245" s="46"/>
      <c r="H245" s="46"/>
      <c r="I245" s="46"/>
      <c r="J245" s="47"/>
      <c r="K245" s="47"/>
      <c r="L245" s="48"/>
      <c r="M245" s="48"/>
      <c r="N245" s="48"/>
      <c r="O245" s="47"/>
      <c r="P245" s="49"/>
    </row>
    <row r="246" spans="1:16" ht="15" hidden="1" customHeight="1">
      <c r="A246" s="43">
        <v>240</v>
      </c>
      <c r="B246" s="44" t="s">
        <v>24</v>
      </c>
      <c r="C246" s="44" t="s">
        <v>59</v>
      </c>
      <c r="D246" s="44" t="s">
        <v>92</v>
      </c>
      <c r="E246" s="44" t="s">
        <v>97</v>
      </c>
      <c r="F246" s="45" t="s">
        <v>19</v>
      </c>
      <c r="G246" s="46">
        <v>221</v>
      </c>
      <c r="H246" s="46">
        <v>13</v>
      </c>
      <c r="I246" s="46">
        <v>1</v>
      </c>
      <c r="J246" s="47">
        <v>94.4444444444444</v>
      </c>
      <c r="K246" s="47"/>
      <c r="L246" s="48">
        <v>207</v>
      </c>
      <c r="M246" s="48">
        <v>4</v>
      </c>
      <c r="N246" s="48">
        <v>5</v>
      </c>
      <c r="O246" s="47">
        <v>98.104265402843595</v>
      </c>
      <c r="P246" s="49"/>
    </row>
    <row r="247" spans="1:16" ht="15" customHeight="1">
      <c r="A247" s="50">
        <v>241</v>
      </c>
      <c r="B247" s="51" t="s">
        <v>24</v>
      </c>
      <c r="C247" s="58" t="s">
        <v>59</v>
      </c>
      <c r="D247" s="58" t="s">
        <v>92</v>
      </c>
      <c r="E247" s="58" t="s">
        <v>98</v>
      </c>
      <c r="F247" s="59" t="s">
        <v>98</v>
      </c>
      <c r="G247" s="52">
        <v>937</v>
      </c>
      <c r="H247" s="52">
        <v>158</v>
      </c>
      <c r="I247" s="52">
        <v>12</v>
      </c>
      <c r="J247" s="53">
        <v>85.570776255707798</v>
      </c>
      <c r="K247" s="53">
        <f>G247+H247+I247</f>
        <v>1107</v>
      </c>
      <c r="L247" s="54">
        <v>606</v>
      </c>
      <c r="M247" s="54">
        <v>58</v>
      </c>
      <c r="N247" s="54">
        <v>8</v>
      </c>
      <c r="O247" s="53">
        <v>91.265060240963905</v>
      </c>
      <c r="P247" s="55">
        <f>L247+M247+N247</f>
        <v>672</v>
      </c>
    </row>
    <row r="248" spans="1:16" ht="15" hidden="1" customHeight="1">
      <c r="A248" s="43">
        <v>242</v>
      </c>
      <c r="B248" s="44" t="s">
        <v>24</v>
      </c>
      <c r="C248" s="44" t="s">
        <v>59</v>
      </c>
      <c r="D248" s="44" t="s">
        <v>92</v>
      </c>
      <c r="E248" s="44" t="s">
        <v>98</v>
      </c>
      <c r="F248" s="45" t="s">
        <v>18</v>
      </c>
      <c r="G248" s="46">
        <v>207</v>
      </c>
      <c r="H248" s="46">
        <v>32</v>
      </c>
      <c r="I248" s="46">
        <v>2</v>
      </c>
      <c r="J248" s="47">
        <v>86.610878661087895</v>
      </c>
      <c r="K248" s="47"/>
      <c r="L248" s="48">
        <v>160</v>
      </c>
      <c r="M248" s="48">
        <v>17</v>
      </c>
      <c r="N248" s="48">
        <v>2</v>
      </c>
      <c r="O248" s="47">
        <v>90.395480225988706</v>
      </c>
      <c r="P248" s="49"/>
    </row>
    <row r="249" spans="1:16" ht="15" hidden="1" customHeight="1">
      <c r="A249" s="43">
        <v>243</v>
      </c>
      <c r="B249" s="44" t="s">
        <v>24</v>
      </c>
      <c r="C249" s="44" t="s">
        <v>59</v>
      </c>
      <c r="D249" s="44" t="s">
        <v>92</v>
      </c>
      <c r="E249" s="44" t="s">
        <v>98</v>
      </c>
      <c r="F249" s="45" t="s">
        <v>19</v>
      </c>
      <c r="G249" s="46">
        <v>730</v>
      </c>
      <c r="H249" s="46">
        <v>126</v>
      </c>
      <c r="I249" s="46">
        <v>10</v>
      </c>
      <c r="J249" s="47">
        <v>85.280373831775705</v>
      </c>
      <c r="K249" s="47"/>
      <c r="L249" s="48">
        <v>446</v>
      </c>
      <c r="M249" s="48">
        <v>41</v>
      </c>
      <c r="N249" s="48">
        <v>6</v>
      </c>
      <c r="O249" s="47">
        <v>91.581108829568805</v>
      </c>
      <c r="P249" s="49"/>
    </row>
    <row r="250" spans="1:16" ht="15" customHeight="1">
      <c r="A250" s="50">
        <v>244</v>
      </c>
      <c r="B250" s="51" t="s">
        <v>24</v>
      </c>
      <c r="C250" s="58" t="s">
        <v>59</v>
      </c>
      <c r="D250" s="58" t="s">
        <v>92</v>
      </c>
      <c r="E250" s="58" t="s">
        <v>99</v>
      </c>
      <c r="F250" s="59" t="s">
        <v>99</v>
      </c>
      <c r="G250" s="52">
        <v>1424</v>
      </c>
      <c r="H250" s="52">
        <v>370</v>
      </c>
      <c r="I250" s="52">
        <v>9</v>
      </c>
      <c r="J250" s="53">
        <v>79.375696767001102</v>
      </c>
      <c r="K250" s="53">
        <f>G250+H250+I250</f>
        <v>1803</v>
      </c>
      <c r="L250" s="54">
        <v>1800</v>
      </c>
      <c r="M250" s="54">
        <v>172</v>
      </c>
      <c r="N250" s="54">
        <v>15</v>
      </c>
      <c r="O250" s="53">
        <v>91.277890466531403</v>
      </c>
      <c r="P250" s="55">
        <f>L250+M250+N250</f>
        <v>1987</v>
      </c>
    </row>
    <row r="251" spans="1:16" ht="15" hidden="1" customHeight="1">
      <c r="A251" s="43">
        <v>245</v>
      </c>
      <c r="B251" s="44" t="s">
        <v>24</v>
      </c>
      <c r="C251" s="44" t="s">
        <v>59</v>
      </c>
      <c r="D251" s="44" t="s">
        <v>92</v>
      </c>
      <c r="E251" s="44" t="s">
        <v>99</v>
      </c>
      <c r="F251" s="45" t="s">
        <v>18</v>
      </c>
      <c r="G251" s="46">
        <v>640</v>
      </c>
      <c r="H251" s="46">
        <v>169</v>
      </c>
      <c r="I251" s="46">
        <v>6</v>
      </c>
      <c r="J251" s="47">
        <v>79.110012360939393</v>
      </c>
      <c r="K251" s="47"/>
      <c r="L251" s="48">
        <v>892</v>
      </c>
      <c r="M251" s="48">
        <v>92</v>
      </c>
      <c r="N251" s="48">
        <v>12</v>
      </c>
      <c r="O251" s="47">
        <v>90.650406504065003</v>
      </c>
      <c r="P251" s="49"/>
    </row>
    <row r="252" spans="1:16" ht="15" hidden="1" customHeight="1">
      <c r="A252" s="43">
        <v>246</v>
      </c>
      <c r="B252" s="44" t="s">
        <v>24</v>
      </c>
      <c r="C252" s="44" t="s">
        <v>59</v>
      </c>
      <c r="D252" s="44" t="s">
        <v>92</v>
      </c>
      <c r="E252" s="44" t="s">
        <v>99</v>
      </c>
      <c r="F252" s="45" t="s">
        <v>19</v>
      </c>
      <c r="G252" s="46">
        <v>784</v>
      </c>
      <c r="H252" s="46">
        <v>201</v>
      </c>
      <c r="I252" s="46">
        <v>3</v>
      </c>
      <c r="J252" s="47">
        <v>79.5939086294416</v>
      </c>
      <c r="K252" s="47"/>
      <c r="L252" s="48">
        <v>908</v>
      </c>
      <c r="M252" s="48">
        <v>80</v>
      </c>
      <c r="N252" s="48">
        <v>3</v>
      </c>
      <c r="O252" s="47">
        <v>91.902834008097201</v>
      </c>
      <c r="P252" s="49"/>
    </row>
    <row r="253" spans="1:16" ht="15" customHeight="1">
      <c r="A253" s="50">
        <v>247</v>
      </c>
      <c r="B253" s="51" t="s">
        <v>24</v>
      </c>
      <c r="C253" s="58" t="s">
        <v>59</v>
      </c>
      <c r="D253" s="58" t="s">
        <v>92</v>
      </c>
      <c r="E253" s="58" t="s">
        <v>100</v>
      </c>
      <c r="F253" s="59" t="s">
        <v>100</v>
      </c>
      <c r="G253" s="52">
        <v>924</v>
      </c>
      <c r="H253" s="52">
        <v>115</v>
      </c>
      <c r="I253" s="52">
        <v>12</v>
      </c>
      <c r="J253" s="53">
        <v>88.931665062560199</v>
      </c>
      <c r="K253" s="53">
        <f>G253+H253+I253</f>
        <v>1051</v>
      </c>
      <c r="L253" s="54">
        <v>1094</v>
      </c>
      <c r="M253" s="54">
        <v>76</v>
      </c>
      <c r="N253" s="54">
        <v>11</v>
      </c>
      <c r="O253" s="53">
        <v>93.504273504273499</v>
      </c>
      <c r="P253" s="55">
        <f>L253+M253+N253</f>
        <v>1181</v>
      </c>
    </row>
    <row r="254" spans="1:16" ht="15" hidden="1" customHeight="1">
      <c r="A254" s="43">
        <v>248</v>
      </c>
      <c r="B254" s="44" t="s">
        <v>24</v>
      </c>
      <c r="C254" s="44" t="s">
        <v>59</v>
      </c>
      <c r="D254" s="44" t="s">
        <v>92</v>
      </c>
      <c r="E254" s="44" t="s">
        <v>100</v>
      </c>
      <c r="F254" s="45" t="s">
        <v>18</v>
      </c>
      <c r="G254" s="46"/>
      <c r="H254" s="46"/>
      <c r="I254" s="46"/>
      <c r="J254" s="47"/>
      <c r="K254" s="47"/>
      <c r="L254" s="48">
        <v>322</v>
      </c>
      <c r="M254" s="48">
        <v>18</v>
      </c>
      <c r="N254" s="48">
        <v>3</v>
      </c>
      <c r="O254" s="47">
        <v>94.705882352941202</v>
      </c>
      <c r="P254" s="49"/>
    </row>
    <row r="255" spans="1:16" ht="15" hidden="1" customHeight="1">
      <c r="A255" s="43">
        <v>249</v>
      </c>
      <c r="B255" s="44" t="s">
        <v>24</v>
      </c>
      <c r="C255" s="44" t="s">
        <v>59</v>
      </c>
      <c r="D255" s="44" t="s">
        <v>92</v>
      </c>
      <c r="E255" s="44" t="s">
        <v>100</v>
      </c>
      <c r="F255" s="45" t="s">
        <v>19</v>
      </c>
      <c r="G255" s="46">
        <v>924</v>
      </c>
      <c r="H255" s="46">
        <v>115</v>
      </c>
      <c r="I255" s="46">
        <v>12</v>
      </c>
      <c r="J255" s="47">
        <v>88.931665062560199</v>
      </c>
      <c r="K255" s="47"/>
      <c r="L255" s="48">
        <v>772</v>
      </c>
      <c r="M255" s="48">
        <v>58</v>
      </c>
      <c r="N255" s="48">
        <v>8</v>
      </c>
      <c r="O255" s="47">
        <v>93.012048192771104</v>
      </c>
      <c r="P255" s="49"/>
    </row>
    <row r="256" spans="1:16" ht="15" hidden="1" customHeight="1">
      <c r="A256" s="37">
        <v>250</v>
      </c>
      <c r="B256" s="38" t="s">
        <v>22</v>
      </c>
      <c r="C256" s="57" t="s">
        <v>59</v>
      </c>
      <c r="D256" s="57" t="s">
        <v>101</v>
      </c>
      <c r="E256" s="57"/>
      <c r="F256" s="38" t="s">
        <v>101</v>
      </c>
      <c r="G256" s="39">
        <v>2840</v>
      </c>
      <c r="H256" s="39">
        <v>411</v>
      </c>
      <c r="I256" s="39">
        <v>32</v>
      </c>
      <c r="J256" s="40">
        <v>87.3577360812058</v>
      </c>
      <c r="K256" s="40"/>
      <c r="L256" s="41">
        <v>2437</v>
      </c>
      <c r="M256" s="41">
        <v>175</v>
      </c>
      <c r="N256" s="41">
        <v>41</v>
      </c>
      <c r="O256" s="40">
        <v>93.300153139356794</v>
      </c>
      <c r="P256" s="42"/>
    </row>
    <row r="257" spans="1:16" ht="15" hidden="1" customHeight="1">
      <c r="A257" s="43">
        <v>251</v>
      </c>
      <c r="B257" s="44" t="s">
        <v>22</v>
      </c>
      <c r="C257" s="44" t="s">
        <v>59</v>
      </c>
      <c r="D257" s="44" t="s">
        <v>101</v>
      </c>
      <c r="E257" s="44"/>
      <c r="F257" s="45" t="s">
        <v>18</v>
      </c>
      <c r="G257" s="46">
        <v>675</v>
      </c>
      <c r="H257" s="46">
        <v>54</v>
      </c>
      <c r="I257" s="46">
        <v>10</v>
      </c>
      <c r="J257" s="47">
        <v>92.592592592592595</v>
      </c>
      <c r="K257" s="47"/>
      <c r="L257" s="48">
        <v>480</v>
      </c>
      <c r="M257" s="48">
        <v>27</v>
      </c>
      <c r="N257" s="48">
        <v>7</v>
      </c>
      <c r="O257" s="47">
        <v>94.674556213017794</v>
      </c>
      <c r="P257" s="49"/>
    </row>
    <row r="258" spans="1:16" ht="15" hidden="1" customHeight="1">
      <c r="A258" s="43">
        <v>252</v>
      </c>
      <c r="B258" s="44" t="s">
        <v>22</v>
      </c>
      <c r="C258" s="44" t="s">
        <v>59</v>
      </c>
      <c r="D258" s="44" t="s">
        <v>101</v>
      </c>
      <c r="E258" s="44"/>
      <c r="F258" s="45" t="s">
        <v>19</v>
      </c>
      <c r="G258" s="46">
        <v>2165</v>
      </c>
      <c r="H258" s="46">
        <v>357</v>
      </c>
      <c r="I258" s="46">
        <v>22</v>
      </c>
      <c r="J258" s="47">
        <v>85.844567803330705</v>
      </c>
      <c r="K258" s="47"/>
      <c r="L258" s="48">
        <v>1957</v>
      </c>
      <c r="M258" s="48">
        <v>148</v>
      </c>
      <c r="N258" s="48">
        <v>34</v>
      </c>
      <c r="O258" s="47">
        <v>92.969121140142505</v>
      </c>
      <c r="P258" s="49"/>
    </row>
    <row r="259" spans="1:16" ht="15" customHeight="1">
      <c r="A259" s="50">
        <v>253</v>
      </c>
      <c r="B259" s="51" t="s">
        <v>24</v>
      </c>
      <c r="C259" s="58" t="s">
        <v>59</v>
      </c>
      <c r="D259" s="58" t="s">
        <v>101</v>
      </c>
      <c r="E259" s="58" t="s">
        <v>102</v>
      </c>
      <c r="F259" s="59" t="s">
        <v>102</v>
      </c>
      <c r="G259" s="52">
        <v>2137</v>
      </c>
      <c r="H259" s="52">
        <v>335</v>
      </c>
      <c r="I259" s="52">
        <v>23</v>
      </c>
      <c r="J259" s="53">
        <v>86.448220064724893</v>
      </c>
      <c r="K259" s="53">
        <f>G259+H259+I259</f>
        <v>2495</v>
      </c>
      <c r="L259" s="54">
        <v>1754</v>
      </c>
      <c r="M259" s="54">
        <v>148</v>
      </c>
      <c r="N259" s="54">
        <v>29</v>
      </c>
      <c r="O259" s="53">
        <v>92.218717139852799</v>
      </c>
      <c r="P259" s="55">
        <f>L259+M259+N259</f>
        <v>1931</v>
      </c>
    </row>
    <row r="260" spans="1:16" ht="15" hidden="1" customHeight="1">
      <c r="A260" s="43">
        <v>254</v>
      </c>
      <c r="B260" s="44" t="s">
        <v>24</v>
      </c>
      <c r="C260" s="44" t="s">
        <v>59</v>
      </c>
      <c r="D260" s="44" t="s">
        <v>101</v>
      </c>
      <c r="E260" s="44" t="s">
        <v>102</v>
      </c>
      <c r="F260" s="45" t="s">
        <v>18</v>
      </c>
      <c r="G260" s="46">
        <v>675</v>
      </c>
      <c r="H260" s="46">
        <v>54</v>
      </c>
      <c r="I260" s="46">
        <v>10</v>
      </c>
      <c r="J260" s="47">
        <v>92.592592592592595</v>
      </c>
      <c r="K260" s="47"/>
      <c r="L260" s="48">
        <v>480</v>
      </c>
      <c r="M260" s="48">
        <v>27</v>
      </c>
      <c r="N260" s="48">
        <v>7</v>
      </c>
      <c r="O260" s="47">
        <v>94.674556213017794</v>
      </c>
      <c r="P260" s="49"/>
    </row>
    <row r="261" spans="1:16" ht="15" hidden="1" customHeight="1">
      <c r="A261" s="43">
        <v>255</v>
      </c>
      <c r="B261" s="44" t="s">
        <v>24</v>
      </c>
      <c r="C261" s="44" t="s">
        <v>59</v>
      </c>
      <c r="D261" s="44" t="s">
        <v>101</v>
      </c>
      <c r="E261" s="44" t="s">
        <v>102</v>
      </c>
      <c r="F261" s="45" t="s">
        <v>19</v>
      </c>
      <c r="G261" s="46">
        <v>1462</v>
      </c>
      <c r="H261" s="46">
        <v>281</v>
      </c>
      <c r="I261" s="46">
        <v>13</v>
      </c>
      <c r="J261" s="47">
        <v>83.878370625358599</v>
      </c>
      <c r="K261" s="47"/>
      <c r="L261" s="48">
        <v>1274</v>
      </c>
      <c r="M261" s="48">
        <v>121</v>
      </c>
      <c r="N261" s="48">
        <v>22</v>
      </c>
      <c r="O261" s="47">
        <v>91.326164874552006</v>
      </c>
      <c r="P261" s="49"/>
    </row>
    <row r="262" spans="1:16" ht="15" customHeight="1">
      <c r="A262" s="50">
        <v>256</v>
      </c>
      <c r="B262" s="51" t="s">
        <v>24</v>
      </c>
      <c r="C262" s="58" t="s">
        <v>59</v>
      </c>
      <c r="D262" s="58" t="s">
        <v>101</v>
      </c>
      <c r="E262" s="58" t="s">
        <v>103</v>
      </c>
      <c r="F262" s="59" t="s">
        <v>103</v>
      </c>
      <c r="G262" s="52">
        <v>703</v>
      </c>
      <c r="H262" s="52">
        <v>76</v>
      </c>
      <c r="I262" s="52">
        <v>9</v>
      </c>
      <c r="J262" s="53">
        <v>90.243902439024396</v>
      </c>
      <c r="K262" s="53">
        <f>G262+H262+I262</f>
        <v>788</v>
      </c>
      <c r="L262" s="54">
        <v>683</v>
      </c>
      <c r="M262" s="54">
        <v>27</v>
      </c>
      <c r="N262" s="54">
        <v>12</v>
      </c>
      <c r="O262" s="53">
        <v>96.197183098591594</v>
      </c>
      <c r="P262" s="55">
        <f>L262+M262+N262</f>
        <v>722</v>
      </c>
    </row>
    <row r="263" spans="1:16" ht="15" hidden="1" customHeight="1">
      <c r="A263" s="43">
        <v>257</v>
      </c>
      <c r="B263" s="44" t="s">
        <v>24</v>
      </c>
      <c r="C263" s="44" t="s">
        <v>59</v>
      </c>
      <c r="D263" s="44" t="s">
        <v>101</v>
      </c>
      <c r="E263" s="44" t="s">
        <v>103</v>
      </c>
      <c r="F263" s="45" t="s">
        <v>18</v>
      </c>
      <c r="G263" s="46"/>
      <c r="H263" s="46"/>
      <c r="I263" s="46"/>
      <c r="J263" s="47"/>
      <c r="K263" s="47"/>
      <c r="L263" s="48"/>
      <c r="M263" s="48"/>
      <c r="N263" s="48"/>
      <c r="O263" s="47"/>
      <c r="P263" s="49"/>
    </row>
    <row r="264" spans="1:16" ht="15" hidden="1" customHeight="1">
      <c r="A264" s="43">
        <v>258</v>
      </c>
      <c r="B264" s="44" t="s">
        <v>24</v>
      </c>
      <c r="C264" s="44" t="s">
        <v>59</v>
      </c>
      <c r="D264" s="44" t="s">
        <v>101</v>
      </c>
      <c r="E264" s="44" t="s">
        <v>103</v>
      </c>
      <c r="F264" s="45" t="s">
        <v>19</v>
      </c>
      <c r="G264" s="46">
        <v>703</v>
      </c>
      <c r="H264" s="46">
        <v>76</v>
      </c>
      <c r="I264" s="46">
        <v>9</v>
      </c>
      <c r="J264" s="47">
        <v>90.243902439024396</v>
      </c>
      <c r="K264" s="47"/>
      <c r="L264" s="48">
        <v>683</v>
      </c>
      <c r="M264" s="48">
        <v>27</v>
      </c>
      <c r="N264" s="48">
        <v>12</v>
      </c>
      <c r="O264" s="47">
        <v>96.197183098591594</v>
      </c>
      <c r="P264" s="49"/>
    </row>
    <row r="265" spans="1:16" ht="15" hidden="1" customHeight="1">
      <c r="A265" s="37">
        <v>259</v>
      </c>
      <c r="B265" s="38" t="s">
        <v>22</v>
      </c>
      <c r="C265" s="57" t="s">
        <v>59</v>
      </c>
      <c r="D265" s="57" t="s">
        <v>104</v>
      </c>
      <c r="E265" s="57"/>
      <c r="F265" s="38" t="s">
        <v>104</v>
      </c>
      <c r="G265" s="39">
        <v>11283</v>
      </c>
      <c r="H265" s="39">
        <v>680</v>
      </c>
      <c r="I265" s="39">
        <v>98</v>
      </c>
      <c r="J265" s="40">
        <v>94.315807071804699</v>
      </c>
      <c r="K265" s="40"/>
      <c r="L265" s="41">
        <v>11977</v>
      </c>
      <c r="M265" s="41">
        <v>218</v>
      </c>
      <c r="N265" s="41">
        <v>82</v>
      </c>
      <c r="O265" s="40">
        <v>98.2123821238212</v>
      </c>
      <c r="P265" s="42"/>
    </row>
    <row r="266" spans="1:16" ht="15" hidden="1" customHeight="1">
      <c r="A266" s="43">
        <v>260</v>
      </c>
      <c r="B266" s="44" t="s">
        <v>22</v>
      </c>
      <c r="C266" s="44" t="s">
        <v>59</v>
      </c>
      <c r="D266" s="44" t="s">
        <v>104</v>
      </c>
      <c r="E266" s="44"/>
      <c r="F266" s="45" t="s">
        <v>18</v>
      </c>
      <c r="G266" s="46">
        <v>7014</v>
      </c>
      <c r="H266" s="46">
        <v>393</v>
      </c>
      <c r="I266" s="46">
        <v>44</v>
      </c>
      <c r="J266" s="47">
        <v>94.694208181449994</v>
      </c>
      <c r="K266" s="47"/>
      <c r="L266" s="48">
        <v>7201</v>
      </c>
      <c r="M266" s="48">
        <v>134</v>
      </c>
      <c r="N266" s="48">
        <v>45</v>
      </c>
      <c r="O266" s="47">
        <v>98.173142467621005</v>
      </c>
      <c r="P266" s="49"/>
    </row>
    <row r="267" spans="1:16" ht="15" hidden="1" customHeight="1">
      <c r="A267" s="43">
        <v>261</v>
      </c>
      <c r="B267" s="44" t="s">
        <v>22</v>
      </c>
      <c r="C267" s="44" t="s">
        <v>59</v>
      </c>
      <c r="D267" s="44" t="s">
        <v>104</v>
      </c>
      <c r="E267" s="44"/>
      <c r="F267" s="45" t="s">
        <v>19</v>
      </c>
      <c r="G267" s="46">
        <v>4269</v>
      </c>
      <c r="H267" s="46">
        <v>287</v>
      </c>
      <c r="I267" s="46">
        <v>54</v>
      </c>
      <c r="J267" s="47">
        <v>93.700614574187895</v>
      </c>
      <c r="K267" s="47"/>
      <c r="L267" s="48">
        <v>4776</v>
      </c>
      <c r="M267" s="48">
        <v>84</v>
      </c>
      <c r="N267" s="48">
        <v>37</v>
      </c>
      <c r="O267" s="47">
        <v>98.271604938271594</v>
      </c>
      <c r="P267" s="49"/>
    </row>
    <row r="268" spans="1:16" ht="15" customHeight="1">
      <c r="A268" s="50">
        <v>262</v>
      </c>
      <c r="B268" s="51" t="s">
        <v>24</v>
      </c>
      <c r="C268" s="58" t="s">
        <v>59</v>
      </c>
      <c r="D268" s="58" t="s">
        <v>104</v>
      </c>
      <c r="E268" s="58" t="s">
        <v>105</v>
      </c>
      <c r="F268" s="59" t="s">
        <v>105</v>
      </c>
      <c r="G268" s="52">
        <v>7669</v>
      </c>
      <c r="H268" s="52">
        <v>412</v>
      </c>
      <c r="I268" s="52">
        <v>49</v>
      </c>
      <c r="J268" s="53">
        <v>94.901621086499205</v>
      </c>
      <c r="K268" s="53">
        <f>G268+H268+I268</f>
        <v>8130</v>
      </c>
      <c r="L268" s="54">
        <v>8063</v>
      </c>
      <c r="M268" s="54">
        <v>130</v>
      </c>
      <c r="N268" s="54">
        <v>56</v>
      </c>
      <c r="O268" s="53">
        <v>98.4132796289515</v>
      </c>
      <c r="P268" s="55">
        <f>L268+M268+N268</f>
        <v>8249</v>
      </c>
    </row>
    <row r="269" spans="1:16" ht="15" hidden="1" customHeight="1">
      <c r="A269" s="43">
        <v>263</v>
      </c>
      <c r="B269" s="44" t="s">
        <v>24</v>
      </c>
      <c r="C269" s="44" t="s">
        <v>59</v>
      </c>
      <c r="D269" s="44" t="s">
        <v>104</v>
      </c>
      <c r="E269" s="44" t="s">
        <v>105</v>
      </c>
      <c r="F269" s="45" t="s">
        <v>18</v>
      </c>
      <c r="G269" s="46">
        <v>6507</v>
      </c>
      <c r="H269" s="46">
        <v>338</v>
      </c>
      <c r="I269" s="46">
        <v>39</v>
      </c>
      <c r="J269" s="47">
        <v>95.062089116143198</v>
      </c>
      <c r="K269" s="47"/>
      <c r="L269" s="48">
        <v>6868</v>
      </c>
      <c r="M269" s="48">
        <v>118</v>
      </c>
      <c r="N269" s="48">
        <v>43</v>
      </c>
      <c r="O269" s="47">
        <v>98.310907529344405</v>
      </c>
      <c r="P269" s="49"/>
    </row>
    <row r="270" spans="1:16" ht="15" hidden="1" customHeight="1">
      <c r="A270" s="43">
        <v>264</v>
      </c>
      <c r="B270" s="44" t="s">
        <v>24</v>
      </c>
      <c r="C270" s="44" t="s">
        <v>59</v>
      </c>
      <c r="D270" s="44" t="s">
        <v>104</v>
      </c>
      <c r="E270" s="44" t="s">
        <v>105</v>
      </c>
      <c r="F270" s="45" t="s">
        <v>19</v>
      </c>
      <c r="G270" s="46">
        <v>1162</v>
      </c>
      <c r="H270" s="46">
        <v>74</v>
      </c>
      <c r="I270" s="46">
        <v>10</v>
      </c>
      <c r="J270" s="47">
        <v>94.012944983818798</v>
      </c>
      <c r="K270" s="47"/>
      <c r="L270" s="48">
        <v>1195</v>
      </c>
      <c r="M270" s="48">
        <v>12</v>
      </c>
      <c r="N270" s="48">
        <v>13</v>
      </c>
      <c r="O270" s="47">
        <v>99.005799502899706</v>
      </c>
      <c r="P270" s="49"/>
    </row>
    <row r="271" spans="1:16" ht="15" customHeight="1">
      <c r="A271" s="50">
        <v>265</v>
      </c>
      <c r="B271" s="51" t="s">
        <v>24</v>
      </c>
      <c r="C271" s="58" t="s">
        <v>59</v>
      </c>
      <c r="D271" s="58" t="s">
        <v>104</v>
      </c>
      <c r="E271" s="58" t="s">
        <v>106</v>
      </c>
      <c r="F271" s="59" t="s">
        <v>106</v>
      </c>
      <c r="G271" s="52">
        <v>417</v>
      </c>
      <c r="H271" s="52">
        <v>29</v>
      </c>
      <c r="I271" s="52">
        <v>4</v>
      </c>
      <c r="J271" s="53">
        <v>93.497757847533606</v>
      </c>
      <c r="K271" s="53">
        <f>G271+H271+I271</f>
        <v>450</v>
      </c>
      <c r="L271" s="54">
        <v>470</v>
      </c>
      <c r="M271" s="54">
        <v>12</v>
      </c>
      <c r="N271" s="54">
        <v>0</v>
      </c>
      <c r="O271" s="53">
        <v>97.510373443983397</v>
      </c>
      <c r="P271" s="55">
        <f>L271+M271+N271</f>
        <v>482</v>
      </c>
    </row>
    <row r="272" spans="1:16" ht="15" hidden="1" customHeight="1">
      <c r="A272" s="43">
        <v>266</v>
      </c>
      <c r="B272" s="44" t="s">
        <v>24</v>
      </c>
      <c r="C272" s="44" t="s">
        <v>59</v>
      </c>
      <c r="D272" s="44" t="s">
        <v>104</v>
      </c>
      <c r="E272" s="44" t="s">
        <v>106</v>
      </c>
      <c r="F272" s="45" t="s">
        <v>18</v>
      </c>
      <c r="G272" s="46"/>
      <c r="H272" s="46"/>
      <c r="I272" s="46"/>
      <c r="J272" s="47"/>
      <c r="K272" s="47"/>
      <c r="L272" s="48"/>
      <c r="M272" s="48"/>
      <c r="N272" s="48"/>
      <c r="O272" s="47"/>
      <c r="P272" s="49"/>
    </row>
    <row r="273" spans="1:16" ht="15" hidden="1" customHeight="1">
      <c r="A273" s="43">
        <v>267</v>
      </c>
      <c r="B273" s="44" t="s">
        <v>24</v>
      </c>
      <c r="C273" s="44" t="s">
        <v>59</v>
      </c>
      <c r="D273" s="44" t="s">
        <v>104</v>
      </c>
      <c r="E273" s="44" t="s">
        <v>106</v>
      </c>
      <c r="F273" s="45" t="s">
        <v>19</v>
      </c>
      <c r="G273" s="46">
        <v>417</v>
      </c>
      <c r="H273" s="46">
        <v>29</v>
      </c>
      <c r="I273" s="46">
        <v>4</v>
      </c>
      <c r="J273" s="47">
        <v>93.497757847533606</v>
      </c>
      <c r="K273" s="47"/>
      <c r="L273" s="48">
        <v>470</v>
      </c>
      <c r="M273" s="48">
        <v>12</v>
      </c>
      <c r="N273" s="48">
        <v>0</v>
      </c>
      <c r="O273" s="47">
        <v>97.510373443983397</v>
      </c>
      <c r="P273" s="49"/>
    </row>
    <row r="274" spans="1:16" ht="15" customHeight="1">
      <c r="A274" s="50">
        <v>268</v>
      </c>
      <c r="B274" s="51" t="s">
        <v>24</v>
      </c>
      <c r="C274" s="58" t="s">
        <v>59</v>
      </c>
      <c r="D274" s="58" t="s">
        <v>104</v>
      </c>
      <c r="E274" s="58" t="s">
        <v>107</v>
      </c>
      <c r="F274" s="59" t="s">
        <v>107</v>
      </c>
      <c r="G274" s="52">
        <v>758</v>
      </c>
      <c r="H274" s="52">
        <v>49</v>
      </c>
      <c r="I274" s="52">
        <v>5</v>
      </c>
      <c r="J274" s="53">
        <v>93.928128872366798</v>
      </c>
      <c r="K274" s="53">
        <f>G274+H274+I274</f>
        <v>812</v>
      </c>
      <c r="L274" s="54">
        <v>930</v>
      </c>
      <c r="M274" s="54">
        <v>21</v>
      </c>
      <c r="N274" s="54">
        <v>9</v>
      </c>
      <c r="O274" s="53">
        <v>97.791798107255502</v>
      </c>
      <c r="P274" s="55">
        <f>L274+M274+N274</f>
        <v>960</v>
      </c>
    </row>
    <row r="275" spans="1:16" ht="15" hidden="1" customHeight="1">
      <c r="A275" s="43">
        <v>269</v>
      </c>
      <c r="B275" s="44" t="s">
        <v>24</v>
      </c>
      <c r="C275" s="44" t="s">
        <v>59</v>
      </c>
      <c r="D275" s="44" t="s">
        <v>104</v>
      </c>
      <c r="E275" s="44" t="s">
        <v>107</v>
      </c>
      <c r="F275" s="45" t="s">
        <v>18</v>
      </c>
      <c r="G275" s="46">
        <v>108</v>
      </c>
      <c r="H275" s="46">
        <v>10</v>
      </c>
      <c r="I275" s="46">
        <v>1</v>
      </c>
      <c r="J275" s="47">
        <v>91.525423728813607</v>
      </c>
      <c r="K275" s="47"/>
      <c r="L275" s="48"/>
      <c r="M275" s="48"/>
      <c r="N275" s="48"/>
      <c r="O275" s="47"/>
      <c r="P275" s="49"/>
    </row>
    <row r="276" spans="1:16" ht="15" hidden="1" customHeight="1">
      <c r="A276" s="43">
        <v>270</v>
      </c>
      <c r="B276" s="44" t="s">
        <v>24</v>
      </c>
      <c r="C276" s="44" t="s">
        <v>59</v>
      </c>
      <c r="D276" s="44" t="s">
        <v>104</v>
      </c>
      <c r="E276" s="44" t="s">
        <v>107</v>
      </c>
      <c r="F276" s="45" t="s">
        <v>19</v>
      </c>
      <c r="G276" s="46">
        <v>650</v>
      </c>
      <c r="H276" s="46">
        <v>39</v>
      </c>
      <c r="I276" s="46">
        <v>4</v>
      </c>
      <c r="J276" s="47">
        <v>94.339622641509393</v>
      </c>
      <c r="K276" s="47"/>
      <c r="L276" s="48">
        <v>930</v>
      </c>
      <c r="M276" s="48">
        <v>21</v>
      </c>
      <c r="N276" s="48">
        <v>9</v>
      </c>
      <c r="O276" s="47">
        <v>97.791798107255502</v>
      </c>
      <c r="P276" s="49"/>
    </row>
    <row r="277" spans="1:16" ht="15" customHeight="1">
      <c r="A277" s="50">
        <v>271</v>
      </c>
      <c r="B277" s="51" t="s">
        <v>24</v>
      </c>
      <c r="C277" s="58" t="s">
        <v>59</v>
      </c>
      <c r="D277" s="58" t="s">
        <v>104</v>
      </c>
      <c r="E277" s="58" t="s">
        <v>108</v>
      </c>
      <c r="F277" s="59" t="s">
        <v>108</v>
      </c>
      <c r="G277" s="52">
        <v>589</v>
      </c>
      <c r="H277" s="52">
        <v>59</v>
      </c>
      <c r="I277" s="52">
        <v>4</v>
      </c>
      <c r="J277" s="53">
        <v>90.895061728395106</v>
      </c>
      <c r="K277" s="53">
        <f>G277+H277+I277</f>
        <v>652</v>
      </c>
      <c r="L277" s="54">
        <v>497</v>
      </c>
      <c r="M277" s="54">
        <v>19</v>
      </c>
      <c r="N277" s="54">
        <v>3</v>
      </c>
      <c r="O277" s="53">
        <v>96.317829457364297</v>
      </c>
      <c r="P277" s="55">
        <f>L277+M277+N277</f>
        <v>519</v>
      </c>
    </row>
    <row r="278" spans="1:16" ht="15" hidden="1" customHeight="1">
      <c r="A278" s="43">
        <v>272</v>
      </c>
      <c r="B278" s="44" t="s">
        <v>24</v>
      </c>
      <c r="C278" s="44" t="s">
        <v>59</v>
      </c>
      <c r="D278" s="44" t="s">
        <v>104</v>
      </c>
      <c r="E278" s="44" t="s">
        <v>108</v>
      </c>
      <c r="F278" s="45" t="s">
        <v>18</v>
      </c>
      <c r="G278" s="46">
        <v>399</v>
      </c>
      <c r="H278" s="46">
        <v>45</v>
      </c>
      <c r="I278" s="46">
        <v>4</v>
      </c>
      <c r="J278" s="47">
        <v>89.864864864864899</v>
      </c>
      <c r="K278" s="47"/>
      <c r="L278" s="48">
        <v>333</v>
      </c>
      <c r="M278" s="48">
        <v>16</v>
      </c>
      <c r="N278" s="48">
        <v>2</v>
      </c>
      <c r="O278" s="47">
        <v>95.415472779369594</v>
      </c>
      <c r="P278" s="49"/>
    </row>
    <row r="279" spans="1:16" ht="15" hidden="1" customHeight="1">
      <c r="A279" s="43">
        <v>273</v>
      </c>
      <c r="B279" s="44" t="s">
        <v>24</v>
      </c>
      <c r="C279" s="44" t="s">
        <v>59</v>
      </c>
      <c r="D279" s="44" t="s">
        <v>104</v>
      </c>
      <c r="E279" s="44" t="s">
        <v>108</v>
      </c>
      <c r="F279" s="45" t="s">
        <v>19</v>
      </c>
      <c r="G279" s="46">
        <v>190</v>
      </c>
      <c r="H279" s="46">
        <v>14</v>
      </c>
      <c r="I279" s="46">
        <v>0</v>
      </c>
      <c r="J279" s="47">
        <v>93.137254901960802</v>
      </c>
      <c r="K279" s="47"/>
      <c r="L279" s="48">
        <v>164</v>
      </c>
      <c r="M279" s="48">
        <v>3</v>
      </c>
      <c r="N279" s="48">
        <v>1</v>
      </c>
      <c r="O279" s="47">
        <v>98.203592814371206</v>
      </c>
      <c r="P279" s="49"/>
    </row>
    <row r="280" spans="1:16" ht="15" customHeight="1">
      <c r="A280" s="50">
        <v>274</v>
      </c>
      <c r="B280" s="51" t="s">
        <v>24</v>
      </c>
      <c r="C280" s="58" t="s">
        <v>59</v>
      </c>
      <c r="D280" s="58" t="s">
        <v>104</v>
      </c>
      <c r="E280" s="58" t="s">
        <v>109</v>
      </c>
      <c r="F280" s="59" t="s">
        <v>109</v>
      </c>
      <c r="G280" s="52">
        <v>424</v>
      </c>
      <c r="H280" s="52">
        <v>48</v>
      </c>
      <c r="I280" s="52">
        <v>19</v>
      </c>
      <c r="J280" s="53">
        <v>89.830508474576305</v>
      </c>
      <c r="K280" s="53">
        <f>G280+H280+I280</f>
        <v>491</v>
      </c>
      <c r="L280" s="54">
        <v>447</v>
      </c>
      <c r="M280" s="54">
        <v>11</v>
      </c>
      <c r="N280" s="54">
        <v>3</v>
      </c>
      <c r="O280" s="53">
        <v>97.598253275109201</v>
      </c>
      <c r="P280" s="55">
        <f>L280+M280+N280</f>
        <v>461</v>
      </c>
    </row>
    <row r="281" spans="1:16" ht="15" hidden="1" customHeight="1">
      <c r="A281" s="43">
        <v>275</v>
      </c>
      <c r="B281" s="44" t="s">
        <v>24</v>
      </c>
      <c r="C281" s="44" t="s">
        <v>59</v>
      </c>
      <c r="D281" s="44" t="s">
        <v>104</v>
      </c>
      <c r="E281" s="44" t="s">
        <v>109</v>
      </c>
      <c r="F281" s="45" t="s">
        <v>18</v>
      </c>
      <c r="G281" s="46"/>
      <c r="H281" s="46"/>
      <c r="I281" s="46"/>
      <c r="J281" s="47"/>
      <c r="K281" s="47"/>
      <c r="L281" s="48"/>
      <c r="M281" s="48"/>
      <c r="N281" s="48"/>
      <c r="O281" s="47"/>
      <c r="P281" s="49"/>
    </row>
    <row r="282" spans="1:16" ht="15" hidden="1" customHeight="1">
      <c r="A282" s="43">
        <v>276</v>
      </c>
      <c r="B282" s="44" t="s">
        <v>24</v>
      </c>
      <c r="C282" s="44" t="s">
        <v>59</v>
      </c>
      <c r="D282" s="44" t="s">
        <v>104</v>
      </c>
      <c r="E282" s="44" t="s">
        <v>109</v>
      </c>
      <c r="F282" s="45" t="s">
        <v>19</v>
      </c>
      <c r="G282" s="46">
        <v>424</v>
      </c>
      <c r="H282" s="46">
        <v>48</v>
      </c>
      <c r="I282" s="46">
        <v>19</v>
      </c>
      <c r="J282" s="47">
        <v>89.830508474576305</v>
      </c>
      <c r="K282" s="47"/>
      <c r="L282" s="48">
        <v>447</v>
      </c>
      <c r="M282" s="48">
        <v>11</v>
      </c>
      <c r="N282" s="48">
        <v>3</v>
      </c>
      <c r="O282" s="47">
        <v>97.598253275109201</v>
      </c>
      <c r="P282" s="49"/>
    </row>
    <row r="283" spans="1:16" ht="15" customHeight="1">
      <c r="A283" s="50">
        <v>277</v>
      </c>
      <c r="B283" s="51" t="s">
        <v>24</v>
      </c>
      <c r="C283" s="58" t="s">
        <v>59</v>
      </c>
      <c r="D283" s="58" t="s">
        <v>104</v>
      </c>
      <c r="E283" s="58" t="s">
        <v>110</v>
      </c>
      <c r="F283" s="59" t="s">
        <v>110</v>
      </c>
      <c r="G283" s="52">
        <v>1086</v>
      </c>
      <c r="H283" s="52">
        <v>58</v>
      </c>
      <c r="I283" s="52">
        <v>16</v>
      </c>
      <c r="J283" s="53">
        <v>94.930069930069905</v>
      </c>
      <c r="K283" s="53">
        <f>G283+H283+I283</f>
        <v>1160</v>
      </c>
      <c r="L283" s="54">
        <v>1116</v>
      </c>
      <c r="M283" s="54">
        <v>20</v>
      </c>
      <c r="N283" s="54">
        <v>8</v>
      </c>
      <c r="O283" s="53">
        <v>98.239436619718305</v>
      </c>
      <c r="P283" s="55">
        <f>L283+M283+N283</f>
        <v>1144</v>
      </c>
    </row>
    <row r="284" spans="1:16" ht="15" hidden="1" customHeight="1">
      <c r="A284" s="43">
        <v>278</v>
      </c>
      <c r="B284" s="44" t="s">
        <v>24</v>
      </c>
      <c r="C284" s="44" t="s">
        <v>59</v>
      </c>
      <c r="D284" s="44" t="s">
        <v>104</v>
      </c>
      <c r="E284" s="44" t="s">
        <v>110</v>
      </c>
      <c r="F284" s="45" t="s">
        <v>18</v>
      </c>
      <c r="G284" s="46"/>
      <c r="H284" s="46"/>
      <c r="I284" s="46"/>
      <c r="J284" s="47"/>
      <c r="K284" s="47"/>
      <c r="L284" s="48"/>
      <c r="M284" s="48"/>
      <c r="N284" s="48"/>
      <c r="O284" s="47"/>
      <c r="P284" s="49"/>
    </row>
    <row r="285" spans="1:16" ht="15" hidden="1" customHeight="1">
      <c r="A285" s="43">
        <v>279</v>
      </c>
      <c r="B285" s="44" t="s">
        <v>24</v>
      </c>
      <c r="C285" s="44" t="s">
        <v>59</v>
      </c>
      <c r="D285" s="44" t="s">
        <v>104</v>
      </c>
      <c r="E285" s="44" t="s">
        <v>110</v>
      </c>
      <c r="F285" s="45" t="s">
        <v>19</v>
      </c>
      <c r="G285" s="46">
        <v>1086</v>
      </c>
      <c r="H285" s="46">
        <v>58</v>
      </c>
      <c r="I285" s="46">
        <v>16</v>
      </c>
      <c r="J285" s="47">
        <v>94.930069930069905</v>
      </c>
      <c r="K285" s="47"/>
      <c r="L285" s="48">
        <v>1116</v>
      </c>
      <c r="M285" s="48">
        <v>20</v>
      </c>
      <c r="N285" s="48">
        <v>8</v>
      </c>
      <c r="O285" s="47">
        <v>98.239436619718305</v>
      </c>
      <c r="P285" s="49"/>
    </row>
    <row r="286" spans="1:16" ht="15" customHeight="1">
      <c r="A286" s="50">
        <v>280</v>
      </c>
      <c r="B286" s="51" t="s">
        <v>24</v>
      </c>
      <c r="C286" s="58" t="s">
        <v>59</v>
      </c>
      <c r="D286" s="58" t="s">
        <v>104</v>
      </c>
      <c r="E286" s="58" t="s">
        <v>111</v>
      </c>
      <c r="F286" s="59" t="s">
        <v>111</v>
      </c>
      <c r="G286" s="52">
        <v>340</v>
      </c>
      <c r="H286" s="52">
        <v>25</v>
      </c>
      <c r="I286" s="52">
        <v>1</v>
      </c>
      <c r="J286" s="53">
        <v>93.150684931506802</v>
      </c>
      <c r="K286" s="53">
        <f>G286+H286+I286</f>
        <v>366</v>
      </c>
      <c r="L286" s="54">
        <v>454</v>
      </c>
      <c r="M286" s="54">
        <v>5</v>
      </c>
      <c r="N286" s="54">
        <v>3</v>
      </c>
      <c r="O286" s="53">
        <v>98.910675381263601</v>
      </c>
      <c r="P286" s="55">
        <f>L286+M286+N286</f>
        <v>462</v>
      </c>
    </row>
    <row r="287" spans="1:16" ht="15" hidden="1" customHeight="1">
      <c r="A287" s="43">
        <v>281</v>
      </c>
      <c r="B287" s="44" t="s">
        <v>24</v>
      </c>
      <c r="C287" s="44" t="s">
        <v>59</v>
      </c>
      <c r="D287" s="44" t="s">
        <v>104</v>
      </c>
      <c r="E287" s="44" t="s">
        <v>111</v>
      </c>
      <c r="F287" s="45" t="s">
        <v>18</v>
      </c>
      <c r="G287" s="46"/>
      <c r="H287" s="46"/>
      <c r="I287" s="46"/>
      <c r="J287" s="47"/>
      <c r="K287" s="47"/>
      <c r="L287" s="48"/>
      <c r="M287" s="48"/>
      <c r="N287" s="48"/>
      <c r="O287" s="47"/>
      <c r="P287" s="49"/>
    </row>
    <row r="288" spans="1:16" ht="15" hidden="1" customHeight="1">
      <c r="A288" s="43">
        <v>282</v>
      </c>
      <c r="B288" s="44" t="s">
        <v>24</v>
      </c>
      <c r="C288" s="44" t="s">
        <v>59</v>
      </c>
      <c r="D288" s="44" t="s">
        <v>104</v>
      </c>
      <c r="E288" s="44" t="s">
        <v>111</v>
      </c>
      <c r="F288" s="45" t="s">
        <v>19</v>
      </c>
      <c r="G288" s="46">
        <v>340</v>
      </c>
      <c r="H288" s="46">
        <v>25</v>
      </c>
      <c r="I288" s="46">
        <v>1</v>
      </c>
      <c r="J288" s="47">
        <v>93.150684931506802</v>
      </c>
      <c r="K288" s="47"/>
      <c r="L288" s="48">
        <v>454</v>
      </c>
      <c r="M288" s="48">
        <v>5</v>
      </c>
      <c r="N288" s="48">
        <v>3</v>
      </c>
      <c r="O288" s="47">
        <v>98.910675381263601</v>
      </c>
      <c r="P288" s="49"/>
    </row>
    <row r="289" spans="1:16" ht="15" hidden="1" customHeight="1">
      <c r="A289" s="37">
        <v>283</v>
      </c>
      <c r="B289" s="38" t="s">
        <v>22</v>
      </c>
      <c r="C289" s="57" t="s">
        <v>59</v>
      </c>
      <c r="D289" s="57" t="s">
        <v>112</v>
      </c>
      <c r="E289" s="57"/>
      <c r="F289" s="38" t="s">
        <v>112</v>
      </c>
      <c r="G289" s="39">
        <v>3793</v>
      </c>
      <c r="H289" s="39">
        <v>478</v>
      </c>
      <c r="I289" s="39">
        <v>30</v>
      </c>
      <c r="J289" s="40">
        <v>88.808241629594903</v>
      </c>
      <c r="K289" s="40"/>
      <c r="L289" s="41">
        <v>4126</v>
      </c>
      <c r="M289" s="41">
        <v>188</v>
      </c>
      <c r="N289" s="41">
        <v>41</v>
      </c>
      <c r="O289" s="40">
        <v>95.642095503013493</v>
      </c>
      <c r="P289" s="42"/>
    </row>
    <row r="290" spans="1:16" ht="15" hidden="1" customHeight="1">
      <c r="A290" s="43">
        <v>284</v>
      </c>
      <c r="B290" s="44" t="s">
        <v>22</v>
      </c>
      <c r="C290" s="44" t="s">
        <v>59</v>
      </c>
      <c r="D290" s="44" t="s">
        <v>112</v>
      </c>
      <c r="E290" s="44"/>
      <c r="F290" s="45" t="s">
        <v>18</v>
      </c>
      <c r="G290" s="46"/>
      <c r="H290" s="46"/>
      <c r="I290" s="46"/>
      <c r="J290" s="47"/>
      <c r="K290" s="47"/>
      <c r="L290" s="48">
        <v>131</v>
      </c>
      <c r="M290" s="48">
        <v>11</v>
      </c>
      <c r="N290" s="48">
        <v>1</v>
      </c>
      <c r="O290" s="47">
        <v>92.253521126760603</v>
      </c>
      <c r="P290" s="49"/>
    </row>
    <row r="291" spans="1:16" ht="15" hidden="1" customHeight="1">
      <c r="A291" s="43">
        <v>285</v>
      </c>
      <c r="B291" s="44" t="s">
        <v>22</v>
      </c>
      <c r="C291" s="44" t="s">
        <v>59</v>
      </c>
      <c r="D291" s="44" t="s">
        <v>112</v>
      </c>
      <c r="E291" s="44"/>
      <c r="F291" s="45" t="s">
        <v>19</v>
      </c>
      <c r="G291" s="46">
        <v>3793</v>
      </c>
      <c r="H291" s="46">
        <v>478</v>
      </c>
      <c r="I291" s="46">
        <v>30</v>
      </c>
      <c r="J291" s="47">
        <v>88.808241629594903</v>
      </c>
      <c r="K291" s="47"/>
      <c r="L291" s="48">
        <v>3995</v>
      </c>
      <c r="M291" s="48">
        <v>177</v>
      </c>
      <c r="N291" s="48">
        <v>40</v>
      </c>
      <c r="O291" s="47">
        <v>95.757430488974094</v>
      </c>
      <c r="P291" s="49"/>
    </row>
    <row r="292" spans="1:16" ht="15" customHeight="1">
      <c r="A292" s="50">
        <v>286</v>
      </c>
      <c r="B292" s="51" t="s">
        <v>24</v>
      </c>
      <c r="C292" s="58" t="s">
        <v>59</v>
      </c>
      <c r="D292" s="58" t="s">
        <v>112</v>
      </c>
      <c r="E292" s="58" t="s">
        <v>113</v>
      </c>
      <c r="F292" s="59" t="s">
        <v>113</v>
      </c>
      <c r="G292" s="52">
        <v>817</v>
      </c>
      <c r="H292" s="52">
        <v>64</v>
      </c>
      <c r="I292" s="52">
        <v>4</v>
      </c>
      <c r="J292" s="53">
        <v>92.735527809307598</v>
      </c>
      <c r="K292" s="53">
        <f>G292+H292+I292</f>
        <v>885</v>
      </c>
      <c r="L292" s="54">
        <v>646</v>
      </c>
      <c r="M292" s="54">
        <v>18</v>
      </c>
      <c r="N292" s="54">
        <v>1</v>
      </c>
      <c r="O292" s="53">
        <v>97.289156626505999</v>
      </c>
      <c r="P292" s="55">
        <f>L292+M292+N292</f>
        <v>665</v>
      </c>
    </row>
    <row r="293" spans="1:16" ht="15" hidden="1" customHeight="1">
      <c r="A293" s="43">
        <v>287</v>
      </c>
      <c r="B293" s="44" t="s">
        <v>24</v>
      </c>
      <c r="C293" s="44" t="s">
        <v>59</v>
      </c>
      <c r="D293" s="44" t="s">
        <v>112</v>
      </c>
      <c r="E293" s="44" t="s">
        <v>113</v>
      </c>
      <c r="F293" s="45" t="s">
        <v>18</v>
      </c>
      <c r="G293" s="46"/>
      <c r="H293" s="46"/>
      <c r="I293" s="46"/>
      <c r="J293" s="47"/>
      <c r="K293" s="47"/>
      <c r="L293" s="48"/>
      <c r="M293" s="48"/>
      <c r="N293" s="48"/>
      <c r="O293" s="47"/>
      <c r="P293" s="49"/>
    </row>
    <row r="294" spans="1:16" ht="15" hidden="1" customHeight="1">
      <c r="A294" s="43">
        <v>288</v>
      </c>
      <c r="B294" s="44" t="s">
        <v>24</v>
      </c>
      <c r="C294" s="44" t="s">
        <v>59</v>
      </c>
      <c r="D294" s="44" t="s">
        <v>112</v>
      </c>
      <c r="E294" s="44" t="s">
        <v>113</v>
      </c>
      <c r="F294" s="45" t="s">
        <v>19</v>
      </c>
      <c r="G294" s="46">
        <v>817</v>
      </c>
      <c r="H294" s="46">
        <v>64</v>
      </c>
      <c r="I294" s="46">
        <v>4</v>
      </c>
      <c r="J294" s="47">
        <v>92.735527809307598</v>
      </c>
      <c r="K294" s="47"/>
      <c r="L294" s="48">
        <v>646</v>
      </c>
      <c r="M294" s="48">
        <v>18</v>
      </c>
      <c r="N294" s="48">
        <v>1</v>
      </c>
      <c r="O294" s="47">
        <v>97.289156626505999</v>
      </c>
      <c r="P294" s="49"/>
    </row>
    <row r="295" spans="1:16" ht="15" customHeight="1">
      <c r="A295" s="50">
        <v>289</v>
      </c>
      <c r="B295" s="51" t="s">
        <v>24</v>
      </c>
      <c r="C295" s="58" t="s">
        <v>59</v>
      </c>
      <c r="D295" s="58" t="s">
        <v>112</v>
      </c>
      <c r="E295" s="58" t="s">
        <v>114</v>
      </c>
      <c r="F295" s="59" t="s">
        <v>114</v>
      </c>
      <c r="G295" s="52">
        <v>913</v>
      </c>
      <c r="H295" s="52">
        <v>92</v>
      </c>
      <c r="I295" s="52">
        <v>8</v>
      </c>
      <c r="J295" s="53">
        <v>90.845771144278601</v>
      </c>
      <c r="K295" s="53">
        <f>G295+H295+I295</f>
        <v>1013</v>
      </c>
      <c r="L295" s="54">
        <v>1043</v>
      </c>
      <c r="M295" s="54">
        <v>35</v>
      </c>
      <c r="N295" s="54">
        <v>9</v>
      </c>
      <c r="O295" s="53">
        <v>96.753246753246799</v>
      </c>
      <c r="P295" s="55">
        <f>L295+M295+N295</f>
        <v>1087</v>
      </c>
    </row>
    <row r="296" spans="1:16" ht="15" hidden="1" customHeight="1">
      <c r="A296" s="43">
        <v>290</v>
      </c>
      <c r="B296" s="44" t="s">
        <v>24</v>
      </c>
      <c r="C296" s="44" t="s">
        <v>59</v>
      </c>
      <c r="D296" s="44" t="s">
        <v>112</v>
      </c>
      <c r="E296" s="44" t="s">
        <v>114</v>
      </c>
      <c r="F296" s="45" t="s">
        <v>18</v>
      </c>
      <c r="G296" s="46"/>
      <c r="H296" s="46"/>
      <c r="I296" s="46"/>
      <c r="J296" s="47"/>
      <c r="K296" s="47"/>
      <c r="L296" s="48"/>
      <c r="M296" s="48"/>
      <c r="N296" s="48"/>
      <c r="O296" s="47"/>
      <c r="P296" s="49"/>
    </row>
    <row r="297" spans="1:16" ht="15" hidden="1" customHeight="1">
      <c r="A297" s="43">
        <v>291</v>
      </c>
      <c r="B297" s="44" t="s">
        <v>24</v>
      </c>
      <c r="C297" s="44" t="s">
        <v>59</v>
      </c>
      <c r="D297" s="44" t="s">
        <v>112</v>
      </c>
      <c r="E297" s="44" t="s">
        <v>114</v>
      </c>
      <c r="F297" s="45" t="s">
        <v>19</v>
      </c>
      <c r="G297" s="46">
        <v>913</v>
      </c>
      <c r="H297" s="46">
        <v>92</v>
      </c>
      <c r="I297" s="46">
        <v>8</v>
      </c>
      <c r="J297" s="47">
        <v>90.845771144278601</v>
      </c>
      <c r="K297" s="47"/>
      <c r="L297" s="48">
        <v>1043</v>
      </c>
      <c r="M297" s="48">
        <v>35</v>
      </c>
      <c r="N297" s="48">
        <v>9</v>
      </c>
      <c r="O297" s="47">
        <v>96.753246753246799</v>
      </c>
      <c r="P297" s="49"/>
    </row>
    <row r="298" spans="1:16" ht="15" customHeight="1">
      <c r="A298" s="50">
        <v>292</v>
      </c>
      <c r="B298" s="51" t="s">
        <v>24</v>
      </c>
      <c r="C298" s="58" t="s">
        <v>59</v>
      </c>
      <c r="D298" s="58" t="s">
        <v>112</v>
      </c>
      <c r="E298" s="58" t="s">
        <v>115</v>
      </c>
      <c r="F298" s="59" t="s">
        <v>115</v>
      </c>
      <c r="G298" s="52">
        <v>624</v>
      </c>
      <c r="H298" s="52">
        <v>62</v>
      </c>
      <c r="I298" s="52">
        <v>6</v>
      </c>
      <c r="J298" s="53">
        <v>90.962099125364404</v>
      </c>
      <c r="K298" s="53">
        <f>G298+H298+I298</f>
        <v>692</v>
      </c>
      <c r="L298" s="54">
        <v>889</v>
      </c>
      <c r="M298" s="54">
        <v>36</v>
      </c>
      <c r="N298" s="54">
        <v>10</v>
      </c>
      <c r="O298" s="53">
        <v>96.108108108108098</v>
      </c>
      <c r="P298" s="55">
        <f>L298+M298+N298</f>
        <v>935</v>
      </c>
    </row>
    <row r="299" spans="1:16" ht="15" hidden="1" customHeight="1">
      <c r="A299" s="43">
        <v>293</v>
      </c>
      <c r="B299" s="44" t="s">
        <v>24</v>
      </c>
      <c r="C299" s="44" t="s">
        <v>59</v>
      </c>
      <c r="D299" s="44" t="s">
        <v>112</v>
      </c>
      <c r="E299" s="44" t="s">
        <v>115</v>
      </c>
      <c r="F299" s="45" t="s">
        <v>18</v>
      </c>
      <c r="G299" s="46"/>
      <c r="H299" s="46"/>
      <c r="I299" s="46"/>
      <c r="J299" s="47"/>
      <c r="K299" s="47"/>
      <c r="L299" s="48">
        <v>131</v>
      </c>
      <c r="M299" s="48">
        <v>11</v>
      </c>
      <c r="N299" s="48">
        <v>1</v>
      </c>
      <c r="O299" s="47">
        <v>92.253521126760603</v>
      </c>
      <c r="P299" s="49"/>
    </row>
    <row r="300" spans="1:16" ht="15" hidden="1" customHeight="1">
      <c r="A300" s="43">
        <v>294</v>
      </c>
      <c r="B300" s="44" t="s">
        <v>24</v>
      </c>
      <c r="C300" s="44" t="s">
        <v>59</v>
      </c>
      <c r="D300" s="44" t="s">
        <v>112</v>
      </c>
      <c r="E300" s="44" t="s">
        <v>115</v>
      </c>
      <c r="F300" s="45" t="s">
        <v>19</v>
      </c>
      <c r="G300" s="46">
        <v>624</v>
      </c>
      <c r="H300" s="46">
        <v>62</v>
      </c>
      <c r="I300" s="46">
        <v>6</v>
      </c>
      <c r="J300" s="47">
        <v>90.962099125364404</v>
      </c>
      <c r="K300" s="47"/>
      <c r="L300" s="48">
        <v>758</v>
      </c>
      <c r="M300" s="48">
        <v>25</v>
      </c>
      <c r="N300" s="48">
        <v>9</v>
      </c>
      <c r="O300" s="47">
        <v>96.807151979565802</v>
      </c>
      <c r="P300" s="49"/>
    </row>
    <row r="301" spans="1:16" ht="15" customHeight="1">
      <c r="A301" s="50">
        <v>295</v>
      </c>
      <c r="B301" s="51" t="s">
        <v>24</v>
      </c>
      <c r="C301" s="58" t="s">
        <v>59</v>
      </c>
      <c r="D301" s="58" t="s">
        <v>112</v>
      </c>
      <c r="E301" s="58" t="s">
        <v>116</v>
      </c>
      <c r="F301" s="59" t="s">
        <v>116</v>
      </c>
      <c r="G301" s="52">
        <v>446</v>
      </c>
      <c r="H301" s="52">
        <v>87</v>
      </c>
      <c r="I301" s="52">
        <v>4</v>
      </c>
      <c r="J301" s="53">
        <v>83.677298311444602</v>
      </c>
      <c r="K301" s="53">
        <f>G301+H301+I301</f>
        <v>537</v>
      </c>
      <c r="L301" s="54">
        <v>484</v>
      </c>
      <c r="M301" s="54">
        <v>45</v>
      </c>
      <c r="N301" s="54">
        <v>6</v>
      </c>
      <c r="O301" s="53">
        <v>91.493383742911107</v>
      </c>
      <c r="P301" s="55">
        <f>L301+M301+N301</f>
        <v>535</v>
      </c>
    </row>
    <row r="302" spans="1:16" ht="15" hidden="1" customHeight="1">
      <c r="A302" s="43">
        <v>296</v>
      </c>
      <c r="B302" s="44" t="s">
        <v>24</v>
      </c>
      <c r="C302" s="44" t="s">
        <v>59</v>
      </c>
      <c r="D302" s="44" t="s">
        <v>112</v>
      </c>
      <c r="E302" s="44" t="s">
        <v>116</v>
      </c>
      <c r="F302" s="45" t="s">
        <v>18</v>
      </c>
      <c r="G302" s="46"/>
      <c r="H302" s="46"/>
      <c r="I302" s="46"/>
      <c r="J302" s="47"/>
      <c r="K302" s="47"/>
      <c r="L302" s="48"/>
      <c r="M302" s="48"/>
      <c r="N302" s="48"/>
      <c r="O302" s="47"/>
      <c r="P302" s="49"/>
    </row>
    <row r="303" spans="1:16" ht="15" hidden="1" customHeight="1">
      <c r="A303" s="43">
        <v>297</v>
      </c>
      <c r="B303" s="44" t="s">
        <v>24</v>
      </c>
      <c r="C303" s="44" t="s">
        <v>59</v>
      </c>
      <c r="D303" s="44" t="s">
        <v>112</v>
      </c>
      <c r="E303" s="44" t="s">
        <v>116</v>
      </c>
      <c r="F303" s="45" t="s">
        <v>19</v>
      </c>
      <c r="G303" s="46">
        <v>446</v>
      </c>
      <c r="H303" s="46">
        <v>87</v>
      </c>
      <c r="I303" s="46">
        <v>4</v>
      </c>
      <c r="J303" s="47">
        <v>83.677298311444602</v>
      </c>
      <c r="K303" s="47"/>
      <c r="L303" s="48">
        <v>484</v>
      </c>
      <c r="M303" s="48">
        <v>45</v>
      </c>
      <c r="N303" s="48">
        <v>6</v>
      </c>
      <c r="O303" s="47">
        <v>91.493383742911107</v>
      </c>
      <c r="P303" s="49"/>
    </row>
    <row r="304" spans="1:16" ht="15" customHeight="1">
      <c r="A304" s="50">
        <v>298</v>
      </c>
      <c r="B304" s="51" t="s">
        <v>24</v>
      </c>
      <c r="C304" s="58" t="s">
        <v>59</v>
      </c>
      <c r="D304" s="58" t="s">
        <v>112</v>
      </c>
      <c r="E304" s="58" t="s">
        <v>117</v>
      </c>
      <c r="F304" s="59" t="s">
        <v>117</v>
      </c>
      <c r="G304" s="52">
        <v>993</v>
      </c>
      <c r="H304" s="52">
        <v>173</v>
      </c>
      <c r="I304" s="52">
        <v>8</v>
      </c>
      <c r="J304" s="53">
        <v>85.162950257289907</v>
      </c>
      <c r="K304" s="53">
        <f>G304+H304+I304</f>
        <v>1174</v>
      </c>
      <c r="L304" s="54">
        <v>1064</v>
      </c>
      <c r="M304" s="54">
        <v>54</v>
      </c>
      <c r="N304" s="54">
        <v>15</v>
      </c>
      <c r="O304" s="53">
        <v>95.169946332736998</v>
      </c>
      <c r="P304" s="55">
        <f>L304+M304+N304</f>
        <v>1133</v>
      </c>
    </row>
    <row r="305" spans="1:16" ht="15" hidden="1" customHeight="1">
      <c r="A305" s="43">
        <v>299</v>
      </c>
      <c r="B305" s="44" t="s">
        <v>24</v>
      </c>
      <c r="C305" s="44" t="s">
        <v>59</v>
      </c>
      <c r="D305" s="44" t="s">
        <v>112</v>
      </c>
      <c r="E305" s="44" t="s">
        <v>117</v>
      </c>
      <c r="F305" s="45" t="s">
        <v>18</v>
      </c>
      <c r="G305" s="46"/>
      <c r="H305" s="46"/>
      <c r="I305" s="46"/>
      <c r="J305" s="47"/>
      <c r="K305" s="47"/>
      <c r="L305" s="48"/>
      <c r="M305" s="48"/>
      <c r="N305" s="48"/>
      <c r="O305" s="47"/>
      <c r="P305" s="49"/>
    </row>
    <row r="306" spans="1:16" ht="15" hidden="1" customHeight="1">
      <c r="A306" s="43">
        <v>300</v>
      </c>
      <c r="B306" s="44" t="s">
        <v>24</v>
      </c>
      <c r="C306" s="44" t="s">
        <v>59</v>
      </c>
      <c r="D306" s="44" t="s">
        <v>112</v>
      </c>
      <c r="E306" s="44" t="s">
        <v>117</v>
      </c>
      <c r="F306" s="45" t="s">
        <v>19</v>
      </c>
      <c r="G306" s="46">
        <v>993</v>
      </c>
      <c r="H306" s="46">
        <v>173</v>
      </c>
      <c r="I306" s="46">
        <v>8</v>
      </c>
      <c r="J306" s="47">
        <v>85.162950257289907</v>
      </c>
      <c r="K306" s="47"/>
      <c r="L306" s="48">
        <v>1064</v>
      </c>
      <c r="M306" s="48">
        <v>54</v>
      </c>
      <c r="N306" s="48">
        <v>15</v>
      </c>
      <c r="O306" s="47">
        <v>95.169946332736998</v>
      </c>
      <c r="P306" s="49"/>
    </row>
    <row r="307" spans="1:16" ht="15" hidden="1" customHeight="1">
      <c r="A307" s="37">
        <v>301</v>
      </c>
      <c r="B307" s="38" t="s">
        <v>22</v>
      </c>
      <c r="C307" s="57" t="s">
        <v>59</v>
      </c>
      <c r="D307" s="57" t="s">
        <v>118</v>
      </c>
      <c r="E307" s="57"/>
      <c r="F307" s="38" t="s">
        <v>118</v>
      </c>
      <c r="G307" s="39">
        <v>5933</v>
      </c>
      <c r="H307" s="39">
        <v>959</v>
      </c>
      <c r="I307" s="39">
        <v>52</v>
      </c>
      <c r="J307" s="40">
        <v>86.085316308763794</v>
      </c>
      <c r="K307" s="40"/>
      <c r="L307" s="41">
        <v>7194</v>
      </c>
      <c r="M307" s="41">
        <v>265</v>
      </c>
      <c r="N307" s="41">
        <v>55</v>
      </c>
      <c r="O307" s="40">
        <v>96.447244938999901</v>
      </c>
      <c r="P307" s="42"/>
    </row>
    <row r="308" spans="1:16" ht="15" hidden="1" customHeight="1">
      <c r="A308" s="43">
        <v>302</v>
      </c>
      <c r="B308" s="44" t="s">
        <v>22</v>
      </c>
      <c r="C308" s="44" t="s">
        <v>59</v>
      </c>
      <c r="D308" s="44" t="s">
        <v>118</v>
      </c>
      <c r="E308" s="44"/>
      <c r="F308" s="45" t="s">
        <v>18</v>
      </c>
      <c r="G308" s="46">
        <v>1194</v>
      </c>
      <c r="H308" s="46">
        <v>86</v>
      </c>
      <c r="I308" s="46">
        <v>9</v>
      </c>
      <c r="J308" s="47">
        <v>93.28125</v>
      </c>
      <c r="K308" s="47"/>
      <c r="L308" s="48">
        <v>1776</v>
      </c>
      <c r="M308" s="48">
        <v>65</v>
      </c>
      <c r="N308" s="48">
        <v>12</v>
      </c>
      <c r="O308" s="47">
        <v>96.469310157523097</v>
      </c>
      <c r="P308" s="49"/>
    </row>
    <row r="309" spans="1:16" ht="15" hidden="1" customHeight="1">
      <c r="A309" s="43">
        <v>303</v>
      </c>
      <c r="B309" s="44" t="s">
        <v>22</v>
      </c>
      <c r="C309" s="44" t="s">
        <v>59</v>
      </c>
      <c r="D309" s="44" t="s">
        <v>118</v>
      </c>
      <c r="E309" s="44"/>
      <c r="F309" s="45" t="s">
        <v>19</v>
      </c>
      <c r="G309" s="46">
        <v>4739</v>
      </c>
      <c r="H309" s="46">
        <v>873</v>
      </c>
      <c r="I309" s="46">
        <v>43</v>
      </c>
      <c r="J309" s="47">
        <v>84.444048467569502</v>
      </c>
      <c r="K309" s="47"/>
      <c r="L309" s="48">
        <v>5418</v>
      </c>
      <c r="M309" s="48">
        <v>200</v>
      </c>
      <c r="N309" s="48">
        <v>43</v>
      </c>
      <c r="O309" s="47">
        <v>96.440014239942997</v>
      </c>
      <c r="P309" s="49"/>
    </row>
    <row r="310" spans="1:16" ht="15" customHeight="1">
      <c r="A310" s="50">
        <v>304</v>
      </c>
      <c r="B310" s="51" t="s">
        <v>24</v>
      </c>
      <c r="C310" s="58" t="s">
        <v>59</v>
      </c>
      <c r="D310" s="58" t="s">
        <v>118</v>
      </c>
      <c r="E310" s="58" t="s">
        <v>118</v>
      </c>
      <c r="F310" s="59" t="s">
        <v>118</v>
      </c>
      <c r="G310" s="52">
        <v>1218</v>
      </c>
      <c r="H310" s="52">
        <v>317</v>
      </c>
      <c r="I310" s="52">
        <v>18</v>
      </c>
      <c r="J310" s="53">
        <v>79.348534201954394</v>
      </c>
      <c r="K310" s="53">
        <f>G310+H310+I310</f>
        <v>1553</v>
      </c>
      <c r="L310" s="54">
        <v>1534</v>
      </c>
      <c r="M310" s="54">
        <v>68</v>
      </c>
      <c r="N310" s="54">
        <v>4</v>
      </c>
      <c r="O310" s="53">
        <v>95.755305867665399</v>
      </c>
      <c r="P310" s="55">
        <f>L310+M310+N310</f>
        <v>1606</v>
      </c>
    </row>
    <row r="311" spans="1:16" ht="15" hidden="1" customHeight="1">
      <c r="A311" s="43">
        <v>305</v>
      </c>
      <c r="B311" s="44" t="s">
        <v>24</v>
      </c>
      <c r="C311" s="44" t="s">
        <v>59</v>
      </c>
      <c r="D311" s="44" t="s">
        <v>118</v>
      </c>
      <c r="E311" s="44" t="s">
        <v>118</v>
      </c>
      <c r="F311" s="45" t="s">
        <v>18</v>
      </c>
      <c r="G311" s="46"/>
      <c r="H311" s="46"/>
      <c r="I311" s="46"/>
      <c r="J311" s="47"/>
      <c r="K311" s="47"/>
      <c r="L311" s="48"/>
      <c r="M311" s="48"/>
      <c r="N311" s="48"/>
      <c r="O311" s="47"/>
      <c r="P311" s="49"/>
    </row>
    <row r="312" spans="1:16" ht="15" hidden="1" customHeight="1">
      <c r="A312" s="43">
        <v>306</v>
      </c>
      <c r="B312" s="44" t="s">
        <v>24</v>
      </c>
      <c r="C312" s="44" t="s">
        <v>59</v>
      </c>
      <c r="D312" s="44" t="s">
        <v>118</v>
      </c>
      <c r="E312" s="44" t="s">
        <v>118</v>
      </c>
      <c r="F312" s="45" t="s">
        <v>19</v>
      </c>
      <c r="G312" s="46">
        <v>1218</v>
      </c>
      <c r="H312" s="46">
        <v>317</v>
      </c>
      <c r="I312" s="46">
        <v>18</v>
      </c>
      <c r="J312" s="47">
        <v>79.348534201954394</v>
      </c>
      <c r="K312" s="47"/>
      <c r="L312" s="48">
        <v>1534</v>
      </c>
      <c r="M312" s="48">
        <v>68</v>
      </c>
      <c r="N312" s="48">
        <v>4</v>
      </c>
      <c r="O312" s="47">
        <v>95.755305867665399</v>
      </c>
      <c r="P312" s="49"/>
    </row>
    <row r="313" spans="1:16" ht="15" customHeight="1">
      <c r="A313" s="50">
        <v>307</v>
      </c>
      <c r="B313" s="51" t="s">
        <v>24</v>
      </c>
      <c r="C313" s="58" t="s">
        <v>59</v>
      </c>
      <c r="D313" s="58" t="s">
        <v>118</v>
      </c>
      <c r="E313" s="58" t="s">
        <v>119</v>
      </c>
      <c r="F313" s="59" t="s">
        <v>119</v>
      </c>
      <c r="G313" s="52">
        <v>673</v>
      </c>
      <c r="H313" s="52">
        <v>80</v>
      </c>
      <c r="I313" s="52">
        <v>5</v>
      </c>
      <c r="J313" s="53">
        <v>89.375830013280193</v>
      </c>
      <c r="K313" s="53">
        <f>G313+H313+I313</f>
        <v>758</v>
      </c>
      <c r="L313" s="54">
        <v>847</v>
      </c>
      <c r="M313" s="54">
        <v>38</v>
      </c>
      <c r="N313" s="54">
        <v>6</v>
      </c>
      <c r="O313" s="53">
        <v>95.706214689265494</v>
      </c>
      <c r="P313" s="55">
        <f>L313+M313+N313</f>
        <v>891</v>
      </c>
    </row>
    <row r="314" spans="1:16" ht="15" hidden="1" customHeight="1">
      <c r="A314" s="43">
        <v>308</v>
      </c>
      <c r="B314" s="44" t="s">
        <v>24</v>
      </c>
      <c r="C314" s="44" t="s">
        <v>59</v>
      </c>
      <c r="D314" s="44" t="s">
        <v>118</v>
      </c>
      <c r="E314" s="44" t="s">
        <v>119</v>
      </c>
      <c r="F314" s="45" t="s">
        <v>18</v>
      </c>
      <c r="G314" s="46">
        <v>296</v>
      </c>
      <c r="H314" s="46">
        <v>24</v>
      </c>
      <c r="I314" s="46">
        <v>4</v>
      </c>
      <c r="J314" s="47">
        <v>92.5</v>
      </c>
      <c r="K314" s="47"/>
      <c r="L314" s="48">
        <v>467</v>
      </c>
      <c r="M314" s="48">
        <v>25</v>
      </c>
      <c r="N314" s="48">
        <v>3</v>
      </c>
      <c r="O314" s="47">
        <v>94.918699186991901</v>
      </c>
      <c r="P314" s="49"/>
    </row>
    <row r="315" spans="1:16" ht="15" hidden="1" customHeight="1">
      <c r="A315" s="43">
        <v>309</v>
      </c>
      <c r="B315" s="44" t="s">
        <v>24</v>
      </c>
      <c r="C315" s="44" t="s">
        <v>59</v>
      </c>
      <c r="D315" s="44" t="s">
        <v>118</v>
      </c>
      <c r="E315" s="44" t="s">
        <v>119</v>
      </c>
      <c r="F315" s="45" t="s">
        <v>19</v>
      </c>
      <c r="G315" s="46">
        <v>377</v>
      </c>
      <c r="H315" s="46">
        <v>56</v>
      </c>
      <c r="I315" s="46">
        <v>1</v>
      </c>
      <c r="J315" s="47">
        <v>87.066974595843007</v>
      </c>
      <c r="K315" s="47"/>
      <c r="L315" s="48">
        <v>380</v>
      </c>
      <c r="M315" s="48">
        <v>13</v>
      </c>
      <c r="N315" s="48">
        <v>3</v>
      </c>
      <c r="O315" s="47">
        <v>96.692111959287502</v>
      </c>
      <c r="P315" s="49"/>
    </row>
    <row r="316" spans="1:16" ht="15" customHeight="1">
      <c r="A316" s="50">
        <v>310</v>
      </c>
      <c r="B316" s="51" t="s">
        <v>24</v>
      </c>
      <c r="C316" s="58" t="s">
        <v>59</v>
      </c>
      <c r="D316" s="58" t="s">
        <v>118</v>
      </c>
      <c r="E316" s="58" t="s">
        <v>120</v>
      </c>
      <c r="F316" s="59" t="s">
        <v>120</v>
      </c>
      <c r="G316" s="52">
        <v>966</v>
      </c>
      <c r="H316" s="52">
        <v>177</v>
      </c>
      <c r="I316" s="52">
        <v>6</v>
      </c>
      <c r="J316" s="53">
        <v>84.514435695538097</v>
      </c>
      <c r="K316" s="53">
        <f>G316+H316+I316</f>
        <v>1149</v>
      </c>
      <c r="L316" s="54">
        <v>1373</v>
      </c>
      <c r="M316" s="54">
        <v>69</v>
      </c>
      <c r="N316" s="54">
        <v>9</v>
      </c>
      <c r="O316" s="53">
        <v>95.214979195561696</v>
      </c>
      <c r="P316" s="55">
        <f>L316+M316+N316</f>
        <v>1451</v>
      </c>
    </row>
    <row r="317" spans="1:16" ht="15" hidden="1" customHeight="1">
      <c r="A317" s="43">
        <v>311</v>
      </c>
      <c r="B317" s="44" t="s">
        <v>24</v>
      </c>
      <c r="C317" s="44" t="s">
        <v>59</v>
      </c>
      <c r="D317" s="44" t="s">
        <v>118</v>
      </c>
      <c r="E317" s="44" t="s">
        <v>120</v>
      </c>
      <c r="F317" s="45" t="s">
        <v>18</v>
      </c>
      <c r="G317" s="46"/>
      <c r="H317" s="46"/>
      <c r="I317" s="46"/>
      <c r="J317" s="47"/>
      <c r="K317" s="47"/>
      <c r="L317" s="48">
        <v>243</v>
      </c>
      <c r="M317" s="48">
        <v>6</v>
      </c>
      <c r="N317" s="48">
        <v>1</v>
      </c>
      <c r="O317" s="47">
        <v>97.590361445783103</v>
      </c>
      <c r="P317" s="49"/>
    </row>
    <row r="318" spans="1:16" ht="15" hidden="1" customHeight="1">
      <c r="A318" s="43">
        <v>312</v>
      </c>
      <c r="B318" s="44" t="s">
        <v>24</v>
      </c>
      <c r="C318" s="44" t="s">
        <v>59</v>
      </c>
      <c r="D318" s="44" t="s">
        <v>118</v>
      </c>
      <c r="E318" s="44" t="s">
        <v>120</v>
      </c>
      <c r="F318" s="45" t="s">
        <v>19</v>
      </c>
      <c r="G318" s="46">
        <v>966</v>
      </c>
      <c r="H318" s="46">
        <v>177</v>
      </c>
      <c r="I318" s="46">
        <v>6</v>
      </c>
      <c r="J318" s="47">
        <v>84.514435695538097</v>
      </c>
      <c r="K318" s="47"/>
      <c r="L318" s="48">
        <v>1130</v>
      </c>
      <c r="M318" s="48">
        <v>63</v>
      </c>
      <c r="N318" s="48">
        <v>8</v>
      </c>
      <c r="O318" s="47">
        <v>94.719195305951402</v>
      </c>
      <c r="P318" s="49"/>
    </row>
    <row r="319" spans="1:16" ht="15" customHeight="1">
      <c r="A319" s="50">
        <v>313</v>
      </c>
      <c r="B319" s="51" t="s">
        <v>24</v>
      </c>
      <c r="C319" s="58" t="s">
        <v>59</v>
      </c>
      <c r="D319" s="58" t="s">
        <v>118</v>
      </c>
      <c r="E319" s="58" t="s">
        <v>121</v>
      </c>
      <c r="F319" s="59" t="s">
        <v>121</v>
      </c>
      <c r="G319" s="52">
        <v>1955</v>
      </c>
      <c r="H319" s="52">
        <v>223</v>
      </c>
      <c r="I319" s="52">
        <v>13</v>
      </c>
      <c r="J319" s="53">
        <v>89.761248852157905</v>
      </c>
      <c r="K319" s="53">
        <f>G319+H319+I319</f>
        <v>2191</v>
      </c>
      <c r="L319" s="54">
        <v>1926</v>
      </c>
      <c r="M319" s="54">
        <v>22</v>
      </c>
      <c r="N319" s="54">
        <v>23</v>
      </c>
      <c r="O319" s="53">
        <v>98.870636550308006</v>
      </c>
      <c r="P319" s="55">
        <f>L319+M319+N319</f>
        <v>1971</v>
      </c>
    </row>
    <row r="320" spans="1:16" ht="15" hidden="1" customHeight="1">
      <c r="A320" s="43">
        <v>314</v>
      </c>
      <c r="B320" s="44" t="s">
        <v>24</v>
      </c>
      <c r="C320" s="44" t="s">
        <v>59</v>
      </c>
      <c r="D320" s="44" t="s">
        <v>118</v>
      </c>
      <c r="E320" s="44" t="s">
        <v>121</v>
      </c>
      <c r="F320" s="45" t="s">
        <v>18</v>
      </c>
      <c r="G320" s="46">
        <v>741</v>
      </c>
      <c r="H320" s="46">
        <v>55</v>
      </c>
      <c r="I320" s="46">
        <v>5</v>
      </c>
      <c r="J320" s="47">
        <v>93.090452261306496</v>
      </c>
      <c r="K320" s="47"/>
      <c r="L320" s="48">
        <v>548</v>
      </c>
      <c r="M320" s="48">
        <v>3</v>
      </c>
      <c r="N320" s="48">
        <v>4</v>
      </c>
      <c r="O320" s="47">
        <v>99.4555353901996</v>
      </c>
      <c r="P320" s="49"/>
    </row>
    <row r="321" spans="1:16" ht="15" hidden="1" customHeight="1">
      <c r="A321" s="43">
        <v>315</v>
      </c>
      <c r="B321" s="44" t="s">
        <v>24</v>
      </c>
      <c r="C321" s="44" t="s">
        <v>59</v>
      </c>
      <c r="D321" s="44" t="s">
        <v>118</v>
      </c>
      <c r="E321" s="44" t="s">
        <v>121</v>
      </c>
      <c r="F321" s="45" t="s">
        <v>19</v>
      </c>
      <c r="G321" s="46">
        <v>1214</v>
      </c>
      <c r="H321" s="46">
        <v>168</v>
      </c>
      <c r="I321" s="46">
        <v>8</v>
      </c>
      <c r="J321" s="47">
        <v>87.843704775687399</v>
      </c>
      <c r="K321" s="47"/>
      <c r="L321" s="48">
        <v>1378</v>
      </c>
      <c r="M321" s="48">
        <v>19</v>
      </c>
      <c r="N321" s="48">
        <v>19</v>
      </c>
      <c r="O321" s="47">
        <v>98.639942734430903</v>
      </c>
      <c r="P321" s="49"/>
    </row>
    <row r="322" spans="1:16" ht="15" customHeight="1">
      <c r="A322" s="50">
        <v>316</v>
      </c>
      <c r="B322" s="51" t="s">
        <v>24</v>
      </c>
      <c r="C322" s="58" t="s">
        <v>59</v>
      </c>
      <c r="D322" s="58" t="s">
        <v>118</v>
      </c>
      <c r="E322" s="58" t="s">
        <v>122</v>
      </c>
      <c r="F322" s="59" t="s">
        <v>122</v>
      </c>
      <c r="G322" s="52">
        <v>743</v>
      </c>
      <c r="H322" s="52">
        <v>133</v>
      </c>
      <c r="I322" s="52">
        <v>9</v>
      </c>
      <c r="J322" s="53">
        <v>84.817351598173502</v>
      </c>
      <c r="K322" s="53">
        <f>G322+H322+I322</f>
        <v>885</v>
      </c>
      <c r="L322" s="54">
        <v>709</v>
      </c>
      <c r="M322" s="54">
        <v>20</v>
      </c>
      <c r="N322" s="54">
        <v>8</v>
      </c>
      <c r="O322" s="53">
        <v>97.256515775034302</v>
      </c>
      <c r="P322" s="55">
        <f>L322+M322+N322</f>
        <v>737</v>
      </c>
    </row>
    <row r="323" spans="1:16" ht="15" hidden="1" customHeight="1">
      <c r="A323" s="43">
        <v>317</v>
      </c>
      <c r="B323" s="44" t="s">
        <v>24</v>
      </c>
      <c r="C323" s="44" t="s">
        <v>59</v>
      </c>
      <c r="D323" s="44" t="s">
        <v>118</v>
      </c>
      <c r="E323" s="44" t="s">
        <v>122</v>
      </c>
      <c r="F323" s="45" t="s">
        <v>18</v>
      </c>
      <c r="G323" s="46"/>
      <c r="H323" s="46"/>
      <c r="I323" s="46"/>
      <c r="J323" s="47"/>
      <c r="K323" s="47"/>
      <c r="L323" s="48">
        <v>113</v>
      </c>
      <c r="M323" s="48">
        <v>9</v>
      </c>
      <c r="N323" s="48">
        <v>1</v>
      </c>
      <c r="O323" s="47">
        <v>92.622950819672099</v>
      </c>
      <c r="P323" s="49"/>
    </row>
    <row r="324" spans="1:16" ht="15" hidden="1" customHeight="1">
      <c r="A324" s="43">
        <v>318</v>
      </c>
      <c r="B324" s="44" t="s">
        <v>24</v>
      </c>
      <c r="C324" s="44" t="s">
        <v>59</v>
      </c>
      <c r="D324" s="44" t="s">
        <v>118</v>
      </c>
      <c r="E324" s="44" t="s">
        <v>122</v>
      </c>
      <c r="F324" s="45" t="s">
        <v>19</v>
      </c>
      <c r="G324" s="46">
        <v>743</v>
      </c>
      <c r="H324" s="46">
        <v>133</v>
      </c>
      <c r="I324" s="46">
        <v>9</v>
      </c>
      <c r="J324" s="47">
        <v>84.817351598173502</v>
      </c>
      <c r="K324" s="47"/>
      <c r="L324" s="48">
        <v>596</v>
      </c>
      <c r="M324" s="48">
        <v>11</v>
      </c>
      <c r="N324" s="48">
        <v>7</v>
      </c>
      <c r="O324" s="47">
        <v>98.187808896210896</v>
      </c>
      <c r="P324" s="49"/>
    </row>
    <row r="325" spans="1:16" ht="15" customHeight="1">
      <c r="A325" s="50">
        <v>319</v>
      </c>
      <c r="B325" s="51" t="s">
        <v>24</v>
      </c>
      <c r="C325" s="58" t="s">
        <v>59</v>
      </c>
      <c r="D325" s="58" t="s">
        <v>118</v>
      </c>
      <c r="E325" s="58" t="s">
        <v>123</v>
      </c>
      <c r="F325" s="59" t="s">
        <v>123</v>
      </c>
      <c r="G325" s="52">
        <v>378</v>
      </c>
      <c r="H325" s="52">
        <v>29</v>
      </c>
      <c r="I325" s="52">
        <v>1</v>
      </c>
      <c r="J325" s="53">
        <v>92.874692874692897</v>
      </c>
      <c r="K325" s="53">
        <f>G325+H325+I325</f>
        <v>408</v>
      </c>
      <c r="L325" s="54">
        <v>805</v>
      </c>
      <c r="M325" s="54">
        <v>48</v>
      </c>
      <c r="N325" s="54">
        <v>5</v>
      </c>
      <c r="O325" s="53">
        <v>94.372801875732705</v>
      </c>
      <c r="P325" s="55">
        <f>L325+M325+N325</f>
        <v>858</v>
      </c>
    </row>
    <row r="326" spans="1:16" ht="15" hidden="1" customHeight="1">
      <c r="A326" s="43">
        <v>320</v>
      </c>
      <c r="B326" s="44" t="s">
        <v>24</v>
      </c>
      <c r="C326" s="44" t="s">
        <v>59</v>
      </c>
      <c r="D326" s="44" t="s">
        <v>118</v>
      </c>
      <c r="E326" s="44" t="s">
        <v>123</v>
      </c>
      <c r="F326" s="45" t="s">
        <v>18</v>
      </c>
      <c r="G326" s="46">
        <v>157</v>
      </c>
      <c r="H326" s="46">
        <v>7</v>
      </c>
      <c r="I326" s="46">
        <v>0</v>
      </c>
      <c r="J326" s="47">
        <v>95.731707317073202</v>
      </c>
      <c r="K326" s="47"/>
      <c r="L326" s="48">
        <v>405</v>
      </c>
      <c r="M326" s="48">
        <v>22</v>
      </c>
      <c r="N326" s="48">
        <v>3</v>
      </c>
      <c r="O326" s="47">
        <v>94.847775175644003</v>
      </c>
      <c r="P326" s="49"/>
    </row>
    <row r="327" spans="1:16" ht="15" hidden="1" customHeight="1">
      <c r="A327" s="43">
        <v>321</v>
      </c>
      <c r="B327" s="44" t="s">
        <v>24</v>
      </c>
      <c r="C327" s="44" t="s">
        <v>59</v>
      </c>
      <c r="D327" s="44" t="s">
        <v>118</v>
      </c>
      <c r="E327" s="44" t="s">
        <v>123</v>
      </c>
      <c r="F327" s="45" t="s">
        <v>19</v>
      </c>
      <c r="G327" s="46">
        <v>221</v>
      </c>
      <c r="H327" s="46">
        <v>22</v>
      </c>
      <c r="I327" s="46">
        <v>1</v>
      </c>
      <c r="J327" s="47">
        <v>90.946502057613202</v>
      </c>
      <c r="K327" s="47"/>
      <c r="L327" s="48">
        <v>400</v>
      </c>
      <c r="M327" s="48">
        <v>26</v>
      </c>
      <c r="N327" s="48">
        <v>2</v>
      </c>
      <c r="O327" s="47">
        <v>93.896713615023501</v>
      </c>
      <c r="P327" s="49"/>
    </row>
    <row r="328" spans="1:16" ht="15" hidden="1" customHeight="1">
      <c r="A328" s="37">
        <v>322</v>
      </c>
      <c r="B328" s="38" t="s">
        <v>22</v>
      </c>
      <c r="C328" s="57" t="s">
        <v>59</v>
      </c>
      <c r="D328" s="57" t="s">
        <v>124</v>
      </c>
      <c r="E328" s="57"/>
      <c r="F328" s="38" t="s">
        <v>124</v>
      </c>
      <c r="G328" s="39">
        <v>11054</v>
      </c>
      <c r="H328" s="39">
        <v>1626</v>
      </c>
      <c r="I328" s="39">
        <v>118</v>
      </c>
      <c r="J328" s="40">
        <v>87.176656151419607</v>
      </c>
      <c r="K328" s="40"/>
      <c r="L328" s="41">
        <v>9389</v>
      </c>
      <c r="M328" s="41">
        <v>443</v>
      </c>
      <c r="N328" s="41">
        <v>96</v>
      </c>
      <c r="O328" s="40">
        <v>95.494304312449103</v>
      </c>
      <c r="P328" s="42"/>
    </row>
    <row r="329" spans="1:16" ht="15" hidden="1" customHeight="1">
      <c r="A329" s="43">
        <v>323</v>
      </c>
      <c r="B329" s="44" t="s">
        <v>22</v>
      </c>
      <c r="C329" s="44" t="s">
        <v>59</v>
      </c>
      <c r="D329" s="44" t="s">
        <v>124</v>
      </c>
      <c r="E329" s="44"/>
      <c r="F329" s="45" t="s">
        <v>18</v>
      </c>
      <c r="G329" s="46">
        <v>986</v>
      </c>
      <c r="H329" s="46">
        <v>100</v>
      </c>
      <c r="I329" s="46">
        <v>15</v>
      </c>
      <c r="J329" s="47">
        <v>90.791896869244894</v>
      </c>
      <c r="K329" s="47"/>
      <c r="L329" s="48">
        <v>1132</v>
      </c>
      <c r="M329" s="48">
        <v>48</v>
      </c>
      <c r="N329" s="48">
        <v>9</v>
      </c>
      <c r="O329" s="47">
        <v>95.932203389830505</v>
      </c>
      <c r="P329" s="49"/>
    </row>
    <row r="330" spans="1:16" ht="15" hidden="1" customHeight="1">
      <c r="A330" s="43">
        <v>324</v>
      </c>
      <c r="B330" s="44" t="s">
        <v>22</v>
      </c>
      <c r="C330" s="44" t="s">
        <v>59</v>
      </c>
      <c r="D330" s="44" t="s">
        <v>124</v>
      </c>
      <c r="E330" s="44"/>
      <c r="F330" s="45" t="s">
        <v>19</v>
      </c>
      <c r="G330" s="46">
        <v>10068</v>
      </c>
      <c r="H330" s="46">
        <v>1526</v>
      </c>
      <c r="I330" s="46">
        <v>103</v>
      </c>
      <c r="J330" s="47">
        <v>86.838019665344106</v>
      </c>
      <c r="K330" s="47"/>
      <c r="L330" s="48">
        <v>8257</v>
      </c>
      <c r="M330" s="48">
        <v>395</v>
      </c>
      <c r="N330" s="48">
        <v>87</v>
      </c>
      <c r="O330" s="47">
        <v>95.434581599630107</v>
      </c>
      <c r="P330" s="49"/>
    </row>
    <row r="331" spans="1:16" ht="15" customHeight="1">
      <c r="A331" s="50">
        <v>325</v>
      </c>
      <c r="B331" s="51" t="s">
        <v>24</v>
      </c>
      <c r="C331" s="58" t="s">
        <v>59</v>
      </c>
      <c r="D331" s="58" t="s">
        <v>124</v>
      </c>
      <c r="E331" s="58" t="s">
        <v>125</v>
      </c>
      <c r="F331" s="59" t="s">
        <v>125</v>
      </c>
      <c r="G331" s="52">
        <v>1623</v>
      </c>
      <c r="H331" s="52">
        <v>144</v>
      </c>
      <c r="I331" s="52">
        <v>25</v>
      </c>
      <c r="J331" s="53">
        <v>91.850594227504203</v>
      </c>
      <c r="K331" s="53">
        <f>G331+H331+I331</f>
        <v>1792</v>
      </c>
      <c r="L331" s="54">
        <v>1261</v>
      </c>
      <c r="M331" s="54">
        <v>31</v>
      </c>
      <c r="N331" s="54">
        <v>18</v>
      </c>
      <c r="O331" s="53">
        <v>97.600619195046406</v>
      </c>
      <c r="P331" s="55">
        <f>L331+M331+N331</f>
        <v>1310</v>
      </c>
    </row>
    <row r="332" spans="1:16" ht="15" hidden="1" customHeight="1">
      <c r="A332" s="43">
        <v>326</v>
      </c>
      <c r="B332" s="44" t="s">
        <v>24</v>
      </c>
      <c r="C332" s="44" t="s">
        <v>59</v>
      </c>
      <c r="D332" s="44" t="s">
        <v>124</v>
      </c>
      <c r="E332" s="44" t="s">
        <v>125</v>
      </c>
      <c r="F332" s="45" t="s">
        <v>18</v>
      </c>
      <c r="G332" s="46">
        <v>146</v>
      </c>
      <c r="H332" s="46">
        <v>14</v>
      </c>
      <c r="I332" s="46">
        <v>5</v>
      </c>
      <c r="J332" s="47">
        <v>91.25</v>
      </c>
      <c r="K332" s="47"/>
      <c r="L332" s="48">
        <v>159</v>
      </c>
      <c r="M332" s="48">
        <v>3</v>
      </c>
      <c r="N332" s="48">
        <v>1</v>
      </c>
      <c r="O332" s="47">
        <v>98.148148148148195</v>
      </c>
      <c r="P332" s="49"/>
    </row>
    <row r="333" spans="1:16" ht="15" hidden="1" customHeight="1">
      <c r="A333" s="43">
        <v>327</v>
      </c>
      <c r="B333" s="44" t="s">
        <v>24</v>
      </c>
      <c r="C333" s="44" t="s">
        <v>59</v>
      </c>
      <c r="D333" s="44" t="s">
        <v>124</v>
      </c>
      <c r="E333" s="44" t="s">
        <v>125</v>
      </c>
      <c r="F333" s="45" t="s">
        <v>19</v>
      </c>
      <c r="G333" s="46">
        <v>1477</v>
      </c>
      <c r="H333" s="46">
        <v>130</v>
      </c>
      <c r="I333" s="46">
        <v>20</v>
      </c>
      <c r="J333" s="47">
        <v>91.910392034847504</v>
      </c>
      <c r="K333" s="47"/>
      <c r="L333" s="48">
        <v>1102</v>
      </c>
      <c r="M333" s="48">
        <v>28</v>
      </c>
      <c r="N333" s="48">
        <v>17</v>
      </c>
      <c r="O333" s="47">
        <v>97.522123893805301</v>
      </c>
      <c r="P333" s="49"/>
    </row>
    <row r="334" spans="1:16" ht="15" customHeight="1">
      <c r="A334" s="50">
        <v>328</v>
      </c>
      <c r="B334" s="51" t="s">
        <v>24</v>
      </c>
      <c r="C334" s="58" t="s">
        <v>59</v>
      </c>
      <c r="D334" s="58" t="s">
        <v>124</v>
      </c>
      <c r="E334" s="58" t="s">
        <v>126</v>
      </c>
      <c r="F334" s="59" t="s">
        <v>126</v>
      </c>
      <c r="G334" s="52">
        <v>1530</v>
      </c>
      <c r="H334" s="52">
        <v>179</v>
      </c>
      <c r="I334" s="52">
        <v>14</v>
      </c>
      <c r="J334" s="53">
        <v>89.526038619075507</v>
      </c>
      <c r="K334" s="53">
        <f>G334+H334+I334</f>
        <v>1723</v>
      </c>
      <c r="L334" s="54">
        <v>1565</v>
      </c>
      <c r="M334" s="54">
        <v>47</v>
      </c>
      <c r="N334" s="54">
        <v>8</v>
      </c>
      <c r="O334" s="53">
        <v>97.084367245657603</v>
      </c>
      <c r="P334" s="55">
        <f>L334+M334+N334</f>
        <v>1620</v>
      </c>
    </row>
    <row r="335" spans="1:16" ht="15" hidden="1" customHeight="1">
      <c r="A335" s="43">
        <v>329</v>
      </c>
      <c r="B335" s="44" t="s">
        <v>24</v>
      </c>
      <c r="C335" s="44" t="s">
        <v>59</v>
      </c>
      <c r="D335" s="44" t="s">
        <v>124</v>
      </c>
      <c r="E335" s="44" t="s">
        <v>126</v>
      </c>
      <c r="F335" s="45" t="s">
        <v>18</v>
      </c>
      <c r="G335" s="46"/>
      <c r="H335" s="46"/>
      <c r="I335" s="46"/>
      <c r="J335" s="47"/>
      <c r="K335" s="47"/>
      <c r="L335" s="48">
        <v>160</v>
      </c>
      <c r="M335" s="48">
        <v>6</v>
      </c>
      <c r="N335" s="48">
        <v>1</v>
      </c>
      <c r="O335" s="47">
        <v>96.385542168674704</v>
      </c>
      <c r="P335" s="49"/>
    </row>
    <row r="336" spans="1:16" ht="15" hidden="1" customHeight="1">
      <c r="A336" s="43">
        <v>330</v>
      </c>
      <c r="B336" s="44" t="s">
        <v>24</v>
      </c>
      <c r="C336" s="44" t="s">
        <v>59</v>
      </c>
      <c r="D336" s="44" t="s">
        <v>124</v>
      </c>
      <c r="E336" s="44" t="s">
        <v>126</v>
      </c>
      <c r="F336" s="45" t="s">
        <v>19</v>
      </c>
      <c r="G336" s="46">
        <v>1530</v>
      </c>
      <c r="H336" s="46">
        <v>179</v>
      </c>
      <c r="I336" s="46">
        <v>14</v>
      </c>
      <c r="J336" s="47">
        <v>89.526038619075507</v>
      </c>
      <c r="K336" s="47"/>
      <c r="L336" s="48">
        <v>1405</v>
      </c>
      <c r="M336" s="48">
        <v>41</v>
      </c>
      <c r="N336" s="48">
        <v>7</v>
      </c>
      <c r="O336" s="47">
        <v>97.164591977870003</v>
      </c>
      <c r="P336" s="49"/>
    </row>
    <row r="337" spans="1:16" ht="15" customHeight="1">
      <c r="A337" s="50">
        <v>331</v>
      </c>
      <c r="B337" s="51" t="s">
        <v>24</v>
      </c>
      <c r="C337" s="58" t="s">
        <v>59</v>
      </c>
      <c r="D337" s="58" t="s">
        <v>124</v>
      </c>
      <c r="E337" s="58" t="s">
        <v>127</v>
      </c>
      <c r="F337" s="59" t="s">
        <v>127</v>
      </c>
      <c r="G337" s="52">
        <v>555</v>
      </c>
      <c r="H337" s="52">
        <v>44</v>
      </c>
      <c r="I337" s="52">
        <v>2</v>
      </c>
      <c r="J337" s="53">
        <v>92.6544240400668</v>
      </c>
      <c r="K337" s="53">
        <f>G337+H337+I337</f>
        <v>601</v>
      </c>
      <c r="L337" s="54">
        <v>478</v>
      </c>
      <c r="M337" s="54">
        <v>16</v>
      </c>
      <c r="N337" s="54">
        <v>3</v>
      </c>
      <c r="O337" s="53">
        <v>96.761133603238903</v>
      </c>
      <c r="P337" s="55">
        <f>L337+M337+N337</f>
        <v>497</v>
      </c>
    </row>
    <row r="338" spans="1:16" ht="15" hidden="1" customHeight="1">
      <c r="A338" s="43">
        <v>332</v>
      </c>
      <c r="B338" s="44" t="s">
        <v>24</v>
      </c>
      <c r="C338" s="44" t="s">
        <v>59</v>
      </c>
      <c r="D338" s="44" t="s">
        <v>124</v>
      </c>
      <c r="E338" s="44" t="s">
        <v>127</v>
      </c>
      <c r="F338" s="45" t="s">
        <v>18</v>
      </c>
      <c r="G338" s="46"/>
      <c r="H338" s="46"/>
      <c r="I338" s="46"/>
      <c r="J338" s="47"/>
      <c r="K338" s="47"/>
      <c r="L338" s="48"/>
      <c r="M338" s="48"/>
      <c r="N338" s="48"/>
      <c r="O338" s="47"/>
      <c r="P338" s="49"/>
    </row>
    <row r="339" spans="1:16" ht="15" hidden="1" customHeight="1">
      <c r="A339" s="43">
        <v>333</v>
      </c>
      <c r="B339" s="44" t="s">
        <v>24</v>
      </c>
      <c r="C339" s="44" t="s">
        <v>59</v>
      </c>
      <c r="D339" s="44" t="s">
        <v>124</v>
      </c>
      <c r="E339" s="44" t="s">
        <v>127</v>
      </c>
      <c r="F339" s="45" t="s">
        <v>19</v>
      </c>
      <c r="G339" s="46">
        <v>555</v>
      </c>
      <c r="H339" s="46">
        <v>44</v>
      </c>
      <c r="I339" s="46">
        <v>2</v>
      </c>
      <c r="J339" s="47">
        <v>92.6544240400668</v>
      </c>
      <c r="K339" s="47"/>
      <c r="L339" s="48">
        <v>478</v>
      </c>
      <c r="M339" s="48">
        <v>16</v>
      </c>
      <c r="N339" s="48">
        <v>3</v>
      </c>
      <c r="O339" s="47">
        <v>96.761133603238903</v>
      </c>
      <c r="P339" s="49"/>
    </row>
    <row r="340" spans="1:16" ht="15" customHeight="1">
      <c r="A340" s="50">
        <v>334</v>
      </c>
      <c r="B340" s="51" t="s">
        <v>24</v>
      </c>
      <c r="C340" s="58" t="s">
        <v>59</v>
      </c>
      <c r="D340" s="58" t="s">
        <v>124</v>
      </c>
      <c r="E340" s="58" t="s">
        <v>128</v>
      </c>
      <c r="F340" s="59" t="s">
        <v>128</v>
      </c>
      <c r="G340" s="52">
        <v>2592</v>
      </c>
      <c r="H340" s="52">
        <v>321</v>
      </c>
      <c r="I340" s="52">
        <v>14</v>
      </c>
      <c r="J340" s="53">
        <v>88.980432543769297</v>
      </c>
      <c r="K340" s="53">
        <f>G340+H340+I340</f>
        <v>2927</v>
      </c>
      <c r="L340" s="54">
        <v>2166</v>
      </c>
      <c r="M340" s="54">
        <v>131</v>
      </c>
      <c r="N340" s="54">
        <v>25</v>
      </c>
      <c r="O340" s="53">
        <v>94.296909011754494</v>
      </c>
      <c r="P340" s="55">
        <f>L340+M340+N340</f>
        <v>2322</v>
      </c>
    </row>
    <row r="341" spans="1:16" ht="15" hidden="1" customHeight="1">
      <c r="A341" s="43">
        <v>335</v>
      </c>
      <c r="B341" s="44" t="s">
        <v>24</v>
      </c>
      <c r="C341" s="44" t="s">
        <v>59</v>
      </c>
      <c r="D341" s="44" t="s">
        <v>124</v>
      </c>
      <c r="E341" s="44" t="s">
        <v>128</v>
      </c>
      <c r="F341" s="45" t="s">
        <v>18</v>
      </c>
      <c r="G341" s="46">
        <v>579</v>
      </c>
      <c r="H341" s="46">
        <v>53</v>
      </c>
      <c r="I341" s="46">
        <v>6</v>
      </c>
      <c r="J341" s="47">
        <v>91.613924050632903</v>
      </c>
      <c r="K341" s="47"/>
      <c r="L341" s="48">
        <v>579</v>
      </c>
      <c r="M341" s="48">
        <v>29</v>
      </c>
      <c r="N341" s="48">
        <v>4</v>
      </c>
      <c r="O341" s="47">
        <v>95.230263157894697</v>
      </c>
      <c r="P341" s="49"/>
    </row>
    <row r="342" spans="1:16" ht="15" hidden="1" customHeight="1">
      <c r="A342" s="43">
        <v>336</v>
      </c>
      <c r="B342" s="44" t="s">
        <v>24</v>
      </c>
      <c r="C342" s="44" t="s">
        <v>59</v>
      </c>
      <c r="D342" s="44" t="s">
        <v>124</v>
      </c>
      <c r="E342" s="44" t="s">
        <v>128</v>
      </c>
      <c r="F342" s="45" t="s">
        <v>19</v>
      </c>
      <c r="G342" s="46">
        <v>2013</v>
      </c>
      <c r="H342" s="46">
        <v>268</v>
      </c>
      <c r="I342" s="46">
        <v>8</v>
      </c>
      <c r="J342" s="47">
        <v>88.2507672073652</v>
      </c>
      <c r="K342" s="47"/>
      <c r="L342" s="48">
        <v>1587</v>
      </c>
      <c r="M342" s="48">
        <v>102</v>
      </c>
      <c r="N342" s="48">
        <v>21</v>
      </c>
      <c r="O342" s="47">
        <v>93.960923623445794</v>
      </c>
      <c r="P342" s="49"/>
    </row>
    <row r="343" spans="1:16" ht="15" customHeight="1">
      <c r="A343" s="50">
        <v>337</v>
      </c>
      <c r="B343" s="51" t="s">
        <v>24</v>
      </c>
      <c r="C343" s="58" t="s">
        <v>59</v>
      </c>
      <c r="D343" s="58" t="s">
        <v>124</v>
      </c>
      <c r="E343" s="58" t="s">
        <v>129</v>
      </c>
      <c r="F343" s="59" t="s">
        <v>129</v>
      </c>
      <c r="G343" s="52">
        <v>4754</v>
      </c>
      <c r="H343" s="52">
        <v>938</v>
      </c>
      <c r="I343" s="52">
        <v>63</v>
      </c>
      <c r="J343" s="53">
        <v>83.520730850316198</v>
      </c>
      <c r="K343" s="53">
        <f>G343+H343+I343</f>
        <v>5755</v>
      </c>
      <c r="L343" s="54">
        <v>3919</v>
      </c>
      <c r="M343" s="54">
        <v>218</v>
      </c>
      <c r="N343" s="54">
        <v>42</v>
      </c>
      <c r="O343" s="53">
        <v>94.730481024897301</v>
      </c>
      <c r="P343" s="55">
        <f>L343+M343+N343</f>
        <v>4179</v>
      </c>
    </row>
    <row r="344" spans="1:16" ht="15" hidden="1" customHeight="1">
      <c r="A344" s="43">
        <v>338</v>
      </c>
      <c r="B344" s="44" t="s">
        <v>24</v>
      </c>
      <c r="C344" s="44" t="s">
        <v>59</v>
      </c>
      <c r="D344" s="44" t="s">
        <v>124</v>
      </c>
      <c r="E344" s="44" t="s">
        <v>129</v>
      </c>
      <c r="F344" s="45" t="s">
        <v>18</v>
      </c>
      <c r="G344" s="46">
        <v>261</v>
      </c>
      <c r="H344" s="46">
        <v>33</v>
      </c>
      <c r="I344" s="46">
        <v>4</v>
      </c>
      <c r="J344" s="47">
        <v>88.775510204081598</v>
      </c>
      <c r="K344" s="47"/>
      <c r="L344" s="48">
        <v>234</v>
      </c>
      <c r="M344" s="48">
        <v>10</v>
      </c>
      <c r="N344" s="48">
        <v>3</v>
      </c>
      <c r="O344" s="47">
        <v>95.901639344262307</v>
      </c>
      <c r="P344" s="49"/>
    </row>
    <row r="345" spans="1:16" ht="15" hidden="1" customHeight="1">
      <c r="A345" s="43">
        <v>339</v>
      </c>
      <c r="B345" s="44" t="s">
        <v>24</v>
      </c>
      <c r="C345" s="44" t="s">
        <v>59</v>
      </c>
      <c r="D345" s="44" t="s">
        <v>124</v>
      </c>
      <c r="E345" s="44" t="s">
        <v>129</v>
      </c>
      <c r="F345" s="45" t="s">
        <v>19</v>
      </c>
      <c r="G345" s="46">
        <v>4493</v>
      </c>
      <c r="H345" s="46">
        <v>905</v>
      </c>
      <c r="I345" s="46">
        <v>59</v>
      </c>
      <c r="J345" s="47">
        <v>83.2345313078918</v>
      </c>
      <c r="K345" s="47"/>
      <c r="L345" s="48">
        <v>3685</v>
      </c>
      <c r="M345" s="48">
        <v>208</v>
      </c>
      <c r="N345" s="48">
        <v>39</v>
      </c>
      <c r="O345" s="47">
        <v>94.657076804520898</v>
      </c>
      <c r="P345" s="49"/>
    </row>
    <row r="346" spans="1:16" ht="15" hidden="1" customHeight="1">
      <c r="A346" s="37">
        <v>340</v>
      </c>
      <c r="B346" s="38" t="s">
        <v>22</v>
      </c>
      <c r="C346" s="57" t="s">
        <v>59</v>
      </c>
      <c r="D346" s="57" t="s">
        <v>130</v>
      </c>
      <c r="E346" s="57"/>
      <c r="F346" s="38" t="s">
        <v>130</v>
      </c>
      <c r="G346" s="39">
        <v>6493</v>
      </c>
      <c r="H346" s="39">
        <v>353</v>
      </c>
      <c r="I346" s="39">
        <v>63</v>
      </c>
      <c r="J346" s="40">
        <v>94.843704352906798</v>
      </c>
      <c r="K346" s="40"/>
      <c r="L346" s="41">
        <v>8166</v>
      </c>
      <c r="M346" s="41">
        <v>212</v>
      </c>
      <c r="N346" s="41">
        <v>70</v>
      </c>
      <c r="O346" s="40">
        <v>97.469563141561196</v>
      </c>
      <c r="P346" s="42"/>
    </row>
    <row r="347" spans="1:16" ht="15" hidden="1" customHeight="1">
      <c r="A347" s="43">
        <v>341</v>
      </c>
      <c r="B347" s="44" t="s">
        <v>22</v>
      </c>
      <c r="C347" s="44" t="s">
        <v>59</v>
      </c>
      <c r="D347" s="44" t="s">
        <v>130</v>
      </c>
      <c r="E347" s="44"/>
      <c r="F347" s="45" t="s">
        <v>18</v>
      </c>
      <c r="G347" s="46">
        <v>173</v>
      </c>
      <c r="H347" s="46">
        <v>13</v>
      </c>
      <c r="I347" s="46">
        <v>0</v>
      </c>
      <c r="J347" s="47">
        <v>93.010752688172005</v>
      </c>
      <c r="K347" s="47"/>
      <c r="L347" s="48">
        <v>2379</v>
      </c>
      <c r="M347" s="48">
        <v>52</v>
      </c>
      <c r="N347" s="48">
        <v>10</v>
      </c>
      <c r="O347" s="47">
        <v>97.860962566844904</v>
      </c>
      <c r="P347" s="49"/>
    </row>
    <row r="348" spans="1:16" ht="15" hidden="1" customHeight="1">
      <c r="A348" s="43">
        <v>342</v>
      </c>
      <c r="B348" s="44" t="s">
        <v>22</v>
      </c>
      <c r="C348" s="44" t="s">
        <v>59</v>
      </c>
      <c r="D348" s="44" t="s">
        <v>130</v>
      </c>
      <c r="E348" s="44"/>
      <c r="F348" s="45" t="s">
        <v>19</v>
      </c>
      <c r="G348" s="46">
        <v>6320</v>
      </c>
      <c r="H348" s="46">
        <v>340</v>
      </c>
      <c r="I348" s="46">
        <v>63</v>
      </c>
      <c r="J348" s="47">
        <v>94.894894894894904</v>
      </c>
      <c r="K348" s="47"/>
      <c r="L348" s="48">
        <v>5787</v>
      </c>
      <c r="M348" s="48">
        <v>160</v>
      </c>
      <c r="N348" s="48">
        <v>60</v>
      </c>
      <c r="O348" s="47">
        <v>97.309567849335806</v>
      </c>
      <c r="P348" s="49"/>
    </row>
    <row r="349" spans="1:16" ht="15" customHeight="1">
      <c r="A349" s="50">
        <v>343</v>
      </c>
      <c r="B349" s="51" t="s">
        <v>24</v>
      </c>
      <c r="C349" s="58" t="s">
        <v>59</v>
      </c>
      <c r="D349" s="58" t="s">
        <v>130</v>
      </c>
      <c r="E349" s="58" t="s">
        <v>131</v>
      </c>
      <c r="F349" s="59" t="s">
        <v>131</v>
      </c>
      <c r="G349" s="52">
        <v>2641</v>
      </c>
      <c r="H349" s="52">
        <v>148</v>
      </c>
      <c r="I349" s="52">
        <v>34</v>
      </c>
      <c r="J349" s="53">
        <v>94.693438508425999</v>
      </c>
      <c r="K349" s="53">
        <f>G349+H349+I349</f>
        <v>2823</v>
      </c>
      <c r="L349" s="54">
        <v>3579</v>
      </c>
      <c r="M349" s="54">
        <v>65</v>
      </c>
      <c r="N349" s="54">
        <v>17</v>
      </c>
      <c r="O349" s="53">
        <v>98.216245883644305</v>
      </c>
      <c r="P349" s="55">
        <f>L349+M349+N349</f>
        <v>3661</v>
      </c>
    </row>
    <row r="350" spans="1:16" ht="15" hidden="1" customHeight="1">
      <c r="A350" s="43">
        <v>344</v>
      </c>
      <c r="B350" s="44" t="s">
        <v>24</v>
      </c>
      <c r="C350" s="44" t="s">
        <v>59</v>
      </c>
      <c r="D350" s="44" t="s">
        <v>130</v>
      </c>
      <c r="E350" s="44" t="s">
        <v>131</v>
      </c>
      <c r="F350" s="45" t="s">
        <v>18</v>
      </c>
      <c r="G350" s="46"/>
      <c r="H350" s="46"/>
      <c r="I350" s="46"/>
      <c r="J350" s="47"/>
      <c r="K350" s="47"/>
      <c r="L350" s="48">
        <v>1311</v>
      </c>
      <c r="M350" s="48">
        <v>26</v>
      </c>
      <c r="N350" s="48">
        <v>4</v>
      </c>
      <c r="O350" s="47">
        <v>98.055347793567705</v>
      </c>
      <c r="P350" s="49"/>
    </row>
    <row r="351" spans="1:16" ht="15" hidden="1" customHeight="1">
      <c r="A351" s="43">
        <v>345</v>
      </c>
      <c r="B351" s="44" t="s">
        <v>24</v>
      </c>
      <c r="C351" s="44" t="s">
        <v>59</v>
      </c>
      <c r="D351" s="44" t="s">
        <v>130</v>
      </c>
      <c r="E351" s="44" t="s">
        <v>131</v>
      </c>
      <c r="F351" s="45" t="s">
        <v>19</v>
      </c>
      <c r="G351" s="46">
        <v>2641</v>
      </c>
      <c r="H351" s="46">
        <v>148</v>
      </c>
      <c r="I351" s="46">
        <v>34</v>
      </c>
      <c r="J351" s="47">
        <v>94.693438508425999</v>
      </c>
      <c r="K351" s="47"/>
      <c r="L351" s="48">
        <v>2268</v>
      </c>
      <c r="M351" s="48">
        <v>39</v>
      </c>
      <c r="N351" s="48">
        <v>13</v>
      </c>
      <c r="O351" s="47">
        <v>98.309492847854401</v>
      </c>
      <c r="P351" s="49"/>
    </row>
    <row r="352" spans="1:16" ht="15" customHeight="1">
      <c r="A352" s="50">
        <v>346</v>
      </c>
      <c r="B352" s="51" t="s">
        <v>24</v>
      </c>
      <c r="C352" s="58" t="s">
        <v>59</v>
      </c>
      <c r="D352" s="58" t="s">
        <v>130</v>
      </c>
      <c r="E352" s="58" t="s">
        <v>132</v>
      </c>
      <c r="F352" s="59" t="s">
        <v>132</v>
      </c>
      <c r="G352" s="52">
        <v>1989</v>
      </c>
      <c r="H352" s="52">
        <v>93</v>
      </c>
      <c r="I352" s="52">
        <v>13</v>
      </c>
      <c r="J352" s="53">
        <v>95.533141210374595</v>
      </c>
      <c r="K352" s="53">
        <f>G352+H352+I352</f>
        <v>2095</v>
      </c>
      <c r="L352" s="54">
        <v>2797</v>
      </c>
      <c r="M352" s="54">
        <v>103</v>
      </c>
      <c r="N352" s="54">
        <v>24</v>
      </c>
      <c r="O352" s="53">
        <v>96.448275862068996</v>
      </c>
      <c r="P352" s="55">
        <f>L352+M352+N352</f>
        <v>2924</v>
      </c>
    </row>
    <row r="353" spans="1:16" ht="15" hidden="1" customHeight="1">
      <c r="A353" s="43">
        <v>347</v>
      </c>
      <c r="B353" s="44" t="s">
        <v>24</v>
      </c>
      <c r="C353" s="44" t="s">
        <v>59</v>
      </c>
      <c r="D353" s="44" t="s">
        <v>130</v>
      </c>
      <c r="E353" s="44" t="s">
        <v>132</v>
      </c>
      <c r="F353" s="45" t="s">
        <v>18</v>
      </c>
      <c r="G353" s="46"/>
      <c r="H353" s="46"/>
      <c r="I353" s="46"/>
      <c r="J353" s="47"/>
      <c r="K353" s="47"/>
      <c r="L353" s="48">
        <v>867</v>
      </c>
      <c r="M353" s="48">
        <v>23</v>
      </c>
      <c r="N353" s="48">
        <v>4</v>
      </c>
      <c r="O353" s="47">
        <v>97.415730337078699</v>
      </c>
      <c r="P353" s="49"/>
    </row>
    <row r="354" spans="1:16" ht="15" hidden="1" customHeight="1">
      <c r="A354" s="43">
        <v>348</v>
      </c>
      <c r="B354" s="44" t="s">
        <v>24</v>
      </c>
      <c r="C354" s="44" t="s">
        <v>59</v>
      </c>
      <c r="D354" s="44" t="s">
        <v>130</v>
      </c>
      <c r="E354" s="44" t="s">
        <v>132</v>
      </c>
      <c r="F354" s="45" t="s">
        <v>19</v>
      </c>
      <c r="G354" s="46">
        <v>1989</v>
      </c>
      <c r="H354" s="46">
        <v>93</v>
      </c>
      <c r="I354" s="46">
        <v>13</v>
      </c>
      <c r="J354" s="47">
        <v>95.533141210374595</v>
      </c>
      <c r="K354" s="47"/>
      <c r="L354" s="48">
        <v>1930</v>
      </c>
      <c r="M354" s="48">
        <v>80</v>
      </c>
      <c r="N354" s="48">
        <v>20</v>
      </c>
      <c r="O354" s="47">
        <v>96.019900497512396</v>
      </c>
      <c r="P354" s="49"/>
    </row>
    <row r="355" spans="1:16" ht="15" customHeight="1">
      <c r="A355" s="50">
        <v>349</v>
      </c>
      <c r="B355" s="51" t="s">
        <v>24</v>
      </c>
      <c r="C355" s="58" t="s">
        <v>59</v>
      </c>
      <c r="D355" s="58" t="s">
        <v>130</v>
      </c>
      <c r="E355" s="58" t="s">
        <v>133</v>
      </c>
      <c r="F355" s="59" t="s">
        <v>133</v>
      </c>
      <c r="G355" s="52">
        <v>1396</v>
      </c>
      <c r="H355" s="52">
        <v>80</v>
      </c>
      <c r="I355" s="52">
        <v>10</v>
      </c>
      <c r="J355" s="53">
        <v>94.579945799458002</v>
      </c>
      <c r="K355" s="53">
        <f>G355+H355+I355</f>
        <v>1486</v>
      </c>
      <c r="L355" s="54">
        <v>1350</v>
      </c>
      <c r="M355" s="54">
        <v>32</v>
      </c>
      <c r="N355" s="54">
        <v>22</v>
      </c>
      <c r="O355" s="53">
        <v>97.684515195369002</v>
      </c>
      <c r="P355" s="55">
        <f>L355+M355+N355</f>
        <v>1404</v>
      </c>
    </row>
    <row r="356" spans="1:16" ht="15" hidden="1" customHeight="1">
      <c r="A356" s="43">
        <v>350</v>
      </c>
      <c r="B356" s="44" t="s">
        <v>24</v>
      </c>
      <c r="C356" s="44" t="s">
        <v>59</v>
      </c>
      <c r="D356" s="44" t="s">
        <v>130</v>
      </c>
      <c r="E356" s="44" t="s">
        <v>133</v>
      </c>
      <c r="F356" s="45" t="s">
        <v>18</v>
      </c>
      <c r="G356" s="46">
        <v>173</v>
      </c>
      <c r="H356" s="46">
        <v>13</v>
      </c>
      <c r="I356" s="46">
        <v>0</v>
      </c>
      <c r="J356" s="47">
        <v>93.010752688172005</v>
      </c>
      <c r="K356" s="47"/>
      <c r="L356" s="48">
        <v>201</v>
      </c>
      <c r="M356" s="48">
        <v>3</v>
      </c>
      <c r="N356" s="48">
        <v>2</v>
      </c>
      <c r="O356" s="47">
        <v>98.529411764705898</v>
      </c>
      <c r="P356" s="49"/>
    </row>
    <row r="357" spans="1:16" ht="15" hidden="1" customHeight="1">
      <c r="A357" s="43">
        <v>351</v>
      </c>
      <c r="B357" s="44" t="s">
        <v>24</v>
      </c>
      <c r="C357" s="44" t="s">
        <v>59</v>
      </c>
      <c r="D357" s="44" t="s">
        <v>130</v>
      </c>
      <c r="E357" s="44" t="s">
        <v>133</v>
      </c>
      <c r="F357" s="45" t="s">
        <v>19</v>
      </c>
      <c r="G357" s="46">
        <v>1223</v>
      </c>
      <c r="H357" s="46">
        <v>67</v>
      </c>
      <c r="I357" s="46">
        <v>10</v>
      </c>
      <c r="J357" s="47">
        <v>94.806201550387598</v>
      </c>
      <c r="K357" s="47"/>
      <c r="L357" s="48">
        <v>1149</v>
      </c>
      <c r="M357" s="48">
        <v>29</v>
      </c>
      <c r="N357" s="48">
        <v>20</v>
      </c>
      <c r="O357" s="47">
        <v>97.5382003395586</v>
      </c>
      <c r="P357" s="49"/>
    </row>
    <row r="358" spans="1:16" ht="15" customHeight="1">
      <c r="A358" s="50">
        <v>352</v>
      </c>
      <c r="B358" s="51" t="s">
        <v>24</v>
      </c>
      <c r="C358" s="58" t="s">
        <v>59</v>
      </c>
      <c r="D358" s="58" t="s">
        <v>130</v>
      </c>
      <c r="E358" s="58" t="s">
        <v>134</v>
      </c>
      <c r="F358" s="59" t="s">
        <v>134</v>
      </c>
      <c r="G358" s="52">
        <v>467</v>
      </c>
      <c r="H358" s="52">
        <v>32</v>
      </c>
      <c r="I358" s="52">
        <v>6</v>
      </c>
      <c r="J358" s="53">
        <v>93.587174348697403</v>
      </c>
      <c r="K358" s="53">
        <f>G358+H358+I358</f>
        <v>505</v>
      </c>
      <c r="L358" s="54">
        <v>440</v>
      </c>
      <c r="M358" s="54">
        <v>12</v>
      </c>
      <c r="N358" s="54">
        <v>7</v>
      </c>
      <c r="O358" s="53">
        <v>97.345132743362797</v>
      </c>
      <c r="P358" s="55">
        <f>L358+M358+N358</f>
        <v>459</v>
      </c>
    </row>
    <row r="359" spans="1:16" ht="15" hidden="1" customHeight="1">
      <c r="A359" s="43">
        <v>353</v>
      </c>
      <c r="B359" s="44" t="s">
        <v>24</v>
      </c>
      <c r="C359" s="44" t="s">
        <v>59</v>
      </c>
      <c r="D359" s="44" t="s">
        <v>130</v>
      </c>
      <c r="E359" s="44" t="s">
        <v>134</v>
      </c>
      <c r="F359" s="45" t="s">
        <v>18</v>
      </c>
      <c r="G359" s="46"/>
      <c r="H359" s="46"/>
      <c r="I359" s="46"/>
      <c r="J359" s="47"/>
      <c r="K359" s="47"/>
      <c r="L359" s="48"/>
      <c r="M359" s="48"/>
      <c r="N359" s="48"/>
      <c r="O359" s="47"/>
      <c r="P359" s="49"/>
    </row>
    <row r="360" spans="1:16" ht="15" hidden="1" customHeight="1">
      <c r="A360" s="43">
        <v>354</v>
      </c>
      <c r="B360" s="44" t="s">
        <v>24</v>
      </c>
      <c r="C360" s="44" t="s">
        <v>59</v>
      </c>
      <c r="D360" s="44" t="s">
        <v>130</v>
      </c>
      <c r="E360" s="44" t="s">
        <v>134</v>
      </c>
      <c r="F360" s="45" t="s">
        <v>19</v>
      </c>
      <c r="G360" s="46">
        <v>467</v>
      </c>
      <c r="H360" s="46">
        <v>32</v>
      </c>
      <c r="I360" s="46">
        <v>6</v>
      </c>
      <c r="J360" s="47">
        <v>93.587174348697403</v>
      </c>
      <c r="K360" s="47"/>
      <c r="L360" s="48">
        <v>440</v>
      </c>
      <c r="M360" s="48">
        <v>12</v>
      </c>
      <c r="N360" s="48">
        <v>7</v>
      </c>
      <c r="O360" s="47">
        <v>97.345132743362797</v>
      </c>
      <c r="P360" s="49"/>
    </row>
    <row r="361" spans="1:16" ht="15" hidden="1" customHeight="1">
      <c r="A361" s="37">
        <v>355</v>
      </c>
      <c r="B361" s="38" t="s">
        <v>22</v>
      </c>
      <c r="C361" s="57" t="s">
        <v>59</v>
      </c>
      <c r="D361" s="57" t="s">
        <v>135</v>
      </c>
      <c r="E361" s="57"/>
      <c r="F361" s="38" t="s">
        <v>135</v>
      </c>
      <c r="G361" s="39">
        <v>8653</v>
      </c>
      <c r="H361" s="39">
        <v>761</v>
      </c>
      <c r="I361" s="39">
        <v>101</v>
      </c>
      <c r="J361" s="40">
        <v>91.916294879966003</v>
      </c>
      <c r="K361" s="40"/>
      <c r="L361" s="41">
        <v>8176</v>
      </c>
      <c r="M361" s="41">
        <v>294</v>
      </c>
      <c r="N361" s="41">
        <v>92</v>
      </c>
      <c r="O361" s="40">
        <v>96.528925619834695</v>
      </c>
      <c r="P361" s="42"/>
    </row>
    <row r="362" spans="1:16" ht="15" hidden="1" customHeight="1">
      <c r="A362" s="43">
        <v>356</v>
      </c>
      <c r="B362" s="44" t="s">
        <v>22</v>
      </c>
      <c r="C362" s="44" t="s">
        <v>59</v>
      </c>
      <c r="D362" s="44" t="s">
        <v>135</v>
      </c>
      <c r="E362" s="44"/>
      <c r="F362" s="45" t="s">
        <v>18</v>
      </c>
      <c r="G362" s="46">
        <v>2898</v>
      </c>
      <c r="H362" s="46">
        <v>245</v>
      </c>
      <c r="I362" s="46">
        <v>30</v>
      </c>
      <c r="J362" s="47">
        <v>92.204899777282904</v>
      </c>
      <c r="K362" s="47"/>
      <c r="L362" s="48">
        <v>2889</v>
      </c>
      <c r="M362" s="48">
        <v>142</v>
      </c>
      <c r="N362" s="48">
        <v>34</v>
      </c>
      <c r="O362" s="47">
        <v>95.315077532167606</v>
      </c>
      <c r="P362" s="49"/>
    </row>
    <row r="363" spans="1:16" ht="15" hidden="1" customHeight="1">
      <c r="A363" s="43">
        <v>357</v>
      </c>
      <c r="B363" s="44" t="s">
        <v>22</v>
      </c>
      <c r="C363" s="44" t="s">
        <v>59</v>
      </c>
      <c r="D363" s="44" t="s">
        <v>135</v>
      </c>
      <c r="E363" s="44"/>
      <c r="F363" s="45" t="s">
        <v>19</v>
      </c>
      <c r="G363" s="46">
        <v>5755</v>
      </c>
      <c r="H363" s="46">
        <v>516</v>
      </c>
      <c r="I363" s="46">
        <v>71</v>
      </c>
      <c r="J363" s="47">
        <v>91.771647265189003</v>
      </c>
      <c r="K363" s="47"/>
      <c r="L363" s="48">
        <v>5287</v>
      </c>
      <c r="M363" s="48">
        <v>152</v>
      </c>
      <c r="N363" s="48">
        <v>58</v>
      </c>
      <c r="O363" s="47">
        <v>97.205368633940097</v>
      </c>
      <c r="P363" s="49"/>
    </row>
    <row r="364" spans="1:16" ht="15" customHeight="1">
      <c r="A364" s="50">
        <v>358</v>
      </c>
      <c r="B364" s="51" t="s">
        <v>24</v>
      </c>
      <c r="C364" s="58" t="s">
        <v>59</v>
      </c>
      <c r="D364" s="58" t="s">
        <v>135</v>
      </c>
      <c r="E364" s="58" t="s">
        <v>136</v>
      </c>
      <c r="F364" s="59" t="s">
        <v>136</v>
      </c>
      <c r="G364" s="52">
        <v>2799</v>
      </c>
      <c r="H364" s="52">
        <v>304</v>
      </c>
      <c r="I364" s="52">
        <v>29</v>
      </c>
      <c r="J364" s="53">
        <v>90.203029326458307</v>
      </c>
      <c r="K364" s="53">
        <f>G364+H364+I364</f>
        <v>3132</v>
      </c>
      <c r="L364" s="54">
        <v>2517</v>
      </c>
      <c r="M364" s="54">
        <v>87</v>
      </c>
      <c r="N364" s="54">
        <v>27</v>
      </c>
      <c r="O364" s="53">
        <v>96.658986175115203</v>
      </c>
      <c r="P364" s="55">
        <f>L364+M364+N364</f>
        <v>2631</v>
      </c>
    </row>
    <row r="365" spans="1:16" ht="15" hidden="1" customHeight="1">
      <c r="A365" s="43">
        <v>359</v>
      </c>
      <c r="B365" s="44" t="s">
        <v>24</v>
      </c>
      <c r="C365" s="44" t="s">
        <v>59</v>
      </c>
      <c r="D365" s="44" t="s">
        <v>135</v>
      </c>
      <c r="E365" s="44" t="s">
        <v>136</v>
      </c>
      <c r="F365" s="45" t="s">
        <v>18</v>
      </c>
      <c r="G365" s="46">
        <v>1088</v>
      </c>
      <c r="H365" s="46">
        <v>103</v>
      </c>
      <c r="I365" s="46">
        <v>10</v>
      </c>
      <c r="J365" s="47">
        <v>91.351805205709496</v>
      </c>
      <c r="K365" s="47"/>
      <c r="L365" s="48">
        <v>840</v>
      </c>
      <c r="M365" s="48">
        <v>40</v>
      </c>
      <c r="N365" s="48">
        <v>8</v>
      </c>
      <c r="O365" s="47">
        <v>95.454545454545496</v>
      </c>
      <c r="P365" s="49"/>
    </row>
    <row r="366" spans="1:16" ht="15" hidden="1" customHeight="1">
      <c r="A366" s="43">
        <v>360</v>
      </c>
      <c r="B366" s="44" t="s">
        <v>24</v>
      </c>
      <c r="C366" s="44" t="s">
        <v>59</v>
      </c>
      <c r="D366" s="44" t="s">
        <v>135</v>
      </c>
      <c r="E366" s="44" t="s">
        <v>136</v>
      </c>
      <c r="F366" s="45" t="s">
        <v>19</v>
      </c>
      <c r="G366" s="46">
        <v>1711</v>
      </c>
      <c r="H366" s="46">
        <v>201</v>
      </c>
      <c r="I366" s="46">
        <v>19</v>
      </c>
      <c r="J366" s="47">
        <v>89.487447698744802</v>
      </c>
      <c r="K366" s="47"/>
      <c r="L366" s="48">
        <v>1677</v>
      </c>
      <c r="M366" s="48">
        <v>47</v>
      </c>
      <c r="N366" s="48">
        <v>19</v>
      </c>
      <c r="O366" s="47">
        <v>97.273781902552201</v>
      </c>
      <c r="P366" s="49"/>
    </row>
    <row r="367" spans="1:16" ht="15" customHeight="1">
      <c r="A367" s="50">
        <v>361</v>
      </c>
      <c r="B367" s="51" t="s">
        <v>24</v>
      </c>
      <c r="C367" s="58" t="s">
        <v>59</v>
      </c>
      <c r="D367" s="58" t="s">
        <v>135</v>
      </c>
      <c r="E367" s="58" t="s">
        <v>137</v>
      </c>
      <c r="F367" s="59" t="s">
        <v>137</v>
      </c>
      <c r="G367" s="52">
        <v>682</v>
      </c>
      <c r="H367" s="52">
        <v>72</v>
      </c>
      <c r="I367" s="52">
        <v>9</v>
      </c>
      <c r="J367" s="53">
        <v>90.450928381962896</v>
      </c>
      <c r="K367" s="53">
        <f>G367+H367+I367</f>
        <v>763</v>
      </c>
      <c r="L367" s="54">
        <v>503</v>
      </c>
      <c r="M367" s="54">
        <v>17</v>
      </c>
      <c r="N367" s="54">
        <v>9</v>
      </c>
      <c r="O367" s="53">
        <v>96.730769230769198</v>
      </c>
      <c r="P367" s="55">
        <f>L367+M367+N367</f>
        <v>529</v>
      </c>
    </row>
    <row r="368" spans="1:16" ht="15" hidden="1" customHeight="1">
      <c r="A368" s="43">
        <v>362</v>
      </c>
      <c r="B368" s="44" t="s">
        <v>24</v>
      </c>
      <c r="C368" s="44" t="s">
        <v>59</v>
      </c>
      <c r="D368" s="44" t="s">
        <v>135</v>
      </c>
      <c r="E368" s="44" t="s">
        <v>137</v>
      </c>
      <c r="F368" s="45" t="s">
        <v>18</v>
      </c>
      <c r="G368" s="46"/>
      <c r="H368" s="46"/>
      <c r="I368" s="46"/>
      <c r="J368" s="47"/>
      <c r="K368" s="47"/>
      <c r="L368" s="48"/>
      <c r="M368" s="48"/>
      <c r="N368" s="48"/>
      <c r="O368" s="47"/>
      <c r="P368" s="49"/>
    </row>
    <row r="369" spans="1:16" ht="15" hidden="1" customHeight="1">
      <c r="A369" s="43">
        <v>363</v>
      </c>
      <c r="B369" s="44" t="s">
        <v>24</v>
      </c>
      <c r="C369" s="44" t="s">
        <v>59</v>
      </c>
      <c r="D369" s="44" t="s">
        <v>135</v>
      </c>
      <c r="E369" s="44" t="s">
        <v>137</v>
      </c>
      <c r="F369" s="45" t="s">
        <v>19</v>
      </c>
      <c r="G369" s="46">
        <v>682</v>
      </c>
      <c r="H369" s="46">
        <v>72</v>
      </c>
      <c r="I369" s="46">
        <v>9</v>
      </c>
      <c r="J369" s="47">
        <v>90.450928381962896</v>
      </c>
      <c r="K369" s="47"/>
      <c r="L369" s="48">
        <v>503</v>
      </c>
      <c r="M369" s="48">
        <v>17</v>
      </c>
      <c r="N369" s="48">
        <v>9</v>
      </c>
      <c r="O369" s="47">
        <v>96.730769230769198</v>
      </c>
      <c r="P369" s="49"/>
    </row>
    <row r="370" spans="1:16" ht="15" customHeight="1">
      <c r="A370" s="50">
        <v>364</v>
      </c>
      <c r="B370" s="51" t="s">
        <v>24</v>
      </c>
      <c r="C370" s="58" t="s">
        <v>59</v>
      </c>
      <c r="D370" s="58" t="s">
        <v>135</v>
      </c>
      <c r="E370" s="58" t="s">
        <v>138</v>
      </c>
      <c r="F370" s="59" t="s">
        <v>138</v>
      </c>
      <c r="G370" s="52">
        <v>688</v>
      </c>
      <c r="H370" s="52">
        <v>40</v>
      </c>
      <c r="I370" s="52">
        <v>10</v>
      </c>
      <c r="J370" s="53">
        <v>94.505494505494497</v>
      </c>
      <c r="K370" s="53">
        <f>G370+H370+I370</f>
        <v>738</v>
      </c>
      <c r="L370" s="54">
        <v>760</v>
      </c>
      <c r="M370" s="54">
        <v>15</v>
      </c>
      <c r="N370" s="54">
        <v>7</v>
      </c>
      <c r="O370" s="53">
        <v>98.064516129032299</v>
      </c>
      <c r="P370" s="55">
        <f>L370+M370+N370</f>
        <v>782</v>
      </c>
    </row>
    <row r="371" spans="1:16" ht="15" hidden="1" customHeight="1">
      <c r="A371" s="43">
        <v>365</v>
      </c>
      <c r="B371" s="44" t="s">
        <v>24</v>
      </c>
      <c r="C371" s="44" t="s">
        <v>59</v>
      </c>
      <c r="D371" s="44" t="s">
        <v>135</v>
      </c>
      <c r="E371" s="44" t="s">
        <v>138</v>
      </c>
      <c r="F371" s="45" t="s">
        <v>18</v>
      </c>
      <c r="G371" s="46"/>
      <c r="H371" s="46"/>
      <c r="I371" s="46"/>
      <c r="J371" s="47"/>
      <c r="K371" s="47"/>
      <c r="L371" s="48"/>
      <c r="M371" s="48"/>
      <c r="N371" s="48"/>
      <c r="O371" s="47"/>
      <c r="P371" s="49"/>
    </row>
    <row r="372" spans="1:16" ht="15" hidden="1" customHeight="1">
      <c r="A372" s="43">
        <v>366</v>
      </c>
      <c r="B372" s="44" t="s">
        <v>24</v>
      </c>
      <c r="C372" s="44" t="s">
        <v>59</v>
      </c>
      <c r="D372" s="44" t="s">
        <v>135</v>
      </c>
      <c r="E372" s="44" t="s">
        <v>138</v>
      </c>
      <c r="F372" s="45" t="s">
        <v>19</v>
      </c>
      <c r="G372" s="46">
        <v>688</v>
      </c>
      <c r="H372" s="46">
        <v>40</v>
      </c>
      <c r="I372" s="46">
        <v>10</v>
      </c>
      <c r="J372" s="47">
        <v>94.505494505494497</v>
      </c>
      <c r="K372" s="47"/>
      <c r="L372" s="48">
        <v>760</v>
      </c>
      <c r="M372" s="48">
        <v>15</v>
      </c>
      <c r="N372" s="48">
        <v>7</v>
      </c>
      <c r="O372" s="47">
        <v>98.064516129032299</v>
      </c>
      <c r="P372" s="49"/>
    </row>
    <row r="373" spans="1:16" ht="15" customHeight="1">
      <c r="A373" s="50">
        <v>367</v>
      </c>
      <c r="B373" s="51" t="s">
        <v>24</v>
      </c>
      <c r="C373" s="58" t="s">
        <v>59</v>
      </c>
      <c r="D373" s="58" t="s">
        <v>135</v>
      </c>
      <c r="E373" s="58" t="s">
        <v>139</v>
      </c>
      <c r="F373" s="59" t="s">
        <v>139</v>
      </c>
      <c r="G373" s="52">
        <v>974</v>
      </c>
      <c r="H373" s="52">
        <v>59</v>
      </c>
      <c r="I373" s="52">
        <v>9</v>
      </c>
      <c r="J373" s="53">
        <v>94.288480154888703</v>
      </c>
      <c r="K373" s="53">
        <f>G373+H373+I373</f>
        <v>1042</v>
      </c>
      <c r="L373" s="54">
        <v>1102</v>
      </c>
      <c r="M373" s="54">
        <v>24</v>
      </c>
      <c r="N373" s="54">
        <v>7</v>
      </c>
      <c r="O373" s="53">
        <v>97.868561278863197</v>
      </c>
      <c r="P373" s="55">
        <f>L373+M373+N373</f>
        <v>1133</v>
      </c>
    </row>
    <row r="374" spans="1:16" ht="15" hidden="1" customHeight="1">
      <c r="A374" s="43">
        <v>368</v>
      </c>
      <c r="B374" s="44" t="s">
        <v>24</v>
      </c>
      <c r="C374" s="44" t="s">
        <v>59</v>
      </c>
      <c r="D374" s="44" t="s">
        <v>135</v>
      </c>
      <c r="E374" s="44" t="s">
        <v>139</v>
      </c>
      <c r="F374" s="45" t="s">
        <v>18</v>
      </c>
      <c r="G374" s="46"/>
      <c r="H374" s="46"/>
      <c r="I374" s="46"/>
      <c r="J374" s="47"/>
      <c r="K374" s="47"/>
      <c r="L374" s="48"/>
      <c r="M374" s="48"/>
      <c r="N374" s="48"/>
      <c r="O374" s="47"/>
      <c r="P374" s="49"/>
    </row>
    <row r="375" spans="1:16" ht="15" hidden="1" customHeight="1">
      <c r="A375" s="43">
        <v>369</v>
      </c>
      <c r="B375" s="44" t="s">
        <v>24</v>
      </c>
      <c r="C375" s="44" t="s">
        <v>59</v>
      </c>
      <c r="D375" s="44" t="s">
        <v>135</v>
      </c>
      <c r="E375" s="44" t="s">
        <v>139</v>
      </c>
      <c r="F375" s="45" t="s">
        <v>19</v>
      </c>
      <c r="G375" s="46">
        <v>974</v>
      </c>
      <c r="H375" s="46">
        <v>59</v>
      </c>
      <c r="I375" s="46">
        <v>9</v>
      </c>
      <c r="J375" s="47">
        <v>94.288480154888703</v>
      </c>
      <c r="K375" s="47"/>
      <c r="L375" s="48">
        <v>1102</v>
      </c>
      <c r="M375" s="48">
        <v>24</v>
      </c>
      <c r="N375" s="48">
        <v>7</v>
      </c>
      <c r="O375" s="47">
        <v>97.868561278863197</v>
      </c>
      <c r="P375" s="49"/>
    </row>
    <row r="376" spans="1:16" ht="15" customHeight="1">
      <c r="A376" s="50">
        <v>370</v>
      </c>
      <c r="B376" s="51" t="s">
        <v>24</v>
      </c>
      <c r="C376" s="58" t="s">
        <v>59</v>
      </c>
      <c r="D376" s="58" t="s">
        <v>135</v>
      </c>
      <c r="E376" s="58" t="s">
        <v>140</v>
      </c>
      <c r="F376" s="59" t="s">
        <v>140</v>
      </c>
      <c r="G376" s="52">
        <v>2200</v>
      </c>
      <c r="H376" s="52">
        <v>224</v>
      </c>
      <c r="I376" s="52">
        <v>29</v>
      </c>
      <c r="J376" s="53">
        <v>90.759075907590798</v>
      </c>
      <c r="K376" s="53">
        <f>G376+H376+I376</f>
        <v>2453</v>
      </c>
      <c r="L376" s="54">
        <v>1863</v>
      </c>
      <c r="M376" s="54">
        <v>52</v>
      </c>
      <c r="N376" s="54">
        <v>15</v>
      </c>
      <c r="O376" s="53">
        <v>97.284595300261103</v>
      </c>
      <c r="P376" s="55">
        <f>L376+M376+N376</f>
        <v>1930</v>
      </c>
    </row>
    <row r="377" spans="1:16" ht="15" hidden="1" customHeight="1">
      <c r="A377" s="43">
        <v>371</v>
      </c>
      <c r="B377" s="44" t="s">
        <v>24</v>
      </c>
      <c r="C377" s="44" t="s">
        <v>59</v>
      </c>
      <c r="D377" s="44" t="s">
        <v>135</v>
      </c>
      <c r="E377" s="44" t="s">
        <v>140</v>
      </c>
      <c r="F377" s="45" t="s">
        <v>18</v>
      </c>
      <c r="G377" s="46">
        <v>1268</v>
      </c>
      <c r="H377" s="46">
        <v>117</v>
      </c>
      <c r="I377" s="46">
        <v>11</v>
      </c>
      <c r="J377" s="47">
        <v>91.552346570397106</v>
      </c>
      <c r="K377" s="47"/>
      <c r="L377" s="48">
        <v>1098</v>
      </c>
      <c r="M377" s="48">
        <v>36</v>
      </c>
      <c r="N377" s="48">
        <v>9</v>
      </c>
      <c r="O377" s="47">
        <v>96.825396825396794</v>
      </c>
      <c r="P377" s="49"/>
    </row>
    <row r="378" spans="1:16" ht="15" hidden="1" customHeight="1">
      <c r="A378" s="43">
        <v>372</v>
      </c>
      <c r="B378" s="44" t="s">
        <v>24</v>
      </c>
      <c r="C378" s="44" t="s">
        <v>59</v>
      </c>
      <c r="D378" s="44" t="s">
        <v>135</v>
      </c>
      <c r="E378" s="44" t="s">
        <v>140</v>
      </c>
      <c r="F378" s="45" t="s">
        <v>19</v>
      </c>
      <c r="G378" s="46">
        <v>932</v>
      </c>
      <c r="H378" s="46">
        <v>107</v>
      </c>
      <c r="I378" s="46">
        <v>18</v>
      </c>
      <c r="J378" s="47">
        <v>89.701636188642894</v>
      </c>
      <c r="K378" s="47"/>
      <c r="L378" s="48">
        <v>765</v>
      </c>
      <c r="M378" s="48">
        <v>16</v>
      </c>
      <c r="N378" s="48">
        <v>6</v>
      </c>
      <c r="O378" s="47">
        <v>97.951344430217702</v>
      </c>
      <c r="P378" s="49"/>
    </row>
    <row r="379" spans="1:16" ht="15" customHeight="1">
      <c r="A379" s="50">
        <v>373</v>
      </c>
      <c r="B379" s="51" t="s">
        <v>24</v>
      </c>
      <c r="C379" s="58" t="s">
        <v>59</v>
      </c>
      <c r="D379" s="58" t="s">
        <v>135</v>
      </c>
      <c r="E379" s="58" t="s">
        <v>141</v>
      </c>
      <c r="F379" s="59" t="s">
        <v>141</v>
      </c>
      <c r="G379" s="52">
        <v>855</v>
      </c>
      <c r="H379" s="52">
        <v>41</v>
      </c>
      <c r="I379" s="52">
        <v>4</v>
      </c>
      <c r="J379" s="53">
        <v>95.424107142857096</v>
      </c>
      <c r="K379" s="53">
        <f>G379+H379+I379</f>
        <v>900</v>
      </c>
      <c r="L379" s="54">
        <v>1045</v>
      </c>
      <c r="M379" s="54">
        <v>83</v>
      </c>
      <c r="N379" s="54">
        <v>19</v>
      </c>
      <c r="O379" s="53">
        <v>92.641843971631204</v>
      </c>
      <c r="P379" s="55">
        <f>L379+M379+N379</f>
        <v>1147</v>
      </c>
    </row>
    <row r="380" spans="1:16" ht="15" hidden="1" customHeight="1">
      <c r="A380" s="43">
        <v>374</v>
      </c>
      <c r="B380" s="44" t="s">
        <v>24</v>
      </c>
      <c r="C380" s="44" t="s">
        <v>59</v>
      </c>
      <c r="D380" s="44" t="s">
        <v>135</v>
      </c>
      <c r="E380" s="44" t="s">
        <v>141</v>
      </c>
      <c r="F380" s="45" t="s">
        <v>18</v>
      </c>
      <c r="G380" s="46">
        <v>279</v>
      </c>
      <c r="H380" s="46">
        <v>13</v>
      </c>
      <c r="I380" s="46">
        <v>2</v>
      </c>
      <c r="J380" s="47">
        <v>95.547945205479493</v>
      </c>
      <c r="K380" s="47"/>
      <c r="L380" s="48">
        <v>663</v>
      </c>
      <c r="M380" s="48">
        <v>58</v>
      </c>
      <c r="N380" s="48">
        <v>10</v>
      </c>
      <c r="O380" s="47">
        <v>91.955617198335602</v>
      </c>
      <c r="P380" s="49"/>
    </row>
    <row r="381" spans="1:16" ht="15" hidden="1" customHeight="1">
      <c r="A381" s="43">
        <v>375</v>
      </c>
      <c r="B381" s="44" t="s">
        <v>24</v>
      </c>
      <c r="C381" s="44" t="s">
        <v>59</v>
      </c>
      <c r="D381" s="44" t="s">
        <v>135</v>
      </c>
      <c r="E381" s="44" t="s">
        <v>141</v>
      </c>
      <c r="F381" s="45" t="s">
        <v>19</v>
      </c>
      <c r="G381" s="46">
        <v>576</v>
      </c>
      <c r="H381" s="46">
        <v>28</v>
      </c>
      <c r="I381" s="46">
        <v>2</v>
      </c>
      <c r="J381" s="47">
        <v>95.364238410596002</v>
      </c>
      <c r="K381" s="47"/>
      <c r="L381" s="48">
        <v>382</v>
      </c>
      <c r="M381" s="48">
        <v>25</v>
      </c>
      <c r="N381" s="48">
        <v>9</v>
      </c>
      <c r="O381" s="47">
        <v>93.857493857493793</v>
      </c>
      <c r="P381" s="49"/>
    </row>
    <row r="382" spans="1:16" ht="15" customHeight="1">
      <c r="A382" s="50">
        <v>376</v>
      </c>
      <c r="B382" s="51" t="s">
        <v>24</v>
      </c>
      <c r="C382" s="58" t="s">
        <v>59</v>
      </c>
      <c r="D382" s="58" t="s">
        <v>135</v>
      </c>
      <c r="E382" s="58" t="s">
        <v>142</v>
      </c>
      <c r="F382" s="59" t="s">
        <v>142</v>
      </c>
      <c r="G382" s="52">
        <v>455</v>
      </c>
      <c r="H382" s="52">
        <v>21</v>
      </c>
      <c r="I382" s="52">
        <v>11</v>
      </c>
      <c r="J382" s="53">
        <v>95.588235294117695</v>
      </c>
      <c r="K382" s="53">
        <f>G382+H382+I382</f>
        <v>487</v>
      </c>
      <c r="L382" s="54">
        <v>386</v>
      </c>
      <c r="M382" s="54">
        <v>16</v>
      </c>
      <c r="N382" s="54">
        <v>8</v>
      </c>
      <c r="O382" s="53">
        <v>96.019900497512396</v>
      </c>
      <c r="P382" s="55">
        <f>L382+M382+N382</f>
        <v>410</v>
      </c>
    </row>
    <row r="383" spans="1:16" ht="15" hidden="1" customHeight="1">
      <c r="A383" s="43">
        <v>377</v>
      </c>
      <c r="B383" s="44" t="s">
        <v>24</v>
      </c>
      <c r="C383" s="44" t="s">
        <v>59</v>
      </c>
      <c r="D383" s="44" t="s">
        <v>135</v>
      </c>
      <c r="E383" s="44" t="s">
        <v>142</v>
      </c>
      <c r="F383" s="45" t="s">
        <v>18</v>
      </c>
      <c r="G383" s="46">
        <v>263</v>
      </c>
      <c r="H383" s="46">
        <v>12</v>
      </c>
      <c r="I383" s="46">
        <v>7</v>
      </c>
      <c r="J383" s="47">
        <v>95.636363636363598</v>
      </c>
      <c r="K383" s="47"/>
      <c r="L383" s="48">
        <v>288</v>
      </c>
      <c r="M383" s="48">
        <v>8</v>
      </c>
      <c r="N383" s="48">
        <v>7</v>
      </c>
      <c r="O383" s="47">
        <v>97.297297297297305</v>
      </c>
      <c r="P383" s="49"/>
    </row>
    <row r="384" spans="1:16" ht="15" hidden="1" customHeight="1">
      <c r="A384" s="43">
        <v>378</v>
      </c>
      <c r="B384" s="44" t="s">
        <v>24</v>
      </c>
      <c r="C384" s="44" t="s">
        <v>59</v>
      </c>
      <c r="D384" s="44" t="s">
        <v>135</v>
      </c>
      <c r="E384" s="44" t="s">
        <v>142</v>
      </c>
      <c r="F384" s="45" t="s">
        <v>19</v>
      </c>
      <c r="G384" s="46">
        <v>192</v>
      </c>
      <c r="H384" s="46">
        <v>9</v>
      </c>
      <c r="I384" s="46">
        <v>4</v>
      </c>
      <c r="J384" s="47">
        <v>95.522388059701498</v>
      </c>
      <c r="K384" s="47"/>
      <c r="L384" s="48">
        <v>98</v>
      </c>
      <c r="M384" s="48">
        <v>8</v>
      </c>
      <c r="N384" s="48">
        <v>1</v>
      </c>
      <c r="O384" s="47">
        <v>92.452830188679201</v>
      </c>
      <c r="P384" s="49"/>
    </row>
    <row r="385" spans="1:16" ht="15" hidden="1" customHeight="1">
      <c r="A385" s="37">
        <v>379</v>
      </c>
      <c r="B385" s="38" t="s">
        <v>22</v>
      </c>
      <c r="C385" s="57" t="s">
        <v>59</v>
      </c>
      <c r="D385" s="57" t="s">
        <v>143</v>
      </c>
      <c r="E385" s="57"/>
      <c r="F385" s="38" t="s">
        <v>143</v>
      </c>
      <c r="G385" s="39">
        <v>3125</v>
      </c>
      <c r="H385" s="39">
        <v>324</v>
      </c>
      <c r="I385" s="39">
        <v>33</v>
      </c>
      <c r="J385" s="40">
        <v>90.605972745723406</v>
      </c>
      <c r="K385" s="40"/>
      <c r="L385" s="41">
        <v>3453</v>
      </c>
      <c r="M385" s="41">
        <v>96</v>
      </c>
      <c r="N385" s="41">
        <v>38</v>
      </c>
      <c r="O385" s="40">
        <v>97.295012679628101</v>
      </c>
      <c r="P385" s="42"/>
    </row>
    <row r="386" spans="1:16" ht="15" hidden="1" customHeight="1">
      <c r="A386" s="43">
        <v>380</v>
      </c>
      <c r="B386" s="44" t="s">
        <v>22</v>
      </c>
      <c r="C386" s="44" t="s">
        <v>59</v>
      </c>
      <c r="D386" s="44" t="s">
        <v>143</v>
      </c>
      <c r="E386" s="44"/>
      <c r="F386" s="45" t="s">
        <v>18</v>
      </c>
      <c r="G386" s="46">
        <v>190</v>
      </c>
      <c r="H386" s="46">
        <v>15</v>
      </c>
      <c r="I386" s="46">
        <v>2</v>
      </c>
      <c r="J386" s="47">
        <v>92.682926829268297</v>
      </c>
      <c r="K386" s="47"/>
      <c r="L386" s="48">
        <v>316</v>
      </c>
      <c r="M386" s="48">
        <v>7</v>
      </c>
      <c r="N386" s="48">
        <v>6</v>
      </c>
      <c r="O386" s="47">
        <v>97.832817337461293</v>
      </c>
      <c r="P386" s="49"/>
    </row>
    <row r="387" spans="1:16" ht="15" hidden="1" customHeight="1">
      <c r="A387" s="43">
        <v>381</v>
      </c>
      <c r="B387" s="44" t="s">
        <v>22</v>
      </c>
      <c r="C387" s="44" t="s">
        <v>59</v>
      </c>
      <c r="D387" s="44" t="s">
        <v>143</v>
      </c>
      <c r="E387" s="44"/>
      <c r="F387" s="45" t="s">
        <v>19</v>
      </c>
      <c r="G387" s="46">
        <v>2935</v>
      </c>
      <c r="H387" s="46">
        <v>309</v>
      </c>
      <c r="I387" s="46">
        <v>31</v>
      </c>
      <c r="J387" s="47">
        <v>90.474722564734904</v>
      </c>
      <c r="K387" s="47"/>
      <c r="L387" s="48">
        <v>3137</v>
      </c>
      <c r="M387" s="48">
        <v>89</v>
      </c>
      <c r="N387" s="48">
        <v>32</v>
      </c>
      <c r="O387" s="47">
        <v>97.241165530068201</v>
      </c>
      <c r="P387" s="49"/>
    </row>
    <row r="388" spans="1:16" ht="15" customHeight="1">
      <c r="A388" s="50">
        <v>382</v>
      </c>
      <c r="B388" s="51" t="s">
        <v>24</v>
      </c>
      <c r="C388" s="58" t="s">
        <v>59</v>
      </c>
      <c r="D388" s="58" t="s">
        <v>143</v>
      </c>
      <c r="E388" s="58" t="s">
        <v>144</v>
      </c>
      <c r="F388" s="59" t="s">
        <v>144</v>
      </c>
      <c r="G388" s="52">
        <v>1655</v>
      </c>
      <c r="H388" s="52">
        <v>147</v>
      </c>
      <c r="I388" s="52">
        <v>11</v>
      </c>
      <c r="J388" s="53">
        <v>91.842397336293004</v>
      </c>
      <c r="K388" s="53">
        <f>G388+H388+I388</f>
        <v>1813</v>
      </c>
      <c r="L388" s="54">
        <v>1834</v>
      </c>
      <c r="M388" s="54">
        <v>42</v>
      </c>
      <c r="N388" s="54">
        <v>18</v>
      </c>
      <c r="O388" s="53">
        <v>97.761194029850799</v>
      </c>
      <c r="P388" s="55">
        <f>L388+M388+N388</f>
        <v>1894</v>
      </c>
    </row>
    <row r="389" spans="1:16" ht="15" hidden="1" customHeight="1">
      <c r="A389" s="43">
        <v>383</v>
      </c>
      <c r="B389" s="44" t="s">
        <v>24</v>
      </c>
      <c r="C389" s="44" t="s">
        <v>59</v>
      </c>
      <c r="D389" s="44" t="s">
        <v>143</v>
      </c>
      <c r="E389" s="44" t="s">
        <v>144</v>
      </c>
      <c r="F389" s="45" t="s">
        <v>18</v>
      </c>
      <c r="G389" s="46">
        <v>190</v>
      </c>
      <c r="H389" s="46">
        <v>15</v>
      </c>
      <c r="I389" s="46">
        <v>2</v>
      </c>
      <c r="J389" s="47">
        <v>92.682926829268297</v>
      </c>
      <c r="K389" s="47"/>
      <c r="L389" s="48">
        <v>142</v>
      </c>
      <c r="M389" s="48">
        <v>4</v>
      </c>
      <c r="N389" s="48">
        <v>1</v>
      </c>
      <c r="O389" s="47">
        <v>97.260273972602704</v>
      </c>
      <c r="P389" s="49"/>
    </row>
    <row r="390" spans="1:16" ht="15" hidden="1" customHeight="1">
      <c r="A390" s="43">
        <v>384</v>
      </c>
      <c r="B390" s="44" t="s">
        <v>24</v>
      </c>
      <c r="C390" s="44" t="s">
        <v>59</v>
      </c>
      <c r="D390" s="44" t="s">
        <v>143</v>
      </c>
      <c r="E390" s="44" t="s">
        <v>144</v>
      </c>
      <c r="F390" s="45" t="s">
        <v>19</v>
      </c>
      <c r="G390" s="46">
        <v>1465</v>
      </c>
      <c r="H390" s="46">
        <v>132</v>
      </c>
      <c r="I390" s="46">
        <v>9</v>
      </c>
      <c r="J390" s="47">
        <v>91.734502191609295</v>
      </c>
      <c r="K390" s="47"/>
      <c r="L390" s="48">
        <v>1692</v>
      </c>
      <c r="M390" s="48">
        <v>38</v>
      </c>
      <c r="N390" s="48">
        <v>17</v>
      </c>
      <c r="O390" s="47">
        <v>97.803468208092497</v>
      </c>
      <c r="P390" s="49"/>
    </row>
    <row r="391" spans="1:16" ht="15" customHeight="1">
      <c r="A391" s="50">
        <v>385</v>
      </c>
      <c r="B391" s="51" t="s">
        <v>24</v>
      </c>
      <c r="C391" s="58" t="s">
        <v>59</v>
      </c>
      <c r="D391" s="58" t="s">
        <v>143</v>
      </c>
      <c r="E391" s="58" t="s">
        <v>145</v>
      </c>
      <c r="F391" s="59" t="s">
        <v>145</v>
      </c>
      <c r="G391" s="52">
        <v>1470</v>
      </c>
      <c r="H391" s="52">
        <v>177</v>
      </c>
      <c r="I391" s="52">
        <v>22</v>
      </c>
      <c r="J391" s="53">
        <v>89.253187613843394</v>
      </c>
      <c r="K391" s="53">
        <f>G391+H391+I391</f>
        <v>1669</v>
      </c>
      <c r="L391" s="54">
        <v>1619</v>
      </c>
      <c r="M391" s="54">
        <v>54</v>
      </c>
      <c r="N391" s="54">
        <v>20</v>
      </c>
      <c r="O391" s="53">
        <v>96.772265391512306</v>
      </c>
      <c r="P391" s="55">
        <f>L391+M391+N391</f>
        <v>1693</v>
      </c>
    </row>
    <row r="392" spans="1:16" ht="15" hidden="1" customHeight="1">
      <c r="A392" s="43">
        <v>386</v>
      </c>
      <c r="B392" s="44" t="s">
        <v>24</v>
      </c>
      <c r="C392" s="44" t="s">
        <v>59</v>
      </c>
      <c r="D392" s="44" t="s">
        <v>143</v>
      </c>
      <c r="E392" s="44" t="s">
        <v>145</v>
      </c>
      <c r="F392" s="45" t="s">
        <v>18</v>
      </c>
      <c r="G392" s="46"/>
      <c r="H392" s="46"/>
      <c r="I392" s="46"/>
      <c r="J392" s="47"/>
      <c r="K392" s="47"/>
      <c r="L392" s="48">
        <v>174</v>
      </c>
      <c r="M392" s="48">
        <v>3</v>
      </c>
      <c r="N392" s="48">
        <v>5</v>
      </c>
      <c r="O392" s="47">
        <v>98.305084745762699</v>
      </c>
      <c r="P392" s="49"/>
    </row>
    <row r="393" spans="1:16" ht="15" hidden="1" customHeight="1">
      <c r="A393" s="43">
        <v>387</v>
      </c>
      <c r="B393" s="44" t="s">
        <v>24</v>
      </c>
      <c r="C393" s="44" t="s">
        <v>59</v>
      </c>
      <c r="D393" s="44" t="s">
        <v>143</v>
      </c>
      <c r="E393" s="44" t="s">
        <v>145</v>
      </c>
      <c r="F393" s="45" t="s">
        <v>19</v>
      </c>
      <c r="G393" s="46">
        <v>1470</v>
      </c>
      <c r="H393" s="46">
        <v>177</v>
      </c>
      <c r="I393" s="46">
        <v>22</v>
      </c>
      <c r="J393" s="47">
        <v>89.253187613843394</v>
      </c>
      <c r="K393" s="47"/>
      <c r="L393" s="48">
        <v>1445</v>
      </c>
      <c r="M393" s="48">
        <v>51</v>
      </c>
      <c r="N393" s="48">
        <v>15</v>
      </c>
      <c r="O393" s="47">
        <v>96.590909090909093</v>
      </c>
      <c r="P393" s="49"/>
    </row>
    <row r="394" spans="1:16" ht="15" hidden="1" customHeight="1">
      <c r="A394" s="37">
        <v>388</v>
      </c>
      <c r="B394" s="38" t="s">
        <v>22</v>
      </c>
      <c r="C394" s="57" t="s">
        <v>59</v>
      </c>
      <c r="D394" s="57" t="s">
        <v>146</v>
      </c>
      <c r="E394" s="57"/>
      <c r="F394" s="38" t="s">
        <v>146</v>
      </c>
      <c r="G394" s="39">
        <v>2135</v>
      </c>
      <c r="H394" s="39">
        <v>341</v>
      </c>
      <c r="I394" s="39">
        <v>16</v>
      </c>
      <c r="J394" s="40">
        <v>86.2277867528271</v>
      </c>
      <c r="K394" s="40"/>
      <c r="L394" s="41">
        <v>2070</v>
      </c>
      <c r="M394" s="41">
        <v>165</v>
      </c>
      <c r="N394" s="41">
        <v>38</v>
      </c>
      <c r="O394" s="40">
        <v>92.6174496644295</v>
      </c>
      <c r="P394" s="42"/>
    </row>
    <row r="395" spans="1:16" ht="15" hidden="1" customHeight="1">
      <c r="A395" s="43">
        <v>389</v>
      </c>
      <c r="B395" s="44" t="s">
        <v>22</v>
      </c>
      <c r="C395" s="44" t="s">
        <v>59</v>
      </c>
      <c r="D395" s="44" t="s">
        <v>146</v>
      </c>
      <c r="E395" s="44"/>
      <c r="F395" s="45" t="s">
        <v>18</v>
      </c>
      <c r="G395" s="46">
        <v>911</v>
      </c>
      <c r="H395" s="46">
        <v>72</v>
      </c>
      <c r="I395" s="46">
        <v>6</v>
      </c>
      <c r="J395" s="47">
        <v>92.675483214649006</v>
      </c>
      <c r="K395" s="47"/>
      <c r="L395" s="48">
        <v>836</v>
      </c>
      <c r="M395" s="48">
        <v>43</v>
      </c>
      <c r="N395" s="48">
        <v>7</v>
      </c>
      <c r="O395" s="47">
        <v>95.108077360637097</v>
      </c>
      <c r="P395" s="49"/>
    </row>
    <row r="396" spans="1:16" ht="15" hidden="1" customHeight="1">
      <c r="A396" s="43">
        <v>390</v>
      </c>
      <c r="B396" s="44" t="s">
        <v>22</v>
      </c>
      <c r="C396" s="44" t="s">
        <v>59</v>
      </c>
      <c r="D396" s="44" t="s">
        <v>146</v>
      </c>
      <c r="E396" s="44"/>
      <c r="F396" s="45" t="s">
        <v>19</v>
      </c>
      <c r="G396" s="46">
        <v>1224</v>
      </c>
      <c r="H396" s="46">
        <v>269</v>
      </c>
      <c r="I396" s="46">
        <v>10</v>
      </c>
      <c r="J396" s="47">
        <v>81.982585398526496</v>
      </c>
      <c r="K396" s="47"/>
      <c r="L396" s="48">
        <v>1234</v>
      </c>
      <c r="M396" s="48">
        <v>122</v>
      </c>
      <c r="N396" s="48">
        <v>31</v>
      </c>
      <c r="O396" s="47">
        <v>91.002949852507399</v>
      </c>
      <c r="P396" s="49"/>
    </row>
    <row r="397" spans="1:16" ht="15" customHeight="1">
      <c r="A397" s="50">
        <v>391</v>
      </c>
      <c r="B397" s="51" t="s">
        <v>24</v>
      </c>
      <c r="C397" s="58" t="s">
        <v>59</v>
      </c>
      <c r="D397" s="58" t="s">
        <v>146</v>
      </c>
      <c r="E397" s="58" t="s">
        <v>147</v>
      </c>
      <c r="F397" s="59" t="s">
        <v>147</v>
      </c>
      <c r="G397" s="52">
        <v>1074</v>
      </c>
      <c r="H397" s="52">
        <v>232</v>
      </c>
      <c r="I397" s="52">
        <v>8</v>
      </c>
      <c r="J397" s="53">
        <v>82.235834609494603</v>
      </c>
      <c r="K397" s="53">
        <f>G397+H397+I397</f>
        <v>1314</v>
      </c>
      <c r="L397" s="54">
        <v>1121</v>
      </c>
      <c r="M397" s="54">
        <v>104</v>
      </c>
      <c r="N397" s="54">
        <v>33</v>
      </c>
      <c r="O397" s="53">
        <v>91.510204081632693</v>
      </c>
      <c r="P397" s="55">
        <f>L397+M397+N397</f>
        <v>1258</v>
      </c>
    </row>
    <row r="398" spans="1:16" ht="15" hidden="1" customHeight="1">
      <c r="A398" s="43">
        <v>392</v>
      </c>
      <c r="B398" s="44" t="s">
        <v>24</v>
      </c>
      <c r="C398" s="44" t="s">
        <v>59</v>
      </c>
      <c r="D398" s="44" t="s">
        <v>146</v>
      </c>
      <c r="E398" s="44" t="s">
        <v>147</v>
      </c>
      <c r="F398" s="45" t="s">
        <v>18</v>
      </c>
      <c r="G398" s="46">
        <v>477</v>
      </c>
      <c r="H398" s="46">
        <v>50</v>
      </c>
      <c r="I398" s="46">
        <v>3</v>
      </c>
      <c r="J398" s="47">
        <v>90.512333965844405</v>
      </c>
      <c r="K398" s="47"/>
      <c r="L398" s="48">
        <v>392</v>
      </c>
      <c r="M398" s="48">
        <v>19</v>
      </c>
      <c r="N398" s="48">
        <v>4</v>
      </c>
      <c r="O398" s="47">
        <v>95.377128953771305</v>
      </c>
      <c r="P398" s="49"/>
    </row>
    <row r="399" spans="1:16" ht="15" hidden="1" customHeight="1">
      <c r="A399" s="43">
        <v>393</v>
      </c>
      <c r="B399" s="44" t="s">
        <v>24</v>
      </c>
      <c r="C399" s="44" t="s">
        <v>59</v>
      </c>
      <c r="D399" s="44" t="s">
        <v>146</v>
      </c>
      <c r="E399" s="44" t="s">
        <v>147</v>
      </c>
      <c r="F399" s="45" t="s">
        <v>19</v>
      </c>
      <c r="G399" s="46">
        <v>597</v>
      </c>
      <c r="H399" s="46">
        <v>182</v>
      </c>
      <c r="I399" s="46">
        <v>5</v>
      </c>
      <c r="J399" s="47">
        <v>76.636713735558402</v>
      </c>
      <c r="K399" s="47"/>
      <c r="L399" s="48">
        <v>729</v>
      </c>
      <c r="M399" s="48">
        <v>85</v>
      </c>
      <c r="N399" s="48">
        <v>29</v>
      </c>
      <c r="O399" s="47">
        <v>89.557739557739595</v>
      </c>
      <c r="P399" s="49"/>
    </row>
    <row r="400" spans="1:16" ht="15" customHeight="1">
      <c r="A400" s="50">
        <v>394</v>
      </c>
      <c r="B400" s="51" t="s">
        <v>24</v>
      </c>
      <c r="C400" s="58" t="s">
        <v>59</v>
      </c>
      <c r="D400" s="58" t="s">
        <v>146</v>
      </c>
      <c r="E400" s="58" t="s">
        <v>148</v>
      </c>
      <c r="F400" s="59" t="s">
        <v>148</v>
      </c>
      <c r="G400" s="52">
        <v>1061</v>
      </c>
      <c r="H400" s="52">
        <v>109</v>
      </c>
      <c r="I400" s="52">
        <v>8</v>
      </c>
      <c r="J400" s="53">
        <v>90.683760683760696</v>
      </c>
      <c r="K400" s="53">
        <f>G400+H400+I400</f>
        <v>1178</v>
      </c>
      <c r="L400" s="54">
        <v>949</v>
      </c>
      <c r="M400" s="54">
        <v>61</v>
      </c>
      <c r="N400" s="54">
        <v>5</v>
      </c>
      <c r="O400" s="53">
        <v>93.960396039603907</v>
      </c>
      <c r="P400" s="55">
        <f>L400+M400+N400</f>
        <v>1015</v>
      </c>
    </row>
    <row r="401" spans="1:16" ht="15" hidden="1" customHeight="1">
      <c r="A401" s="43">
        <v>395</v>
      </c>
      <c r="B401" s="44" t="s">
        <v>24</v>
      </c>
      <c r="C401" s="44" t="s">
        <v>59</v>
      </c>
      <c r="D401" s="44" t="s">
        <v>146</v>
      </c>
      <c r="E401" s="44" t="s">
        <v>148</v>
      </c>
      <c r="F401" s="45" t="s">
        <v>18</v>
      </c>
      <c r="G401" s="46">
        <v>434</v>
      </c>
      <c r="H401" s="46">
        <v>22</v>
      </c>
      <c r="I401" s="46">
        <v>3</v>
      </c>
      <c r="J401" s="47">
        <v>95.175438596491205</v>
      </c>
      <c r="K401" s="47"/>
      <c r="L401" s="48">
        <v>444</v>
      </c>
      <c r="M401" s="48">
        <v>24</v>
      </c>
      <c r="N401" s="48">
        <v>3</v>
      </c>
      <c r="O401" s="47">
        <v>94.871794871794904</v>
      </c>
      <c r="P401" s="49"/>
    </row>
    <row r="402" spans="1:16" ht="15" hidden="1" customHeight="1">
      <c r="A402" s="43">
        <v>396</v>
      </c>
      <c r="B402" s="44" t="s">
        <v>24</v>
      </c>
      <c r="C402" s="44" t="s">
        <v>59</v>
      </c>
      <c r="D402" s="44" t="s">
        <v>146</v>
      </c>
      <c r="E402" s="44" t="s">
        <v>148</v>
      </c>
      <c r="F402" s="45" t="s">
        <v>19</v>
      </c>
      <c r="G402" s="46">
        <v>627</v>
      </c>
      <c r="H402" s="46">
        <v>87</v>
      </c>
      <c r="I402" s="46">
        <v>5</v>
      </c>
      <c r="J402" s="47">
        <v>87.815126050420204</v>
      </c>
      <c r="K402" s="47"/>
      <c r="L402" s="48">
        <v>505</v>
      </c>
      <c r="M402" s="48">
        <v>37</v>
      </c>
      <c r="N402" s="48">
        <v>2</v>
      </c>
      <c r="O402" s="47">
        <v>93.173431734317305</v>
      </c>
      <c r="P402" s="49"/>
    </row>
    <row r="403" spans="1:16" ht="15" hidden="1" customHeight="1">
      <c r="A403" s="37">
        <v>397</v>
      </c>
      <c r="B403" s="38" t="s">
        <v>22</v>
      </c>
      <c r="C403" s="57" t="s">
        <v>59</v>
      </c>
      <c r="D403" s="57" t="s">
        <v>149</v>
      </c>
      <c r="E403" s="57"/>
      <c r="F403" s="38" t="s">
        <v>149</v>
      </c>
      <c r="G403" s="39">
        <v>1746</v>
      </c>
      <c r="H403" s="39">
        <v>195</v>
      </c>
      <c r="I403" s="39">
        <v>15</v>
      </c>
      <c r="J403" s="40">
        <v>89.953632148377096</v>
      </c>
      <c r="K403" s="40"/>
      <c r="L403" s="41">
        <v>2113</v>
      </c>
      <c r="M403" s="41">
        <v>174</v>
      </c>
      <c r="N403" s="41">
        <v>37</v>
      </c>
      <c r="O403" s="40">
        <v>92.391779623961497</v>
      </c>
      <c r="P403" s="42"/>
    </row>
    <row r="404" spans="1:16" ht="15" hidden="1" customHeight="1">
      <c r="A404" s="43">
        <v>398</v>
      </c>
      <c r="B404" s="44" t="s">
        <v>22</v>
      </c>
      <c r="C404" s="44" t="s">
        <v>59</v>
      </c>
      <c r="D404" s="44" t="s">
        <v>149</v>
      </c>
      <c r="E404" s="44"/>
      <c r="F404" s="45" t="s">
        <v>18</v>
      </c>
      <c r="G404" s="46">
        <v>367</v>
      </c>
      <c r="H404" s="46">
        <v>56</v>
      </c>
      <c r="I404" s="46">
        <v>6</v>
      </c>
      <c r="J404" s="47">
        <v>86.761229314420802</v>
      </c>
      <c r="K404" s="47"/>
      <c r="L404" s="48">
        <v>228</v>
      </c>
      <c r="M404" s="48">
        <v>25</v>
      </c>
      <c r="N404" s="48">
        <v>3</v>
      </c>
      <c r="O404" s="47">
        <v>90.118577075098798</v>
      </c>
      <c r="P404" s="49"/>
    </row>
    <row r="405" spans="1:16" ht="15" hidden="1" customHeight="1">
      <c r="A405" s="43">
        <v>399</v>
      </c>
      <c r="B405" s="44" t="s">
        <v>22</v>
      </c>
      <c r="C405" s="44" t="s">
        <v>59</v>
      </c>
      <c r="D405" s="44" t="s">
        <v>149</v>
      </c>
      <c r="E405" s="44"/>
      <c r="F405" s="45" t="s">
        <v>19</v>
      </c>
      <c r="G405" s="46">
        <v>1379</v>
      </c>
      <c r="H405" s="46">
        <v>139</v>
      </c>
      <c r="I405" s="46">
        <v>9</v>
      </c>
      <c r="J405" s="47">
        <v>90.843214756258206</v>
      </c>
      <c r="K405" s="47"/>
      <c r="L405" s="48">
        <v>1885</v>
      </c>
      <c r="M405" s="48">
        <v>149</v>
      </c>
      <c r="N405" s="48">
        <v>34</v>
      </c>
      <c r="O405" s="47">
        <v>92.674532940019702</v>
      </c>
      <c r="P405" s="49"/>
    </row>
    <row r="406" spans="1:16" ht="15" customHeight="1">
      <c r="A406" s="50">
        <v>400</v>
      </c>
      <c r="B406" s="51" t="s">
        <v>24</v>
      </c>
      <c r="C406" s="58" t="s">
        <v>59</v>
      </c>
      <c r="D406" s="58" t="s">
        <v>149</v>
      </c>
      <c r="E406" s="58" t="s">
        <v>150</v>
      </c>
      <c r="F406" s="59" t="s">
        <v>150</v>
      </c>
      <c r="G406" s="52">
        <v>1398</v>
      </c>
      <c r="H406" s="52">
        <v>143</v>
      </c>
      <c r="I406" s="52">
        <v>13</v>
      </c>
      <c r="J406" s="53">
        <v>90.720311486048004</v>
      </c>
      <c r="K406" s="53">
        <f>G406+H406+I406</f>
        <v>1554</v>
      </c>
      <c r="L406" s="54">
        <v>1472</v>
      </c>
      <c r="M406" s="54">
        <v>78</v>
      </c>
      <c r="N406" s="54">
        <v>16</v>
      </c>
      <c r="O406" s="53">
        <v>94.9677419354839</v>
      </c>
      <c r="P406" s="55">
        <f>L406+M406+N406</f>
        <v>1566</v>
      </c>
    </row>
    <row r="407" spans="1:16" ht="15" hidden="1" customHeight="1">
      <c r="A407" s="43">
        <v>401</v>
      </c>
      <c r="B407" s="44" t="s">
        <v>24</v>
      </c>
      <c r="C407" s="44" t="s">
        <v>59</v>
      </c>
      <c r="D407" s="44" t="s">
        <v>149</v>
      </c>
      <c r="E407" s="44" t="s">
        <v>150</v>
      </c>
      <c r="F407" s="45" t="s">
        <v>18</v>
      </c>
      <c r="G407" s="46">
        <v>367</v>
      </c>
      <c r="H407" s="46">
        <v>56</v>
      </c>
      <c r="I407" s="46">
        <v>6</v>
      </c>
      <c r="J407" s="47">
        <v>86.761229314420802</v>
      </c>
      <c r="K407" s="47"/>
      <c r="L407" s="48">
        <v>228</v>
      </c>
      <c r="M407" s="48">
        <v>25</v>
      </c>
      <c r="N407" s="48">
        <v>3</v>
      </c>
      <c r="O407" s="47">
        <v>90.118577075098798</v>
      </c>
      <c r="P407" s="49"/>
    </row>
    <row r="408" spans="1:16" ht="15" hidden="1" customHeight="1">
      <c r="A408" s="43">
        <v>402</v>
      </c>
      <c r="B408" s="44" t="s">
        <v>24</v>
      </c>
      <c r="C408" s="44" t="s">
        <v>59</v>
      </c>
      <c r="D408" s="44" t="s">
        <v>149</v>
      </c>
      <c r="E408" s="44" t="s">
        <v>150</v>
      </c>
      <c r="F408" s="45" t="s">
        <v>19</v>
      </c>
      <c r="G408" s="46">
        <v>1031</v>
      </c>
      <c r="H408" s="46">
        <v>87</v>
      </c>
      <c r="I408" s="46">
        <v>7</v>
      </c>
      <c r="J408" s="47">
        <v>92.218246869409697</v>
      </c>
      <c r="K408" s="47"/>
      <c r="L408" s="48">
        <v>1244</v>
      </c>
      <c r="M408" s="48">
        <v>53</v>
      </c>
      <c r="N408" s="48">
        <v>13</v>
      </c>
      <c r="O408" s="47">
        <v>95.913646877409406</v>
      </c>
      <c r="P408" s="49"/>
    </row>
    <row r="409" spans="1:16" ht="15" customHeight="1">
      <c r="A409" s="50">
        <v>403</v>
      </c>
      <c r="B409" s="51" t="s">
        <v>24</v>
      </c>
      <c r="C409" s="58" t="s">
        <v>59</v>
      </c>
      <c r="D409" s="58" t="s">
        <v>149</v>
      </c>
      <c r="E409" s="58" t="s">
        <v>151</v>
      </c>
      <c r="F409" s="59" t="s">
        <v>151</v>
      </c>
      <c r="G409" s="52">
        <v>348</v>
      </c>
      <c r="H409" s="52">
        <v>52</v>
      </c>
      <c r="I409" s="52">
        <v>2</v>
      </c>
      <c r="J409" s="53">
        <v>87</v>
      </c>
      <c r="K409" s="53">
        <f>G409+H409+I409</f>
        <v>402</v>
      </c>
      <c r="L409" s="54">
        <v>641</v>
      </c>
      <c r="M409" s="54">
        <v>96</v>
      </c>
      <c r="N409" s="54">
        <v>21</v>
      </c>
      <c r="O409" s="53">
        <v>86.974219810040694</v>
      </c>
      <c r="P409" s="55">
        <f>L409+M409+N409</f>
        <v>758</v>
      </c>
    </row>
    <row r="410" spans="1:16" ht="15" hidden="1" customHeight="1">
      <c r="A410" s="43">
        <v>404</v>
      </c>
      <c r="B410" s="44" t="s">
        <v>24</v>
      </c>
      <c r="C410" s="44" t="s">
        <v>59</v>
      </c>
      <c r="D410" s="44" t="s">
        <v>149</v>
      </c>
      <c r="E410" s="44" t="s">
        <v>151</v>
      </c>
      <c r="F410" s="45" t="s">
        <v>18</v>
      </c>
      <c r="G410" s="46"/>
      <c r="H410" s="46"/>
      <c r="I410" s="46"/>
      <c r="J410" s="47"/>
      <c r="K410" s="47"/>
      <c r="L410" s="48"/>
      <c r="M410" s="48"/>
      <c r="N410" s="48"/>
      <c r="O410" s="47"/>
      <c r="P410" s="49"/>
    </row>
    <row r="411" spans="1:16" ht="15" hidden="1" customHeight="1">
      <c r="A411" s="43">
        <v>405</v>
      </c>
      <c r="B411" s="44" t="s">
        <v>24</v>
      </c>
      <c r="C411" s="44" t="s">
        <v>59</v>
      </c>
      <c r="D411" s="44" t="s">
        <v>149</v>
      </c>
      <c r="E411" s="44" t="s">
        <v>151</v>
      </c>
      <c r="F411" s="45" t="s">
        <v>19</v>
      </c>
      <c r="G411" s="46">
        <v>348</v>
      </c>
      <c r="H411" s="46">
        <v>52</v>
      </c>
      <c r="I411" s="46">
        <v>2</v>
      </c>
      <c r="J411" s="47">
        <v>87</v>
      </c>
      <c r="K411" s="47"/>
      <c r="L411" s="48">
        <v>641</v>
      </c>
      <c r="M411" s="48">
        <v>96</v>
      </c>
      <c r="N411" s="48">
        <v>21</v>
      </c>
      <c r="O411" s="47">
        <v>86.974219810040694</v>
      </c>
      <c r="P411" s="49"/>
    </row>
    <row r="412" spans="1:16" ht="15" hidden="1" customHeight="1">
      <c r="A412" s="37">
        <v>406</v>
      </c>
      <c r="B412" s="38" t="s">
        <v>22</v>
      </c>
      <c r="C412" s="57" t="s">
        <v>59</v>
      </c>
      <c r="D412" s="57" t="s">
        <v>152</v>
      </c>
      <c r="E412" s="57"/>
      <c r="F412" s="38" t="s">
        <v>152</v>
      </c>
      <c r="G412" s="39">
        <v>1741</v>
      </c>
      <c r="H412" s="39">
        <v>193</v>
      </c>
      <c r="I412" s="39">
        <v>15</v>
      </c>
      <c r="J412" s="40">
        <v>90.020682523267794</v>
      </c>
      <c r="K412" s="40"/>
      <c r="L412" s="41">
        <v>1595</v>
      </c>
      <c r="M412" s="41">
        <v>93</v>
      </c>
      <c r="N412" s="41">
        <v>13</v>
      </c>
      <c r="O412" s="40">
        <v>94.490521327014207</v>
      </c>
      <c r="P412" s="42"/>
    </row>
    <row r="413" spans="1:16" ht="15" hidden="1" customHeight="1">
      <c r="A413" s="43">
        <v>407</v>
      </c>
      <c r="B413" s="44" t="s">
        <v>22</v>
      </c>
      <c r="C413" s="44" t="s">
        <v>59</v>
      </c>
      <c r="D413" s="44" t="s">
        <v>152</v>
      </c>
      <c r="E413" s="44"/>
      <c r="F413" s="45" t="s">
        <v>18</v>
      </c>
      <c r="G413" s="46">
        <v>686</v>
      </c>
      <c r="H413" s="46">
        <v>69</v>
      </c>
      <c r="I413" s="46">
        <v>10</v>
      </c>
      <c r="J413" s="47">
        <v>90.860927152317899</v>
      </c>
      <c r="K413" s="47"/>
      <c r="L413" s="48">
        <v>417</v>
      </c>
      <c r="M413" s="48">
        <v>21</v>
      </c>
      <c r="N413" s="48">
        <v>6</v>
      </c>
      <c r="O413" s="47">
        <v>95.205479452054803</v>
      </c>
      <c r="P413" s="49"/>
    </row>
    <row r="414" spans="1:16" ht="15" hidden="1" customHeight="1">
      <c r="A414" s="43">
        <v>408</v>
      </c>
      <c r="B414" s="44" t="s">
        <v>22</v>
      </c>
      <c r="C414" s="44" t="s">
        <v>59</v>
      </c>
      <c r="D414" s="44" t="s">
        <v>152</v>
      </c>
      <c r="E414" s="44"/>
      <c r="F414" s="45" t="s">
        <v>19</v>
      </c>
      <c r="G414" s="46">
        <v>1055</v>
      </c>
      <c r="H414" s="46">
        <v>124</v>
      </c>
      <c r="I414" s="46">
        <v>5</v>
      </c>
      <c r="J414" s="47">
        <v>89.482612383375695</v>
      </c>
      <c r="K414" s="47"/>
      <c r="L414" s="48">
        <v>1178</v>
      </c>
      <c r="M414" s="48">
        <v>72</v>
      </c>
      <c r="N414" s="48">
        <v>7</v>
      </c>
      <c r="O414" s="47">
        <v>94.24</v>
      </c>
      <c r="P414" s="49"/>
    </row>
    <row r="415" spans="1:16" ht="15" customHeight="1">
      <c r="A415" s="50">
        <v>409</v>
      </c>
      <c r="B415" s="51" t="s">
        <v>24</v>
      </c>
      <c r="C415" s="58" t="s">
        <v>59</v>
      </c>
      <c r="D415" s="58" t="s">
        <v>152</v>
      </c>
      <c r="E415" s="58" t="s">
        <v>153</v>
      </c>
      <c r="F415" s="59" t="s">
        <v>153</v>
      </c>
      <c r="G415" s="52">
        <v>1068</v>
      </c>
      <c r="H415" s="52">
        <v>135</v>
      </c>
      <c r="I415" s="52">
        <v>12</v>
      </c>
      <c r="J415" s="53">
        <v>88.778054862842893</v>
      </c>
      <c r="K415" s="53">
        <f>G415+H415+I415</f>
        <v>1215</v>
      </c>
      <c r="L415" s="54">
        <v>888</v>
      </c>
      <c r="M415" s="54">
        <v>68</v>
      </c>
      <c r="N415" s="54">
        <v>7</v>
      </c>
      <c r="O415" s="53">
        <v>92.887029288702905</v>
      </c>
      <c r="P415" s="55">
        <f>L415+M415+N415</f>
        <v>963</v>
      </c>
    </row>
    <row r="416" spans="1:16" ht="15" hidden="1" customHeight="1">
      <c r="A416" s="43">
        <v>410</v>
      </c>
      <c r="B416" s="44" t="s">
        <v>24</v>
      </c>
      <c r="C416" s="44" t="s">
        <v>59</v>
      </c>
      <c r="D416" s="44" t="s">
        <v>152</v>
      </c>
      <c r="E416" s="44" t="s">
        <v>153</v>
      </c>
      <c r="F416" s="45" t="s">
        <v>18</v>
      </c>
      <c r="G416" s="46">
        <v>471</v>
      </c>
      <c r="H416" s="46">
        <v>55</v>
      </c>
      <c r="I416" s="46">
        <v>9</v>
      </c>
      <c r="J416" s="47">
        <v>89.543726235741403</v>
      </c>
      <c r="K416" s="47"/>
      <c r="L416" s="48">
        <v>317</v>
      </c>
      <c r="M416" s="48">
        <v>19</v>
      </c>
      <c r="N416" s="48">
        <v>4</v>
      </c>
      <c r="O416" s="47">
        <v>94.345238095238102</v>
      </c>
      <c r="P416" s="49"/>
    </row>
    <row r="417" spans="1:16" ht="15" hidden="1" customHeight="1">
      <c r="A417" s="43">
        <v>411</v>
      </c>
      <c r="B417" s="44" t="s">
        <v>24</v>
      </c>
      <c r="C417" s="44" t="s">
        <v>59</v>
      </c>
      <c r="D417" s="44" t="s">
        <v>152</v>
      </c>
      <c r="E417" s="44" t="s">
        <v>153</v>
      </c>
      <c r="F417" s="45" t="s">
        <v>19</v>
      </c>
      <c r="G417" s="46">
        <v>597</v>
      </c>
      <c r="H417" s="46">
        <v>80</v>
      </c>
      <c r="I417" s="46">
        <v>3</v>
      </c>
      <c r="J417" s="47">
        <v>88.183161004431298</v>
      </c>
      <c r="K417" s="47"/>
      <c r="L417" s="48">
        <v>571</v>
      </c>
      <c r="M417" s="48">
        <v>49</v>
      </c>
      <c r="N417" s="48">
        <v>3</v>
      </c>
      <c r="O417" s="47">
        <v>92.096774193548399</v>
      </c>
      <c r="P417" s="49"/>
    </row>
    <row r="418" spans="1:16" ht="15" customHeight="1">
      <c r="A418" s="50">
        <v>412</v>
      </c>
      <c r="B418" s="51" t="s">
        <v>24</v>
      </c>
      <c r="C418" s="58" t="s">
        <v>59</v>
      </c>
      <c r="D418" s="58" t="s">
        <v>152</v>
      </c>
      <c r="E418" s="58" t="s">
        <v>154</v>
      </c>
      <c r="F418" s="59" t="s">
        <v>154</v>
      </c>
      <c r="G418" s="52">
        <v>336</v>
      </c>
      <c r="H418" s="52">
        <v>19</v>
      </c>
      <c r="I418" s="52">
        <v>1</v>
      </c>
      <c r="J418" s="53">
        <v>94.647887323943706</v>
      </c>
      <c r="K418" s="53">
        <f>G418+H418+I418</f>
        <v>356</v>
      </c>
      <c r="L418" s="54">
        <v>427</v>
      </c>
      <c r="M418" s="54">
        <v>9</v>
      </c>
      <c r="N418" s="54">
        <v>2</v>
      </c>
      <c r="O418" s="53">
        <v>97.935779816513801</v>
      </c>
      <c r="P418" s="55">
        <f>L418+M418+N418</f>
        <v>438</v>
      </c>
    </row>
    <row r="419" spans="1:16" ht="15" hidden="1" customHeight="1">
      <c r="A419" s="43">
        <v>413</v>
      </c>
      <c r="B419" s="44" t="s">
        <v>24</v>
      </c>
      <c r="C419" s="44" t="s">
        <v>59</v>
      </c>
      <c r="D419" s="44" t="s">
        <v>152</v>
      </c>
      <c r="E419" s="44" t="s">
        <v>154</v>
      </c>
      <c r="F419" s="45" t="s">
        <v>18</v>
      </c>
      <c r="G419" s="46"/>
      <c r="H419" s="46"/>
      <c r="I419" s="46"/>
      <c r="J419" s="47"/>
      <c r="K419" s="47"/>
      <c r="L419" s="48"/>
      <c r="M419" s="48"/>
      <c r="N419" s="48"/>
      <c r="O419" s="47"/>
      <c r="P419" s="49"/>
    </row>
    <row r="420" spans="1:16" ht="15" hidden="1" customHeight="1">
      <c r="A420" s="43">
        <v>414</v>
      </c>
      <c r="B420" s="44" t="s">
        <v>24</v>
      </c>
      <c r="C420" s="44" t="s">
        <v>59</v>
      </c>
      <c r="D420" s="44" t="s">
        <v>152</v>
      </c>
      <c r="E420" s="44" t="s">
        <v>154</v>
      </c>
      <c r="F420" s="45" t="s">
        <v>19</v>
      </c>
      <c r="G420" s="46">
        <v>336</v>
      </c>
      <c r="H420" s="46">
        <v>19</v>
      </c>
      <c r="I420" s="46">
        <v>1</v>
      </c>
      <c r="J420" s="47">
        <v>94.647887323943706</v>
      </c>
      <c r="K420" s="47"/>
      <c r="L420" s="48">
        <v>427</v>
      </c>
      <c r="M420" s="48">
        <v>9</v>
      </c>
      <c r="N420" s="48">
        <v>2</v>
      </c>
      <c r="O420" s="47">
        <v>97.935779816513801</v>
      </c>
      <c r="P420" s="49"/>
    </row>
    <row r="421" spans="1:16" ht="15" customHeight="1">
      <c r="A421" s="50">
        <v>415</v>
      </c>
      <c r="B421" s="51" t="s">
        <v>24</v>
      </c>
      <c r="C421" s="58" t="s">
        <v>59</v>
      </c>
      <c r="D421" s="58" t="s">
        <v>152</v>
      </c>
      <c r="E421" s="58" t="s">
        <v>155</v>
      </c>
      <c r="F421" s="59" t="s">
        <v>155</v>
      </c>
      <c r="G421" s="52">
        <v>337</v>
      </c>
      <c r="H421" s="52">
        <v>39</v>
      </c>
      <c r="I421" s="52">
        <v>2</v>
      </c>
      <c r="J421" s="53">
        <v>89.627659574468098</v>
      </c>
      <c r="K421" s="53">
        <f>G421+H421+I421</f>
        <v>378</v>
      </c>
      <c r="L421" s="54">
        <v>280</v>
      </c>
      <c r="M421" s="54">
        <v>16</v>
      </c>
      <c r="N421" s="54">
        <v>4</v>
      </c>
      <c r="O421" s="53">
        <v>94.594594594594597</v>
      </c>
      <c r="P421" s="55">
        <f>L421+M421+N421</f>
        <v>300</v>
      </c>
    </row>
    <row r="422" spans="1:16" ht="15" hidden="1" customHeight="1">
      <c r="A422" s="43">
        <v>416</v>
      </c>
      <c r="B422" s="44" t="s">
        <v>24</v>
      </c>
      <c r="C422" s="44" t="s">
        <v>59</v>
      </c>
      <c r="D422" s="44" t="s">
        <v>152</v>
      </c>
      <c r="E422" s="44" t="s">
        <v>155</v>
      </c>
      <c r="F422" s="45" t="s">
        <v>18</v>
      </c>
      <c r="G422" s="46">
        <v>215</v>
      </c>
      <c r="H422" s="46">
        <v>14</v>
      </c>
      <c r="I422" s="46">
        <v>1</v>
      </c>
      <c r="J422" s="47">
        <v>93.886462882096097</v>
      </c>
      <c r="K422" s="47"/>
      <c r="L422" s="48">
        <v>100</v>
      </c>
      <c r="M422" s="48">
        <v>2</v>
      </c>
      <c r="N422" s="48">
        <v>2</v>
      </c>
      <c r="O422" s="47">
        <v>98.039215686274503</v>
      </c>
      <c r="P422" s="49"/>
    </row>
    <row r="423" spans="1:16" ht="15" hidden="1" customHeight="1">
      <c r="A423" s="43">
        <v>417</v>
      </c>
      <c r="B423" s="44" t="s">
        <v>24</v>
      </c>
      <c r="C423" s="44" t="s">
        <v>59</v>
      </c>
      <c r="D423" s="44" t="s">
        <v>152</v>
      </c>
      <c r="E423" s="44" t="s">
        <v>155</v>
      </c>
      <c r="F423" s="45" t="s">
        <v>19</v>
      </c>
      <c r="G423" s="46">
        <v>122</v>
      </c>
      <c r="H423" s="46">
        <v>25</v>
      </c>
      <c r="I423" s="46">
        <v>1</v>
      </c>
      <c r="J423" s="47">
        <v>82.993197278911595</v>
      </c>
      <c r="K423" s="47"/>
      <c r="L423" s="48">
        <v>180</v>
      </c>
      <c r="M423" s="48">
        <v>14</v>
      </c>
      <c r="N423" s="48">
        <v>2</v>
      </c>
      <c r="O423" s="47">
        <v>92.783505154639201</v>
      </c>
      <c r="P423" s="49"/>
    </row>
    <row r="424" spans="1:16" ht="15" hidden="1" customHeight="1">
      <c r="A424" s="37">
        <v>418</v>
      </c>
      <c r="B424" s="38" t="s">
        <v>22</v>
      </c>
      <c r="C424" s="57" t="s">
        <v>59</v>
      </c>
      <c r="D424" s="57" t="s">
        <v>156</v>
      </c>
      <c r="E424" s="57"/>
      <c r="F424" s="38" t="s">
        <v>156</v>
      </c>
      <c r="G424" s="39">
        <v>1345</v>
      </c>
      <c r="H424" s="39">
        <v>86</v>
      </c>
      <c r="I424" s="39">
        <v>10</v>
      </c>
      <c r="J424" s="40">
        <v>93.990216631726099</v>
      </c>
      <c r="K424" s="40"/>
      <c r="L424" s="41">
        <v>1023</v>
      </c>
      <c r="M424" s="41">
        <v>24</v>
      </c>
      <c r="N424" s="41">
        <v>20</v>
      </c>
      <c r="O424" s="40">
        <v>97.707736389684797</v>
      </c>
      <c r="P424" s="42"/>
    </row>
    <row r="425" spans="1:16" ht="15" hidden="1" customHeight="1">
      <c r="A425" s="43">
        <v>419</v>
      </c>
      <c r="B425" s="44" t="s">
        <v>22</v>
      </c>
      <c r="C425" s="44" t="s">
        <v>59</v>
      </c>
      <c r="D425" s="44" t="s">
        <v>156</v>
      </c>
      <c r="E425" s="44"/>
      <c r="F425" s="45" t="s">
        <v>18</v>
      </c>
      <c r="G425" s="46"/>
      <c r="H425" s="46"/>
      <c r="I425" s="46"/>
      <c r="J425" s="47"/>
      <c r="K425" s="47"/>
      <c r="L425" s="48"/>
      <c r="M425" s="48"/>
      <c r="N425" s="48"/>
      <c r="O425" s="47"/>
      <c r="P425" s="49"/>
    </row>
    <row r="426" spans="1:16" ht="15" hidden="1" customHeight="1">
      <c r="A426" s="43">
        <v>420</v>
      </c>
      <c r="B426" s="44" t="s">
        <v>22</v>
      </c>
      <c r="C426" s="44" t="s">
        <v>59</v>
      </c>
      <c r="D426" s="44" t="s">
        <v>156</v>
      </c>
      <c r="E426" s="44"/>
      <c r="F426" s="45" t="s">
        <v>19</v>
      </c>
      <c r="G426" s="46">
        <v>1345</v>
      </c>
      <c r="H426" s="46">
        <v>86</v>
      </c>
      <c r="I426" s="46">
        <v>10</v>
      </c>
      <c r="J426" s="47">
        <v>93.990216631726099</v>
      </c>
      <c r="K426" s="47"/>
      <c r="L426" s="48">
        <v>1023</v>
      </c>
      <c r="M426" s="48">
        <v>24</v>
      </c>
      <c r="N426" s="48">
        <v>20</v>
      </c>
      <c r="O426" s="47">
        <v>97.707736389684797</v>
      </c>
      <c r="P426" s="49"/>
    </row>
    <row r="427" spans="1:16" ht="15" customHeight="1">
      <c r="A427" s="50">
        <v>421</v>
      </c>
      <c r="B427" s="51" t="s">
        <v>24</v>
      </c>
      <c r="C427" s="58" t="s">
        <v>59</v>
      </c>
      <c r="D427" s="58" t="s">
        <v>156</v>
      </c>
      <c r="E427" s="58" t="s">
        <v>157</v>
      </c>
      <c r="F427" s="59" t="s">
        <v>157</v>
      </c>
      <c r="G427" s="52">
        <v>595</v>
      </c>
      <c r="H427" s="52">
        <v>36</v>
      </c>
      <c r="I427" s="52">
        <v>3</v>
      </c>
      <c r="J427" s="53">
        <v>94.294770206022207</v>
      </c>
      <c r="K427" s="53">
        <f>G427+H427+I427</f>
        <v>634</v>
      </c>
      <c r="L427" s="54">
        <v>507</v>
      </c>
      <c r="M427" s="54">
        <v>17</v>
      </c>
      <c r="N427" s="54">
        <v>13</v>
      </c>
      <c r="O427" s="53">
        <v>96.755725190839698</v>
      </c>
      <c r="P427" s="55">
        <f>L427+M427+N427</f>
        <v>537</v>
      </c>
    </row>
    <row r="428" spans="1:16" ht="15" hidden="1" customHeight="1">
      <c r="A428" s="43">
        <v>422</v>
      </c>
      <c r="B428" s="44" t="s">
        <v>24</v>
      </c>
      <c r="C428" s="44" t="s">
        <v>59</v>
      </c>
      <c r="D428" s="44" t="s">
        <v>156</v>
      </c>
      <c r="E428" s="44" t="s">
        <v>157</v>
      </c>
      <c r="F428" s="45" t="s">
        <v>18</v>
      </c>
      <c r="G428" s="46"/>
      <c r="H428" s="46"/>
      <c r="I428" s="46"/>
      <c r="J428" s="47"/>
      <c r="K428" s="47"/>
      <c r="L428" s="48"/>
      <c r="M428" s="48"/>
      <c r="N428" s="48"/>
      <c r="O428" s="47"/>
      <c r="P428" s="49"/>
    </row>
    <row r="429" spans="1:16" ht="15" hidden="1" customHeight="1">
      <c r="A429" s="43">
        <v>423</v>
      </c>
      <c r="B429" s="44" t="s">
        <v>24</v>
      </c>
      <c r="C429" s="44" t="s">
        <v>59</v>
      </c>
      <c r="D429" s="44" t="s">
        <v>156</v>
      </c>
      <c r="E429" s="44" t="s">
        <v>157</v>
      </c>
      <c r="F429" s="45" t="s">
        <v>19</v>
      </c>
      <c r="G429" s="46">
        <v>595</v>
      </c>
      <c r="H429" s="46">
        <v>36</v>
      </c>
      <c r="I429" s="46">
        <v>3</v>
      </c>
      <c r="J429" s="47">
        <v>94.294770206022207</v>
      </c>
      <c r="K429" s="47"/>
      <c r="L429" s="48">
        <v>507</v>
      </c>
      <c r="M429" s="48">
        <v>17</v>
      </c>
      <c r="N429" s="48">
        <v>13</v>
      </c>
      <c r="O429" s="47">
        <v>96.755725190839698</v>
      </c>
      <c r="P429" s="49"/>
    </row>
    <row r="430" spans="1:16" ht="15" customHeight="1">
      <c r="A430" s="50">
        <v>424</v>
      </c>
      <c r="B430" s="51" t="s">
        <v>24</v>
      </c>
      <c r="C430" s="58" t="s">
        <v>59</v>
      </c>
      <c r="D430" s="58" t="s">
        <v>156</v>
      </c>
      <c r="E430" s="58" t="s">
        <v>158</v>
      </c>
      <c r="F430" s="59" t="s">
        <v>158</v>
      </c>
      <c r="G430" s="52">
        <v>572</v>
      </c>
      <c r="H430" s="52">
        <v>32</v>
      </c>
      <c r="I430" s="52">
        <v>6</v>
      </c>
      <c r="J430" s="53">
        <v>94.701986754966896</v>
      </c>
      <c r="K430" s="53">
        <f>G430+H430+I430</f>
        <v>610</v>
      </c>
      <c r="L430" s="54">
        <v>376</v>
      </c>
      <c r="M430" s="54">
        <v>7</v>
      </c>
      <c r="N430" s="54">
        <v>7</v>
      </c>
      <c r="O430" s="53">
        <v>98.172323759791098</v>
      </c>
      <c r="P430" s="55">
        <f>L430+M430+N430</f>
        <v>390</v>
      </c>
    </row>
    <row r="431" spans="1:16" ht="15" hidden="1" customHeight="1">
      <c r="A431" s="43">
        <v>425</v>
      </c>
      <c r="B431" s="44" t="s">
        <v>24</v>
      </c>
      <c r="C431" s="44" t="s">
        <v>59</v>
      </c>
      <c r="D431" s="44" t="s">
        <v>156</v>
      </c>
      <c r="E431" s="44" t="s">
        <v>158</v>
      </c>
      <c r="F431" s="45" t="s">
        <v>18</v>
      </c>
      <c r="G431" s="46"/>
      <c r="H431" s="46"/>
      <c r="I431" s="46"/>
      <c r="J431" s="47"/>
      <c r="K431" s="47"/>
      <c r="L431" s="48"/>
      <c r="M431" s="48"/>
      <c r="N431" s="48"/>
      <c r="O431" s="47"/>
      <c r="P431" s="49"/>
    </row>
    <row r="432" spans="1:16" ht="15" hidden="1" customHeight="1">
      <c r="A432" s="43">
        <v>426</v>
      </c>
      <c r="B432" s="44" t="s">
        <v>24</v>
      </c>
      <c r="C432" s="44" t="s">
        <v>59</v>
      </c>
      <c r="D432" s="44" t="s">
        <v>156</v>
      </c>
      <c r="E432" s="44" t="s">
        <v>158</v>
      </c>
      <c r="F432" s="45" t="s">
        <v>19</v>
      </c>
      <c r="G432" s="46">
        <v>572</v>
      </c>
      <c r="H432" s="46">
        <v>32</v>
      </c>
      <c r="I432" s="46">
        <v>6</v>
      </c>
      <c r="J432" s="47">
        <v>94.701986754966896</v>
      </c>
      <c r="K432" s="47"/>
      <c r="L432" s="48">
        <v>376</v>
      </c>
      <c r="M432" s="48">
        <v>7</v>
      </c>
      <c r="N432" s="48">
        <v>7</v>
      </c>
      <c r="O432" s="47">
        <v>98.172323759791098</v>
      </c>
      <c r="P432" s="49"/>
    </row>
    <row r="433" spans="1:16" ht="15" customHeight="1">
      <c r="A433" s="50">
        <v>427</v>
      </c>
      <c r="B433" s="51" t="s">
        <v>24</v>
      </c>
      <c r="C433" s="58" t="s">
        <v>59</v>
      </c>
      <c r="D433" s="58" t="s">
        <v>156</v>
      </c>
      <c r="E433" s="58" t="s">
        <v>159</v>
      </c>
      <c r="F433" s="59" t="s">
        <v>159</v>
      </c>
      <c r="G433" s="52">
        <v>178</v>
      </c>
      <c r="H433" s="52">
        <v>18</v>
      </c>
      <c r="I433" s="52">
        <v>1</v>
      </c>
      <c r="J433" s="53">
        <v>90.816326530612201</v>
      </c>
      <c r="K433" s="53">
        <f>G433+H433+I433</f>
        <v>197</v>
      </c>
      <c r="L433" s="54">
        <v>140</v>
      </c>
      <c r="M433" s="54">
        <v>0</v>
      </c>
      <c r="N433" s="54">
        <v>0</v>
      </c>
      <c r="O433" s="53">
        <v>100</v>
      </c>
      <c r="P433" s="55">
        <f>L433+M433+N433</f>
        <v>140</v>
      </c>
    </row>
    <row r="434" spans="1:16" ht="15" hidden="1" customHeight="1">
      <c r="A434" s="43">
        <v>428</v>
      </c>
      <c r="B434" s="44" t="s">
        <v>24</v>
      </c>
      <c r="C434" s="44" t="s">
        <v>59</v>
      </c>
      <c r="D434" s="44" t="s">
        <v>156</v>
      </c>
      <c r="E434" s="44" t="s">
        <v>159</v>
      </c>
      <c r="F434" s="45" t="s">
        <v>18</v>
      </c>
      <c r="G434" s="46"/>
      <c r="H434" s="46"/>
      <c r="I434" s="46"/>
      <c r="J434" s="47"/>
      <c r="K434" s="47"/>
      <c r="L434" s="48"/>
      <c r="M434" s="48"/>
      <c r="N434" s="48"/>
      <c r="O434" s="47"/>
      <c r="P434" s="49"/>
    </row>
    <row r="435" spans="1:16" ht="15" hidden="1" customHeight="1">
      <c r="A435" s="43">
        <v>429</v>
      </c>
      <c r="B435" s="44" t="s">
        <v>24</v>
      </c>
      <c r="C435" s="44" t="s">
        <v>59</v>
      </c>
      <c r="D435" s="44" t="s">
        <v>156</v>
      </c>
      <c r="E435" s="44" t="s">
        <v>159</v>
      </c>
      <c r="F435" s="45" t="s">
        <v>19</v>
      </c>
      <c r="G435" s="46">
        <v>178</v>
      </c>
      <c r="H435" s="46">
        <v>18</v>
      </c>
      <c r="I435" s="46">
        <v>1</v>
      </c>
      <c r="J435" s="47">
        <v>90.816326530612201</v>
      </c>
      <c r="K435" s="47"/>
      <c r="L435" s="48">
        <v>140</v>
      </c>
      <c r="M435" s="48">
        <v>0</v>
      </c>
      <c r="N435" s="48">
        <v>0</v>
      </c>
      <c r="O435" s="47">
        <v>100</v>
      </c>
      <c r="P435" s="49"/>
    </row>
    <row r="436" spans="1:16" ht="15" hidden="1" customHeight="1">
      <c r="A436" s="37">
        <v>430</v>
      </c>
      <c r="B436" s="38" t="s">
        <v>22</v>
      </c>
      <c r="C436" s="57" t="s">
        <v>59</v>
      </c>
      <c r="D436" s="57" t="s">
        <v>160</v>
      </c>
      <c r="E436" s="57"/>
      <c r="F436" s="38" t="s">
        <v>160</v>
      </c>
      <c r="G436" s="39">
        <v>530</v>
      </c>
      <c r="H436" s="39">
        <v>51</v>
      </c>
      <c r="I436" s="39">
        <v>10</v>
      </c>
      <c r="J436" s="40">
        <v>91.222030981067107</v>
      </c>
      <c r="K436" s="40"/>
      <c r="L436" s="41">
        <v>787</v>
      </c>
      <c r="M436" s="41">
        <v>50</v>
      </c>
      <c r="N436" s="41">
        <v>8</v>
      </c>
      <c r="O436" s="40">
        <v>94.026284348865005</v>
      </c>
      <c r="P436" s="42"/>
    </row>
    <row r="437" spans="1:16" ht="15" hidden="1" customHeight="1">
      <c r="A437" s="43">
        <v>431</v>
      </c>
      <c r="B437" s="44" t="s">
        <v>22</v>
      </c>
      <c r="C437" s="44" t="s">
        <v>59</v>
      </c>
      <c r="D437" s="44" t="s">
        <v>160</v>
      </c>
      <c r="E437" s="44"/>
      <c r="F437" s="45" t="s">
        <v>18</v>
      </c>
      <c r="G437" s="46"/>
      <c r="H437" s="46"/>
      <c r="I437" s="46"/>
      <c r="J437" s="47"/>
      <c r="K437" s="47"/>
      <c r="L437" s="48"/>
      <c r="M437" s="48"/>
      <c r="N437" s="48"/>
      <c r="O437" s="47"/>
      <c r="P437" s="49"/>
    </row>
    <row r="438" spans="1:16" ht="15" hidden="1" customHeight="1">
      <c r="A438" s="43">
        <v>432</v>
      </c>
      <c r="B438" s="44" t="s">
        <v>22</v>
      </c>
      <c r="C438" s="44" t="s">
        <v>59</v>
      </c>
      <c r="D438" s="44" t="s">
        <v>160</v>
      </c>
      <c r="E438" s="44"/>
      <c r="F438" s="45" t="s">
        <v>19</v>
      </c>
      <c r="G438" s="46">
        <v>530</v>
      </c>
      <c r="H438" s="46">
        <v>51</v>
      </c>
      <c r="I438" s="46">
        <v>10</v>
      </c>
      <c r="J438" s="47">
        <v>91.222030981067107</v>
      </c>
      <c r="K438" s="47"/>
      <c r="L438" s="48">
        <v>787</v>
      </c>
      <c r="M438" s="48">
        <v>50</v>
      </c>
      <c r="N438" s="48">
        <v>8</v>
      </c>
      <c r="O438" s="47">
        <v>94.026284348865005</v>
      </c>
      <c r="P438" s="49"/>
    </row>
    <row r="439" spans="1:16" ht="15" customHeight="1">
      <c r="A439" s="50">
        <v>433</v>
      </c>
      <c r="B439" s="51" t="s">
        <v>24</v>
      </c>
      <c r="C439" s="58" t="s">
        <v>59</v>
      </c>
      <c r="D439" s="58" t="s">
        <v>160</v>
      </c>
      <c r="E439" s="58" t="s">
        <v>161</v>
      </c>
      <c r="F439" s="59" t="s">
        <v>161</v>
      </c>
      <c r="G439" s="52">
        <v>296</v>
      </c>
      <c r="H439" s="52">
        <v>15</v>
      </c>
      <c r="I439" s="52">
        <v>1</v>
      </c>
      <c r="J439" s="53">
        <v>95.176848874598093</v>
      </c>
      <c r="K439" s="53">
        <f>G439+H439+I439</f>
        <v>312</v>
      </c>
      <c r="L439" s="54">
        <v>359</v>
      </c>
      <c r="M439" s="54">
        <v>9</v>
      </c>
      <c r="N439" s="54">
        <v>2</v>
      </c>
      <c r="O439" s="53">
        <v>97.554347826086996</v>
      </c>
      <c r="P439" s="55">
        <f>L439+M439+N439</f>
        <v>370</v>
      </c>
    </row>
    <row r="440" spans="1:16" ht="15" hidden="1" customHeight="1">
      <c r="A440" s="43">
        <v>434</v>
      </c>
      <c r="B440" s="44" t="s">
        <v>24</v>
      </c>
      <c r="C440" s="44" t="s">
        <v>59</v>
      </c>
      <c r="D440" s="44" t="s">
        <v>160</v>
      </c>
      <c r="E440" s="44" t="s">
        <v>161</v>
      </c>
      <c r="F440" s="45" t="s">
        <v>18</v>
      </c>
      <c r="G440" s="46"/>
      <c r="H440" s="46"/>
      <c r="I440" s="46"/>
      <c r="J440" s="47"/>
      <c r="K440" s="47"/>
      <c r="L440" s="48"/>
      <c r="M440" s="48"/>
      <c r="N440" s="48"/>
      <c r="O440" s="47"/>
      <c r="P440" s="49"/>
    </row>
    <row r="441" spans="1:16" ht="15" hidden="1" customHeight="1">
      <c r="A441" s="43">
        <v>435</v>
      </c>
      <c r="B441" s="44" t="s">
        <v>24</v>
      </c>
      <c r="C441" s="44" t="s">
        <v>59</v>
      </c>
      <c r="D441" s="44" t="s">
        <v>160</v>
      </c>
      <c r="E441" s="44" t="s">
        <v>161</v>
      </c>
      <c r="F441" s="45" t="s">
        <v>19</v>
      </c>
      <c r="G441" s="46">
        <v>296</v>
      </c>
      <c r="H441" s="46">
        <v>15</v>
      </c>
      <c r="I441" s="46">
        <v>1</v>
      </c>
      <c r="J441" s="47">
        <v>95.176848874598093</v>
      </c>
      <c r="K441" s="47"/>
      <c r="L441" s="48">
        <v>359</v>
      </c>
      <c r="M441" s="48">
        <v>9</v>
      </c>
      <c r="N441" s="48">
        <v>2</v>
      </c>
      <c r="O441" s="47">
        <v>97.554347826086996</v>
      </c>
      <c r="P441" s="49"/>
    </row>
    <row r="442" spans="1:16" ht="15" customHeight="1">
      <c r="A442" s="50">
        <v>436</v>
      </c>
      <c r="B442" s="51" t="s">
        <v>24</v>
      </c>
      <c r="C442" s="58" t="s">
        <v>59</v>
      </c>
      <c r="D442" s="58" t="s">
        <v>160</v>
      </c>
      <c r="E442" s="58" t="s">
        <v>162</v>
      </c>
      <c r="F442" s="59" t="s">
        <v>162</v>
      </c>
      <c r="G442" s="52">
        <v>234</v>
      </c>
      <c r="H442" s="52">
        <v>36</v>
      </c>
      <c r="I442" s="52">
        <v>9</v>
      </c>
      <c r="J442" s="53">
        <v>86.6666666666667</v>
      </c>
      <c r="K442" s="53">
        <f>G442+H442+I442</f>
        <v>279</v>
      </c>
      <c r="L442" s="54">
        <v>428</v>
      </c>
      <c r="M442" s="54">
        <v>41</v>
      </c>
      <c r="N442" s="54">
        <v>6</v>
      </c>
      <c r="O442" s="53">
        <v>91.257995735607693</v>
      </c>
      <c r="P442" s="55">
        <f>L442+M442+N442</f>
        <v>475</v>
      </c>
    </row>
    <row r="443" spans="1:16" ht="15" hidden="1" customHeight="1">
      <c r="A443" s="43">
        <v>437</v>
      </c>
      <c r="B443" s="44" t="s">
        <v>24</v>
      </c>
      <c r="C443" s="44" t="s">
        <v>59</v>
      </c>
      <c r="D443" s="44" t="s">
        <v>160</v>
      </c>
      <c r="E443" s="44" t="s">
        <v>162</v>
      </c>
      <c r="F443" s="45" t="s">
        <v>18</v>
      </c>
      <c r="G443" s="46"/>
      <c r="H443" s="46"/>
      <c r="I443" s="46"/>
      <c r="J443" s="47"/>
      <c r="K443" s="47"/>
      <c r="L443" s="48"/>
      <c r="M443" s="48"/>
      <c r="N443" s="48"/>
      <c r="O443" s="47"/>
      <c r="P443" s="49"/>
    </row>
    <row r="444" spans="1:16" ht="15" hidden="1" customHeight="1">
      <c r="A444" s="43">
        <v>438</v>
      </c>
      <c r="B444" s="44" t="s">
        <v>24</v>
      </c>
      <c r="C444" s="44" t="s">
        <v>59</v>
      </c>
      <c r="D444" s="44" t="s">
        <v>160</v>
      </c>
      <c r="E444" s="44" t="s">
        <v>162</v>
      </c>
      <c r="F444" s="45" t="s">
        <v>19</v>
      </c>
      <c r="G444" s="46">
        <v>234</v>
      </c>
      <c r="H444" s="46">
        <v>36</v>
      </c>
      <c r="I444" s="46">
        <v>9</v>
      </c>
      <c r="J444" s="47">
        <v>86.6666666666667</v>
      </c>
      <c r="K444" s="47"/>
      <c r="L444" s="48">
        <v>428</v>
      </c>
      <c r="M444" s="48">
        <v>41</v>
      </c>
      <c r="N444" s="48">
        <v>6</v>
      </c>
      <c r="O444" s="47">
        <v>91.257995735607693</v>
      </c>
      <c r="P444" s="49"/>
    </row>
    <row r="445" spans="1:16" ht="15" hidden="1" customHeight="1">
      <c r="A445" s="37">
        <v>439</v>
      </c>
      <c r="B445" s="38" t="s">
        <v>22</v>
      </c>
      <c r="C445" s="57" t="s">
        <v>59</v>
      </c>
      <c r="D445" s="57" t="s">
        <v>163</v>
      </c>
      <c r="E445" s="57"/>
      <c r="F445" s="38" t="s">
        <v>163</v>
      </c>
      <c r="G445" s="39">
        <v>6042</v>
      </c>
      <c r="H445" s="39">
        <v>778</v>
      </c>
      <c r="I445" s="39">
        <v>52</v>
      </c>
      <c r="J445" s="40">
        <v>88.592375366568902</v>
      </c>
      <c r="K445" s="40"/>
      <c r="L445" s="41">
        <v>5434</v>
      </c>
      <c r="M445" s="41">
        <v>245</v>
      </c>
      <c r="N445" s="41">
        <v>40</v>
      </c>
      <c r="O445" s="40">
        <v>95.685860186652604</v>
      </c>
      <c r="P445" s="42"/>
    </row>
    <row r="446" spans="1:16" ht="15" hidden="1" customHeight="1">
      <c r="A446" s="43">
        <v>440</v>
      </c>
      <c r="B446" s="44" t="s">
        <v>22</v>
      </c>
      <c r="C446" s="44" t="s">
        <v>59</v>
      </c>
      <c r="D446" s="44" t="s">
        <v>163</v>
      </c>
      <c r="E446" s="44"/>
      <c r="F446" s="45" t="s">
        <v>18</v>
      </c>
      <c r="G446" s="46">
        <v>1139</v>
      </c>
      <c r="H446" s="46">
        <v>86</v>
      </c>
      <c r="I446" s="46">
        <v>15</v>
      </c>
      <c r="J446" s="47">
        <v>92.979591836734699</v>
      </c>
      <c r="K446" s="47"/>
      <c r="L446" s="48">
        <v>1561</v>
      </c>
      <c r="M446" s="48">
        <v>37</v>
      </c>
      <c r="N446" s="48">
        <v>15</v>
      </c>
      <c r="O446" s="47">
        <v>97.684605757196493</v>
      </c>
      <c r="P446" s="49"/>
    </row>
    <row r="447" spans="1:16" ht="15" hidden="1" customHeight="1">
      <c r="A447" s="43">
        <v>441</v>
      </c>
      <c r="B447" s="44" t="s">
        <v>22</v>
      </c>
      <c r="C447" s="44" t="s">
        <v>59</v>
      </c>
      <c r="D447" s="44" t="s">
        <v>163</v>
      </c>
      <c r="E447" s="44"/>
      <c r="F447" s="45" t="s">
        <v>19</v>
      </c>
      <c r="G447" s="46">
        <v>4903</v>
      </c>
      <c r="H447" s="46">
        <v>692</v>
      </c>
      <c r="I447" s="46">
        <v>37</v>
      </c>
      <c r="J447" s="47">
        <v>87.631814119749805</v>
      </c>
      <c r="K447" s="47"/>
      <c r="L447" s="48">
        <v>3873</v>
      </c>
      <c r="M447" s="48">
        <v>208</v>
      </c>
      <c r="N447" s="48">
        <v>25</v>
      </c>
      <c r="O447" s="47">
        <v>94.903209997549595</v>
      </c>
      <c r="P447" s="49"/>
    </row>
    <row r="448" spans="1:16" ht="15" customHeight="1">
      <c r="A448" s="50">
        <v>442</v>
      </c>
      <c r="B448" s="51" t="s">
        <v>24</v>
      </c>
      <c r="C448" s="58" t="s">
        <v>59</v>
      </c>
      <c r="D448" s="58" t="s">
        <v>163</v>
      </c>
      <c r="E448" s="58" t="s">
        <v>163</v>
      </c>
      <c r="F448" s="59" t="s">
        <v>163</v>
      </c>
      <c r="G448" s="52">
        <v>4862</v>
      </c>
      <c r="H448" s="52">
        <v>667</v>
      </c>
      <c r="I448" s="52">
        <v>41</v>
      </c>
      <c r="J448" s="53">
        <v>87.936335684572299</v>
      </c>
      <c r="K448" s="53">
        <f>G448+H448+I448</f>
        <v>5570</v>
      </c>
      <c r="L448" s="54">
        <v>4671</v>
      </c>
      <c r="M448" s="54">
        <v>219</v>
      </c>
      <c r="N448" s="54">
        <v>37</v>
      </c>
      <c r="O448" s="53">
        <v>95.521472392638003</v>
      </c>
      <c r="P448" s="55">
        <f>L448+M448+N448</f>
        <v>4927</v>
      </c>
    </row>
    <row r="449" spans="1:16" ht="15" hidden="1" customHeight="1">
      <c r="A449" s="43">
        <v>443</v>
      </c>
      <c r="B449" s="44" t="s">
        <v>24</v>
      </c>
      <c r="C449" s="44" t="s">
        <v>59</v>
      </c>
      <c r="D449" s="44" t="s">
        <v>163</v>
      </c>
      <c r="E449" s="44" t="s">
        <v>163</v>
      </c>
      <c r="F449" s="45" t="s">
        <v>18</v>
      </c>
      <c r="G449" s="46">
        <v>1139</v>
      </c>
      <c r="H449" s="46">
        <v>86</v>
      </c>
      <c r="I449" s="46">
        <v>15</v>
      </c>
      <c r="J449" s="47">
        <v>92.979591836734699</v>
      </c>
      <c r="K449" s="47"/>
      <c r="L449" s="48">
        <v>1561</v>
      </c>
      <c r="M449" s="48">
        <v>37</v>
      </c>
      <c r="N449" s="48">
        <v>15</v>
      </c>
      <c r="O449" s="47">
        <v>97.684605757196493</v>
      </c>
      <c r="P449" s="49"/>
    </row>
    <row r="450" spans="1:16" ht="15" hidden="1" customHeight="1">
      <c r="A450" s="43">
        <v>444</v>
      </c>
      <c r="B450" s="44" t="s">
        <v>24</v>
      </c>
      <c r="C450" s="44" t="s">
        <v>59</v>
      </c>
      <c r="D450" s="44" t="s">
        <v>163</v>
      </c>
      <c r="E450" s="44" t="s">
        <v>163</v>
      </c>
      <c r="F450" s="45" t="s">
        <v>19</v>
      </c>
      <c r="G450" s="46">
        <v>3723</v>
      </c>
      <c r="H450" s="46">
        <v>581</v>
      </c>
      <c r="I450" s="46">
        <v>26</v>
      </c>
      <c r="J450" s="47">
        <v>86.500929368029702</v>
      </c>
      <c r="K450" s="47"/>
      <c r="L450" s="48">
        <v>3110</v>
      </c>
      <c r="M450" s="48">
        <v>182</v>
      </c>
      <c r="N450" s="48">
        <v>22</v>
      </c>
      <c r="O450" s="47">
        <v>94.471445929526098</v>
      </c>
      <c r="P450" s="49"/>
    </row>
    <row r="451" spans="1:16" ht="15" customHeight="1">
      <c r="A451" s="50">
        <v>445</v>
      </c>
      <c r="B451" s="51" t="s">
        <v>24</v>
      </c>
      <c r="C451" s="58" t="s">
        <v>59</v>
      </c>
      <c r="D451" s="58" t="s">
        <v>163</v>
      </c>
      <c r="E451" s="58" t="s">
        <v>164</v>
      </c>
      <c r="F451" s="59" t="s">
        <v>164</v>
      </c>
      <c r="G451" s="52">
        <v>1180</v>
      </c>
      <c r="H451" s="52">
        <v>111</v>
      </c>
      <c r="I451" s="52">
        <v>11</v>
      </c>
      <c r="J451" s="53">
        <v>91.402013942680099</v>
      </c>
      <c r="K451" s="53">
        <f>G451+H451+I451</f>
        <v>1302</v>
      </c>
      <c r="L451" s="54">
        <v>763</v>
      </c>
      <c r="M451" s="54">
        <v>26</v>
      </c>
      <c r="N451" s="54">
        <v>3</v>
      </c>
      <c r="O451" s="53">
        <v>96.704689480354901</v>
      </c>
      <c r="P451" s="55">
        <f>L451+M451+N451</f>
        <v>792</v>
      </c>
    </row>
    <row r="452" spans="1:16" ht="15" hidden="1" customHeight="1">
      <c r="A452" s="43">
        <v>446</v>
      </c>
      <c r="B452" s="44" t="s">
        <v>24</v>
      </c>
      <c r="C452" s="44" t="s">
        <v>59</v>
      </c>
      <c r="D452" s="44" t="s">
        <v>163</v>
      </c>
      <c r="E452" s="44" t="s">
        <v>164</v>
      </c>
      <c r="F452" s="45" t="s">
        <v>18</v>
      </c>
      <c r="G452" s="46"/>
      <c r="H452" s="46"/>
      <c r="I452" s="46"/>
      <c r="J452" s="47"/>
      <c r="K452" s="47"/>
      <c r="L452" s="48"/>
      <c r="M452" s="48"/>
      <c r="N452" s="48"/>
      <c r="O452" s="47"/>
      <c r="P452" s="49"/>
    </row>
    <row r="453" spans="1:16" ht="15" hidden="1" customHeight="1">
      <c r="A453" s="43">
        <v>447</v>
      </c>
      <c r="B453" s="44" t="s">
        <v>24</v>
      </c>
      <c r="C453" s="44" t="s">
        <v>59</v>
      </c>
      <c r="D453" s="44" t="s">
        <v>163</v>
      </c>
      <c r="E453" s="44" t="s">
        <v>164</v>
      </c>
      <c r="F453" s="45" t="s">
        <v>19</v>
      </c>
      <c r="G453" s="46">
        <v>1180</v>
      </c>
      <c r="H453" s="46">
        <v>111</v>
      </c>
      <c r="I453" s="46">
        <v>11</v>
      </c>
      <c r="J453" s="47">
        <v>91.402013942680099</v>
      </c>
      <c r="K453" s="47"/>
      <c r="L453" s="48">
        <v>763</v>
      </c>
      <c r="M453" s="48">
        <v>26</v>
      </c>
      <c r="N453" s="48">
        <v>3</v>
      </c>
      <c r="O453" s="47">
        <v>96.704689480354901</v>
      </c>
      <c r="P453" s="49"/>
    </row>
    <row r="454" spans="1:16" ht="15" hidden="1" customHeight="1">
      <c r="A454" s="25">
        <v>448</v>
      </c>
      <c r="B454" s="26" t="s">
        <v>20</v>
      </c>
      <c r="C454" s="26" t="s">
        <v>165</v>
      </c>
      <c r="D454" s="26"/>
      <c r="E454" s="26"/>
      <c r="F454" s="26" t="s">
        <v>165</v>
      </c>
      <c r="G454" s="27">
        <v>169054</v>
      </c>
      <c r="H454" s="27">
        <v>18996</v>
      </c>
      <c r="I454" s="27">
        <v>2638</v>
      </c>
      <c r="J454" s="28">
        <v>89.898431268279694</v>
      </c>
      <c r="K454" s="28">
        <f>G454+H454+I454</f>
        <v>190688</v>
      </c>
      <c r="L454" s="29">
        <v>144062</v>
      </c>
      <c r="M454" s="29">
        <v>3700</v>
      </c>
      <c r="N454" s="29">
        <v>930</v>
      </c>
      <c r="O454" s="28">
        <v>97.495973254287307</v>
      </c>
      <c r="P454" s="30">
        <f>L454+M454+N454</f>
        <v>148692</v>
      </c>
    </row>
    <row r="455" spans="1:16" ht="15" hidden="1" customHeight="1">
      <c r="A455" s="31">
        <v>449</v>
      </c>
      <c r="B455" s="32" t="s">
        <v>20</v>
      </c>
      <c r="C455" s="56" t="s">
        <v>165</v>
      </c>
      <c r="D455" s="56"/>
      <c r="E455" s="56"/>
      <c r="F455" s="32" t="s">
        <v>18</v>
      </c>
      <c r="G455" s="33">
        <v>111695</v>
      </c>
      <c r="H455" s="33">
        <v>10660</v>
      </c>
      <c r="I455" s="33">
        <v>1368</v>
      </c>
      <c r="J455" s="34">
        <v>91.287646602100494</v>
      </c>
      <c r="K455" s="34"/>
      <c r="L455" s="35">
        <v>96547</v>
      </c>
      <c r="M455" s="35">
        <v>2266</v>
      </c>
      <c r="N455" s="35">
        <v>435</v>
      </c>
      <c r="O455" s="34">
        <v>97.706779472336606</v>
      </c>
      <c r="P455" s="36"/>
    </row>
    <row r="456" spans="1:16" ht="15" hidden="1" customHeight="1">
      <c r="A456" s="31">
        <v>450</v>
      </c>
      <c r="B456" s="32" t="s">
        <v>20</v>
      </c>
      <c r="C456" s="56" t="s">
        <v>165</v>
      </c>
      <c r="D456" s="56"/>
      <c r="E456" s="56"/>
      <c r="F456" s="32" t="s">
        <v>19</v>
      </c>
      <c r="G456" s="33">
        <v>57359</v>
      </c>
      <c r="H456" s="33">
        <v>8336</v>
      </c>
      <c r="I456" s="33">
        <v>1270</v>
      </c>
      <c r="J456" s="34">
        <v>87.311058680264907</v>
      </c>
      <c r="K456" s="34"/>
      <c r="L456" s="35">
        <v>47515</v>
      </c>
      <c r="M456" s="35">
        <v>1434</v>
      </c>
      <c r="N456" s="35">
        <v>495</v>
      </c>
      <c r="O456" s="34">
        <v>97.070420233304006</v>
      </c>
      <c r="P456" s="36"/>
    </row>
    <row r="457" spans="1:16" ht="15" hidden="1" customHeight="1">
      <c r="A457" s="37">
        <v>451</v>
      </c>
      <c r="B457" s="38" t="s">
        <v>22</v>
      </c>
      <c r="C457" s="57" t="s">
        <v>165</v>
      </c>
      <c r="D457" s="57" t="s">
        <v>166</v>
      </c>
      <c r="E457" s="57"/>
      <c r="F457" s="38" t="s">
        <v>166</v>
      </c>
      <c r="G457" s="39">
        <v>56844</v>
      </c>
      <c r="H457" s="39">
        <v>5299</v>
      </c>
      <c r="I457" s="39">
        <v>602</v>
      </c>
      <c r="J457" s="40">
        <v>91.472893165762798</v>
      </c>
      <c r="K457" s="40"/>
      <c r="L457" s="41">
        <v>41408</v>
      </c>
      <c r="M457" s="41">
        <v>957</v>
      </c>
      <c r="N457" s="41">
        <v>163</v>
      </c>
      <c r="O457" s="40">
        <v>97.741059837129697</v>
      </c>
      <c r="P457" s="42"/>
    </row>
    <row r="458" spans="1:16" ht="15" hidden="1" customHeight="1">
      <c r="A458" s="43">
        <v>452</v>
      </c>
      <c r="B458" s="44" t="s">
        <v>22</v>
      </c>
      <c r="C458" s="44" t="s">
        <v>165</v>
      </c>
      <c r="D458" s="44" t="s">
        <v>166</v>
      </c>
      <c r="E458" s="44"/>
      <c r="F458" s="45" t="s">
        <v>18</v>
      </c>
      <c r="G458" s="46">
        <v>56844</v>
      </c>
      <c r="H458" s="46">
        <v>5299</v>
      </c>
      <c r="I458" s="46">
        <v>602</v>
      </c>
      <c r="J458" s="47">
        <v>91.472893165762798</v>
      </c>
      <c r="K458" s="47"/>
      <c r="L458" s="48">
        <v>41408</v>
      </c>
      <c r="M458" s="48">
        <v>957</v>
      </c>
      <c r="N458" s="48">
        <v>163</v>
      </c>
      <c r="O458" s="47">
        <v>97.741059837129697</v>
      </c>
      <c r="P458" s="49"/>
    </row>
    <row r="459" spans="1:16" ht="15" hidden="1" customHeight="1">
      <c r="A459" s="43">
        <v>453</v>
      </c>
      <c r="B459" s="44" t="s">
        <v>22</v>
      </c>
      <c r="C459" s="44" t="s">
        <v>165</v>
      </c>
      <c r="D459" s="44" t="s">
        <v>166</v>
      </c>
      <c r="E459" s="44"/>
      <c r="F459" s="45" t="s">
        <v>19</v>
      </c>
      <c r="G459" s="46"/>
      <c r="H459" s="46"/>
      <c r="I459" s="46"/>
      <c r="J459" s="47"/>
      <c r="K459" s="47"/>
      <c r="L459" s="48"/>
      <c r="M459" s="48"/>
      <c r="N459" s="48"/>
      <c r="O459" s="47"/>
      <c r="P459" s="49"/>
    </row>
    <row r="460" spans="1:16" ht="15" customHeight="1">
      <c r="A460" s="50">
        <v>454</v>
      </c>
      <c r="B460" s="51" t="s">
        <v>24</v>
      </c>
      <c r="C460" s="58" t="s">
        <v>165</v>
      </c>
      <c r="D460" s="58" t="s">
        <v>166</v>
      </c>
      <c r="E460" s="58" t="s">
        <v>165</v>
      </c>
      <c r="F460" s="59" t="s">
        <v>165</v>
      </c>
      <c r="G460" s="52">
        <v>56844</v>
      </c>
      <c r="H460" s="52">
        <v>5299</v>
      </c>
      <c r="I460" s="52">
        <v>602</v>
      </c>
      <c r="J460" s="53">
        <v>91.472893165762798</v>
      </c>
      <c r="K460" s="53">
        <f>G460+H460+I460</f>
        <v>62745</v>
      </c>
      <c r="L460" s="54">
        <v>41408</v>
      </c>
      <c r="M460" s="54">
        <v>957</v>
      </c>
      <c r="N460" s="54">
        <v>163</v>
      </c>
      <c r="O460" s="53">
        <v>97.741059837129697</v>
      </c>
      <c r="P460" s="55">
        <f>L460+M460+N460</f>
        <v>42528</v>
      </c>
    </row>
    <row r="461" spans="1:16" ht="15" hidden="1" customHeight="1">
      <c r="A461" s="43">
        <v>455</v>
      </c>
      <c r="B461" s="44" t="s">
        <v>24</v>
      </c>
      <c r="C461" s="44" t="s">
        <v>165</v>
      </c>
      <c r="D461" s="44" t="s">
        <v>166</v>
      </c>
      <c r="E461" s="44" t="s">
        <v>165</v>
      </c>
      <c r="F461" s="45" t="s">
        <v>18</v>
      </c>
      <c r="G461" s="46">
        <v>56844</v>
      </c>
      <c r="H461" s="46">
        <v>5299</v>
      </c>
      <c r="I461" s="46">
        <v>602</v>
      </c>
      <c r="J461" s="47">
        <v>91.472893165762798</v>
      </c>
      <c r="K461" s="47"/>
      <c r="L461" s="48">
        <v>41408</v>
      </c>
      <c r="M461" s="48">
        <v>957</v>
      </c>
      <c r="N461" s="48">
        <v>163</v>
      </c>
      <c r="O461" s="47">
        <v>97.741059837129697</v>
      </c>
      <c r="P461" s="49"/>
    </row>
    <row r="462" spans="1:16" ht="15" hidden="1" customHeight="1">
      <c r="A462" s="43">
        <v>456</v>
      </c>
      <c r="B462" s="44" t="s">
        <v>24</v>
      </c>
      <c r="C462" s="44" t="s">
        <v>165</v>
      </c>
      <c r="D462" s="44" t="s">
        <v>166</v>
      </c>
      <c r="E462" s="44" t="s">
        <v>165</v>
      </c>
      <c r="F462" s="45" t="s">
        <v>19</v>
      </c>
      <c r="G462" s="46"/>
      <c r="H462" s="46"/>
      <c r="I462" s="46"/>
      <c r="J462" s="47"/>
      <c r="K462" s="47"/>
      <c r="L462" s="48"/>
      <c r="M462" s="48"/>
      <c r="N462" s="48"/>
      <c r="O462" s="47"/>
      <c r="P462" s="49"/>
    </row>
    <row r="463" spans="1:16" ht="15" hidden="1" customHeight="1">
      <c r="A463" s="37">
        <v>457</v>
      </c>
      <c r="B463" s="38" t="s">
        <v>22</v>
      </c>
      <c r="C463" s="57" t="s">
        <v>165</v>
      </c>
      <c r="D463" s="57" t="s">
        <v>167</v>
      </c>
      <c r="E463" s="57"/>
      <c r="F463" s="38" t="s">
        <v>167</v>
      </c>
      <c r="G463" s="39">
        <v>3391</v>
      </c>
      <c r="H463" s="39">
        <v>509</v>
      </c>
      <c r="I463" s="39">
        <v>52</v>
      </c>
      <c r="J463" s="40">
        <v>86.948717948717899</v>
      </c>
      <c r="K463" s="40"/>
      <c r="L463" s="41">
        <v>2637</v>
      </c>
      <c r="M463" s="41">
        <v>69</v>
      </c>
      <c r="N463" s="41">
        <v>25</v>
      </c>
      <c r="O463" s="40">
        <v>97.450110864745</v>
      </c>
      <c r="P463" s="42"/>
    </row>
    <row r="464" spans="1:16" ht="15" hidden="1" customHeight="1">
      <c r="A464" s="43">
        <v>458</v>
      </c>
      <c r="B464" s="44" t="s">
        <v>22</v>
      </c>
      <c r="C464" s="44" t="s">
        <v>165</v>
      </c>
      <c r="D464" s="44" t="s">
        <v>167</v>
      </c>
      <c r="E464" s="44"/>
      <c r="F464" s="45" t="s">
        <v>18</v>
      </c>
      <c r="G464" s="46">
        <v>1040</v>
      </c>
      <c r="H464" s="46">
        <v>83</v>
      </c>
      <c r="I464" s="46">
        <v>16</v>
      </c>
      <c r="J464" s="47">
        <v>92.609082813891405</v>
      </c>
      <c r="K464" s="47"/>
      <c r="L464" s="48">
        <v>798</v>
      </c>
      <c r="M464" s="48">
        <v>18</v>
      </c>
      <c r="N464" s="48">
        <v>3</v>
      </c>
      <c r="O464" s="47">
        <v>97.794117647058798</v>
      </c>
      <c r="P464" s="49"/>
    </row>
    <row r="465" spans="1:16" ht="15" hidden="1" customHeight="1">
      <c r="A465" s="43">
        <v>459</v>
      </c>
      <c r="B465" s="44" t="s">
        <v>22</v>
      </c>
      <c r="C465" s="44" t="s">
        <v>165</v>
      </c>
      <c r="D465" s="44" t="s">
        <v>167</v>
      </c>
      <c r="E465" s="44"/>
      <c r="F465" s="45" t="s">
        <v>19</v>
      </c>
      <c r="G465" s="46">
        <v>2351</v>
      </c>
      <c r="H465" s="46">
        <v>426</v>
      </c>
      <c r="I465" s="46">
        <v>36</v>
      </c>
      <c r="J465" s="47">
        <v>84.659704717320807</v>
      </c>
      <c r="K465" s="47"/>
      <c r="L465" s="48">
        <v>1839</v>
      </c>
      <c r="M465" s="48">
        <v>51</v>
      </c>
      <c r="N465" s="48">
        <v>22</v>
      </c>
      <c r="O465" s="47">
        <v>97.301587301587304</v>
      </c>
      <c r="P465" s="49"/>
    </row>
    <row r="466" spans="1:16" ht="15" customHeight="1">
      <c r="A466" s="50">
        <v>460</v>
      </c>
      <c r="B466" s="51" t="s">
        <v>24</v>
      </c>
      <c r="C466" s="58" t="s">
        <v>165</v>
      </c>
      <c r="D466" s="58" t="s">
        <v>167</v>
      </c>
      <c r="E466" s="58" t="s">
        <v>168</v>
      </c>
      <c r="F466" s="59" t="s">
        <v>168</v>
      </c>
      <c r="G466" s="52">
        <v>2275</v>
      </c>
      <c r="H466" s="52">
        <v>355</v>
      </c>
      <c r="I466" s="52">
        <v>40</v>
      </c>
      <c r="J466" s="53">
        <v>86.501901140684396</v>
      </c>
      <c r="K466" s="53">
        <f>G466+H466+I466</f>
        <v>2670</v>
      </c>
      <c r="L466" s="54">
        <v>1678</v>
      </c>
      <c r="M466" s="54">
        <v>38</v>
      </c>
      <c r="N466" s="54">
        <v>17</v>
      </c>
      <c r="O466" s="53">
        <v>97.785547785547806</v>
      </c>
      <c r="P466" s="55">
        <f>L466+M466+N466</f>
        <v>1733</v>
      </c>
    </row>
    <row r="467" spans="1:16" ht="15" hidden="1" customHeight="1">
      <c r="A467" s="43">
        <v>461</v>
      </c>
      <c r="B467" s="44" t="s">
        <v>24</v>
      </c>
      <c r="C467" s="44" t="s">
        <v>165</v>
      </c>
      <c r="D467" s="44" t="s">
        <v>167</v>
      </c>
      <c r="E467" s="44" t="s">
        <v>168</v>
      </c>
      <c r="F467" s="45" t="s">
        <v>18</v>
      </c>
      <c r="G467" s="46">
        <v>777</v>
      </c>
      <c r="H467" s="46">
        <v>66</v>
      </c>
      <c r="I467" s="46">
        <v>15</v>
      </c>
      <c r="J467" s="47">
        <v>92.170818505338104</v>
      </c>
      <c r="K467" s="47"/>
      <c r="L467" s="48">
        <v>628</v>
      </c>
      <c r="M467" s="48">
        <v>17</v>
      </c>
      <c r="N467" s="48">
        <v>3</v>
      </c>
      <c r="O467" s="47">
        <v>97.364341085271306</v>
      </c>
      <c r="P467" s="49"/>
    </row>
    <row r="468" spans="1:16" ht="15" hidden="1" customHeight="1">
      <c r="A468" s="43">
        <v>462</v>
      </c>
      <c r="B468" s="44" t="s">
        <v>24</v>
      </c>
      <c r="C468" s="44" t="s">
        <v>165</v>
      </c>
      <c r="D468" s="44" t="s">
        <v>167</v>
      </c>
      <c r="E468" s="44" t="s">
        <v>168</v>
      </c>
      <c r="F468" s="45" t="s">
        <v>19</v>
      </c>
      <c r="G468" s="46">
        <v>1498</v>
      </c>
      <c r="H468" s="46">
        <v>289</v>
      </c>
      <c r="I468" s="46">
        <v>25</v>
      </c>
      <c r="J468" s="47">
        <v>83.827644096250694</v>
      </c>
      <c r="K468" s="47"/>
      <c r="L468" s="48">
        <v>1050</v>
      </c>
      <c r="M468" s="48">
        <v>21</v>
      </c>
      <c r="N468" s="48">
        <v>14</v>
      </c>
      <c r="O468" s="47">
        <v>98.039215686274503</v>
      </c>
      <c r="P468" s="49"/>
    </row>
    <row r="469" spans="1:16" ht="15" customHeight="1">
      <c r="A469" s="50">
        <v>463</v>
      </c>
      <c r="B469" s="51" t="s">
        <v>24</v>
      </c>
      <c r="C469" s="58" t="s">
        <v>165</v>
      </c>
      <c r="D469" s="58" t="s">
        <v>167</v>
      </c>
      <c r="E469" s="58" t="s">
        <v>169</v>
      </c>
      <c r="F469" s="59" t="s">
        <v>169</v>
      </c>
      <c r="G469" s="52">
        <v>612</v>
      </c>
      <c r="H469" s="52">
        <v>42</v>
      </c>
      <c r="I469" s="52">
        <v>5</v>
      </c>
      <c r="J469" s="53">
        <v>93.577981651376106</v>
      </c>
      <c r="K469" s="53">
        <f>G469+H469+I469</f>
        <v>659</v>
      </c>
      <c r="L469" s="54">
        <v>419</v>
      </c>
      <c r="M469" s="54">
        <v>6</v>
      </c>
      <c r="N469" s="54">
        <v>1</v>
      </c>
      <c r="O469" s="53">
        <v>98.588235294117595</v>
      </c>
      <c r="P469" s="55">
        <f>L469+M469+N469</f>
        <v>426</v>
      </c>
    </row>
    <row r="470" spans="1:16" ht="15" hidden="1" customHeight="1">
      <c r="A470" s="43">
        <v>464</v>
      </c>
      <c r="B470" s="44" t="s">
        <v>24</v>
      </c>
      <c r="C470" s="44" t="s">
        <v>165</v>
      </c>
      <c r="D470" s="44" t="s">
        <v>167</v>
      </c>
      <c r="E470" s="44" t="s">
        <v>169</v>
      </c>
      <c r="F470" s="45" t="s">
        <v>18</v>
      </c>
      <c r="G470" s="46">
        <v>263</v>
      </c>
      <c r="H470" s="46">
        <v>17</v>
      </c>
      <c r="I470" s="46">
        <v>1</v>
      </c>
      <c r="J470" s="47">
        <v>93.928571428571402</v>
      </c>
      <c r="K470" s="47"/>
      <c r="L470" s="48">
        <v>170</v>
      </c>
      <c r="M470" s="48">
        <v>1</v>
      </c>
      <c r="N470" s="48">
        <v>0</v>
      </c>
      <c r="O470" s="47">
        <v>99.415204678362599</v>
      </c>
      <c r="P470" s="49"/>
    </row>
    <row r="471" spans="1:16" ht="15" hidden="1" customHeight="1">
      <c r="A471" s="43">
        <v>465</v>
      </c>
      <c r="B471" s="44" t="s">
        <v>24</v>
      </c>
      <c r="C471" s="44" t="s">
        <v>165</v>
      </c>
      <c r="D471" s="44" t="s">
        <v>167</v>
      </c>
      <c r="E471" s="44" t="s">
        <v>169</v>
      </c>
      <c r="F471" s="45" t="s">
        <v>19</v>
      </c>
      <c r="G471" s="46">
        <v>349</v>
      </c>
      <c r="H471" s="46">
        <v>25</v>
      </c>
      <c r="I471" s="46">
        <v>4</v>
      </c>
      <c r="J471" s="47">
        <v>93.3155080213904</v>
      </c>
      <c r="K471" s="47"/>
      <c r="L471" s="48">
        <v>249</v>
      </c>
      <c r="M471" s="48">
        <v>5</v>
      </c>
      <c r="N471" s="48">
        <v>1</v>
      </c>
      <c r="O471" s="47">
        <v>98.031496062992105</v>
      </c>
      <c r="P471" s="49"/>
    </row>
    <row r="472" spans="1:16" ht="15" customHeight="1">
      <c r="A472" s="50">
        <v>466</v>
      </c>
      <c r="B472" s="51" t="s">
        <v>24</v>
      </c>
      <c r="C472" s="58" t="s">
        <v>165</v>
      </c>
      <c r="D472" s="58" t="s">
        <v>167</v>
      </c>
      <c r="E472" s="58" t="s">
        <v>170</v>
      </c>
      <c r="F472" s="59" t="s">
        <v>170</v>
      </c>
      <c r="G472" s="52">
        <v>504</v>
      </c>
      <c r="H472" s="52">
        <v>112</v>
      </c>
      <c r="I472" s="52">
        <v>7</v>
      </c>
      <c r="J472" s="53">
        <v>81.818181818181799</v>
      </c>
      <c r="K472" s="53">
        <f>G472+H472+I472</f>
        <v>623</v>
      </c>
      <c r="L472" s="54">
        <v>540</v>
      </c>
      <c r="M472" s="54">
        <v>25</v>
      </c>
      <c r="N472" s="54">
        <v>7</v>
      </c>
      <c r="O472" s="53">
        <v>95.575221238938099</v>
      </c>
      <c r="P472" s="55">
        <f>L472+M472+N472</f>
        <v>572</v>
      </c>
    </row>
    <row r="473" spans="1:16" ht="15" hidden="1" customHeight="1">
      <c r="A473" s="43">
        <v>467</v>
      </c>
      <c r="B473" s="44" t="s">
        <v>24</v>
      </c>
      <c r="C473" s="44" t="s">
        <v>165</v>
      </c>
      <c r="D473" s="44" t="s">
        <v>167</v>
      </c>
      <c r="E473" s="44" t="s">
        <v>170</v>
      </c>
      <c r="F473" s="45" t="s">
        <v>18</v>
      </c>
      <c r="G473" s="46"/>
      <c r="H473" s="46"/>
      <c r="I473" s="46"/>
      <c r="J473" s="47"/>
      <c r="K473" s="47"/>
      <c r="L473" s="48"/>
      <c r="M473" s="48"/>
      <c r="N473" s="48"/>
      <c r="O473" s="47"/>
      <c r="P473" s="49"/>
    </row>
    <row r="474" spans="1:16" ht="15" hidden="1" customHeight="1">
      <c r="A474" s="43">
        <v>468</v>
      </c>
      <c r="B474" s="44" t="s">
        <v>24</v>
      </c>
      <c r="C474" s="44" t="s">
        <v>165</v>
      </c>
      <c r="D474" s="44" t="s">
        <v>167</v>
      </c>
      <c r="E474" s="44" t="s">
        <v>170</v>
      </c>
      <c r="F474" s="45" t="s">
        <v>19</v>
      </c>
      <c r="G474" s="46">
        <v>504</v>
      </c>
      <c r="H474" s="46">
        <v>112</v>
      </c>
      <c r="I474" s="46">
        <v>7</v>
      </c>
      <c r="J474" s="47">
        <v>81.818181818181799</v>
      </c>
      <c r="K474" s="47"/>
      <c r="L474" s="48">
        <v>540</v>
      </c>
      <c r="M474" s="48">
        <v>25</v>
      </c>
      <c r="N474" s="48">
        <v>7</v>
      </c>
      <c r="O474" s="47">
        <v>95.575221238938099</v>
      </c>
      <c r="P474" s="49"/>
    </row>
    <row r="475" spans="1:16" ht="15" hidden="1" customHeight="1">
      <c r="A475" s="37">
        <v>469</v>
      </c>
      <c r="B475" s="38" t="s">
        <v>22</v>
      </c>
      <c r="C475" s="57" t="s">
        <v>165</v>
      </c>
      <c r="D475" s="57" t="s">
        <v>171</v>
      </c>
      <c r="E475" s="57"/>
      <c r="F475" s="38" t="s">
        <v>171</v>
      </c>
      <c r="G475" s="39">
        <v>5436</v>
      </c>
      <c r="H475" s="39">
        <v>1390</v>
      </c>
      <c r="I475" s="39">
        <v>92</v>
      </c>
      <c r="J475" s="40">
        <v>79.636683269850593</v>
      </c>
      <c r="K475" s="40"/>
      <c r="L475" s="41">
        <v>4845</v>
      </c>
      <c r="M475" s="41">
        <v>131</v>
      </c>
      <c r="N475" s="41">
        <v>58</v>
      </c>
      <c r="O475" s="40">
        <v>97.367363344051498</v>
      </c>
      <c r="P475" s="42"/>
    </row>
    <row r="476" spans="1:16" ht="15" hidden="1" customHeight="1">
      <c r="A476" s="43">
        <v>470</v>
      </c>
      <c r="B476" s="44" t="s">
        <v>22</v>
      </c>
      <c r="C476" s="44" t="s">
        <v>165</v>
      </c>
      <c r="D476" s="44" t="s">
        <v>171</v>
      </c>
      <c r="E476" s="44"/>
      <c r="F476" s="45" t="s">
        <v>18</v>
      </c>
      <c r="G476" s="46"/>
      <c r="H476" s="46"/>
      <c r="I476" s="46"/>
      <c r="J476" s="47"/>
      <c r="K476" s="47"/>
      <c r="L476" s="48"/>
      <c r="M476" s="48"/>
      <c r="N476" s="48"/>
      <c r="O476" s="47"/>
      <c r="P476" s="49"/>
    </row>
    <row r="477" spans="1:16" ht="15" hidden="1" customHeight="1">
      <c r="A477" s="43">
        <v>471</v>
      </c>
      <c r="B477" s="44" t="s">
        <v>22</v>
      </c>
      <c r="C477" s="44" t="s">
        <v>165</v>
      </c>
      <c r="D477" s="44" t="s">
        <v>171</v>
      </c>
      <c r="E477" s="44"/>
      <c r="F477" s="45" t="s">
        <v>19</v>
      </c>
      <c r="G477" s="46">
        <v>5436</v>
      </c>
      <c r="H477" s="46">
        <v>1390</v>
      </c>
      <c r="I477" s="46">
        <v>92</v>
      </c>
      <c r="J477" s="47">
        <v>79.636683269850593</v>
      </c>
      <c r="K477" s="47"/>
      <c r="L477" s="48">
        <v>4845</v>
      </c>
      <c r="M477" s="48">
        <v>131</v>
      </c>
      <c r="N477" s="48">
        <v>58</v>
      </c>
      <c r="O477" s="47">
        <v>97.367363344051498</v>
      </c>
      <c r="P477" s="49"/>
    </row>
    <row r="478" spans="1:16" ht="15" customHeight="1">
      <c r="A478" s="50">
        <v>472</v>
      </c>
      <c r="B478" s="51" t="s">
        <v>24</v>
      </c>
      <c r="C478" s="58" t="s">
        <v>165</v>
      </c>
      <c r="D478" s="58" t="s">
        <v>171</v>
      </c>
      <c r="E478" s="58" t="s">
        <v>171</v>
      </c>
      <c r="F478" s="59" t="s">
        <v>171</v>
      </c>
      <c r="G478" s="52">
        <v>2464</v>
      </c>
      <c r="H478" s="52">
        <v>486</v>
      </c>
      <c r="I478" s="52">
        <v>35</v>
      </c>
      <c r="J478" s="53">
        <v>83.525423728813607</v>
      </c>
      <c r="K478" s="53">
        <f>G478+H478+I478</f>
        <v>2985</v>
      </c>
      <c r="L478" s="54">
        <v>1839</v>
      </c>
      <c r="M478" s="54">
        <v>63</v>
      </c>
      <c r="N478" s="54">
        <v>10</v>
      </c>
      <c r="O478" s="53">
        <v>96.687697160883303</v>
      </c>
      <c r="P478" s="55">
        <f>L478+M478+N478</f>
        <v>1912</v>
      </c>
    </row>
    <row r="479" spans="1:16" ht="15" hidden="1" customHeight="1">
      <c r="A479" s="43">
        <v>473</v>
      </c>
      <c r="B479" s="44" t="s">
        <v>24</v>
      </c>
      <c r="C479" s="44" t="s">
        <v>165</v>
      </c>
      <c r="D479" s="44" t="s">
        <v>171</v>
      </c>
      <c r="E479" s="44" t="s">
        <v>171</v>
      </c>
      <c r="F479" s="45" t="s">
        <v>18</v>
      </c>
      <c r="G479" s="46"/>
      <c r="H479" s="46"/>
      <c r="I479" s="46"/>
      <c r="J479" s="47"/>
      <c r="K479" s="47"/>
      <c r="L479" s="48"/>
      <c r="M479" s="48"/>
      <c r="N479" s="48"/>
      <c r="O479" s="47"/>
      <c r="P479" s="49"/>
    </row>
    <row r="480" spans="1:16" ht="15" hidden="1" customHeight="1">
      <c r="A480" s="43">
        <v>474</v>
      </c>
      <c r="B480" s="44" t="s">
        <v>24</v>
      </c>
      <c r="C480" s="44" t="s">
        <v>165</v>
      </c>
      <c r="D480" s="44" t="s">
        <v>171</v>
      </c>
      <c r="E480" s="44" t="s">
        <v>171</v>
      </c>
      <c r="F480" s="45" t="s">
        <v>19</v>
      </c>
      <c r="G480" s="46">
        <v>2464</v>
      </c>
      <c r="H480" s="46">
        <v>486</v>
      </c>
      <c r="I480" s="46">
        <v>35</v>
      </c>
      <c r="J480" s="47">
        <v>83.525423728813607</v>
      </c>
      <c r="K480" s="47"/>
      <c r="L480" s="48">
        <v>1839</v>
      </c>
      <c r="M480" s="48">
        <v>63</v>
      </c>
      <c r="N480" s="48">
        <v>10</v>
      </c>
      <c r="O480" s="47">
        <v>96.687697160883303</v>
      </c>
      <c r="P480" s="49"/>
    </row>
    <row r="481" spans="1:16" ht="15" customHeight="1">
      <c r="A481" s="50">
        <v>475</v>
      </c>
      <c r="B481" s="51" t="s">
        <v>24</v>
      </c>
      <c r="C481" s="58" t="s">
        <v>165</v>
      </c>
      <c r="D481" s="58" t="s">
        <v>171</v>
      </c>
      <c r="E481" s="58" t="s">
        <v>172</v>
      </c>
      <c r="F481" s="59" t="s">
        <v>172</v>
      </c>
      <c r="G481" s="52">
        <v>1166</v>
      </c>
      <c r="H481" s="52">
        <v>305</v>
      </c>
      <c r="I481" s="52">
        <v>24</v>
      </c>
      <c r="J481" s="53">
        <v>79.265805574439199</v>
      </c>
      <c r="K481" s="53">
        <f>G481+H481+I481</f>
        <v>1495</v>
      </c>
      <c r="L481" s="54">
        <v>1130</v>
      </c>
      <c r="M481" s="54">
        <v>17</v>
      </c>
      <c r="N481" s="54">
        <v>10</v>
      </c>
      <c r="O481" s="53">
        <v>98.517872711421106</v>
      </c>
      <c r="P481" s="55">
        <f>L481+M481+N481</f>
        <v>1157</v>
      </c>
    </row>
    <row r="482" spans="1:16" ht="15" hidden="1" customHeight="1">
      <c r="A482" s="43">
        <v>476</v>
      </c>
      <c r="B482" s="44" t="s">
        <v>24</v>
      </c>
      <c r="C482" s="44" t="s">
        <v>165</v>
      </c>
      <c r="D482" s="44" t="s">
        <v>171</v>
      </c>
      <c r="E482" s="44" t="s">
        <v>172</v>
      </c>
      <c r="F482" s="45" t="s">
        <v>18</v>
      </c>
      <c r="G482" s="46"/>
      <c r="H482" s="46"/>
      <c r="I482" s="46"/>
      <c r="J482" s="47"/>
      <c r="K482" s="47"/>
      <c r="L482" s="48"/>
      <c r="M482" s="48"/>
      <c r="N482" s="48"/>
      <c r="O482" s="47"/>
      <c r="P482" s="49"/>
    </row>
    <row r="483" spans="1:16" ht="15" hidden="1" customHeight="1">
      <c r="A483" s="43">
        <v>477</v>
      </c>
      <c r="B483" s="44" t="s">
        <v>24</v>
      </c>
      <c r="C483" s="44" t="s">
        <v>165</v>
      </c>
      <c r="D483" s="44" t="s">
        <v>171</v>
      </c>
      <c r="E483" s="44" t="s">
        <v>172</v>
      </c>
      <c r="F483" s="45" t="s">
        <v>19</v>
      </c>
      <c r="G483" s="46">
        <v>1166</v>
      </c>
      <c r="H483" s="46">
        <v>305</v>
      </c>
      <c r="I483" s="46">
        <v>24</v>
      </c>
      <c r="J483" s="47">
        <v>79.265805574439199</v>
      </c>
      <c r="K483" s="47"/>
      <c r="L483" s="48">
        <v>1130</v>
      </c>
      <c r="M483" s="48">
        <v>17</v>
      </c>
      <c r="N483" s="48">
        <v>10</v>
      </c>
      <c r="O483" s="47">
        <v>98.517872711421106</v>
      </c>
      <c r="P483" s="49"/>
    </row>
    <row r="484" spans="1:16" ht="15" customHeight="1">
      <c r="A484" s="50">
        <v>478</v>
      </c>
      <c r="B484" s="51" t="s">
        <v>24</v>
      </c>
      <c r="C484" s="58" t="s">
        <v>165</v>
      </c>
      <c r="D484" s="58" t="s">
        <v>171</v>
      </c>
      <c r="E484" s="58" t="s">
        <v>173</v>
      </c>
      <c r="F484" s="59" t="s">
        <v>173</v>
      </c>
      <c r="G484" s="52">
        <v>1806</v>
      </c>
      <c r="H484" s="52">
        <v>599</v>
      </c>
      <c r="I484" s="52">
        <v>33</v>
      </c>
      <c r="J484" s="53">
        <v>75.093555093555096</v>
      </c>
      <c r="K484" s="53">
        <f>G484+H484+I484</f>
        <v>2438</v>
      </c>
      <c r="L484" s="54">
        <v>1876</v>
      </c>
      <c r="M484" s="54">
        <v>51</v>
      </c>
      <c r="N484" s="54">
        <v>38</v>
      </c>
      <c r="O484" s="53">
        <v>97.353399065905506</v>
      </c>
      <c r="P484" s="55">
        <f>L484+M484+N484</f>
        <v>1965</v>
      </c>
    </row>
    <row r="485" spans="1:16" ht="15" hidden="1" customHeight="1">
      <c r="A485" s="43">
        <v>479</v>
      </c>
      <c r="B485" s="44" t="s">
        <v>24</v>
      </c>
      <c r="C485" s="44" t="s">
        <v>165</v>
      </c>
      <c r="D485" s="44" t="s">
        <v>171</v>
      </c>
      <c r="E485" s="44" t="s">
        <v>173</v>
      </c>
      <c r="F485" s="45" t="s">
        <v>18</v>
      </c>
      <c r="G485" s="46"/>
      <c r="H485" s="46"/>
      <c r="I485" s="46"/>
      <c r="J485" s="47"/>
      <c r="K485" s="47"/>
      <c r="L485" s="48"/>
      <c r="M485" s="48"/>
      <c r="N485" s="48"/>
      <c r="O485" s="47"/>
      <c r="P485" s="49"/>
    </row>
    <row r="486" spans="1:16" ht="15" hidden="1" customHeight="1">
      <c r="A486" s="43">
        <v>480</v>
      </c>
      <c r="B486" s="44" t="s">
        <v>24</v>
      </c>
      <c r="C486" s="44" t="s">
        <v>165</v>
      </c>
      <c r="D486" s="44" t="s">
        <v>171</v>
      </c>
      <c r="E486" s="44" t="s">
        <v>173</v>
      </c>
      <c r="F486" s="45" t="s">
        <v>19</v>
      </c>
      <c r="G486" s="46">
        <v>1806</v>
      </c>
      <c r="H486" s="46">
        <v>599</v>
      </c>
      <c r="I486" s="46">
        <v>33</v>
      </c>
      <c r="J486" s="47">
        <v>75.093555093555096</v>
      </c>
      <c r="K486" s="47"/>
      <c r="L486" s="48">
        <v>1876</v>
      </c>
      <c r="M486" s="48">
        <v>51</v>
      </c>
      <c r="N486" s="48">
        <v>38</v>
      </c>
      <c r="O486" s="47">
        <v>97.353399065905506</v>
      </c>
      <c r="P486" s="49"/>
    </row>
    <row r="487" spans="1:16" ht="15" hidden="1" customHeight="1">
      <c r="A487" s="37">
        <v>481</v>
      </c>
      <c r="B487" s="38" t="s">
        <v>22</v>
      </c>
      <c r="C487" s="57" t="s">
        <v>165</v>
      </c>
      <c r="D487" s="57" t="s">
        <v>174</v>
      </c>
      <c r="E487" s="57"/>
      <c r="F487" s="38" t="s">
        <v>174</v>
      </c>
      <c r="G487" s="39">
        <v>3385</v>
      </c>
      <c r="H487" s="39">
        <v>346</v>
      </c>
      <c r="I487" s="39">
        <v>53</v>
      </c>
      <c r="J487" s="40">
        <v>90.726346823907804</v>
      </c>
      <c r="K487" s="40"/>
      <c r="L487" s="41">
        <v>4057</v>
      </c>
      <c r="M487" s="41">
        <v>102</v>
      </c>
      <c r="N487" s="41">
        <v>27</v>
      </c>
      <c r="O487" s="40">
        <v>97.547487376773304</v>
      </c>
      <c r="P487" s="42"/>
    </row>
    <row r="488" spans="1:16" ht="15" hidden="1" customHeight="1">
      <c r="A488" s="43">
        <v>482</v>
      </c>
      <c r="B488" s="44" t="s">
        <v>22</v>
      </c>
      <c r="C488" s="44" t="s">
        <v>165</v>
      </c>
      <c r="D488" s="44" t="s">
        <v>174</v>
      </c>
      <c r="E488" s="44"/>
      <c r="F488" s="45" t="s">
        <v>18</v>
      </c>
      <c r="G488" s="46">
        <v>633</v>
      </c>
      <c r="H488" s="46">
        <v>44</v>
      </c>
      <c r="I488" s="46">
        <v>4</v>
      </c>
      <c r="J488" s="47">
        <v>93.500738552437198</v>
      </c>
      <c r="K488" s="47"/>
      <c r="L488" s="48">
        <v>2168</v>
      </c>
      <c r="M488" s="48">
        <v>52</v>
      </c>
      <c r="N488" s="48">
        <v>10</v>
      </c>
      <c r="O488" s="47">
        <v>97.657657657657694</v>
      </c>
      <c r="P488" s="49"/>
    </row>
    <row r="489" spans="1:16" ht="15" hidden="1" customHeight="1">
      <c r="A489" s="43">
        <v>483</v>
      </c>
      <c r="B489" s="44" t="s">
        <v>22</v>
      </c>
      <c r="C489" s="44" t="s">
        <v>165</v>
      </c>
      <c r="D489" s="44" t="s">
        <v>174</v>
      </c>
      <c r="E489" s="44"/>
      <c r="F489" s="45" t="s">
        <v>19</v>
      </c>
      <c r="G489" s="46">
        <v>2752</v>
      </c>
      <c r="H489" s="46">
        <v>302</v>
      </c>
      <c r="I489" s="46">
        <v>49</v>
      </c>
      <c r="J489" s="47">
        <v>90.1113294040602</v>
      </c>
      <c r="K489" s="47"/>
      <c r="L489" s="48">
        <v>1889</v>
      </c>
      <c r="M489" s="48">
        <v>50</v>
      </c>
      <c r="N489" s="48">
        <v>17</v>
      </c>
      <c r="O489" s="47">
        <v>97.421351211964904</v>
      </c>
      <c r="P489" s="49"/>
    </row>
    <row r="490" spans="1:16" ht="15" customHeight="1">
      <c r="A490" s="50">
        <v>484</v>
      </c>
      <c r="B490" s="51" t="s">
        <v>24</v>
      </c>
      <c r="C490" s="58" t="s">
        <v>165</v>
      </c>
      <c r="D490" s="58" t="s">
        <v>174</v>
      </c>
      <c r="E490" s="58" t="s">
        <v>175</v>
      </c>
      <c r="F490" s="59" t="s">
        <v>175</v>
      </c>
      <c r="G490" s="52">
        <v>701</v>
      </c>
      <c r="H490" s="52">
        <v>54</v>
      </c>
      <c r="I490" s="52">
        <v>6</v>
      </c>
      <c r="J490" s="53">
        <v>92.847682119205302</v>
      </c>
      <c r="K490" s="53">
        <f>G490+H490+I490</f>
        <v>761</v>
      </c>
      <c r="L490" s="54">
        <v>797</v>
      </c>
      <c r="M490" s="54">
        <v>17</v>
      </c>
      <c r="N490" s="54">
        <v>1</v>
      </c>
      <c r="O490" s="53">
        <v>97.911547911547899</v>
      </c>
      <c r="P490" s="55">
        <f>L490+M490+N490</f>
        <v>815</v>
      </c>
    </row>
    <row r="491" spans="1:16" ht="15" hidden="1" customHeight="1">
      <c r="A491" s="43">
        <v>485</v>
      </c>
      <c r="B491" s="44" t="s">
        <v>24</v>
      </c>
      <c r="C491" s="44" t="s">
        <v>165</v>
      </c>
      <c r="D491" s="44" t="s">
        <v>174</v>
      </c>
      <c r="E491" s="44" t="s">
        <v>175</v>
      </c>
      <c r="F491" s="45" t="s">
        <v>18</v>
      </c>
      <c r="G491" s="46">
        <v>298</v>
      </c>
      <c r="H491" s="46">
        <v>14</v>
      </c>
      <c r="I491" s="46">
        <v>0</v>
      </c>
      <c r="J491" s="47">
        <v>95.512820512820497</v>
      </c>
      <c r="K491" s="47"/>
      <c r="L491" s="48">
        <v>260</v>
      </c>
      <c r="M491" s="48">
        <v>8</v>
      </c>
      <c r="N491" s="48">
        <v>0</v>
      </c>
      <c r="O491" s="47">
        <v>97.014925373134304</v>
      </c>
      <c r="P491" s="49"/>
    </row>
    <row r="492" spans="1:16" ht="15" hidden="1" customHeight="1">
      <c r="A492" s="43">
        <v>486</v>
      </c>
      <c r="B492" s="44" t="s">
        <v>24</v>
      </c>
      <c r="C492" s="44" t="s">
        <v>165</v>
      </c>
      <c r="D492" s="44" t="s">
        <v>174</v>
      </c>
      <c r="E492" s="44" t="s">
        <v>175</v>
      </c>
      <c r="F492" s="45" t="s">
        <v>19</v>
      </c>
      <c r="G492" s="46">
        <v>403</v>
      </c>
      <c r="H492" s="46">
        <v>40</v>
      </c>
      <c r="I492" s="46">
        <v>6</v>
      </c>
      <c r="J492" s="47">
        <v>90.970654627539503</v>
      </c>
      <c r="K492" s="47"/>
      <c r="L492" s="48">
        <v>537</v>
      </c>
      <c r="M492" s="48">
        <v>9</v>
      </c>
      <c r="N492" s="48">
        <v>1</v>
      </c>
      <c r="O492" s="47">
        <v>98.351648351648393</v>
      </c>
      <c r="P492" s="49"/>
    </row>
    <row r="493" spans="1:16" ht="15" customHeight="1">
      <c r="A493" s="50">
        <v>487</v>
      </c>
      <c r="B493" s="51" t="s">
        <v>24</v>
      </c>
      <c r="C493" s="58" t="s">
        <v>165</v>
      </c>
      <c r="D493" s="58" t="s">
        <v>174</v>
      </c>
      <c r="E493" s="58" t="s">
        <v>176</v>
      </c>
      <c r="F493" s="59" t="s">
        <v>176</v>
      </c>
      <c r="G493" s="52">
        <v>726</v>
      </c>
      <c r="H493" s="52">
        <v>83</v>
      </c>
      <c r="I493" s="52">
        <v>15</v>
      </c>
      <c r="J493" s="53">
        <v>89.740420271940707</v>
      </c>
      <c r="K493" s="53">
        <f>G493+H493+I493</f>
        <v>824</v>
      </c>
      <c r="L493" s="54">
        <v>449</v>
      </c>
      <c r="M493" s="54">
        <v>7</v>
      </c>
      <c r="N493" s="54">
        <v>12</v>
      </c>
      <c r="O493" s="53">
        <v>98.464912280701796</v>
      </c>
      <c r="P493" s="55">
        <f>L493+M493+N493</f>
        <v>468</v>
      </c>
    </row>
    <row r="494" spans="1:16" ht="15" hidden="1" customHeight="1">
      <c r="A494" s="43">
        <v>488</v>
      </c>
      <c r="B494" s="44" t="s">
        <v>24</v>
      </c>
      <c r="C494" s="44" t="s">
        <v>165</v>
      </c>
      <c r="D494" s="44" t="s">
        <v>174</v>
      </c>
      <c r="E494" s="44" t="s">
        <v>176</v>
      </c>
      <c r="F494" s="45" t="s">
        <v>18</v>
      </c>
      <c r="G494" s="46"/>
      <c r="H494" s="46"/>
      <c r="I494" s="46"/>
      <c r="J494" s="47"/>
      <c r="K494" s="47"/>
      <c r="L494" s="48"/>
      <c r="M494" s="48"/>
      <c r="N494" s="48"/>
      <c r="O494" s="47"/>
      <c r="P494" s="49"/>
    </row>
    <row r="495" spans="1:16" ht="15" hidden="1" customHeight="1">
      <c r="A495" s="43">
        <v>489</v>
      </c>
      <c r="B495" s="44" t="s">
        <v>24</v>
      </c>
      <c r="C495" s="44" t="s">
        <v>165</v>
      </c>
      <c r="D495" s="44" t="s">
        <v>174</v>
      </c>
      <c r="E495" s="44" t="s">
        <v>176</v>
      </c>
      <c r="F495" s="45" t="s">
        <v>19</v>
      </c>
      <c r="G495" s="46">
        <v>726</v>
      </c>
      <c r="H495" s="46">
        <v>83</v>
      </c>
      <c r="I495" s="46">
        <v>15</v>
      </c>
      <c r="J495" s="47">
        <v>89.740420271940707</v>
      </c>
      <c r="K495" s="47"/>
      <c r="L495" s="48">
        <v>449</v>
      </c>
      <c r="M495" s="48">
        <v>7</v>
      </c>
      <c r="N495" s="48">
        <v>12</v>
      </c>
      <c r="O495" s="47">
        <v>98.464912280701796</v>
      </c>
      <c r="P495" s="49"/>
    </row>
    <row r="496" spans="1:16" ht="15" customHeight="1">
      <c r="A496" s="50">
        <v>490</v>
      </c>
      <c r="B496" s="51" t="s">
        <v>24</v>
      </c>
      <c r="C496" s="58" t="s">
        <v>165</v>
      </c>
      <c r="D496" s="58" t="s">
        <v>174</v>
      </c>
      <c r="E496" s="58" t="s">
        <v>177</v>
      </c>
      <c r="F496" s="59" t="s">
        <v>177</v>
      </c>
      <c r="G496" s="52">
        <v>1550</v>
      </c>
      <c r="H496" s="52">
        <v>156</v>
      </c>
      <c r="I496" s="52">
        <v>23</v>
      </c>
      <c r="J496" s="53">
        <v>90.855803048065695</v>
      </c>
      <c r="K496" s="53">
        <f>G496+H496+I496</f>
        <v>1729</v>
      </c>
      <c r="L496" s="54">
        <v>2510</v>
      </c>
      <c r="M496" s="54">
        <v>69</v>
      </c>
      <c r="N496" s="54">
        <v>13</v>
      </c>
      <c r="O496" s="53">
        <v>97.324544397053103</v>
      </c>
      <c r="P496" s="55">
        <f>L496+M496+N496</f>
        <v>2592</v>
      </c>
    </row>
    <row r="497" spans="1:16" ht="15" hidden="1" customHeight="1">
      <c r="A497" s="43">
        <v>491</v>
      </c>
      <c r="B497" s="44" t="s">
        <v>24</v>
      </c>
      <c r="C497" s="44" t="s">
        <v>165</v>
      </c>
      <c r="D497" s="44" t="s">
        <v>174</v>
      </c>
      <c r="E497" s="44" t="s">
        <v>177</v>
      </c>
      <c r="F497" s="45" t="s">
        <v>18</v>
      </c>
      <c r="G497" s="46">
        <v>335</v>
      </c>
      <c r="H497" s="46">
        <v>30</v>
      </c>
      <c r="I497" s="46">
        <v>4</v>
      </c>
      <c r="J497" s="47">
        <v>91.780821917808197</v>
      </c>
      <c r="K497" s="47"/>
      <c r="L497" s="48">
        <v>1908</v>
      </c>
      <c r="M497" s="48">
        <v>44</v>
      </c>
      <c r="N497" s="48">
        <v>10</v>
      </c>
      <c r="O497" s="47">
        <v>97.745901639344297</v>
      </c>
      <c r="P497" s="49"/>
    </row>
    <row r="498" spans="1:16" ht="15" hidden="1" customHeight="1">
      <c r="A498" s="43">
        <v>492</v>
      </c>
      <c r="B498" s="44" t="s">
        <v>24</v>
      </c>
      <c r="C498" s="44" t="s">
        <v>165</v>
      </c>
      <c r="D498" s="44" t="s">
        <v>174</v>
      </c>
      <c r="E498" s="44" t="s">
        <v>177</v>
      </c>
      <c r="F498" s="45" t="s">
        <v>19</v>
      </c>
      <c r="G498" s="46">
        <v>1215</v>
      </c>
      <c r="H498" s="46">
        <v>126</v>
      </c>
      <c r="I498" s="46">
        <v>19</v>
      </c>
      <c r="J498" s="47">
        <v>90.604026845637605</v>
      </c>
      <c r="K498" s="47"/>
      <c r="L498" s="48">
        <v>602</v>
      </c>
      <c r="M498" s="48">
        <v>25</v>
      </c>
      <c r="N498" s="48">
        <v>3</v>
      </c>
      <c r="O498" s="47">
        <v>96.012759170653894</v>
      </c>
      <c r="P498" s="49"/>
    </row>
    <row r="499" spans="1:16" ht="15" customHeight="1">
      <c r="A499" s="50">
        <v>493</v>
      </c>
      <c r="B499" s="51" t="s">
        <v>24</v>
      </c>
      <c r="C499" s="58" t="s">
        <v>165</v>
      </c>
      <c r="D499" s="58" t="s">
        <v>174</v>
      </c>
      <c r="E499" s="58" t="s">
        <v>178</v>
      </c>
      <c r="F499" s="59" t="s">
        <v>178</v>
      </c>
      <c r="G499" s="52">
        <v>408</v>
      </c>
      <c r="H499" s="52">
        <v>53</v>
      </c>
      <c r="I499" s="52">
        <v>9</v>
      </c>
      <c r="J499" s="53">
        <v>88.503253796095393</v>
      </c>
      <c r="K499" s="53">
        <f>G499+H499+I499</f>
        <v>470</v>
      </c>
      <c r="L499" s="54">
        <v>301</v>
      </c>
      <c r="M499" s="54">
        <v>9</v>
      </c>
      <c r="N499" s="54">
        <v>1</v>
      </c>
      <c r="O499" s="53">
        <v>97.096774193548399</v>
      </c>
      <c r="P499" s="55">
        <f>L499+M499+N499</f>
        <v>311</v>
      </c>
    </row>
    <row r="500" spans="1:16" ht="15" hidden="1" customHeight="1">
      <c r="A500" s="43">
        <v>494</v>
      </c>
      <c r="B500" s="44" t="s">
        <v>24</v>
      </c>
      <c r="C500" s="44" t="s">
        <v>165</v>
      </c>
      <c r="D500" s="44" t="s">
        <v>174</v>
      </c>
      <c r="E500" s="44" t="s">
        <v>178</v>
      </c>
      <c r="F500" s="45" t="s">
        <v>18</v>
      </c>
      <c r="G500" s="46"/>
      <c r="H500" s="46"/>
      <c r="I500" s="46"/>
      <c r="J500" s="47"/>
      <c r="K500" s="47"/>
      <c r="L500" s="48"/>
      <c r="M500" s="48"/>
      <c r="N500" s="48"/>
      <c r="O500" s="47"/>
      <c r="P500" s="49"/>
    </row>
    <row r="501" spans="1:16" ht="15" hidden="1" customHeight="1">
      <c r="A501" s="43">
        <v>495</v>
      </c>
      <c r="B501" s="44" t="s">
        <v>24</v>
      </c>
      <c r="C501" s="44" t="s">
        <v>165</v>
      </c>
      <c r="D501" s="44" t="s">
        <v>174</v>
      </c>
      <c r="E501" s="44" t="s">
        <v>178</v>
      </c>
      <c r="F501" s="45" t="s">
        <v>19</v>
      </c>
      <c r="G501" s="46">
        <v>408</v>
      </c>
      <c r="H501" s="46">
        <v>53</v>
      </c>
      <c r="I501" s="46">
        <v>9</v>
      </c>
      <c r="J501" s="47">
        <v>88.503253796095393</v>
      </c>
      <c r="K501" s="47"/>
      <c r="L501" s="48">
        <v>301</v>
      </c>
      <c r="M501" s="48">
        <v>9</v>
      </c>
      <c r="N501" s="48">
        <v>1</v>
      </c>
      <c r="O501" s="47">
        <v>97.096774193548399</v>
      </c>
      <c r="P501" s="49"/>
    </row>
    <row r="502" spans="1:16" ht="15" hidden="1" customHeight="1">
      <c r="A502" s="37">
        <v>496</v>
      </c>
      <c r="B502" s="38" t="s">
        <v>22</v>
      </c>
      <c r="C502" s="57" t="s">
        <v>165</v>
      </c>
      <c r="D502" s="57" t="s">
        <v>179</v>
      </c>
      <c r="E502" s="57"/>
      <c r="F502" s="38" t="s">
        <v>179</v>
      </c>
      <c r="G502" s="39">
        <v>1610</v>
      </c>
      <c r="H502" s="39">
        <v>108</v>
      </c>
      <c r="I502" s="39">
        <v>33</v>
      </c>
      <c r="J502" s="40">
        <v>93.713620488940606</v>
      </c>
      <c r="K502" s="40"/>
      <c r="L502" s="41">
        <v>1228</v>
      </c>
      <c r="M502" s="41">
        <v>32</v>
      </c>
      <c r="N502" s="41">
        <v>6</v>
      </c>
      <c r="O502" s="40">
        <v>97.460317460317498</v>
      </c>
      <c r="P502" s="42"/>
    </row>
    <row r="503" spans="1:16" ht="15" hidden="1" customHeight="1">
      <c r="A503" s="43">
        <v>497</v>
      </c>
      <c r="B503" s="44" t="s">
        <v>22</v>
      </c>
      <c r="C503" s="44" t="s">
        <v>165</v>
      </c>
      <c r="D503" s="44" t="s">
        <v>179</v>
      </c>
      <c r="E503" s="44"/>
      <c r="F503" s="45" t="s">
        <v>18</v>
      </c>
      <c r="G503" s="46">
        <v>312</v>
      </c>
      <c r="H503" s="46">
        <v>18</v>
      </c>
      <c r="I503" s="46">
        <v>4</v>
      </c>
      <c r="J503" s="47">
        <v>94.545454545454504</v>
      </c>
      <c r="K503" s="47"/>
      <c r="L503" s="48">
        <v>286</v>
      </c>
      <c r="M503" s="48">
        <v>6</v>
      </c>
      <c r="N503" s="48">
        <v>0</v>
      </c>
      <c r="O503" s="47">
        <v>97.945205479452099</v>
      </c>
      <c r="P503" s="49"/>
    </row>
    <row r="504" spans="1:16" ht="15" hidden="1" customHeight="1">
      <c r="A504" s="43">
        <v>498</v>
      </c>
      <c r="B504" s="44" t="s">
        <v>22</v>
      </c>
      <c r="C504" s="44" t="s">
        <v>165</v>
      </c>
      <c r="D504" s="44" t="s">
        <v>179</v>
      </c>
      <c r="E504" s="44"/>
      <c r="F504" s="45" t="s">
        <v>19</v>
      </c>
      <c r="G504" s="46">
        <v>1298</v>
      </c>
      <c r="H504" s="46">
        <v>90</v>
      </c>
      <c r="I504" s="46">
        <v>29</v>
      </c>
      <c r="J504" s="47">
        <v>93.515850144092198</v>
      </c>
      <c r="K504" s="47"/>
      <c r="L504" s="48">
        <v>942</v>
      </c>
      <c r="M504" s="48">
        <v>26</v>
      </c>
      <c r="N504" s="48">
        <v>6</v>
      </c>
      <c r="O504" s="47">
        <v>97.314049586776903</v>
      </c>
      <c r="P504" s="49"/>
    </row>
    <row r="505" spans="1:16" ht="15" customHeight="1">
      <c r="A505" s="50">
        <v>499</v>
      </c>
      <c r="B505" s="51" t="s">
        <v>24</v>
      </c>
      <c r="C505" s="58" t="s">
        <v>165</v>
      </c>
      <c r="D505" s="58" t="s">
        <v>179</v>
      </c>
      <c r="E505" s="58" t="s">
        <v>179</v>
      </c>
      <c r="F505" s="59" t="s">
        <v>179</v>
      </c>
      <c r="G505" s="52">
        <v>785</v>
      </c>
      <c r="H505" s="52">
        <v>40</v>
      </c>
      <c r="I505" s="52">
        <v>19</v>
      </c>
      <c r="J505" s="53">
        <v>95.151515151515198</v>
      </c>
      <c r="K505" s="53">
        <f>G505+H505+I505</f>
        <v>844</v>
      </c>
      <c r="L505" s="54">
        <v>710</v>
      </c>
      <c r="M505" s="54">
        <v>17</v>
      </c>
      <c r="N505" s="54">
        <v>4</v>
      </c>
      <c r="O505" s="53">
        <v>97.661623108665793</v>
      </c>
      <c r="P505" s="55">
        <f>L505+M505+N505</f>
        <v>731</v>
      </c>
    </row>
    <row r="506" spans="1:16" ht="15" hidden="1" customHeight="1">
      <c r="A506" s="43">
        <v>500</v>
      </c>
      <c r="B506" s="44" t="s">
        <v>24</v>
      </c>
      <c r="C506" s="44" t="s">
        <v>165</v>
      </c>
      <c r="D506" s="44" t="s">
        <v>179</v>
      </c>
      <c r="E506" s="44" t="s">
        <v>179</v>
      </c>
      <c r="F506" s="45" t="s">
        <v>18</v>
      </c>
      <c r="G506" s="46">
        <v>312</v>
      </c>
      <c r="H506" s="46">
        <v>18</v>
      </c>
      <c r="I506" s="46">
        <v>4</v>
      </c>
      <c r="J506" s="47">
        <v>94.545454545454504</v>
      </c>
      <c r="K506" s="47"/>
      <c r="L506" s="48">
        <v>286</v>
      </c>
      <c r="M506" s="48">
        <v>6</v>
      </c>
      <c r="N506" s="48">
        <v>0</v>
      </c>
      <c r="O506" s="47">
        <v>97.945205479452099</v>
      </c>
      <c r="P506" s="49"/>
    </row>
    <row r="507" spans="1:16" ht="15" hidden="1" customHeight="1">
      <c r="A507" s="43">
        <v>501</v>
      </c>
      <c r="B507" s="44" t="s">
        <v>24</v>
      </c>
      <c r="C507" s="44" t="s">
        <v>165</v>
      </c>
      <c r="D507" s="44" t="s">
        <v>179</v>
      </c>
      <c r="E507" s="44" t="s">
        <v>179</v>
      </c>
      <c r="F507" s="45" t="s">
        <v>19</v>
      </c>
      <c r="G507" s="46">
        <v>473</v>
      </c>
      <c r="H507" s="46">
        <v>22</v>
      </c>
      <c r="I507" s="46">
        <v>15</v>
      </c>
      <c r="J507" s="47">
        <v>95.5555555555556</v>
      </c>
      <c r="K507" s="47"/>
      <c r="L507" s="48">
        <v>424</v>
      </c>
      <c r="M507" s="48">
        <v>11</v>
      </c>
      <c r="N507" s="48">
        <v>4</v>
      </c>
      <c r="O507" s="47">
        <v>97.471264367816104</v>
      </c>
      <c r="P507" s="49"/>
    </row>
    <row r="508" spans="1:16" ht="15" customHeight="1">
      <c r="A508" s="50">
        <v>502</v>
      </c>
      <c r="B508" s="51" t="s">
        <v>24</v>
      </c>
      <c r="C508" s="58" t="s">
        <v>165</v>
      </c>
      <c r="D508" s="58" t="s">
        <v>179</v>
      </c>
      <c r="E508" s="58" t="s">
        <v>180</v>
      </c>
      <c r="F508" s="59" t="s">
        <v>180</v>
      </c>
      <c r="G508" s="52">
        <v>825</v>
      </c>
      <c r="H508" s="52">
        <v>68</v>
      </c>
      <c r="I508" s="52">
        <v>14</v>
      </c>
      <c r="J508" s="53">
        <v>92.385218365061604</v>
      </c>
      <c r="K508" s="53">
        <f>G508+H508+I508</f>
        <v>907</v>
      </c>
      <c r="L508" s="54">
        <v>518</v>
      </c>
      <c r="M508" s="54">
        <v>15</v>
      </c>
      <c r="N508" s="54">
        <v>2</v>
      </c>
      <c r="O508" s="53">
        <v>97.185741088180094</v>
      </c>
      <c r="P508" s="55">
        <f>L508+M508+N508</f>
        <v>535</v>
      </c>
    </row>
    <row r="509" spans="1:16" ht="15" hidden="1" customHeight="1">
      <c r="A509" s="43">
        <v>503</v>
      </c>
      <c r="B509" s="44" t="s">
        <v>24</v>
      </c>
      <c r="C509" s="44" t="s">
        <v>165</v>
      </c>
      <c r="D509" s="44" t="s">
        <v>179</v>
      </c>
      <c r="E509" s="44" t="s">
        <v>180</v>
      </c>
      <c r="F509" s="45" t="s">
        <v>18</v>
      </c>
      <c r="G509" s="46"/>
      <c r="H509" s="46"/>
      <c r="I509" s="46"/>
      <c r="J509" s="47"/>
      <c r="K509" s="47"/>
      <c r="L509" s="48"/>
      <c r="M509" s="48"/>
      <c r="N509" s="48"/>
      <c r="O509" s="47"/>
      <c r="P509" s="49"/>
    </row>
    <row r="510" spans="1:16" ht="15" hidden="1" customHeight="1">
      <c r="A510" s="43">
        <v>504</v>
      </c>
      <c r="B510" s="44" t="s">
        <v>24</v>
      </c>
      <c r="C510" s="44" t="s">
        <v>165</v>
      </c>
      <c r="D510" s="44" t="s">
        <v>179</v>
      </c>
      <c r="E510" s="44" t="s">
        <v>180</v>
      </c>
      <c r="F510" s="45" t="s">
        <v>19</v>
      </c>
      <c r="G510" s="46">
        <v>825</v>
      </c>
      <c r="H510" s="46">
        <v>68</v>
      </c>
      <c r="I510" s="46">
        <v>14</v>
      </c>
      <c r="J510" s="47">
        <v>92.385218365061604</v>
      </c>
      <c r="K510" s="47"/>
      <c r="L510" s="48">
        <v>518</v>
      </c>
      <c r="M510" s="48">
        <v>15</v>
      </c>
      <c r="N510" s="48">
        <v>2</v>
      </c>
      <c r="O510" s="47">
        <v>97.185741088180094</v>
      </c>
      <c r="P510" s="49"/>
    </row>
    <row r="511" spans="1:16" ht="15" hidden="1" customHeight="1">
      <c r="A511" s="37">
        <v>505</v>
      </c>
      <c r="B511" s="38" t="s">
        <v>22</v>
      </c>
      <c r="C511" s="57" t="s">
        <v>165</v>
      </c>
      <c r="D511" s="57" t="s">
        <v>181</v>
      </c>
      <c r="E511" s="57"/>
      <c r="F511" s="38" t="s">
        <v>181</v>
      </c>
      <c r="G511" s="39">
        <v>2504</v>
      </c>
      <c r="H511" s="39">
        <v>303</v>
      </c>
      <c r="I511" s="39">
        <v>54</v>
      </c>
      <c r="J511" s="40">
        <v>89.205557534734595</v>
      </c>
      <c r="K511" s="40"/>
      <c r="L511" s="41">
        <v>1911</v>
      </c>
      <c r="M511" s="41">
        <v>21</v>
      </c>
      <c r="N511" s="41">
        <v>36</v>
      </c>
      <c r="O511" s="40">
        <v>98.913043478260903</v>
      </c>
      <c r="P511" s="42"/>
    </row>
    <row r="512" spans="1:16" ht="15" hidden="1" customHeight="1">
      <c r="A512" s="43">
        <v>506</v>
      </c>
      <c r="B512" s="44" t="s">
        <v>22</v>
      </c>
      <c r="C512" s="44" t="s">
        <v>165</v>
      </c>
      <c r="D512" s="44" t="s">
        <v>181</v>
      </c>
      <c r="E512" s="44"/>
      <c r="F512" s="45" t="s">
        <v>18</v>
      </c>
      <c r="G512" s="46"/>
      <c r="H512" s="46"/>
      <c r="I512" s="46"/>
      <c r="J512" s="47"/>
      <c r="K512" s="47"/>
      <c r="L512" s="48"/>
      <c r="M512" s="48"/>
      <c r="N512" s="48"/>
      <c r="O512" s="47"/>
      <c r="P512" s="49"/>
    </row>
    <row r="513" spans="1:16" ht="15" hidden="1" customHeight="1">
      <c r="A513" s="43">
        <v>507</v>
      </c>
      <c r="B513" s="44" t="s">
        <v>22</v>
      </c>
      <c r="C513" s="44" t="s">
        <v>165</v>
      </c>
      <c r="D513" s="44" t="s">
        <v>181</v>
      </c>
      <c r="E513" s="44"/>
      <c r="F513" s="45" t="s">
        <v>19</v>
      </c>
      <c r="G513" s="46">
        <v>2504</v>
      </c>
      <c r="H513" s="46">
        <v>303</v>
      </c>
      <c r="I513" s="46">
        <v>54</v>
      </c>
      <c r="J513" s="47">
        <v>89.205557534734595</v>
      </c>
      <c r="K513" s="47"/>
      <c r="L513" s="48">
        <v>1911</v>
      </c>
      <c r="M513" s="48">
        <v>21</v>
      </c>
      <c r="N513" s="48">
        <v>36</v>
      </c>
      <c r="O513" s="47">
        <v>98.913043478260903</v>
      </c>
      <c r="P513" s="49"/>
    </row>
    <row r="514" spans="1:16" ht="15" customHeight="1">
      <c r="A514" s="50">
        <v>508</v>
      </c>
      <c r="B514" s="51" t="s">
        <v>24</v>
      </c>
      <c r="C514" s="58" t="s">
        <v>165</v>
      </c>
      <c r="D514" s="58" t="s">
        <v>181</v>
      </c>
      <c r="E514" s="58" t="s">
        <v>181</v>
      </c>
      <c r="F514" s="59" t="s">
        <v>181</v>
      </c>
      <c r="G514" s="52">
        <v>1405</v>
      </c>
      <c r="H514" s="52">
        <v>198</v>
      </c>
      <c r="I514" s="52">
        <v>26</v>
      </c>
      <c r="J514" s="53">
        <v>87.648159700561493</v>
      </c>
      <c r="K514" s="53">
        <f>G514+H514+I514</f>
        <v>1629</v>
      </c>
      <c r="L514" s="54">
        <v>1123</v>
      </c>
      <c r="M514" s="54">
        <v>11</v>
      </c>
      <c r="N514" s="54">
        <v>15</v>
      </c>
      <c r="O514" s="53">
        <v>99.029982363315696</v>
      </c>
      <c r="P514" s="55">
        <f>L514+M514+N514</f>
        <v>1149</v>
      </c>
    </row>
    <row r="515" spans="1:16" ht="15" hidden="1" customHeight="1">
      <c r="A515" s="43">
        <v>509</v>
      </c>
      <c r="B515" s="44" t="s">
        <v>24</v>
      </c>
      <c r="C515" s="44" t="s">
        <v>165</v>
      </c>
      <c r="D515" s="44" t="s">
        <v>181</v>
      </c>
      <c r="E515" s="44" t="s">
        <v>181</v>
      </c>
      <c r="F515" s="45" t="s">
        <v>18</v>
      </c>
      <c r="G515" s="46"/>
      <c r="H515" s="46"/>
      <c r="I515" s="46"/>
      <c r="J515" s="47"/>
      <c r="K515" s="47"/>
      <c r="L515" s="48"/>
      <c r="M515" s="48"/>
      <c r="N515" s="48"/>
      <c r="O515" s="47"/>
      <c r="P515" s="49"/>
    </row>
    <row r="516" spans="1:16" ht="15" hidden="1" customHeight="1">
      <c r="A516" s="43">
        <v>510</v>
      </c>
      <c r="B516" s="44" t="s">
        <v>24</v>
      </c>
      <c r="C516" s="44" t="s">
        <v>165</v>
      </c>
      <c r="D516" s="44" t="s">
        <v>181</v>
      </c>
      <c r="E516" s="44" t="s">
        <v>181</v>
      </c>
      <c r="F516" s="45" t="s">
        <v>19</v>
      </c>
      <c r="G516" s="46">
        <v>1405</v>
      </c>
      <c r="H516" s="46">
        <v>198</v>
      </c>
      <c r="I516" s="46">
        <v>26</v>
      </c>
      <c r="J516" s="47">
        <v>87.648159700561493</v>
      </c>
      <c r="K516" s="47"/>
      <c r="L516" s="48">
        <v>1123</v>
      </c>
      <c r="M516" s="48">
        <v>11</v>
      </c>
      <c r="N516" s="48">
        <v>15</v>
      </c>
      <c r="O516" s="47">
        <v>99.029982363315696</v>
      </c>
      <c r="P516" s="49"/>
    </row>
    <row r="517" spans="1:16" ht="15" customHeight="1">
      <c r="A517" s="50">
        <v>511</v>
      </c>
      <c r="B517" s="51" t="s">
        <v>24</v>
      </c>
      <c r="C517" s="58" t="s">
        <v>165</v>
      </c>
      <c r="D517" s="58" t="s">
        <v>181</v>
      </c>
      <c r="E517" s="58" t="s">
        <v>182</v>
      </c>
      <c r="F517" s="59" t="s">
        <v>182</v>
      </c>
      <c r="G517" s="52">
        <v>1099</v>
      </c>
      <c r="H517" s="52">
        <v>105</v>
      </c>
      <c r="I517" s="52">
        <v>28</v>
      </c>
      <c r="J517" s="53">
        <v>91.279069767441896</v>
      </c>
      <c r="K517" s="53">
        <f>G517+H517+I517</f>
        <v>1232</v>
      </c>
      <c r="L517" s="54">
        <v>788</v>
      </c>
      <c r="M517" s="54">
        <v>10</v>
      </c>
      <c r="N517" s="54">
        <v>21</v>
      </c>
      <c r="O517" s="53">
        <v>98.746867167919802</v>
      </c>
      <c r="P517" s="55">
        <f>L517+M517+N517</f>
        <v>819</v>
      </c>
    </row>
    <row r="518" spans="1:16" ht="15" hidden="1" customHeight="1">
      <c r="A518" s="43">
        <v>512</v>
      </c>
      <c r="B518" s="44" t="s">
        <v>24</v>
      </c>
      <c r="C518" s="44" t="s">
        <v>165</v>
      </c>
      <c r="D518" s="44" t="s">
        <v>181</v>
      </c>
      <c r="E518" s="44" t="s">
        <v>182</v>
      </c>
      <c r="F518" s="45" t="s">
        <v>18</v>
      </c>
      <c r="G518" s="46"/>
      <c r="H518" s="46"/>
      <c r="I518" s="46"/>
      <c r="J518" s="47"/>
      <c r="K518" s="47"/>
      <c r="L518" s="48"/>
      <c r="M518" s="48"/>
      <c r="N518" s="48"/>
      <c r="O518" s="47"/>
      <c r="P518" s="49"/>
    </row>
    <row r="519" spans="1:16" ht="15" hidden="1" customHeight="1">
      <c r="A519" s="43">
        <v>513</v>
      </c>
      <c r="B519" s="44" t="s">
        <v>24</v>
      </c>
      <c r="C519" s="44" t="s">
        <v>165</v>
      </c>
      <c r="D519" s="44" t="s">
        <v>181</v>
      </c>
      <c r="E519" s="44" t="s">
        <v>182</v>
      </c>
      <c r="F519" s="45" t="s">
        <v>19</v>
      </c>
      <c r="G519" s="46">
        <v>1099</v>
      </c>
      <c r="H519" s="46">
        <v>105</v>
      </c>
      <c r="I519" s="46">
        <v>28</v>
      </c>
      <c r="J519" s="47">
        <v>91.279069767441896</v>
      </c>
      <c r="K519" s="47"/>
      <c r="L519" s="48">
        <v>788</v>
      </c>
      <c r="M519" s="48">
        <v>10</v>
      </c>
      <c r="N519" s="48">
        <v>21</v>
      </c>
      <c r="O519" s="47">
        <v>98.746867167919802</v>
      </c>
      <c r="P519" s="49"/>
    </row>
    <row r="520" spans="1:16" ht="15" hidden="1" customHeight="1">
      <c r="A520" s="37">
        <v>514</v>
      </c>
      <c r="B520" s="38" t="s">
        <v>22</v>
      </c>
      <c r="C520" s="57" t="s">
        <v>165</v>
      </c>
      <c r="D520" s="57" t="s">
        <v>183</v>
      </c>
      <c r="E520" s="57"/>
      <c r="F520" s="38" t="s">
        <v>183</v>
      </c>
      <c r="G520" s="39">
        <v>3057</v>
      </c>
      <c r="H520" s="39">
        <v>194</v>
      </c>
      <c r="I520" s="39">
        <v>50</v>
      </c>
      <c r="J520" s="40">
        <v>94.032605352199297</v>
      </c>
      <c r="K520" s="40"/>
      <c r="L520" s="41">
        <v>2403</v>
      </c>
      <c r="M520" s="41">
        <v>36</v>
      </c>
      <c r="N520" s="41">
        <v>14</v>
      </c>
      <c r="O520" s="40">
        <v>98.523985239852394</v>
      </c>
      <c r="P520" s="42"/>
    </row>
    <row r="521" spans="1:16" ht="15" hidden="1" customHeight="1">
      <c r="A521" s="43">
        <v>515</v>
      </c>
      <c r="B521" s="44" t="s">
        <v>22</v>
      </c>
      <c r="C521" s="44" t="s">
        <v>165</v>
      </c>
      <c r="D521" s="44" t="s">
        <v>183</v>
      </c>
      <c r="E521" s="44"/>
      <c r="F521" s="45" t="s">
        <v>18</v>
      </c>
      <c r="G521" s="46">
        <v>1016</v>
      </c>
      <c r="H521" s="46">
        <v>50</v>
      </c>
      <c r="I521" s="46">
        <v>22</v>
      </c>
      <c r="J521" s="47">
        <v>95.3095684803002</v>
      </c>
      <c r="K521" s="47"/>
      <c r="L521" s="48">
        <v>665</v>
      </c>
      <c r="M521" s="48">
        <v>6</v>
      </c>
      <c r="N521" s="48">
        <v>7</v>
      </c>
      <c r="O521" s="47">
        <v>99.105812220566307</v>
      </c>
      <c r="P521" s="49"/>
    </row>
    <row r="522" spans="1:16" ht="15" hidden="1" customHeight="1">
      <c r="A522" s="43">
        <v>516</v>
      </c>
      <c r="B522" s="44" t="s">
        <v>22</v>
      </c>
      <c r="C522" s="44" t="s">
        <v>165</v>
      </c>
      <c r="D522" s="44" t="s">
        <v>183</v>
      </c>
      <c r="E522" s="44"/>
      <c r="F522" s="45" t="s">
        <v>19</v>
      </c>
      <c r="G522" s="46">
        <v>2041</v>
      </c>
      <c r="H522" s="46">
        <v>144</v>
      </c>
      <c r="I522" s="46">
        <v>28</v>
      </c>
      <c r="J522" s="47">
        <v>93.409610983981693</v>
      </c>
      <c r="K522" s="47"/>
      <c r="L522" s="48">
        <v>1738</v>
      </c>
      <c r="M522" s="48">
        <v>30</v>
      </c>
      <c r="N522" s="48">
        <v>7</v>
      </c>
      <c r="O522" s="47">
        <v>98.303167420814503</v>
      </c>
      <c r="P522" s="49"/>
    </row>
    <row r="523" spans="1:16" ht="15" customHeight="1">
      <c r="A523" s="50">
        <v>517</v>
      </c>
      <c r="B523" s="51" t="s">
        <v>24</v>
      </c>
      <c r="C523" s="58" t="s">
        <v>165</v>
      </c>
      <c r="D523" s="58" t="s">
        <v>183</v>
      </c>
      <c r="E523" s="58" t="s">
        <v>183</v>
      </c>
      <c r="F523" s="59" t="s">
        <v>183</v>
      </c>
      <c r="G523" s="52">
        <v>2067</v>
      </c>
      <c r="H523" s="52">
        <v>135</v>
      </c>
      <c r="I523" s="52">
        <v>41</v>
      </c>
      <c r="J523" s="53">
        <v>93.869209809264305</v>
      </c>
      <c r="K523" s="53">
        <f>G523+H523+I523</f>
        <v>2243</v>
      </c>
      <c r="L523" s="54">
        <v>1521</v>
      </c>
      <c r="M523" s="54">
        <v>20</v>
      </c>
      <c r="N523" s="54">
        <v>9</v>
      </c>
      <c r="O523" s="53">
        <v>98.702141466580102</v>
      </c>
      <c r="P523" s="55">
        <f>L523+M523+N523</f>
        <v>1550</v>
      </c>
    </row>
    <row r="524" spans="1:16" ht="15" hidden="1" customHeight="1">
      <c r="A524" s="43">
        <v>518</v>
      </c>
      <c r="B524" s="44" t="s">
        <v>24</v>
      </c>
      <c r="C524" s="44" t="s">
        <v>165</v>
      </c>
      <c r="D524" s="44" t="s">
        <v>183</v>
      </c>
      <c r="E524" s="44" t="s">
        <v>183</v>
      </c>
      <c r="F524" s="45" t="s">
        <v>18</v>
      </c>
      <c r="G524" s="46">
        <v>1016</v>
      </c>
      <c r="H524" s="46">
        <v>50</v>
      </c>
      <c r="I524" s="46">
        <v>22</v>
      </c>
      <c r="J524" s="47">
        <v>95.3095684803002</v>
      </c>
      <c r="K524" s="47"/>
      <c r="L524" s="48">
        <v>665</v>
      </c>
      <c r="M524" s="48">
        <v>6</v>
      </c>
      <c r="N524" s="48">
        <v>7</v>
      </c>
      <c r="O524" s="47">
        <v>99.105812220566307</v>
      </c>
      <c r="P524" s="49"/>
    </row>
    <row r="525" spans="1:16" ht="15" hidden="1" customHeight="1">
      <c r="A525" s="43">
        <v>519</v>
      </c>
      <c r="B525" s="44" t="s">
        <v>24</v>
      </c>
      <c r="C525" s="44" t="s">
        <v>165</v>
      </c>
      <c r="D525" s="44" t="s">
        <v>183</v>
      </c>
      <c r="E525" s="44" t="s">
        <v>183</v>
      </c>
      <c r="F525" s="45" t="s">
        <v>19</v>
      </c>
      <c r="G525" s="46">
        <v>1051</v>
      </c>
      <c r="H525" s="46">
        <v>85</v>
      </c>
      <c r="I525" s="46">
        <v>19</v>
      </c>
      <c r="J525" s="47">
        <v>92.517605633802802</v>
      </c>
      <c r="K525" s="47"/>
      <c r="L525" s="48">
        <v>856</v>
      </c>
      <c r="M525" s="48">
        <v>14</v>
      </c>
      <c r="N525" s="48">
        <v>2</v>
      </c>
      <c r="O525" s="47">
        <v>98.390804597701106</v>
      </c>
      <c r="P525" s="49"/>
    </row>
    <row r="526" spans="1:16" ht="15" customHeight="1">
      <c r="A526" s="50">
        <v>520</v>
      </c>
      <c r="B526" s="51" t="s">
        <v>24</v>
      </c>
      <c r="C526" s="58" t="s">
        <v>165</v>
      </c>
      <c r="D526" s="58" t="s">
        <v>183</v>
      </c>
      <c r="E526" s="58" t="s">
        <v>184</v>
      </c>
      <c r="F526" s="59" t="s">
        <v>184</v>
      </c>
      <c r="G526" s="52">
        <v>549</v>
      </c>
      <c r="H526" s="52">
        <v>27</v>
      </c>
      <c r="I526" s="52">
        <v>8</v>
      </c>
      <c r="J526" s="53">
        <v>95.3125</v>
      </c>
      <c r="K526" s="53">
        <f>G526+H526+I526</f>
        <v>584</v>
      </c>
      <c r="L526" s="54">
        <v>557</v>
      </c>
      <c r="M526" s="54">
        <v>10</v>
      </c>
      <c r="N526" s="54">
        <v>0</v>
      </c>
      <c r="O526" s="53">
        <v>98.236331569664898</v>
      </c>
      <c r="P526" s="55">
        <f>L526+M526+N526</f>
        <v>567</v>
      </c>
    </row>
    <row r="527" spans="1:16" ht="15" hidden="1" customHeight="1">
      <c r="A527" s="43">
        <v>521</v>
      </c>
      <c r="B527" s="44" t="s">
        <v>24</v>
      </c>
      <c r="C527" s="44" t="s">
        <v>165</v>
      </c>
      <c r="D527" s="44" t="s">
        <v>183</v>
      </c>
      <c r="E527" s="44" t="s">
        <v>184</v>
      </c>
      <c r="F527" s="45" t="s">
        <v>18</v>
      </c>
      <c r="G527" s="46"/>
      <c r="H527" s="46"/>
      <c r="I527" s="46"/>
      <c r="J527" s="47"/>
      <c r="K527" s="47"/>
      <c r="L527" s="48"/>
      <c r="M527" s="48"/>
      <c r="N527" s="48"/>
      <c r="O527" s="47"/>
      <c r="P527" s="49"/>
    </row>
    <row r="528" spans="1:16" ht="15" hidden="1" customHeight="1">
      <c r="A528" s="43">
        <v>522</v>
      </c>
      <c r="B528" s="44" t="s">
        <v>24</v>
      </c>
      <c r="C528" s="44" t="s">
        <v>165</v>
      </c>
      <c r="D528" s="44" t="s">
        <v>183</v>
      </c>
      <c r="E528" s="44" t="s">
        <v>184</v>
      </c>
      <c r="F528" s="45" t="s">
        <v>19</v>
      </c>
      <c r="G528" s="46">
        <v>549</v>
      </c>
      <c r="H528" s="46">
        <v>27</v>
      </c>
      <c r="I528" s="46">
        <v>8</v>
      </c>
      <c r="J528" s="47">
        <v>95.3125</v>
      </c>
      <c r="K528" s="47"/>
      <c r="L528" s="48">
        <v>557</v>
      </c>
      <c r="M528" s="48">
        <v>10</v>
      </c>
      <c r="N528" s="48">
        <v>0</v>
      </c>
      <c r="O528" s="47">
        <v>98.236331569664898</v>
      </c>
      <c r="P528" s="49"/>
    </row>
    <row r="529" spans="1:16" ht="15" customHeight="1">
      <c r="A529" s="50">
        <v>523</v>
      </c>
      <c r="B529" s="51" t="s">
        <v>24</v>
      </c>
      <c r="C529" s="58" t="s">
        <v>165</v>
      </c>
      <c r="D529" s="58" t="s">
        <v>183</v>
      </c>
      <c r="E529" s="58" t="s">
        <v>185</v>
      </c>
      <c r="F529" s="59" t="s">
        <v>185</v>
      </c>
      <c r="G529" s="52">
        <v>441</v>
      </c>
      <c r="H529" s="52">
        <v>32</v>
      </c>
      <c r="I529" s="52">
        <v>1</v>
      </c>
      <c r="J529" s="53">
        <v>93.234672304439698</v>
      </c>
      <c r="K529" s="53">
        <f>G529+H529+I529</f>
        <v>474</v>
      </c>
      <c r="L529" s="54">
        <v>325</v>
      </c>
      <c r="M529" s="54">
        <v>6</v>
      </c>
      <c r="N529" s="54">
        <v>5</v>
      </c>
      <c r="O529" s="53">
        <v>98.187311178247697</v>
      </c>
      <c r="P529" s="55">
        <f>L529+M529+N529</f>
        <v>336</v>
      </c>
    </row>
    <row r="530" spans="1:16" ht="15" hidden="1" customHeight="1">
      <c r="A530" s="43">
        <v>524</v>
      </c>
      <c r="B530" s="44" t="s">
        <v>24</v>
      </c>
      <c r="C530" s="44" t="s">
        <v>165</v>
      </c>
      <c r="D530" s="44" t="s">
        <v>183</v>
      </c>
      <c r="E530" s="44" t="s">
        <v>185</v>
      </c>
      <c r="F530" s="45" t="s">
        <v>18</v>
      </c>
      <c r="G530" s="46"/>
      <c r="H530" s="46"/>
      <c r="I530" s="46"/>
      <c r="J530" s="47"/>
      <c r="K530" s="47"/>
      <c r="L530" s="48"/>
      <c r="M530" s="48"/>
      <c r="N530" s="48"/>
      <c r="O530" s="47"/>
      <c r="P530" s="49"/>
    </row>
    <row r="531" spans="1:16" ht="15" hidden="1" customHeight="1">
      <c r="A531" s="43">
        <v>525</v>
      </c>
      <c r="B531" s="44" t="s">
        <v>24</v>
      </c>
      <c r="C531" s="44" t="s">
        <v>165</v>
      </c>
      <c r="D531" s="44" t="s">
        <v>183</v>
      </c>
      <c r="E531" s="44" t="s">
        <v>185</v>
      </c>
      <c r="F531" s="45" t="s">
        <v>19</v>
      </c>
      <c r="G531" s="46">
        <v>441</v>
      </c>
      <c r="H531" s="46">
        <v>32</v>
      </c>
      <c r="I531" s="46">
        <v>1</v>
      </c>
      <c r="J531" s="47">
        <v>93.234672304439698</v>
      </c>
      <c r="K531" s="47"/>
      <c r="L531" s="48">
        <v>325</v>
      </c>
      <c r="M531" s="48">
        <v>6</v>
      </c>
      <c r="N531" s="48">
        <v>5</v>
      </c>
      <c r="O531" s="47">
        <v>98.187311178247697</v>
      </c>
      <c r="P531" s="49"/>
    </row>
    <row r="532" spans="1:16" ht="15" hidden="1" customHeight="1">
      <c r="A532" s="37">
        <v>526</v>
      </c>
      <c r="B532" s="38" t="s">
        <v>22</v>
      </c>
      <c r="C532" s="57" t="s">
        <v>165</v>
      </c>
      <c r="D532" s="57" t="s">
        <v>186</v>
      </c>
      <c r="E532" s="57"/>
      <c r="F532" s="38" t="s">
        <v>186</v>
      </c>
      <c r="G532" s="39">
        <v>2826</v>
      </c>
      <c r="H532" s="39">
        <v>295</v>
      </c>
      <c r="I532" s="39">
        <v>77</v>
      </c>
      <c r="J532" s="40">
        <v>90.547901313681507</v>
      </c>
      <c r="K532" s="40"/>
      <c r="L532" s="41">
        <v>2522</v>
      </c>
      <c r="M532" s="41">
        <v>76</v>
      </c>
      <c r="N532" s="41">
        <v>72</v>
      </c>
      <c r="O532" s="40">
        <v>97.074672825250204</v>
      </c>
      <c r="P532" s="42"/>
    </row>
    <row r="533" spans="1:16" ht="15" hidden="1" customHeight="1">
      <c r="A533" s="43">
        <v>527</v>
      </c>
      <c r="B533" s="44" t="s">
        <v>22</v>
      </c>
      <c r="C533" s="44" t="s">
        <v>165</v>
      </c>
      <c r="D533" s="44" t="s">
        <v>186</v>
      </c>
      <c r="E533" s="44"/>
      <c r="F533" s="45" t="s">
        <v>18</v>
      </c>
      <c r="G533" s="46">
        <v>1343</v>
      </c>
      <c r="H533" s="46">
        <v>141</v>
      </c>
      <c r="I533" s="46">
        <v>37</v>
      </c>
      <c r="J533" s="47">
        <v>90.498652291105103</v>
      </c>
      <c r="K533" s="47"/>
      <c r="L533" s="48">
        <v>913</v>
      </c>
      <c r="M533" s="48">
        <v>30</v>
      </c>
      <c r="N533" s="48">
        <v>45</v>
      </c>
      <c r="O533" s="47">
        <v>96.818663838812299</v>
      </c>
      <c r="P533" s="49"/>
    </row>
    <row r="534" spans="1:16" ht="15" hidden="1" customHeight="1">
      <c r="A534" s="43">
        <v>528</v>
      </c>
      <c r="B534" s="44" t="s">
        <v>22</v>
      </c>
      <c r="C534" s="44" t="s">
        <v>165</v>
      </c>
      <c r="D534" s="44" t="s">
        <v>186</v>
      </c>
      <c r="E534" s="44"/>
      <c r="F534" s="45" t="s">
        <v>19</v>
      </c>
      <c r="G534" s="46">
        <v>1483</v>
      </c>
      <c r="H534" s="46">
        <v>154</v>
      </c>
      <c r="I534" s="46">
        <v>40</v>
      </c>
      <c r="J534" s="47">
        <v>90.592547342700101</v>
      </c>
      <c r="K534" s="47"/>
      <c r="L534" s="48">
        <v>1609</v>
      </c>
      <c r="M534" s="48">
        <v>46</v>
      </c>
      <c r="N534" s="48">
        <v>27</v>
      </c>
      <c r="O534" s="47">
        <v>97.220543806646504</v>
      </c>
      <c r="P534" s="49"/>
    </row>
    <row r="535" spans="1:16" ht="15" customHeight="1">
      <c r="A535" s="50">
        <v>529</v>
      </c>
      <c r="B535" s="51" t="s">
        <v>24</v>
      </c>
      <c r="C535" s="58" t="s">
        <v>165</v>
      </c>
      <c r="D535" s="58" t="s">
        <v>186</v>
      </c>
      <c r="E535" s="58" t="s">
        <v>187</v>
      </c>
      <c r="F535" s="59" t="s">
        <v>187</v>
      </c>
      <c r="G535" s="52">
        <v>1915</v>
      </c>
      <c r="H535" s="52">
        <v>215</v>
      </c>
      <c r="I535" s="52">
        <v>61</v>
      </c>
      <c r="J535" s="53">
        <v>89.906103286385004</v>
      </c>
      <c r="K535" s="53">
        <f>G535+H535+I535</f>
        <v>2191</v>
      </c>
      <c r="L535" s="54">
        <v>1482</v>
      </c>
      <c r="M535" s="54">
        <v>49</v>
      </c>
      <c r="N535" s="54">
        <v>63</v>
      </c>
      <c r="O535" s="53">
        <v>96.799477465708705</v>
      </c>
      <c r="P535" s="55">
        <f>L535+M535+N535</f>
        <v>1594</v>
      </c>
    </row>
    <row r="536" spans="1:16" ht="15" hidden="1" customHeight="1">
      <c r="A536" s="43">
        <v>530</v>
      </c>
      <c r="B536" s="44" t="s">
        <v>24</v>
      </c>
      <c r="C536" s="44" t="s">
        <v>165</v>
      </c>
      <c r="D536" s="44" t="s">
        <v>186</v>
      </c>
      <c r="E536" s="44" t="s">
        <v>187</v>
      </c>
      <c r="F536" s="45" t="s">
        <v>18</v>
      </c>
      <c r="G536" s="46">
        <v>1065</v>
      </c>
      <c r="H536" s="46">
        <v>117</v>
      </c>
      <c r="I536" s="46">
        <v>34</v>
      </c>
      <c r="J536" s="47">
        <v>90.101522842639596</v>
      </c>
      <c r="K536" s="47"/>
      <c r="L536" s="48">
        <v>767</v>
      </c>
      <c r="M536" s="48">
        <v>21</v>
      </c>
      <c r="N536" s="48">
        <v>45</v>
      </c>
      <c r="O536" s="47">
        <v>97.335025380710704</v>
      </c>
      <c r="P536" s="49"/>
    </row>
    <row r="537" spans="1:16" ht="15" hidden="1" customHeight="1">
      <c r="A537" s="43">
        <v>531</v>
      </c>
      <c r="B537" s="44" t="s">
        <v>24</v>
      </c>
      <c r="C537" s="44" t="s">
        <v>165</v>
      </c>
      <c r="D537" s="44" t="s">
        <v>186</v>
      </c>
      <c r="E537" s="44" t="s">
        <v>187</v>
      </c>
      <c r="F537" s="45" t="s">
        <v>19</v>
      </c>
      <c r="G537" s="46">
        <v>850</v>
      </c>
      <c r="H537" s="46">
        <v>98</v>
      </c>
      <c r="I537" s="46">
        <v>27</v>
      </c>
      <c r="J537" s="47">
        <v>89.662447257384002</v>
      </c>
      <c r="K537" s="47"/>
      <c r="L537" s="48">
        <v>715</v>
      </c>
      <c r="M537" s="48">
        <v>28</v>
      </c>
      <c r="N537" s="48">
        <v>18</v>
      </c>
      <c r="O537" s="47">
        <v>96.231493943472401</v>
      </c>
      <c r="P537" s="49"/>
    </row>
    <row r="538" spans="1:16" ht="15" customHeight="1">
      <c r="A538" s="50">
        <v>532</v>
      </c>
      <c r="B538" s="51" t="s">
        <v>24</v>
      </c>
      <c r="C538" s="58" t="s">
        <v>165</v>
      </c>
      <c r="D538" s="58" t="s">
        <v>186</v>
      </c>
      <c r="E538" s="58" t="s">
        <v>188</v>
      </c>
      <c r="F538" s="59" t="s">
        <v>188</v>
      </c>
      <c r="G538" s="52">
        <v>460</v>
      </c>
      <c r="H538" s="52">
        <v>45</v>
      </c>
      <c r="I538" s="52">
        <v>8</v>
      </c>
      <c r="J538" s="53">
        <v>91.089108910891099</v>
      </c>
      <c r="K538" s="53">
        <f>G538+H538+I538</f>
        <v>513</v>
      </c>
      <c r="L538" s="54">
        <v>481</v>
      </c>
      <c r="M538" s="54">
        <v>12</v>
      </c>
      <c r="N538" s="54">
        <v>2</v>
      </c>
      <c r="O538" s="53">
        <v>97.565922920892504</v>
      </c>
      <c r="P538" s="55">
        <f>L538+M538+N538</f>
        <v>495</v>
      </c>
    </row>
    <row r="539" spans="1:16" ht="15" hidden="1" customHeight="1">
      <c r="A539" s="43">
        <v>533</v>
      </c>
      <c r="B539" s="44" t="s">
        <v>24</v>
      </c>
      <c r="C539" s="44" t="s">
        <v>165</v>
      </c>
      <c r="D539" s="44" t="s">
        <v>186</v>
      </c>
      <c r="E539" s="44" t="s">
        <v>188</v>
      </c>
      <c r="F539" s="45" t="s">
        <v>18</v>
      </c>
      <c r="G539" s="46"/>
      <c r="H539" s="46"/>
      <c r="I539" s="46"/>
      <c r="J539" s="47"/>
      <c r="K539" s="47"/>
      <c r="L539" s="48"/>
      <c r="M539" s="48"/>
      <c r="N539" s="48"/>
      <c r="O539" s="47"/>
      <c r="P539" s="49"/>
    </row>
    <row r="540" spans="1:16" ht="15" hidden="1" customHeight="1">
      <c r="A540" s="43">
        <v>534</v>
      </c>
      <c r="B540" s="44" t="s">
        <v>24</v>
      </c>
      <c r="C540" s="44" t="s">
        <v>165</v>
      </c>
      <c r="D540" s="44" t="s">
        <v>186</v>
      </c>
      <c r="E540" s="44" t="s">
        <v>188</v>
      </c>
      <c r="F540" s="45" t="s">
        <v>19</v>
      </c>
      <c r="G540" s="46">
        <v>460</v>
      </c>
      <c r="H540" s="46">
        <v>45</v>
      </c>
      <c r="I540" s="46">
        <v>8</v>
      </c>
      <c r="J540" s="47">
        <v>91.089108910891099</v>
      </c>
      <c r="K540" s="47"/>
      <c r="L540" s="48">
        <v>481</v>
      </c>
      <c r="M540" s="48">
        <v>12</v>
      </c>
      <c r="N540" s="48">
        <v>2</v>
      </c>
      <c r="O540" s="47">
        <v>97.565922920892504</v>
      </c>
      <c r="P540" s="49"/>
    </row>
    <row r="541" spans="1:16" ht="15" customHeight="1">
      <c r="A541" s="50">
        <v>535</v>
      </c>
      <c r="B541" s="51" t="s">
        <v>24</v>
      </c>
      <c r="C541" s="58" t="s">
        <v>165</v>
      </c>
      <c r="D541" s="58" t="s">
        <v>186</v>
      </c>
      <c r="E541" s="58" t="s">
        <v>189</v>
      </c>
      <c r="F541" s="59" t="s">
        <v>189</v>
      </c>
      <c r="G541" s="52">
        <v>451</v>
      </c>
      <c r="H541" s="52">
        <v>35</v>
      </c>
      <c r="I541" s="52">
        <v>8</v>
      </c>
      <c r="J541" s="53">
        <v>92.798353909465007</v>
      </c>
      <c r="K541" s="53">
        <f>G541+H541+I541</f>
        <v>494</v>
      </c>
      <c r="L541" s="54">
        <v>559</v>
      </c>
      <c r="M541" s="54">
        <v>15</v>
      </c>
      <c r="N541" s="54">
        <v>7</v>
      </c>
      <c r="O541" s="53">
        <v>97.386759581881506</v>
      </c>
      <c r="P541" s="55">
        <f>L541+M541+N541</f>
        <v>581</v>
      </c>
    </row>
    <row r="542" spans="1:16" ht="15" hidden="1" customHeight="1">
      <c r="A542" s="43">
        <v>536</v>
      </c>
      <c r="B542" s="44" t="s">
        <v>24</v>
      </c>
      <c r="C542" s="44" t="s">
        <v>165</v>
      </c>
      <c r="D542" s="44" t="s">
        <v>186</v>
      </c>
      <c r="E542" s="44" t="s">
        <v>189</v>
      </c>
      <c r="F542" s="45" t="s">
        <v>18</v>
      </c>
      <c r="G542" s="46">
        <v>278</v>
      </c>
      <c r="H542" s="46">
        <v>24</v>
      </c>
      <c r="I542" s="46">
        <v>3</v>
      </c>
      <c r="J542" s="47">
        <v>92.052980132450301</v>
      </c>
      <c r="K542" s="47"/>
      <c r="L542" s="48">
        <v>146</v>
      </c>
      <c r="M542" s="48">
        <v>9</v>
      </c>
      <c r="N542" s="48">
        <v>0</v>
      </c>
      <c r="O542" s="47">
        <v>94.193548387096797</v>
      </c>
      <c r="P542" s="49"/>
    </row>
    <row r="543" spans="1:16" ht="15" hidden="1" customHeight="1">
      <c r="A543" s="43">
        <v>537</v>
      </c>
      <c r="B543" s="44" t="s">
        <v>24</v>
      </c>
      <c r="C543" s="44" t="s">
        <v>165</v>
      </c>
      <c r="D543" s="44" t="s">
        <v>186</v>
      </c>
      <c r="E543" s="44" t="s">
        <v>189</v>
      </c>
      <c r="F543" s="45" t="s">
        <v>19</v>
      </c>
      <c r="G543" s="46">
        <v>173</v>
      </c>
      <c r="H543" s="46">
        <v>11</v>
      </c>
      <c r="I543" s="46">
        <v>5</v>
      </c>
      <c r="J543" s="47">
        <v>94.021739130434796</v>
      </c>
      <c r="K543" s="47"/>
      <c r="L543" s="48">
        <v>413</v>
      </c>
      <c r="M543" s="48">
        <v>6</v>
      </c>
      <c r="N543" s="48">
        <v>7</v>
      </c>
      <c r="O543" s="47">
        <v>98.568019093078803</v>
      </c>
      <c r="P543" s="49"/>
    </row>
    <row r="544" spans="1:16" ht="15" hidden="1" customHeight="1">
      <c r="A544" s="37">
        <v>538</v>
      </c>
      <c r="B544" s="38" t="s">
        <v>22</v>
      </c>
      <c r="C544" s="57" t="s">
        <v>165</v>
      </c>
      <c r="D544" s="57" t="s">
        <v>190</v>
      </c>
      <c r="E544" s="57"/>
      <c r="F544" s="38" t="s">
        <v>190</v>
      </c>
      <c r="G544" s="39">
        <v>32450</v>
      </c>
      <c r="H544" s="39">
        <v>3318</v>
      </c>
      <c r="I544" s="39">
        <v>456</v>
      </c>
      <c r="J544" s="40">
        <v>90.723551778125696</v>
      </c>
      <c r="K544" s="40"/>
      <c r="L544" s="41">
        <v>29559</v>
      </c>
      <c r="M544" s="41">
        <v>629</v>
      </c>
      <c r="N544" s="41">
        <v>119</v>
      </c>
      <c r="O544" s="40">
        <v>97.916390618788895</v>
      </c>
      <c r="P544" s="42"/>
    </row>
    <row r="545" spans="1:16" ht="15" hidden="1" customHeight="1">
      <c r="A545" s="43">
        <v>539</v>
      </c>
      <c r="B545" s="44" t="s">
        <v>22</v>
      </c>
      <c r="C545" s="44" t="s">
        <v>165</v>
      </c>
      <c r="D545" s="44" t="s">
        <v>190</v>
      </c>
      <c r="E545" s="44"/>
      <c r="F545" s="45" t="s">
        <v>18</v>
      </c>
      <c r="G545" s="46">
        <v>27550</v>
      </c>
      <c r="H545" s="46">
        <v>2563</v>
      </c>
      <c r="I545" s="46">
        <v>350</v>
      </c>
      <c r="J545" s="47">
        <v>91.488725799488606</v>
      </c>
      <c r="K545" s="47"/>
      <c r="L545" s="48">
        <v>26149</v>
      </c>
      <c r="M545" s="48">
        <v>559</v>
      </c>
      <c r="N545" s="48">
        <v>104</v>
      </c>
      <c r="O545" s="47">
        <v>97.906994159053497</v>
      </c>
      <c r="P545" s="49"/>
    </row>
    <row r="546" spans="1:16" ht="15" hidden="1" customHeight="1">
      <c r="A546" s="43">
        <v>540</v>
      </c>
      <c r="B546" s="44" t="s">
        <v>22</v>
      </c>
      <c r="C546" s="44" t="s">
        <v>165</v>
      </c>
      <c r="D546" s="44" t="s">
        <v>190</v>
      </c>
      <c r="E546" s="44"/>
      <c r="F546" s="45" t="s">
        <v>19</v>
      </c>
      <c r="G546" s="46">
        <v>4900</v>
      </c>
      <c r="H546" s="46">
        <v>755</v>
      </c>
      <c r="I546" s="46">
        <v>106</v>
      </c>
      <c r="J546" s="47">
        <v>86.648983200707306</v>
      </c>
      <c r="K546" s="47"/>
      <c r="L546" s="48">
        <v>3410</v>
      </c>
      <c r="M546" s="48">
        <v>70</v>
      </c>
      <c r="N546" s="48">
        <v>15</v>
      </c>
      <c r="O546" s="47">
        <v>97.988505747126396</v>
      </c>
      <c r="P546" s="49"/>
    </row>
    <row r="547" spans="1:16" ht="15" customHeight="1">
      <c r="A547" s="50">
        <v>541</v>
      </c>
      <c r="B547" s="51" t="s">
        <v>24</v>
      </c>
      <c r="C547" s="58" t="s">
        <v>165</v>
      </c>
      <c r="D547" s="58" t="s">
        <v>190</v>
      </c>
      <c r="E547" s="58" t="s">
        <v>190</v>
      </c>
      <c r="F547" s="59" t="s">
        <v>190</v>
      </c>
      <c r="G547" s="52">
        <v>13091</v>
      </c>
      <c r="H547" s="52">
        <v>1232</v>
      </c>
      <c r="I547" s="52">
        <v>225</v>
      </c>
      <c r="J547" s="53">
        <v>91.398450045381594</v>
      </c>
      <c r="K547" s="53">
        <f>G547+H547+I547</f>
        <v>14548</v>
      </c>
      <c r="L547" s="54">
        <v>11840</v>
      </c>
      <c r="M547" s="54">
        <v>250</v>
      </c>
      <c r="N547" s="54">
        <v>59</v>
      </c>
      <c r="O547" s="53">
        <v>97.932175351530205</v>
      </c>
      <c r="P547" s="55">
        <f>L547+M547+N547</f>
        <v>12149</v>
      </c>
    </row>
    <row r="548" spans="1:16" ht="15" hidden="1" customHeight="1">
      <c r="A548" s="43">
        <v>542</v>
      </c>
      <c r="B548" s="44" t="s">
        <v>24</v>
      </c>
      <c r="C548" s="44" t="s">
        <v>165</v>
      </c>
      <c r="D548" s="44" t="s">
        <v>190</v>
      </c>
      <c r="E548" s="44" t="s">
        <v>190</v>
      </c>
      <c r="F548" s="45" t="s">
        <v>18</v>
      </c>
      <c r="G548" s="46">
        <v>12422</v>
      </c>
      <c r="H548" s="46">
        <v>1155</v>
      </c>
      <c r="I548" s="46">
        <v>204</v>
      </c>
      <c r="J548" s="47">
        <v>91.492966045518202</v>
      </c>
      <c r="K548" s="47"/>
      <c r="L548" s="48">
        <v>11115</v>
      </c>
      <c r="M548" s="48">
        <v>236</v>
      </c>
      <c r="N548" s="48">
        <v>52</v>
      </c>
      <c r="O548" s="47">
        <v>97.920888027486598</v>
      </c>
      <c r="P548" s="49"/>
    </row>
    <row r="549" spans="1:16" ht="15" hidden="1" customHeight="1">
      <c r="A549" s="43">
        <v>543</v>
      </c>
      <c r="B549" s="44" t="s">
        <v>24</v>
      </c>
      <c r="C549" s="44" t="s">
        <v>165</v>
      </c>
      <c r="D549" s="44" t="s">
        <v>190</v>
      </c>
      <c r="E549" s="44" t="s">
        <v>190</v>
      </c>
      <c r="F549" s="45" t="s">
        <v>19</v>
      </c>
      <c r="G549" s="46">
        <v>669</v>
      </c>
      <c r="H549" s="46">
        <v>77</v>
      </c>
      <c r="I549" s="46">
        <v>21</v>
      </c>
      <c r="J549" s="47">
        <v>89.678284182305603</v>
      </c>
      <c r="K549" s="47"/>
      <c r="L549" s="48">
        <v>725</v>
      </c>
      <c r="M549" s="48">
        <v>14</v>
      </c>
      <c r="N549" s="48">
        <v>7</v>
      </c>
      <c r="O549" s="47">
        <v>98.105548037888994</v>
      </c>
      <c r="P549" s="49"/>
    </row>
    <row r="550" spans="1:16" ht="15" customHeight="1">
      <c r="A550" s="50">
        <v>544</v>
      </c>
      <c r="B550" s="51" t="s">
        <v>24</v>
      </c>
      <c r="C550" s="58" t="s">
        <v>165</v>
      </c>
      <c r="D550" s="58" t="s">
        <v>190</v>
      </c>
      <c r="E550" s="58" t="s">
        <v>191</v>
      </c>
      <c r="F550" s="59" t="s">
        <v>191</v>
      </c>
      <c r="G550" s="52">
        <v>4278</v>
      </c>
      <c r="H550" s="52">
        <v>529</v>
      </c>
      <c r="I550" s="52">
        <v>70</v>
      </c>
      <c r="J550" s="53">
        <v>88.995215311004799</v>
      </c>
      <c r="K550" s="53">
        <f>G550+H550+I550</f>
        <v>4877</v>
      </c>
      <c r="L550" s="54">
        <v>5000</v>
      </c>
      <c r="M550" s="54">
        <v>103</v>
      </c>
      <c r="N550" s="54">
        <v>13</v>
      </c>
      <c r="O550" s="53">
        <v>97.981579463060896</v>
      </c>
      <c r="P550" s="55">
        <f>L550+M550+N550</f>
        <v>5116</v>
      </c>
    </row>
    <row r="551" spans="1:16" ht="15" hidden="1" customHeight="1">
      <c r="A551" s="43">
        <v>545</v>
      </c>
      <c r="B551" s="44" t="s">
        <v>24</v>
      </c>
      <c r="C551" s="44" t="s">
        <v>165</v>
      </c>
      <c r="D551" s="44" t="s">
        <v>190</v>
      </c>
      <c r="E551" s="44" t="s">
        <v>191</v>
      </c>
      <c r="F551" s="45" t="s">
        <v>18</v>
      </c>
      <c r="G551" s="46">
        <v>1615</v>
      </c>
      <c r="H551" s="46">
        <v>173</v>
      </c>
      <c r="I551" s="46">
        <v>25</v>
      </c>
      <c r="J551" s="47">
        <v>90.324384787471999</v>
      </c>
      <c r="K551" s="47"/>
      <c r="L551" s="48">
        <v>3411</v>
      </c>
      <c r="M551" s="48">
        <v>65</v>
      </c>
      <c r="N551" s="48">
        <v>11</v>
      </c>
      <c r="O551" s="47">
        <v>98.130034522439601</v>
      </c>
      <c r="P551" s="49"/>
    </row>
    <row r="552" spans="1:16" ht="15" hidden="1" customHeight="1">
      <c r="A552" s="43">
        <v>546</v>
      </c>
      <c r="B552" s="44" t="s">
        <v>24</v>
      </c>
      <c r="C552" s="44" t="s">
        <v>165</v>
      </c>
      <c r="D552" s="44" t="s">
        <v>190</v>
      </c>
      <c r="E552" s="44" t="s">
        <v>191</v>
      </c>
      <c r="F552" s="45" t="s">
        <v>19</v>
      </c>
      <c r="G552" s="46">
        <v>2663</v>
      </c>
      <c r="H552" s="46">
        <v>356</v>
      </c>
      <c r="I552" s="46">
        <v>45</v>
      </c>
      <c r="J552" s="47">
        <v>88.208015899304399</v>
      </c>
      <c r="K552" s="47"/>
      <c r="L552" s="48">
        <v>1589</v>
      </c>
      <c r="M552" s="48">
        <v>38</v>
      </c>
      <c r="N552" s="48">
        <v>2</v>
      </c>
      <c r="O552" s="47">
        <v>97.664413030116805</v>
      </c>
      <c r="P552" s="49"/>
    </row>
    <row r="553" spans="1:16" ht="15" customHeight="1">
      <c r="A553" s="50">
        <v>547</v>
      </c>
      <c r="B553" s="51" t="s">
        <v>24</v>
      </c>
      <c r="C553" s="58" t="s">
        <v>165</v>
      </c>
      <c r="D553" s="58" t="s">
        <v>190</v>
      </c>
      <c r="E553" s="58" t="s">
        <v>192</v>
      </c>
      <c r="F553" s="59" t="s">
        <v>192</v>
      </c>
      <c r="G553" s="52">
        <v>5059</v>
      </c>
      <c r="H553" s="52">
        <v>572</v>
      </c>
      <c r="I553" s="52">
        <v>61</v>
      </c>
      <c r="J553" s="53">
        <v>89.841946368318204</v>
      </c>
      <c r="K553" s="53">
        <f>G553+H553+I553</f>
        <v>5692</v>
      </c>
      <c r="L553" s="54">
        <v>4184</v>
      </c>
      <c r="M553" s="54">
        <v>97</v>
      </c>
      <c r="N553" s="54">
        <v>14</v>
      </c>
      <c r="O553" s="53">
        <v>97.734174258350805</v>
      </c>
      <c r="P553" s="55">
        <f>L553+M553+N553</f>
        <v>4295</v>
      </c>
    </row>
    <row r="554" spans="1:16" ht="15" hidden="1" customHeight="1">
      <c r="A554" s="43">
        <v>548</v>
      </c>
      <c r="B554" s="44" t="s">
        <v>24</v>
      </c>
      <c r="C554" s="44" t="s">
        <v>165</v>
      </c>
      <c r="D554" s="44" t="s">
        <v>190</v>
      </c>
      <c r="E554" s="44" t="s">
        <v>192</v>
      </c>
      <c r="F554" s="45" t="s">
        <v>18</v>
      </c>
      <c r="G554" s="46">
        <v>4542</v>
      </c>
      <c r="H554" s="46">
        <v>423</v>
      </c>
      <c r="I554" s="46">
        <v>41</v>
      </c>
      <c r="J554" s="47">
        <v>91.480362537764293</v>
      </c>
      <c r="K554" s="47"/>
      <c r="L554" s="48">
        <v>3773</v>
      </c>
      <c r="M554" s="48">
        <v>89</v>
      </c>
      <c r="N554" s="48">
        <v>11</v>
      </c>
      <c r="O554" s="47">
        <v>97.695494562402899</v>
      </c>
      <c r="P554" s="49"/>
    </row>
    <row r="555" spans="1:16" ht="15" hidden="1" customHeight="1">
      <c r="A555" s="43">
        <v>549</v>
      </c>
      <c r="B555" s="44" t="s">
        <v>24</v>
      </c>
      <c r="C555" s="44" t="s">
        <v>165</v>
      </c>
      <c r="D555" s="44" t="s">
        <v>190</v>
      </c>
      <c r="E555" s="44" t="s">
        <v>192</v>
      </c>
      <c r="F555" s="45" t="s">
        <v>19</v>
      </c>
      <c r="G555" s="46">
        <v>517</v>
      </c>
      <c r="H555" s="46">
        <v>149</v>
      </c>
      <c r="I555" s="46">
        <v>20</v>
      </c>
      <c r="J555" s="47">
        <v>77.627627627627604</v>
      </c>
      <c r="K555" s="47"/>
      <c r="L555" s="48">
        <v>411</v>
      </c>
      <c r="M555" s="48">
        <v>8</v>
      </c>
      <c r="N555" s="48">
        <v>3</v>
      </c>
      <c r="O555" s="47">
        <v>98.090692124105004</v>
      </c>
      <c r="P555" s="49"/>
    </row>
    <row r="556" spans="1:16" ht="15" customHeight="1">
      <c r="A556" s="50">
        <v>550</v>
      </c>
      <c r="B556" s="51" t="s">
        <v>24</v>
      </c>
      <c r="C556" s="58" t="s">
        <v>165</v>
      </c>
      <c r="D556" s="58" t="s">
        <v>190</v>
      </c>
      <c r="E556" s="58" t="s">
        <v>193</v>
      </c>
      <c r="F556" s="59" t="s">
        <v>193</v>
      </c>
      <c r="G556" s="52">
        <v>5306</v>
      </c>
      <c r="H556" s="52">
        <v>621</v>
      </c>
      <c r="I556" s="52">
        <v>68</v>
      </c>
      <c r="J556" s="53">
        <v>89.522524042517304</v>
      </c>
      <c r="K556" s="53">
        <f>G556+H556+I556</f>
        <v>5995</v>
      </c>
      <c r="L556" s="54">
        <v>4352</v>
      </c>
      <c r="M556" s="54">
        <v>111</v>
      </c>
      <c r="N556" s="54">
        <v>18</v>
      </c>
      <c r="O556" s="53">
        <v>97.512883710508603</v>
      </c>
      <c r="P556" s="55">
        <f>L556+M556+N556</f>
        <v>4481</v>
      </c>
    </row>
    <row r="557" spans="1:16" ht="15" hidden="1" customHeight="1">
      <c r="A557" s="43">
        <v>551</v>
      </c>
      <c r="B557" s="44" t="s">
        <v>24</v>
      </c>
      <c r="C557" s="44" t="s">
        <v>165</v>
      </c>
      <c r="D557" s="44" t="s">
        <v>190</v>
      </c>
      <c r="E557" s="44" t="s">
        <v>193</v>
      </c>
      <c r="F557" s="45" t="s">
        <v>18</v>
      </c>
      <c r="G557" s="46">
        <v>4255</v>
      </c>
      <c r="H557" s="46">
        <v>448</v>
      </c>
      <c r="I557" s="46">
        <v>48</v>
      </c>
      <c r="J557" s="47">
        <v>90.474165426323594</v>
      </c>
      <c r="K557" s="47"/>
      <c r="L557" s="48">
        <v>3667</v>
      </c>
      <c r="M557" s="48">
        <v>101</v>
      </c>
      <c r="N557" s="48">
        <v>15</v>
      </c>
      <c r="O557" s="47">
        <v>97.3195329087049</v>
      </c>
      <c r="P557" s="49"/>
    </row>
    <row r="558" spans="1:16" ht="15" hidden="1" customHeight="1">
      <c r="A558" s="43">
        <v>552</v>
      </c>
      <c r="B558" s="44" t="s">
        <v>24</v>
      </c>
      <c r="C558" s="44" t="s">
        <v>165</v>
      </c>
      <c r="D558" s="44" t="s">
        <v>190</v>
      </c>
      <c r="E558" s="44" t="s">
        <v>193</v>
      </c>
      <c r="F558" s="45" t="s">
        <v>19</v>
      </c>
      <c r="G558" s="46">
        <v>1051</v>
      </c>
      <c r="H558" s="46">
        <v>173</v>
      </c>
      <c r="I558" s="46">
        <v>20</v>
      </c>
      <c r="J558" s="47">
        <v>85.866013071895395</v>
      </c>
      <c r="K558" s="47"/>
      <c r="L558" s="48">
        <v>685</v>
      </c>
      <c r="M558" s="48">
        <v>10</v>
      </c>
      <c r="N558" s="48">
        <v>3</v>
      </c>
      <c r="O558" s="47">
        <v>98.561151079136707</v>
      </c>
      <c r="P558" s="49"/>
    </row>
    <row r="559" spans="1:16" ht="15" customHeight="1">
      <c r="A559" s="50">
        <v>553</v>
      </c>
      <c r="B559" s="51" t="s">
        <v>24</v>
      </c>
      <c r="C559" s="58" t="s">
        <v>165</v>
      </c>
      <c r="D559" s="58" t="s">
        <v>190</v>
      </c>
      <c r="E559" s="58" t="s">
        <v>194</v>
      </c>
      <c r="F559" s="59" t="s">
        <v>194</v>
      </c>
      <c r="G559" s="52">
        <v>4716</v>
      </c>
      <c r="H559" s="52">
        <v>364</v>
      </c>
      <c r="I559" s="52">
        <v>32</v>
      </c>
      <c r="J559" s="53">
        <v>92.834645669291305</v>
      </c>
      <c r="K559" s="53">
        <f>G559+H559+I559</f>
        <v>5112</v>
      </c>
      <c r="L559" s="54">
        <v>4183</v>
      </c>
      <c r="M559" s="54">
        <v>68</v>
      </c>
      <c r="N559" s="54">
        <v>15</v>
      </c>
      <c r="O559" s="53">
        <v>98.400376382027801</v>
      </c>
      <c r="P559" s="55">
        <f>L559+M559+N559</f>
        <v>4266</v>
      </c>
    </row>
    <row r="560" spans="1:16" ht="15" hidden="1" customHeight="1">
      <c r="A560" s="43">
        <v>554</v>
      </c>
      <c r="B560" s="44" t="s">
        <v>24</v>
      </c>
      <c r="C560" s="44" t="s">
        <v>165</v>
      </c>
      <c r="D560" s="44" t="s">
        <v>190</v>
      </c>
      <c r="E560" s="44" t="s">
        <v>194</v>
      </c>
      <c r="F560" s="45" t="s">
        <v>18</v>
      </c>
      <c r="G560" s="46">
        <v>4716</v>
      </c>
      <c r="H560" s="46">
        <v>364</v>
      </c>
      <c r="I560" s="46">
        <v>32</v>
      </c>
      <c r="J560" s="47">
        <v>92.834645669291305</v>
      </c>
      <c r="K560" s="47"/>
      <c r="L560" s="48">
        <v>4183</v>
      </c>
      <c r="M560" s="48">
        <v>68</v>
      </c>
      <c r="N560" s="48">
        <v>15</v>
      </c>
      <c r="O560" s="47">
        <v>98.400376382027801</v>
      </c>
      <c r="P560" s="49"/>
    </row>
    <row r="561" spans="1:16" ht="15" hidden="1" customHeight="1">
      <c r="A561" s="43">
        <v>555</v>
      </c>
      <c r="B561" s="44" t="s">
        <v>24</v>
      </c>
      <c r="C561" s="44" t="s">
        <v>165</v>
      </c>
      <c r="D561" s="44" t="s">
        <v>190</v>
      </c>
      <c r="E561" s="44" t="s">
        <v>194</v>
      </c>
      <c r="F561" s="45" t="s">
        <v>19</v>
      </c>
      <c r="G561" s="46"/>
      <c r="H561" s="46"/>
      <c r="I561" s="46"/>
      <c r="J561" s="47"/>
      <c r="K561" s="47"/>
      <c r="L561" s="48"/>
      <c r="M561" s="48"/>
      <c r="N561" s="48"/>
      <c r="O561" s="47"/>
      <c r="P561" s="49"/>
    </row>
    <row r="562" spans="1:16" ht="15" hidden="1" customHeight="1">
      <c r="A562" s="37">
        <v>556</v>
      </c>
      <c r="B562" s="38" t="s">
        <v>22</v>
      </c>
      <c r="C562" s="57" t="s">
        <v>165</v>
      </c>
      <c r="D562" s="57" t="s">
        <v>195</v>
      </c>
      <c r="E562" s="57"/>
      <c r="F562" s="38" t="s">
        <v>195</v>
      </c>
      <c r="G562" s="39">
        <v>26664</v>
      </c>
      <c r="H562" s="39">
        <v>3083</v>
      </c>
      <c r="I562" s="39">
        <v>512</v>
      </c>
      <c r="J562" s="40">
        <v>89.635929673580506</v>
      </c>
      <c r="K562" s="40"/>
      <c r="L562" s="41">
        <v>24496</v>
      </c>
      <c r="M562" s="41">
        <v>563</v>
      </c>
      <c r="N562" s="41">
        <v>147</v>
      </c>
      <c r="O562" s="40">
        <v>97.753302206792</v>
      </c>
      <c r="P562" s="42"/>
    </row>
    <row r="563" spans="1:16" ht="15" hidden="1" customHeight="1">
      <c r="A563" s="43">
        <v>557</v>
      </c>
      <c r="B563" s="44" t="s">
        <v>22</v>
      </c>
      <c r="C563" s="44" t="s">
        <v>165</v>
      </c>
      <c r="D563" s="44" t="s">
        <v>195</v>
      </c>
      <c r="E563" s="44"/>
      <c r="F563" s="45" t="s">
        <v>18</v>
      </c>
      <c r="G563" s="46">
        <v>15621</v>
      </c>
      <c r="H563" s="46">
        <v>1525</v>
      </c>
      <c r="I563" s="46">
        <v>188</v>
      </c>
      <c r="J563" s="47">
        <v>91.105797270500403</v>
      </c>
      <c r="K563" s="47"/>
      <c r="L563" s="48">
        <v>14050</v>
      </c>
      <c r="M563" s="48">
        <v>313</v>
      </c>
      <c r="N563" s="48">
        <v>46</v>
      </c>
      <c r="O563" s="47">
        <v>97.820789528649996</v>
      </c>
      <c r="P563" s="49"/>
    </row>
    <row r="564" spans="1:16" ht="15" hidden="1" customHeight="1">
      <c r="A564" s="43">
        <v>558</v>
      </c>
      <c r="B564" s="44" t="s">
        <v>22</v>
      </c>
      <c r="C564" s="44" t="s">
        <v>165</v>
      </c>
      <c r="D564" s="44" t="s">
        <v>195</v>
      </c>
      <c r="E564" s="44"/>
      <c r="F564" s="45" t="s">
        <v>19</v>
      </c>
      <c r="G564" s="46">
        <v>11043</v>
      </c>
      <c r="H564" s="46">
        <v>1558</v>
      </c>
      <c r="I564" s="46">
        <v>324</v>
      </c>
      <c r="J564" s="47">
        <v>87.635901912546601</v>
      </c>
      <c r="K564" s="47"/>
      <c r="L564" s="48">
        <v>10446</v>
      </c>
      <c r="M564" s="48">
        <v>250</v>
      </c>
      <c r="N564" s="48">
        <v>101</v>
      </c>
      <c r="O564" s="47">
        <v>97.662677636499595</v>
      </c>
      <c r="P564" s="49"/>
    </row>
    <row r="565" spans="1:16" ht="15" customHeight="1">
      <c r="A565" s="50">
        <v>559</v>
      </c>
      <c r="B565" s="51" t="s">
        <v>24</v>
      </c>
      <c r="C565" s="58" t="s">
        <v>165</v>
      </c>
      <c r="D565" s="58" t="s">
        <v>195</v>
      </c>
      <c r="E565" s="58" t="s">
        <v>196</v>
      </c>
      <c r="F565" s="59" t="s">
        <v>196</v>
      </c>
      <c r="G565" s="52">
        <v>16507</v>
      </c>
      <c r="H565" s="52">
        <v>1593</v>
      </c>
      <c r="I565" s="52">
        <v>198</v>
      </c>
      <c r="J565" s="53">
        <v>91.198895027624303</v>
      </c>
      <c r="K565" s="53">
        <f>G565+H565+I565</f>
        <v>18298</v>
      </c>
      <c r="L565" s="54">
        <v>15056</v>
      </c>
      <c r="M565" s="54">
        <v>315</v>
      </c>
      <c r="N565" s="54">
        <v>60</v>
      </c>
      <c r="O565" s="53">
        <v>97.950686357426306</v>
      </c>
      <c r="P565" s="55">
        <f>L565+M565+N565</f>
        <v>15431</v>
      </c>
    </row>
    <row r="566" spans="1:16" ht="15" hidden="1" customHeight="1">
      <c r="A566" s="43">
        <v>560</v>
      </c>
      <c r="B566" s="44" t="s">
        <v>24</v>
      </c>
      <c r="C566" s="44" t="s">
        <v>165</v>
      </c>
      <c r="D566" s="44" t="s">
        <v>195</v>
      </c>
      <c r="E566" s="44" t="s">
        <v>196</v>
      </c>
      <c r="F566" s="45" t="s">
        <v>18</v>
      </c>
      <c r="G566" s="46">
        <v>14327</v>
      </c>
      <c r="H566" s="46">
        <v>1323</v>
      </c>
      <c r="I566" s="46">
        <v>152</v>
      </c>
      <c r="J566" s="47">
        <v>91.546325878594203</v>
      </c>
      <c r="K566" s="47"/>
      <c r="L566" s="48">
        <v>12830</v>
      </c>
      <c r="M566" s="48">
        <v>265</v>
      </c>
      <c r="N566" s="48">
        <v>43</v>
      </c>
      <c r="O566" s="47">
        <v>97.976326842306193</v>
      </c>
      <c r="P566" s="49"/>
    </row>
    <row r="567" spans="1:16" ht="15" hidden="1" customHeight="1">
      <c r="A567" s="43">
        <v>561</v>
      </c>
      <c r="B567" s="44" t="s">
        <v>24</v>
      </c>
      <c r="C567" s="44" t="s">
        <v>165</v>
      </c>
      <c r="D567" s="44" t="s">
        <v>195</v>
      </c>
      <c r="E567" s="44" t="s">
        <v>196</v>
      </c>
      <c r="F567" s="45" t="s">
        <v>19</v>
      </c>
      <c r="G567" s="46">
        <v>2180</v>
      </c>
      <c r="H567" s="46">
        <v>270</v>
      </c>
      <c r="I567" s="46">
        <v>46</v>
      </c>
      <c r="J567" s="47">
        <v>88.979591836734699</v>
      </c>
      <c r="K567" s="47"/>
      <c r="L567" s="48">
        <v>2226</v>
      </c>
      <c r="M567" s="48">
        <v>50</v>
      </c>
      <c r="N567" s="48">
        <v>17</v>
      </c>
      <c r="O567" s="47">
        <v>97.803163444639694</v>
      </c>
      <c r="P567" s="49"/>
    </row>
    <row r="568" spans="1:16" ht="15" customHeight="1">
      <c r="A568" s="50">
        <v>562</v>
      </c>
      <c r="B568" s="51" t="s">
        <v>24</v>
      </c>
      <c r="C568" s="58" t="s">
        <v>165</v>
      </c>
      <c r="D568" s="58" t="s">
        <v>195</v>
      </c>
      <c r="E568" s="58" t="s">
        <v>197</v>
      </c>
      <c r="F568" s="59" t="s">
        <v>197</v>
      </c>
      <c r="G568" s="52">
        <v>2080</v>
      </c>
      <c r="H568" s="52">
        <v>247</v>
      </c>
      <c r="I568" s="52">
        <v>41</v>
      </c>
      <c r="J568" s="53">
        <v>89.385474860335194</v>
      </c>
      <c r="K568" s="53">
        <f>G568+H568+I568</f>
        <v>2368</v>
      </c>
      <c r="L568" s="54">
        <v>1739</v>
      </c>
      <c r="M568" s="54">
        <v>38</v>
      </c>
      <c r="N568" s="54">
        <v>6</v>
      </c>
      <c r="O568" s="53">
        <v>97.861564434440098</v>
      </c>
      <c r="P568" s="55">
        <f>L568+M568+N568</f>
        <v>1783</v>
      </c>
    </row>
    <row r="569" spans="1:16" ht="15" hidden="1" customHeight="1">
      <c r="A569" s="43">
        <v>563</v>
      </c>
      <c r="B569" s="44" t="s">
        <v>24</v>
      </c>
      <c r="C569" s="44" t="s">
        <v>165</v>
      </c>
      <c r="D569" s="44" t="s">
        <v>195</v>
      </c>
      <c r="E569" s="44" t="s">
        <v>197</v>
      </c>
      <c r="F569" s="45" t="s">
        <v>18</v>
      </c>
      <c r="G569" s="46">
        <v>360</v>
      </c>
      <c r="H569" s="46">
        <v>50</v>
      </c>
      <c r="I569" s="46">
        <v>3</v>
      </c>
      <c r="J569" s="47">
        <v>87.804878048780495</v>
      </c>
      <c r="K569" s="47"/>
      <c r="L569" s="48">
        <v>294</v>
      </c>
      <c r="M569" s="48">
        <v>9</v>
      </c>
      <c r="N569" s="48">
        <v>1</v>
      </c>
      <c r="O569" s="47">
        <v>97.029702970296995</v>
      </c>
      <c r="P569" s="49"/>
    </row>
    <row r="570" spans="1:16" ht="15" hidden="1" customHeight="1">
      <c r="A570" s="43">
        <v>564</v>
      </c>
      <c r="B570" s="44" t="s">
        <v>24</v>
      </c>
      <c r="C570" s="44" t="s">
        <v>165</v>
      </c>
      <c r="D570" s="44" t="s">
        <v>195</v>
      </c>
      <c r="E570" s="44" t="s">
        <v>197</v>
      </c>
      <c r="F570" s="45" t="s">
        <v>19</v>
      </c>
      <c r="G570" s="46">
        <v>1720</v>
      </c>
      <c r="H570" s="46">
        <v>197</v>
      </c>
      <c r="I570" s="46">
        <v>38</v>
      </c>
      <c r="J570" s="47">
        <v>89.7235263432447</v>
      </c>
      <c r="K570" s="47"/>
      <c r="L570" s="48">
        <v>1445</v>
      </c>
      <c r="M570" s="48">
        <v>29</v>
      </c>
      <c r="N570" s="48">
        <v>5</v>
      </c>
      <c r="O570" s="47">
        <v>98.032564450474894</v>
      </c>
      <c r="P570" s="49"/>
    </row>
    <row r="571" spans="1:16" ht="15" customHeight="1">
      <c r="A571" s="50">
        <v>565</v>
      </c>
      <c r="B571" s="51" t="s">
        <v>24</v>
      </c>
      <c r="C571" s="58" t="s">
        <v>165</v>
      </c>
      <c r="D571" s="58" t="s">
        <v>195</v>
      </c>
      <c r="E571" s="58" t="s">
        <v>198</v>
      </c>
      <c r="F571" s="59" t="s">
        <v>198</v>
      </c>
      <c r="G571" s="52">
        <v>8077</v>
      </c>
      <c r="H571" s="52">
        <v>1243</v>
      </c>
      <c r="I571" s="52">
        <v>273</v>
      </c>
      <c r="J571" s="53">
        <v>86.6630901287554</v>
      </c>
      <c r="K571" s="53">
        <f>G571+H571+I571</f>
        <v>9593</v>
      </c>
      <c r="L571" s="54">
        <v>7701</v>
      </c>
      <c r="M571" s="54">
        <v>210</v>
      </c>
      <c r="N571" s="54">
        <v>81</v>
      </c>
      <c r="O571" s="53">
        <v>97.345468335229398</v>
      </c>
      <c r="P571" s="55">
        <f>L571+M571+N571</f>
        <v>7992</v>
      </c>
    </row>
    <row r="572" spans="1:16" ht="15" hidden="1" customHeight="1">
      <c r="A572" s="43">
        <v>566</v>
      </c>
      <c r="B572" s="44" t="s">
        <v>24</v>
      </c>
      <c r="C572" s="44" t="s">
        <v>165</v>
      </c>
      <c r="D572" s="44" t="s">
        <v>195</v>
      </c>
      <c r="E572" s="44" t="s">
        <v>198</v>
      </c>
      <c r="F572" s="45" t="s">
        <v>18</v>
      </c>
      <c r="G572" s="46">
        <v>934</v>
      </c>
      <c r="H572" s="46">
        <v>152</v>
      </c>
      <c r="I572" s="46">
        <v>33</v>
      </c>
      <c r="J572" s="47">
        <v>86.003683241252304</v>
      </c>
      <c r="K572" s="47"/>
      <c r="L572" s="48">
        <v>926</v>
      </c>
      <c r="M572" s="48">
        <v>39</v>
      </c>
      <c r="N572" s="48">
        <v>2</v>
      </c>
      <c r="O572" s="47">
        <v>95.958549222797899</v>
      </c>
      <c r="P572" s="49"/>
    </row>
    <row r="573" spans="1:16" ht="15" hidden="1" customHeight="1">
      <c r="A573" s="43">
        <v>567</v>
      </c>
      <c r="B573" s="44" t="s">
        <v>24</v>
      </c>
      <c r="C573" s="44" t="s">
        <v>165</v>
      </c>
      <c r="D573" s="44" t="s">
        <v>195</v>
      </c>
      <c r="E573" s="44" t="s">
        <v>198</v>
      </c>
      <c r="F573" s="45" t="s">
        <v>19</v>
      </c>
      <c r="G573" s="46">
        <v>7143</v>
      </c>
      <c r="H573" s="46">
        <v>1091</v>
      </c>
      <c r="I573" s="46">
        <v>240</v>
      </c>
      <c r="J573" s="47">
        <v>86.750060723828</v>
      </c>
      <c r="K573" s="47"/>
      <c r="L573" s="48">
        <v>6775</v>
      </c>
      <c r="M573" s="48">
        <v>171</v>
      </c>
      <c r="N573" s="48">
        <v>79</v>
      </c>
      <c r="O573" s="47">
        <v>97.538151454074296</v>
      </c>
      <c r="P573" s="49"/>
    </row>
    <row r="574" spans="1:16" ht="15" hidden="1" customHeight="1">
      <c r="A574" s="37">
        <v>568</v>
      </c>
      <c r="B574" s="38" t="s">
        <v>22</v>
      </c>
      <c r="C574" s="57" t="s">
        <v>165</v>
      </c>
      <c r="D574" s="57" t="s">
        <v>199</v>
      </c>
      <c r="E574" s="57"/>
      <c r="F574" s="38" t="s">
        <v>199</v>
      </c>
      <c r="G574" s="39">
        <v>2609</v>
      </c>
      <c r="H574" s="39">
        <v>261</v>
      </c>
      <c r="I574" s="39">
        <v>36</v>
      </c>
      <c r="J574" s="40">
        <v>90.905923344947695</v>
      </c>
      <c r="K574" s="40"/>
      <c r="L574" s="41">
        <v>2111</v>
      </c>
      <c r="M574" s="41">
        <v>35</v>
      </c>
      <c r="N574" s="41">
        <v>27</v>
      </c>
      <c r="O574" s="40">
        <v>98.369058713886304</v>
      </c>
      <c r="P574" s="42"/>
    </row>
    <row r="575" spans="1:16" ht="15" hidden="1" customHeight="1">
      <c r="A575" s="43">
        <v>569</v>
      </c>
      <c r="B575" s="44" t="s">
        <v>22</v>
      </c>
      <c r="C575" s="44" t="s">
        <v>165</v>
      </c>
      <c r="D575" s="44" t="s">
        <v>199</v>
      </c>
      <c r="E575" s="44"/>
      <c r="F575" s="45" t="s">
        <v>18</v>
      </c>
      <c r="G575" s="46"/>
      <c r="H575" s="46"/>
      <c r="I575" s="46"/>
      <c r="J575" s="47"/>
      <c r="K575" s="47"/>
      <c r="L575" s="48"/>
      <c r="M575" s="48"/>
      <c r="N575" s="48"/>
      <c r="O575" s="47"/>
      <c r="P575" s="49"/>
    </row>
    <row r="576" spans="1:16" ht="15" hidden="1" customHeight="1">
      <c r="A576" s="43">
        <v>570</v>
      </c>
      <c r="B576" s="44" t="s">
        <v>22</v>
      </c>
      <c r="C576" s="44" t="s">
        <v>165</v>
      </c>
      <c r="D576" s="44" t="s">
        <v>199</v>
      </c>
      <c r="E576" s="44"/>
      <c r="F576" s="45" t="s">
        <v>19</v>
      </c>
      <c r="G576" s="46">
        <v>2609</v>
      </c>
      <c r="H576" s="46">
        <v>261</v>
      </c>
      <c r="I576" s="46">
        <v>36</v>
      </c>
      <c r="J576" s="47">
        <v>90.905923344947695</v>
      </c>
      <c r="K576" s="47"/>
      <c r="L576" s="48">
        <v>2111</v>
      </c>
      <c r="M576" s="48">
        <v>35</v>
      </c>
      <c r="N576" s="48">
        <v>27</v>
      </c>
      <c r="O576" s="47">
        <v>98.369058713886304</v>
      </c>
      <c r="P576" s="49"/>
    </row>
    <row r="577" spans="1:16" ht="15" customHeight="1">
      <c r="A577" s="50">
        <v>571</v>
      </c>
      <c r="B577" s="51" t="s">
        <v>24</v>
      </c>
      <c r="C577" s="58" t="s">
        <v>165</v>
      </c>
      <c r="D577" s="58" t="s">
        <v>199</v>
      </c>
      <c r="E577" s="58" t="s">
        <v>199</v>
      </c>
      <c r="F577" s="59" t="s">
        <v>199</v>
      </c>
      <c r="G577" s="52">
        <v>2609</v>
      </c>
      <c r="H577" s="52">
        <v>261</v>
      </c>
      <c r="I577" s="52">
        <v>36</v>
      </c>
      <c r="J577" s="53">
        <v>90.905923344947695</v>
      </c>
      <c r="K577" s="53">
        <f>G577+H577+I577</f>
        <v>2906</v>
      </c>
      <c r="L577" s="54">
        <v>2111</v>
      </c>
      <c r="M577" s="54">
        <v>35</v>
      </c>
      <c r="N577" s="54">
        <v>27</v>
      </c>
      <c r="O577" s="53">
        <v>98.369058713886304</v>
      </c>
      <c r="P577" s="55">
        <f>L577+M577+N577</f>
        <v>2173</v>
      </c>
    </row>
    <row r="578" spans="1:16" ht="15" hidden="1" customHeight="1">
      <c r="A578" s="43">
        <v>572</v>
      </c>
      <c r="B578" s="44" t="s">
        <v>24</v>
      </c>
      <c r="C578" s="44" t="s">
        <v>165</v>
      </c>
      <c r="D578" s="44" t="s">
        <v>199</v>
      </c>
      <c r="E578" s="44" t="s">
        <v>199</v>
      </c>
      <c r="F578" s="45" t="s">
        <v>18</v>
      </c>
      <c r="G578" s="46"/>
      <c r="H578" s="46"/>
      <c r="I578" s="46"/>
      <c r="J578" s="47"/>
      <c r="K578" s="47"/>
      <c r="L578" s="48"/>
      <c r="M578" s="48"/>
      <c r="N578" s="48"/>
      <c r="O578" s="47"/>
      <c r="P578" s="49"/>
    </row>
    <row r="579" spans="1:16" ht="15" hidden="1" customHeight="1">
      <c r="A579" s="43">
        <v>573</v>
      </c>
      <c r="B579" s="44" t="s">
        <v>24</v>
      </c>
      <c r="C579" s="44" t="s">
        <v>165</v>
      </c>
      <c r="D579" s="44" t="s">
        <v>199</v>
      </c>
      <c r="E579" s="44" t="s">
        <v>199</v>
      </c>
      <c r="F579" s="45" t="s">
        <v>19</v>
      </c>
      <c r="G579" s="46">
        <v>2609</v>
      </c>
      <c r="H579" s="46">
        <v>261</v>
      </c>
      <c r="I579" s="46">
        <v>36</v>
      </c>
      <c r="J579" s="47">
        <v>90.905923344947695</v>
      </c>
      <c r="K579" s="47"/>
      <c r="L579" s="48">
        <v>2111</v>
      </c>
      <c r="M579" s="48">
        <v>35</v>
      </c>
      <c r="N579" s="48">
        <v>27</v>
      </c>
      <c r="O579" s="47">
        <v>98.369058713886304</v>
      </c>
      <c r="P579" s="49"/>
    </row>
    <row r="580" spans="1:16" ht="15" hidden="1" customHeight="1">
      <c r="A580" s="37">
        <v>574</v>
      </c>
      <c r="B580" s="38" t="s">
        <v>22</v>
      </c>
      <c r="C580" s="57" t="s">
        <v>165</v>
      </c>
      <c r="D580" s="57" t="s">
        <v>200</v>
      </c>
      <c r="E580" s="57"/>
      <c r="F580" s="38" t="s">
        <v>200</v>
      </c>
      <c r="G580" s="39">
        <v>14429</v>
      </c>
      <c r="H580" s="39">
        <v>2023</v>
      </c>
      <c r="I580" s="39">
        <v>320</v>
      </c>
      <c r="J580" s="40">
        <v>87.703622659858993</v>
      </c>
      <c r="K580" s="40"/>
      <c r="L580" s="41">
        <v>15146</v>
      </c>
      <c r="M580" s="41">
        <v>523</v>
      </c>
      <c r="N580" s="41">
        <v>117</v>
      </c>
      <c r="O580" s="40">
        <v>96.662199246920693</v>
      </c>
      <c r="P580" s="42"/>
    </row>
    <row r="581" spans="1:16" ht="15" hidden="1" customHeight="1">
      <c r="A581" s="43">
        <v>575</v>
      </c>
      <c r="B581" s="44" t="s">
        <v>22</v>
      </c>
      <c r="C581" s="44" t="s">
        <v>165</v>
      </c>
      <c r="D581" s="44" t="s">
        <v>200</v>
      </c>
      <c r="E581" s="44"/>
      <c r="F581" s="45" t="s">
        <v>18</v>
      </c>
      <c r="G581" s="46">
        <v>3722</v>
      </c>
      <c r="H581" s="46">
        <v>581</v>
      </c>
      <c r="I581" s="46">
        <v>74</v>
      </c>
      <c r="J581" s="47">
        <v>86.497792237973499</v>
      </c>
      <c r="K581" s="47"/>
      <c r="L581" s="48">
        <v>5933</v>
      </c>
      <c r="M581" s="48">
        <v>219</v>
      </c>
      <c r="N581" s="48">
        <v>33</v>
      </c>
      <c r="O581" s="47">
        <v>96.4401820546164</v>
      </c>
      <c r="P581" s="49"/>
    </row>
    <row r="582" spans="1:16" ht="15" hidden="1" customHeight="1">
      <c r="A582" s="43">
        <v>576</v>
      </c>
      <c r="B582" s="44" t="s">
        <v>22</v>
      </c>
      <c r="C582" s="44" t="s">
        <v>165</v>
      </c>
      <c r="D582" s="44" t="s">
        <v>200</v>
      </c>
      <c r="E582" s="44"/>
      <c r="F582" s="45" t="s">
        <v>19</v>
      </c>
      <c r="G582" s="46">
        <v>10707</v>
      </c>
      <c r="H582" s="46">
        <v>1442</v>
      </c>
      <c r="I582" s="46">
        <v>246</v>
      </c>
      <c r="J582" s="47">
        <v>88.130710346530606</v>
      </c>
      <c r="K582" s="47"/>
      <c r="L582" s="48">
        <v>9213</v>
      </c>
      <c r="M582" s="48">
        <v>304</v>
      </c>
      <c r="N582" s="48">
        <v>84</v>
      </c>
      <c r="O582" s="47">
        <v>96.805716087002196</v>
      </c>
      <c r="P582" s="49"/>
    </row>
    <row r="583" spans="1:16" ht="15" customHeight="1">
      <c r="A583" s="50">
        <v>577</v>
      </c>
      <c r="B583" s="51" t="s">
        <v>24</v>
      </c>
      <c r="C583" s="58" t="s">
        <v>165</v>
      </c>
      <c r="D583" s="58" t="s">
        <v>200</v>
      </c>
      <c r="E583" s="58" t="s">
        <v>201</v>
      </c>
      <c r="F583" s="59" t="s">
        <v>201</v>
      </c>
      <c r="G583" s="52">
        <v>1646</v>
      </c>
      <c r="H583" s="52">
        <v>199</v>
      </c>
      <c r="I583" s="52">
        <v>36</v>
      </c>
      <c r="J583" s="53">
        <v>89.214092140921395</v>
      </c>
      <c r="K583" s="53">
        <f>G583+H583+I583</f>
        <v>1881</v>
      </c>
      <c r="L583" s="54">
        <v>1453</v>
      </c>
      <c r="M583" s="54">
        <v>41</v>
      </c>
      <c r="N583" s="54">
        <v>24</v>
      </c>
      <c r="O583" s="53">
        <v>97.255689424364107</v>
      </c>
      <c r="P583" s="55">
        <f>L583+M583+N583</f>
        <v>1518</v>
      </c>
    </row>
    <row r="584" spans="1:16" ht="15" hidden="1" customHeight="1">
      <c r="A584" s="43">
        <v>578</v>
      </c>
      <c r="B584" s="44" t="s">
        <v>24</v>
      </c>
      <c r="C584" s="44" t="s">
        <v>165</v>
      </c>
      <c r="D584" s="44" t="s">
        <v>200</v>
      </c>
      <c r="E584" s="44" t="s">
        <v>201</v>
      </c>
      <c r="F584" s="45" t="s">
        <v>18</v>
      </c>
      <c r="G584" s="46"/>
      <c r="H584" s="46"/>
      <c r="I584" s="46"/>
      <c r="J584" s="47"/>
      <c r="K584" s="47"/>
      <c r="L584" s="48"/>
      <c r="M584" s="48"/>
      <c r="N584" s="48"/>
      <c r="O584" s="47"/>
      <c r="P584" s="49"/>
    </row>
    <row r="585" spans="1:16" ht="15" hidden="1" customHeight="1">
      <c r="A585" s="43">
        <v>579</v>
      </c>
      <c r="B585" s="44" t="s">
        <v>24</v>
      </c>
      <c r="C585" s="44" t="s">
        <v>165</v>
      </c>
      <c r="D585" s="44" t="s">
        <v>200</v>
      </c>
      <c r="E585" s="44" t="s">
        <v>201</v>
      </c>
      <c r="F585" s="45" t="s">
        <v>19</v>
      </c>
      <c r="G585" s="46">
        <v>1646</v>
      </c>
      <c r="H585" s="46">
        <v>199</v>
      </c>
      <c r="I585" s="46">
        <v>36</v>
      </c>
      <c r="J585" s="47">
        <v>89.214092140921395</v>
      </c>
      <c r="K585" s="47"/>
      <c r="L585" s="48">
        <v>1453</v>
      </c>
      <c r="M585" s="48">
        <v>41</v>
      </c>
      <c r="N585" s="48">
        <v>24</v>
      </c>
      <c r="O585" s="47">
        <v>97.255689424364107</v>
      </c>
      <c r="P585" s="49"/>
    </row>
    <row r="586" spans="1:16" ht="15" customHeight="1">
      <c r="A586" s="50">
        <v>580</v>
      </c>
      <c r="B586" s="51" t="s">
        <v>24</v>
      </c>
      <c r="C586" s="58" t="s">
        <v>165</v>
      </c>
      <c r="D586" s="58" t="s">
        <v>200</v>
      </c>
      <c r="E586" s="58" t="s">
        <v>202</v>
      </c>
      <c r="F586" s="59" t="s">
        <v>202</v>
      </c>
      <c r="G586" s="52">
        <v>1204</v>
      </c>
      <c r="H586" s="52">
        <v>130</v>
      </c>
      <c r="I586" s="52">
        <v>19</v>
      </c>
      <c r="J586" s="53">
        <v>90.254872563718095</v>
      </c>
      <c r="K586" s="53">
        <f>G586+H586+I586</f>
        <v>1353</v>
      </c>
      <c r="L586" s="54">
        <v>1057</v>
      </c>
      <c r="M586" s="54">
        <v>39</v>
      </c>
      <c r="N586" s="54">
        <v>8</v>
      </c>
      <c r="O586" s="53">
        <v>96.441605839416098</v>
      </c>
      <c r="P586" s="55">
        <f>L586+M586+N586</f>
        <v>1104</v>
      </c>
    </row>
    <row r="587" spans="1:16" ht="15" hidden="1" customHeight="1">
      <c r="A587" s="43">
        <v>581</v>
      </c>
      <c r="B587" s="44" t="s">
        <v>24</v>
      </c>
      <c r="C587" s="44" t="s">
        <v>165</v>
      </c>
      <c r="D587" s="44" t="s">
        <v>200</v>
      </c>
      <c r="E587" s="44" t="s">
        <v>202</v>
      </c>
      <c r="F587" s="45" t="s">
        <v>18</v>
      </c>
      <c r="G587" s="46"/>
      <c r="H587" s="46"/>
      <c r="I587" s="46"/>
      <c r="J587" s="47"/>
      <c r="K587" s="47"/>
      <c r="L587" s="48"/>
      <c r="M587" s="48"/>
      <c r="N587" s="48"/>
      <c r="O587" s="47"/>
      <c r="P587" s="49"/>
    </row>
    <row r="588" spans="1:16" ht="15" hidden="1" customHeight="1">
      <c r="A588" s="43">
        <v>582</v>
      </c>
      <c r="B588" s="44" t="s">
        <v>24</v>
      </c>
      <c r="C588" s="44" t="s">
        <v>165</v>
      </c>
      <c r="D588" s="44" t="s">
        <v>200</v>
      </c>
      <c r="E588" s="44" t="s">
        <v>202</v>
      </c>
      <c r="F588" s="45" t="s">
        <v>19</v>
      </c>
      <c r="G588" s="46">
        <v>1204</v>
      </c>
      <c r="H588" s="46">
        <v>130</v>
      </c>
      <c r="I588" s="46">
        <v>19</v>
      </c>
      <c r="J588" s="47">
        <v>90.254872563718095</v>
      </c>
      <c r="K588" s="47"/>
      <c r="L588" s="48">
        <v>1057</v>
      </c>
      <c r="M588" s="48">
        <v>39</v>
      </c>
      <c r="N588" s="48">
        <v>8</v>
      </c>
      <c r="O588" s="47">
        <v>96.441605839416098</v>
      </c>
      <c r="P588" s="49"/>
    </row>
    <row r="589" spans="1:16" ht="15" customHeight="1">
      <c r="A589" s="50">
        <v>583</v>
      </c>
      <c r="B589" s="51" t="s">
        <v>24</v>
      </c>
      <c r="C589" s="58" t="s">
        <v>165</v>
      </c>
      <c r="D589" s="58" t="s">
        <v>200</v>
      </c>
      <c r="E589" s="58" t="s">
        <v>203</v>
      </c>
      <c r="F589" s="59" t="s">
        <v>203</v>
      </c>
      <c r="G589" s="52">
        <v>1018</v>
      </c>
      <c r="H589" s="52">
        <v>103</v>
      </c>
      <c r="I589" s="52">
        <v>25</v>
      </c>
      <c r="J589" s="53">
        <v>90.811775200713697</v>
      </c>
      <c r="K589" s="53">
        <f>G589+H589+I589</f>
        <v>1146</v>
      </c>
      <c r="L589" s="54">
        <v>891</v>
      </c>
      <c r="M589" s="54">
        <v>23</v>
      </c>
      <c r="N589" s="54">
        <v>9</v>
      </c>
      <c r="O589" s="53">
        <v>97.483588621444198</v>
      </c>
      <c r="P589" s="55">
        <f>L589+M589+N589</f>
        <v>923</v>
      </c>
    </row>
    <row r="590" spans="1:16" ht="15" hidden="1" customHeight="1">
      <c r="A590" s="43">
        <v>584</v>
      </c>
      <c r="B590" s="44" t="s">
        <v>24</v>
      </c>
      <c r="C590" s="44" t="s">
        <v>165</v>
      </c>
      <c r="D590" s="44" t="s">
        <v>200</v>
      </c>
      <c r="E590" s="44" t="s">
        <v>203</v>
      </c>
      <c r="F590" s="45" t="s">
        <v>18</v>
      </c>
      <c r="G590" s="46"/>
      <c r="H590" s="46"/>
      <c r="I590" s="46"/>
      <c r="J590" s="47"/>
      <c r="K590" s="47"/>
      <c r="L590" s="48"/>
      <c r="M590" s="48"/>
      <c r="N590" s="48"/>
      <c r="O590" s="47"/>
      <c r="P590" s="49"/>
    </row>
    <row r="591" spans="1:16" ht="15" hidden="1" customHeight="1">
      <c r="A591" s="43">
        <v>585</v>
      </c>
      <c r="B591" s="44" t="s">
        <v>24</v>
      </c>
      <c r="C591" s="44" t="s">
        <v>165</v>
      </c>
      <c r="D591" s="44" t="s">
        <v>200</v>
      </c>
      <c r="E591" s="44" t="s">
        <v>203</v>
      </c>
      <c r="F591" s="45" t="s">
        <v>19</v>
      </c>
      <c r="G591" s="46">
        <v>1018</v>
      </c>
      <c r="H591" s="46">
        <v>103</v>
      </c>
      <c r="I591" s="46">
        <v>25</v>
      </c>
      <c r="J591" s="47">
        <v>90.811775200713697</v>
      </c>
      <c r="K591" s="47"/>
      <c r="L591" s="48">
        <v>891</v>
      </c>
      <c r="M591" s="48">
        <v>23</v>
      </c>
      <c r="N591" s="48">
        <v>9</v>
      </c>
      <c r="O591" s="47">
        <v>97.483588621444198</v>
      </c>
      <c r="P591" s="49"/>
    </row>
    <row r="592" spans="1:16" ht="15" customHeight="1">
      <c r="A592" s="50">
        <v>586</v>
      </c>
      <c r="B592" s="51" t="s">
        <v>24</v>
      </c>
      <c r="C592" s="58" t="s">
        <v>165</v>
      </c>
      <c r="D592" s="58" t="s">
        <v>200</v>
      </c>
      <c r="E592" s="58" t="s">
        <v>204</v>
      </c>
      <c r="F592" s="59" t="s">
        <v>204</v>
      </c>
      <c r="G592" s="52">
        <v>2371</v>
      </c>
      <c r="H592" s="52">
        <v>465</v>
      </c>
      <c r="I592" s="52">
        <v>49</v>
      </c>
      <c r="J592" s="53">
        <v>83.603667136812405</v>
      </c>
      <c r="K592" s="53">
        <f>G592+H592+I592</f>
        <v>2885</v>
      </c>
      <c r="L592" s="54">
        <v>2200</v>
      </c>
      <c r="M592" s="54">
        <v>80</v>
      </c>
      <c r="N592" s="54">
        <v>20</v>
      </c>
      <c r="O592" s="53">
        <v>96.491228070175396</v>
      </c>
      <c r="P592" s="55">
        <f>L592+M592+N592</f>
        <v>2300</v>
      </c>
    </row>
    <row r="593" spans="1:16" ht="15" hidden="1" customHeight="1">
      <c r="A593" s="43">
        <v>587</v>
      </c>
      <c r="B593" s="44" t="s">
        <v>24</v>
      </c>
      <c r="C593" s="44" t="s">
        <v>165</v>
      </c>
      <c r="D593" s="44" t="s">
        <v>200</v>
      </c>
      <c r="E593" s="44" t="s">
        <v>204</v>
      </c>
      <c r="F593" s="45" t="s">
        <v>18</v>
      </c>
      <c r="G593" s="46">
        <v>641</v>
      </c>
      <c r="H593" s="46">
        <v>79</v>
      </c>
      <c r="I593" s="46">
        <v>7</v>
      </c>
      <c r="J593" s="47">
        <v>89.0277777777778</v>
      </c>
      <c r="K593" s="47"/>
      <c r="L593" s="48">
        <v>911</v>
      </c>
      <c r="M593" s="48">
        <v>16</v>
      </c>
      <c r="N593" s="48">
        <v>6</v>
      </c>
      <c r="O593" s="47">
        <v>98.274002157497307</v>
      </c>
      <c r="P593" s="49"/>
    </row>
    <row r="594" spans="1:16" ht="15" hidden="1" customHeight="1">
      <c r="A594" s="43">
        <v>588</v>
      </c>
      <c r="B594" s="44" t="s">
        <v>24</v>
      </c>
      <c r="C594" s="44" t="s">
        <v>165</v>
      </c>
      <c r="D594" s="44" t="s">
        <v>200</v>
      </c>
      <c r="E594" s="44" t="s">
        <v>204</v>
      </c>
      <c r="F594" s="45" t="s">
        <v>19</v>
      </c>
      <c r="G594" s="46">
        <v>1730</v>
      </c>
      <c r="H594" s="46">
        <v>386</v>
      </c>
      <c r="I594" s="46">
        <v>42</v>
      </c>
      <c r="J594" s="47">
        <v>81.758034026464998</v>
      </c>
      <c r="K594" s="47"/>
      <c r="L594" s="48">
        <v>1289</v>
      </c>
      <c r="M594" s="48">
        <v>64</v>
      </c>
      <c r="N594" s="48">
        <v>14</v>
      </c>
      <c r="O594" s="47">
        <v>95.269770879527002</v>
      </c>
      <c r="P594" s="49"/>
    </row>
    <row r="595" spans="1:16" ht="15" customHeight="1">
      <c r="A595" s="50">
        <v>589</v>
      </c>
      <c r="B595" s="51" t="s">
        <v>24</v>
      </c>
      <c r="C595" s="58" t="s">
        <v>165</v>
      </c>
      <c r="D595" s="58" t="s">
        <v>200</v>
      </c>
      <c r="E595" s="58" t="s">
        <v>205</v>
      </c>
      <c r="F595" s="59" t="s">
        <v>205</v>
      </c>
      <c r="G595" s="52">
        <v>4874</v>
      </c>
      <c r="H595" s="52">
        <v>710</v>
      </c>
      <c r="I595" s="52">
        <v>114</v>
      </c>
      <c r="J595" s="53">
        <v>87.285100286532995</v>
      </c>
      <c r="K595" s="53">
        <f>G595+H595+I595</f>
        <v>5698</v>
      </c>
      <c r="L595" s="54">
        <v>5642</v>
      </c>
      <c r="M595" s="54">
        <v>175</v>
      </c>
      <c r="N595" s="54">
        <v>34</v>
      </c>
      <c r="O595" s="53">
        <v>96.991576413959095</v>
      </c>
      <c r="P595" s="55">
        <f>L595+M595+N595</f>
        <v>5851</v>
      </c>
    </row>
    <row r="596" spans="1:16" ht="15" hidden="1" customHeight="1">
      <c r="A596" s="43">
        <v>590</v>
      </c>
      <c r="B596" s="44" t="s">
        <v>24</v>
      </c>
      <c r="C596" s="44" t="s">
        <v>165</v>
      </c>
      <c r="D596" s="44" t="s">
        <v>200</v>
      </c>
      <c r="E596" s="44" t="s">
        <v>205</v>
      </c>
      <c r="F596" s="45" t="s">
        <v>18</v>
      </c>
      <c r="G596" s="46">
        <v>1428</v>
      </c>
      <c r="H596" s="46">
        <v>274</v>
      </c>
      <c r="I596" s="46">
        <v>28</v>
      </c>
      <c r="J596" s="47">
        <v>83.901292596944799</v>
      </c>
      <c r="K596" s="47"/>
      <c r="L596" s="48">
        <v>2201</v>
      </c>
      <c r="M596" s="48">
        <v>80</v>
      </c>
      <c r="N596" s="48">
        <v>10</v>
      </c>
      <c r="O596" s="47">
        <v>96.492766330556805</v>
      </c>
      <c r="P596" s="49"/>
    </row>
    <row r="597" spans="1:16" ht="15" hidden="1" customHeight="1">
      <c r="A597" s="43">
        <v>591</v>
      </c>
      <c r="B597" s="44" t="s">
        <v>24</v>
      </c>
      <c r="C597" s="44" t="s">
        <v>165</v>
      </c>
      <c r="D597" s="44" t="s">
        <v>200</v>
      </c>
      <c r="E597" s="44" t="s">
        <v>205</v>
      </c>
      <c r="F597" s="45" t="s">
        <v>19</v>
      </c>
      <c r="G597" s="46">
        <v>3446</v>
      </c>
      <c r="H597" s="46">
        <v>436</v>
      </c>
      <c r="I597" s="46">
        <v>86</v>
      </c>
      <c r="J597" s="47">
        <v>88.768675940237003</v>
      </c>
      <c r="K597" s="47"/>
      <c r="L597" s="48">
        <v>3441</v>
      </c>
      <c r="M597" s="48">
        <v>95</v>
      </c>
      <c r="N597" s="48">
        <v>24</v>
      </c>
      <c r="O597" s="47">
        <v>97.3133484162896</v>
      </c>
      <c r="P597" s="49"/>
    </row>
    <row r="598" spans="1:16" ht="15" customHeight="1">
      <c r="A598" s="50">
        <v>592</v>
      </c>
      <c r="B598" s="51" t="s">
        <v>24</v>
      </c>
      <c r="C598" s="58" t="s">
        <v>165</v>
      </c>
      <c r="D598" s="58" t="s">
        <v>200</v>
      </c>
      <c r="E598" s="58" t="s">
        <v>206</v>
      </c>
      <c r="F598" s="59" t="s">
        <v>206</v>
      </c>
      <c r="G598" s="52">
        <v>3316</v>
      </c>
      <c r="H598" s="52">
        <v>416</v>
      </c>
      <c r="I598" s="52">
        <v>77</v>
      </c>
      <c r="J598" s="53">
        <v>88.853161843515494</v>
      </c>
      <c r="K598" s="53">
        <f>G598+H598+I598</f>
        <v>3809</v>
      </c>
      <c r="L598" s="54">
        <v>3903</v>
      </c>
      <c r="M598" s="54">
        <v>165</v>
      </c>
      <c r="N598" s="54">
        <v>22</v>
      </c>
      <c r="O598" s="53">
        <v>95.943952802359902</v>
      </c>
      <c r="P598" s="55">
        <f>L598+M598+N598</f>
        <v>4090</v>
      </c>
    </row>
    <row r="599" spans="1:16" ht="15" hidden="1" customHeight="1">
      <c r="A599" s="43">
        <v>593</v>
      </c>
      <c r="B599" s="44" t="s">
        <v>24</v>
      </c>
      <c r="C599" s="44" t="s">
        <v>165</v>
      </c>
      <c r="D599" s="44" t="s">
        <v>200</v>
      </c>
      <c r="E599" s="44" t="s">
        <v>206</v>
      </c>
      <c r="F599" s="45" t="s">
        <v>18</v>
      </c>
      <c r="G599" s="46">
        <v>1653</v>
      </c>
      <c r="H599" s="46">
        <v>228</v>
      </c>
      <c r="I599" s="46">
        <v>39</v>
      </c>
      <c r="J599" s="47">
        <v>87.878787878787904</v>
      </c>
      <c r="K599" s="47"/>
      <c r="L599" s="48">
        <v>2821</v>
      </c>
      <c r="M599" s="48">
        <v>123</v>
      </c>
      <c r="N599" s="48">
        <v>17</v>
      </c>
      <c r="O599" s="47">
        <v>95.822010869565204</v>
      </c>
      <c r="P599" s="49"/>
    </row>
    <row r="600" spans="1:16" ht="15" hidden="1" customHeight="1">
      <c r="A600" s="43">
        <v>594</v>
      </c>
      <c r="B600" s="44" t="s">
        <v>24</v>
      </c>
      <c r="C600" s="44" t="s">
        <v>165</v>
      </c>
      <c r="D600" s="44" t="s">
        <v>200</v>
      </c>
      <c r="E600" s="44" t="s">
        <v>206</v>
      </c>
      <c r="F600" s="45" t="s">
        <v>19</v>
      </c>
      <c r="G600" s="46">
        <v>1663</v>
      </c>
      <c r="H600" s="46">
        <v>188</v>
      </c>
      <c r="I600" s="46">
        <v>38</v>
      </c>
      <c r="J600" s="47">
        <v>89.843327930848204</v>
      </c>
      <c r="K600" s="47"/>
      <c r="L600" s="48">
        <v>1082</v>
      </c>
      <c r="M600" s="48">
        <v>42</v>
      </c>
      <c r="N600" s="48">
        <v>5</v>
      </c>
      <c r="O600" s="47">
        <v>96.263345195729499</v>
      </c>
      <c r="P600" s="49"/>
    </row>
    <row r="601" spans="1:16" ht="15" hidden="1" customHeight="1">
      <c r="A601" s="37">
        <v>595</v>
      </c>
      <c r="B601" s="38" t="s">
        <v>22</v>
      </c>
      <c r="C601" s="57" t="s">
        <v>165</v>
      </c>
      <c r="D601" s="57" t="s">
        <v>207</v>
      </c>
      <c r="E601" s="57"/>
      <c r="F601" s="38" t="s">
        <v>207</v>
      </c>
      <c r="G601" s="39">
        <v>3911</v>
      </c>
      <c r="H601" s="39">
        <v>828</v>
      </c>
      <c r="I601" s="39">
        <v>114</v>
      </c>
      <c r="J601" s="40">
        <v>82.527959485123404</v>
      </c>
      <c r="K601" s="40"/>
      <c r="L601" s="41">
        <v>3162</v>
      </c>
      <c r="M601" s="41">
        <v>294</v>
      </c>
      <c r="N601" s="41">
        <v>47</v>
      </c>
      <c r="O601" s="40">
        <v>91.4930555555556</v>
      </c>
      <c r="P601" s="42"/>
    </row>
    <row r="602" spans="1:16" ht="15" hidden="1" customHeight="1">
      <c r="A602" s="43">
        <v>596</v>
      </c>
      <c r="B602" s="44" t="s">
        <v>22</v>
      </c>
      <c r="C602" s="44" t="s">
        <v>165</v>
      </c>
      <c r="D602" s="44" t="s">
        <v>207</v>
      </c>
      <c r="E602" s="44"/>
      <c r="F602" s="45" t="s">
        <v>18</v>
      </c>
      <c r="G602" s="46">
        <v>326</v>
      </c>
      <c r="H602" s="46">
        <v>52</v>
      </c>
      <c r="I602" s="46">
        <v>5</v>
      </c>
      <c r="J602" s="47">
        <v>86.243386243386198</v>
      </c>
      <c r="K602" s="47"/>
      <c r="L602" s="48">
        <v>550</v>
      </c>
      <c r="M602" s="48">
        <v>13</v>
      </c>
      <c r="N602" s="48">
        <v>2</v>
      </c>
      <c r="O602" s="47">
        <v>97.690941385435195</v>
      </c>
      <c r="P602" s="49"/>
    </row>
    <row r="603" spans="1:16" ht="15" hidden="1" customHeight="1">
      <c r="A603" s="43">
        <v>597</v>
      </c>
      <c r="B603" s="44" t="s">
        <v>22</v>
      </c>
      <c r="C603" s="44" t="s">
        <v>165</v>
      </c>
      <c r="D603" s="44" t="s">
        <v>207</v>
      </c>
      <c r="E603" s="44"/>
      <c r="F603" s="45" t="s">
        <v>19</v>
      </c>
      <c r="G603" s="46">
        <v>3585</v>
      </c>
      <c r="H603" s="46">
        <v>776</v>
      </c>
      <c r="I603" s="46">
        <v>109</v>
      </c>
      <c r="J603" s="47">
        <v>82.205916074294905</v>
      </c>
      <c r="K603" s="47"/>
      <c r="L603" s="48">
        <v>2612</v>
      </c>
      <c r="M603" s="48">
        <v>281</v>
      </c>
      <c r="N603" s="48">
        <v>45</v>
      </c>
      <c r="O603" s="47">
        <v>90.286899412374694</v>
      </c>
      <c r="P603" s="49"/>
    </row>
    <row r="604" spans="1:16" ht="15" customHeight="1">
      <c r="A604" s="50">
        <v>598</v>
      </c>
      <c r="B604" s="51" t="s">
        <v>24</v>
      </c>
      <c r="C604" s="58" t="s">
        <v>165</v>
      </c>
      <c r="D604" s="58" t="s">
        <v>207</v>
      </c>
      <c r="E604" s="58" t="s">
        <v>207</v>
      </c>
      <c r="F604" s="59" t="s">
        <v>207</v>
      </c>
      <c r="G604" s="52">
        <v>2107</v>
      </c>
      <c r="H604" s="52">
        <v>425</v>
      </c>
      <c r="I604" s="52">
        <v>45</v>
      </c>
      <c r="J604" s="53">
        <v>83.214849921011094</v>
      </c>
      <c r="K604" s="53">
        <f>G604+H604+I604</f>
        <v>2577</v>
      </c>
      <c r="L604" s="54">
        <v>1627</v>
      </c>
      <c r="M604" s="54">
        <v>43</v>
      </c>
      <c r="N604" s="54">
        <v>22</v>
      </c>
      <c r="O604" s="53">
        <v>97.425149700598794</v>
      </c>
      <c r="P604" s="55">
        <f>L604+M604+N604</f>
        <v>1692</v>
      </c>
    </row>
    <row r="605" spans="1:16" ht="15" hidden="1" customHeight="1">
      <c r="A605" s="43">
        <v>599</v>
      </c>
      <c r="B605" s="44" t="s">
        <v>24</v>
      </c>
      <c r="C605" s="44" t="s">
        <v>165</v>
      </c>
      <c r="D605" s="44" t="s">
        <v>207</v>
      </c>
      <c r="E605" s="44" t="s">
        <v>207</v>
      </c>
      <c r="F605" s="45" t="s">
        <v>18</v>
      </c>
      <c r="G605" s="46">
        <v>326</v>
      </c>
      <c r="H605" s="46">
        <v>52</v>
      </c>
      <c r="I605" s="46">
        <v>5</v>
      </c>
      <c r="J605" s="47">
        <v>86.243386243386198</v>
      </c>
      <c r="K605" s="47"/>
      <c r="L605" s="48">
        <v>550</v>
      </c>
      <c r="M605" s="48">
        <v>13</v>
      </c>
      <c r="N605" s="48">
        <v>2</v>
      </c>
      <c r="O605" s="47">
        <v>97.690941385435195</v>
      </c>
      <c r="P605" s="49"/>
    </row>
    <row r="606" spans="1:16" ht="15" hidden="1" customHeight="1">
      <c r="A606" s="43">
        <v>600</v>
      </c>
      <c r="B606" s="44" t="s">
        <v>24</v>
      </c>
      <c r="C606" s="44" t="s">
        <v>165</v>
      </c>
      <c r="D606" s="44" t="s">
        <v>207</v>
      </c>
      <c r="E606" s="44" t="s">
        <v>207</v>
      </c>
      <c r="F606" s="45" t="s">
        <v>19</v>
      </c>
      <c r="G606" s="46">
        <v>1781</v>
      </c>
      <c r="H606" s="46">
        <v>373</v>
      </c>
      <c r="I606" s="46">
        <v>40</v>
      </c>
      <c r="J606" s="47">
        <v>82.6833797585887</v>
      </c>
      <c r="K606" s="47"/>
      <c r="L606" s="48">
        <v>1077</v>
      </c>
      <c r="M606" s="48">
        <v>30</v>
      </c>
      <c r="N606" s="48">
        <v>20</v>
      </c>
      <c r="O606" s="47">
        <v>97.289972899728994</v>
      </c>
      <c r="P606" s="49"/>
    </row>
    <row r="607" spans="1:16" ht="15" customHeight="1">
      <c r="A607" s="50">
        <v>601</v>
      </c>
      <c r="B607" s="51" t="s">
        <v>24</v>
      </c>
      <c r="C607" s="58" t="s">
        <v>165</v>
      </c>
      <c r="D607" s="58" t="s">
        <v>207</v>
      </c>
      <c r="E607" s="58" t="s">
        <v>208</v>
      </c>
      <c r="F607" s="59" t="s">
        <v>208</v>
      </c>
      <c r="G607" s="52">
        <v>551</v>
      </c>
      <c r="H607" s="52">
        <v>199</v>
      </c>
      <c r="I607" s="52">
        <v>27</v>
      </c>
      <c r="J607" s="53">
        <v>73.466666666666697</v>
      </c>
      <c r="K607" s="53">
        <f>G607+H607+I607</f>
        <v>777</v>
      </c>
      <c r="L607" s="54">
        <v>500</v>
      </c>
      <c r="M607" s="54">
        <v>202</v>
      </c>
      <c r="N607" s="54">
        <v>15</v>
      </c>
      <c r="O607" s="53">
        <v>71.225071225071204</v>
      </c>
      <c r="P607" s="55">
        <f>L607+M607+N607</f>
        <v>717</v>
      </c>
    </row>
    <row r="608" spans="1:16" ht="15" hidden="1" customHeight="1">
      <c r="A608" s="43">
        <v>602</v>
      </c>
      <c r="B608" s="44" t="s">
        <v>24</v>
      </c>
      <c r="C608" s="44" t="s">
        <v>165</v>
      </c>
      <c r="D608" s="44" t="s">
        <v>207</v>
      </c>
      <c r="E608" s="44" t="s">
        <v>208</v>
      </c>
      <c r="F608" s="45" t="s">
        <v>18</v>
      </c>
      <c r="G608" s="46"/>
      <c r="H608" s="46"/>
      <c r="I608" s="46"/>
      <c r="J608" s="47"/>
      <c r="K608" s="47"/>
      <c r="L608" s="48"/>
      <c r="M608" s="48"/>
      <c r="N608" s="48"/>
      <c r="O608" s="47"/>
      <c r="P608" s="49"/>
    </row>
    <row r="609" spans="1:16" ht="15" hidden="1" customHeight="1">
      <c r="A609" s="43">
        <v>603</v>
      </c>
      <c r="B609" s="44" t="s">
        <v>24</v>
      </c>
      <c r="C609" s="44" t="s">
        <v>165</v>
      </c>
      <c r="D609" s="44" t="s">
        <v>207</v>
      </c>
      <c r="E609" s="44" t="s">
        <v>208</v>
      </c>
      <c r="F609" s="45" t="s">
        <v>19</v>
      </c>
      <c r="G609" s="46">
        <v>551</v>
      </c>
      <c r="H609" s="46">
        <v>199</v>
      </c>
      <c r="I609" s="46">
        <v>27</v>
      </c>
      <c r="J609" s="47">
        <v>73.466666666666697</v>
      </c>
      <c r="K609" s="47"/>
      <c r="L609" s="48">
        <v>500</v>
      </c>
      <c r="M609" s="48">
        <v>202</v>
      </c>
      <c r="N609" s="48">
        <v>15</v>
      </c>
      <c r="O609" s="47">
        <v>71.225071225071204</v>
      </c>
      <c r="P609" s="49"/>
    </row>
    <row r="610" spans="1:16" ht="15" customHeight="1">
      <c r="A610" s="50">
        <v>604</v>
      </c>
      <c r="B610" s="51" t="s">
        <v>24</v>
      </c>
      <c r="C610" s="58" t="s">
        <v>165</v>
      </c>
      <c r="D610" s="58" t="s">
        <v>207</v>
      </c>
      <c r="E610" s="58" t="s">
        <v>209</v>
      </c>
      <c r="F610" s="59" t="s">
        <v>209</v>
      </c>
      <c r="G610" s="52">
        <v>338</v>
      </c>
      <c r="H610" s="52">
        <v>79</v>
      </c>
      <c r="I610" s="52">
        <v>7</v>
      </c>
      <c r="J610" s="53">
        <v>81.055155875299803</v>
      </c>
      <c r="K610" s="53">
        <f>G610+H610+I610</f>
        <v>424</v>
      </c>
      <c r="L610" s="54">
        <v>255</v>
      </c>
      <c r="M610" s="54">
        <v>12</v>
      </c>
      <c r="N610" s="54">
        <v>2</v>
      </c>
      <c r="O610" s="53">
        <v>95.505617977528104</v>
      </c>
      <c r="P610" s="55">
        <f>L610+M610+N610</f>
        <v>269</v>
      </c>
    </row>
    <row r="611" spans="1:16" ht="15" hidden="1" customHeight="1">
      <c r="A611" s="43">
        <v>605</v>
      </c>
      <c r="B611" s="44" t="s">
        <v>24</v>
      </c>
      <c r="C611" s="44" t="s">
        <v>165</v>
      </c>
      <c r="D611" s="44" t="s">
        <v>207</v>
      </c>
      <c r="E611" s="44" t="s">
        <v>209</v>
      </c>
      <c r="F611" s="45" t="s">
        <v>18</v>
      </c>
      <c r="G611" s="46"/>
      <c r="H611" s="46"/>
      <c r="I611" s="46"/>
      <c r="J611" s="47"/>
      <c r="K611" s="47"/>
      <c r="L611" s="48"/>
      <c r="M611" s="48"/>
      <c r="N611" s="48"/>
      <c r="O611" s="47"/>
      <c r="P611" s="49"/>
    </row>
    <row r="612" spans="1:16" ht="15" hidden="1" customHeight="1">
      <c r="A612" s="43">
        <v>606</v>
      </c>
      <c r="B612" s="44" t="s">
        <v>24</v>
      </c>
      <c r="C612" s="44" t="s">
        <v>165</v>
      </c>
      <c r="D612" s="44" t="s">
        <v>207</v>
      </c>
      <c r="E612" s="44" t="s">
        <v>209</v>
      </c>
      <c r="F612" s="45" t="s">
        <v>19</v>
      </c>
      <c r="G612" s="46">
        <v>338</v>
      </c>
      <c r="H612" s="46">
        <v>79</v>
      </c>
      <c r="I612" s="46">
        <v>7</v>
      </c>
      <c r="J612" s="47">
        <v>81.055155875299803</v>
      </c>
      <c r="K612" s="47"/>
      <c r="L612" s="48">
        <v>255</v>
      </c>
      <c r="M612" s="48">
        <v>12</v>
      </c>
      <c r="N612" s="48">
        <v>2</v>
      </c>
      <c r="O612" s="47">
        <v>95.505617977528104</v>
      </c>
      <c r="P612" s="49"/>
    </row>
    <row r="613" spans="1:16" ht="15" customHeight="1">
      <c r="A613" s="50">
        <v>607</v>
      </c>
      <c r="B613" s="51" t="s">
        <v>24</v>
      </c>
      <c r="C613" s="58" t="s">
        <v>165</v>
      </c>
      <c r="D613" s="58" t="s">
        <v>207</v>
      </c>
      <c r="E613" s="58" t="s">
        <v>210</v>
      </c>
      <c r="F613" s="59" t="s">
        <v>210</v>
      </c>
      <c r="G613" s="52">
        <v>915</v>
      </c>
      <c r="H613" s="52">
        <v>125</v>
      </c>
      <c r="I613" s="52">
        <v>35</v>
      </c>
      <c r="J613" s="53">
        <v>87.980769230769198</v>
      </c>
      <c r="K613" s="53">
        <f>G613+H613+I613</f>
        <v>1075</v>
      </c>
      <c r="L613" s="54">
        <v>780</v>
      </c>
      <c r="M613" s="54">
        <v>37</v>
      </c>
      <c r="N613" s="54">
        <v>8</v>
      </c>
      <c r="O613" s="53">
        <v>95.471236230110193</v>
      </c>
      <c r="P613" s="55">
        <f>L613+M613+N613</f>
        <v>825</v>
      </c>
    </row>
    <row r="614" spans="1:16" ht="15" hidden="1" customHeight="1">
      <c r="A614" s="43">
        <v>608</v>
      </c>
      <c r="B614" s="44" t="s">
        <v>24</v>
      </c>
      <c r="C614" s="44" t="s">
        <v>165</v>
      </c>
      <c r="D614" s="44" t="s">
        <v>207</v>
      </c>
      <c r="E614" s="44" t="s">
        <v>210</v>
      </c>
      <c r="F614" s="45" t="s">
        <v>18</v>
      </c>
      <c r="G614" s="46"/>
      <c r="H614" s="46"/>
      <c r="I614" s="46"/>
      <c r="J614" s="47"/>
      <c r="K614" s="47"/>
      <c r="L614" s="48"/>
      <c r="M614" s="48"/>
      <c r="N614" s="48"/>
      <c r="O614" s="47"/>
      <c r="P614" s="49"/>
    </row>
    <row r="615" spans="1:16" ht="15" hidden="1" customHeight="1">
      <c r="A615" s="43">
        <v>609</v>
      </c>
      <c r="B615" s="44" t="s">
        <v>24</v>
      </c>
      <c r="C615" s="44" t="s">
        <v>165</v>
      </c>
      <c r="D615" s="44" t="s">
        <v>207</v>
      </c>
      <c r="E615" s="44" t="s">
        <v>210</v>
      </c>
      <c r="F615" s="45" t="s">
        <v>19</v>
      </c>
      <c r="G615" s="46">
        <v>915</v>
      </c>
      <c r="H615" s="46">
        <v>125</v>
      </c>
      <c r="I615" s="46">
        <v>35</v>
      </c>
      <c r="J615" s="47">
        <v>87.980769230769198</v>
      </c>
      <c r="K615" s="47"/>
      <c r="L615" s="48">
        <v>780</v>
      </c>
      <c r="M615" s="48">
        <v>37</v>
      </c>
      <c r="N615" s="48">
        <v>8</v>
      </c>
      <c r="O615" s="47">
        <v>95.471236230110193</v>
      </c>
      <c r="P615" s="49"/>
    </row>
    <row r="616" spans="1:16" ht="15" hidden="1" customHeight="1">
      <c r="A616" s="37">
        <v>610</v>
      </c>
      <c r="B616" s="38" t="s">
        <v>22</v>
      </c>
      <c r="C616" s="57" t="s">
        <v>165</v>
      </c>
      <c r="D616" s="57" t="s">
        <v>211</v>
      </c>
      <c r="E616" s="57"/>
      <c r="F616" s="38" t="s">
        <v>211</v>
      </c>
      <c r="G616" s="39">
        <v>4799</v>
      </c>
      <c r="H616" s="39">
        <v>412</v>
      </c>
      <c r="I616" s="39">
        <v>79</v>
      </c>
      <c r="J616" s="40">
        <v>92.093648052197295</v>
      </c>
      <c r="K616" s="40"/>
      <c r="L616" s="41">
        <v>4274</v>
      </c>
      <c r="M616" s="41">
        <v>119</v>
      </c>
      <c r="N616" s="41">
        <v>27</v>
      </c>
      <c r="O616" s="40">
        <v>97.291145003414499</v>
      </c>
      <c r="P616" s="42"/>
    </row>
    <row r="617" spans="1:16" ht="15" hidden="1" customHeight="1">
      <c r="A617" s="43">
        <v>611</v>
      </c>
      <c r="B617" s="44" t="s">
        <v>22</v>
      </c>
      <c r="C617" s="44" t="s">
        <v>165</v>
      </c>
      <c r="D617" s="44" t="s">
        <v>211</v>
      </c>
      <c r="E617" s="44"/>
      <c r="F617" s="45" t="s">
        <v>18</v>
      </c>
      <c r="G617" s="46">
        <v>2448</v>
      </c>
      <c r="H617" s="46">
        <v>177</v>
      </c>
      <c r="I617" s="46">
        <v>43</v>
      </c>
      <c r="J617" s="47">
        <v>93.257142857142895</v>
      </c>
      <c r="K617" s="47"/>
      <c r="L617" s="48">
        <v>2687</v>
      </c>
      <c r="M617" s="48">
        <v>66</v>
      </c>
      <c r="N617" s="48">
        <v>15</v>
      </c>
      <c r="O617" s="47">
        <v>97.602615328732298</v>
      </c>
      <c r="P617" s="49"/>
    </row>
    <row r="618" spans="1:16" ht="15" hidden="1" customHeight="1">
      <c r="A618" s="43">
        <v>612</v>
      </c>
      <c r="B618" s="44" t="s">
        <v>22</v>
      </c>
      <c r="C618" s="44" t="s">
        <v>165</v>
      </c>
      <c r="D618" s="44" t="s">
        <v>211</v>
      </c>
      <c r="E618" s="44"/>
      <c r="F618" s="45" t="s">
        <v>19</v>
      </c>
      <c r="G618" s="46">
        <v>2351</v>
      </c>
      <c r="H618" s="46">
        <v>235</v>
      </c>
      <c r="I618" s="46">
        <v>36</v>
      </c>
      <c r="J618" s="47">
        <v>90.9126063418407</v>
      </c>
      <c r="K618" s="47"/>
      <c r="L618" s="48">
        <v>1587</v>
      </c>
      <c r="M618" s="48">
        <v>53</v>
      </c>
      <c r="N618" s="48">
        <v>12</v>
      </c>
      <c r="O618" s="47">
        <v>96.768292682926798</v>
      </c>
      <c r="P618" s="49"/>
    </row>
    <row r="619" spans="1:16" ht="15" customHeight="1">
      <c r="A619" s="50">
        <v>613</v>
      </c>
      <c r="B619" s="51" t="s">
        <v>24</v>
      </c>
      <c r="C619" s="58" t="s">
        <v>165</v>
      </c>
      <c r="D619" s="58" t="s">
        <v>211</v>
      </c>
      <c r="E619" s="58" t="s">
        <v>211</v>
      </c>
      <c r="F619" s="59" t="s">
        <v>211</v>
      </c>
      <c r="G619" s="52">
        <v>2449</v>
      </c>
      <c r="H619" s="52">
        <v>226</v>
      </c>
      <c r="I619" s="52">
        <v>43</v>
      </c>
      <c r="J619" s="53">
        <v>91.551401869158894</v>
      </c>
      <c r="K619" s="53">
        <f>G619+H619+I619</f>
        <v>2718</v>
      </c>
      <c r="L619" s="54">
        <v>2442</v>
      </c>
      <c r="M619" s="54">
        <v>66</v>
      </c>
      <c r="N619" s="54">
        <v>12</v>
      </c>
      <c r="O619" s="53">
        <v>97.368421052631604</v>
      </c>
      <c r="P619" s="55">
        <f>L619+M619+N619</f>
        <v>2520</v>
      </c>
    </row>
    <row r="620" spans="1:16" ht="15" hidden="1" customHeight="1">
      <c r="A620" s="43">
        <v>614</v>
      </c>
      <c r="B620" s="44" t="s">
        <v>24</v>
      </c>
      <c r="C620" s="44" t="s">
        <v>165</v>
      </c>
      <c r="D620" s="44" t="s">
        <v>211</v>
      </c>
      <c r="E620" s="44" t="s">
        <v>211</v>
      </c>
      <c r="F620" s="45" t="s">
        <v>18</v>
      </c>
      <c r="G620" s="46">
        <v>1696</v>
      </c>
      <c r="H620" s="46">
        <v>136</v>
      </c>
      <c r="I620" s="46">
        <v>26</v>
      </c>
      <c r="J620" s="47">
        <v>92.576419213973793</v>
      </c>
      <c r="K620" s="47"/>
      <c r="L620" s="48">
        <v>1822</v>
      </c>
      <c r="M620" s="48">
        <v>50</v>
      </c>
      <c r="N620" s="48">
        <v>8</v>
      </c>
      <c r="O620" s="47">
        <v>97.329059829059801</v>
      </c>
      <c r="P620" s="49"/>
    </row>
    <row r="621" spans="1:16" ht="15" hidden="1" customHeight="1">
      <c r="A621" s="43">
        <v>615</v>
      </c>
      <c r="B621" s="44" t="s">
        <v>24</v>
      </c>
      <c r="C621" s="44" t="s">
        <v>165</v>
      </c>
      <c r="D621" s="44" t="s">
        <v>211</v>
      </c>
      <c r="E621" s="44" t="s">
        <v>211</v>
      </c>
      <c r="F621" s="45" t="s">
        <v>19</v>
      </c>
      <c r="G621" s="46">
        <v>753</v>
      </c>
      <c r="H621" s="46">
        <v>90</v>
      </c>
      <c r="I621" s="46">
        <v>17</v>
      </c>
      <c r="J621" s="47">
        <v>89.323843416370096</v>
      </c>
      <c r="K621" s="47"/>
      <c r="L621" s="48">
        <v>620</v>
      </c>
      <c r="M621" s="48">
        <v>16</v>
      </c>
      <c r="N621" s="48">
        <v>4</v>
      </c>
      <c r="O621" s="47">
        <v>97.484276729559795</v>
      </c>
      <c r="P621" s="49"/>
    </row>
    <row r="622" spans="1:16" ht="15" customHeight="1">
      <c r="A622" s="50">
        <v>616</v>
      </c>
      <c r="B622" s="51" t="s">
        <v>24</v>
      </c>
      <c r="C622" s="58" t="s">
        <v>165</v>
      </c>
      <c r="D622" s="58" t="s">
        <v>211</v>
      </c>
      <c r="E622" s="58" t="s">
        <v>212</v>
      </c>
      <c r="F622" s="59" t="s">
        <v>212</v>
      </c>
      <c r="G622" s="52">
        <v>822</v>
      </c>
      <c r="H622" s="52">
        <v>73</v>
      </c>
      <c r="I622" s="52">
        <v>8</v>
      </c>
      <c r="J622" s="53">
        <v>91.843575418994405</v>
      </c>
      <c r="K622" s="53">
        <f>G622+H622+I622</f>
        <v>903</v>
      </c>
      <c r="L622" s="54">
        <v>618</v>
      </c>
      <c r="M622" s="54">
        <v>26</v>
      </c>
      <c r="N622" s="54">
        <v>4</v>
      </c>
      <c r="O622" s="53">
        <v>95.962732919254705</v>
      </c>
      <c r="P622" s="55">
        <f>L622+M622+N622</f>
        <v>648</v>
      </c>
    </row>
    <row r="623" spans="1:16" ht="15" hidden="1" customHeight="1">
      <c r="A623" s="43">
        <v>617</v>
      </c>
      <c r="B623" s="44" t="s">
        <v>24</v>
      </c>
      <c r="C623" s="44" t="s">
        <v>165</v>
      </c>
      <c r="D623" s="44" t="s">
        <v>211</v>
      </c>
      <c r="E623" s="44" t="s">
        <v>212</v>
      </c>
      <c r="F623" s="45" t="s">
        <v>18</v>
      </c>
      <c r="G623" s="46"/>
      <c r="H623" s="46"/>
      <c r="I623" s="46"/>
      <c r="J623" s="47"/>
      <c r="K623" s="47"/>
      <c r="L623" s="48">
        <v>255</v>
      </c>
      <c r="M623" s="48">
        <v>5</v>
      </c>
      <c r="N623" s="48">
        <v>3</v>
      </c>
      <c r="O623" s="47">
        <v>98.076923076923094</v>
      </c>
      <c r="P623" s="49"/>
    </row>
    <row r="624" spans="1:16" ht="15" hidden="1" customHeight="1">
      <c r="A624" s="43">
        <v>618</v>
      </c>
      <c r="B624" s="44" t="s">
        <v>24</v>
      </c>
      <c r="C624" s="44" t="s">
        <v>165</v>
      </c>
      <c r="D624" s="44" t="s">
        <v>211</v>
      </c>
      <c r="E624" s="44" t="s">
        <v>212</v>
      </c>
      <c r="F624" s="45" t="s">
        <v>19</v>
      </c>
      <c r="G624" s="46">
        <v>822</v>
      </c>
      <c r="H624" s="46">
        <v>73</v>
      </c>
      <c r="I624" s="46">
        <v>8</v>
      </c>
      <c r="J624" s="47">
        <v>91.843575418994405</v>
      </c>
      <c r="K624" s="47"/>
      <c r="L624" s="48">
        <v>363</v>
      </c>
      <c r="M624" s="48">
        <v>21</v>
      </c>
      <c r="N624" s="48">
        <v>1</v>
      </c>
      <c r="O624" s="47">
        <v>94.53125</v>
      </c>
      <c r="P624" s="49"/>
    </row>
    <row r="625" spans="1:16" ht="15" customHeight="1">
      <c r="A625" s="50">
        <v>619</v>
      </c>
      <c r="B625" s="51" t="s">
        <v>24</v>
      </c>
      <c r="C625" s="58" t="s">
        <v>165</v>
      </c>
      <c r="D625" s="58" t="s">
        <v>211</v>
      </c>
      <c r="E625" s="58" t="s">
        <v>213</v>
      </c>
      <c r="F625" s="59" t="s">
        <v>213</v>
      </c>
      <c r="G625" s="52">
        <v>1171</v>
      </c>
      <c r="H625" s="52">
        <v>78</v>
      </c>
      <c r="I625" s="52">
        <v>22</v>
      </c>
      <c r="J625" s="53">
        <v>93.7550040032026</v>
      </c>
      <c r="K625" s="53">
        <f>G625+H625+I625</f>
        <v>1271</v>
      </c>
      <c r="L625" s="54">
        <v>900</v>
      </c>
      <c r="M625" s="54">
        <v>20</v>
      </c>
      <c r="N625" s="54">
        <v>8</v>
      </c>
      <c r="O625" s="53">
        <v>97.826086956521706</v>
      </c>
      <c r="P625" s="55">
        <f>L625+M625+N625</f>
        <v>928</v>
      </c>
    </row>
    <row r="626" spans="1:16" ht="15" hidden="1" customHeight="1">
      <c r="A626" s="43">
        <v>620</v>
      </c>
      <c r="B626" s="44" t="s">
        <v>24</v>
      </c>
      <c r="C626" s="44" t="s">
        <v>165</v>
      </c>
      <c r="D626" s="44" t="s">
        <v>211</v>
      </c>
      <c r="E626" s="44" t="s">
        <v>213</v>
      </c>
      <c r="F626" s="45" t="s">
        <v>18</v>
      </c>
      <c r="G626" s="46">
        <v>752</v>
      </c>
      <c r="H626" s="46">
        <v>41</v>
      </c>
      <c r="I626" s="46">
        <v>17</v>
      </c>
      <c r="J626" s="47">
        <v>94.829760403530898</v>
      </c>
      <c r="K626" s="47"/>
      <c r="L626" s="48">
        <v>610</v>
      </c>
      <c r="M626" s="48">
        <v>11</v>
      </c>
      <c r="N626" s="48">
        <v>4</v>
      </c>
      <c r="O626" s="47">
        <v>98.228663446054796</v>
      </c>
      <c r="P626" s="49"/>
    </row>
    <row r="627" spans="1:16" ht="15" hidden="1" customHeight="1">
      <c r="A627" s="43">
        <v>621</v>
      </c>
      <c r="B627" s="44" t="s">
        <v>24</v>
      </c>
      <c r="C627" s="44" t="s">
        <v>165</v>
      </c>
      <c r="D627" s="44" t="s">
        <v>211</v>
      </c>
      <c r="E627" s="44" t="s">
        <v>213</v>
      </c>
      <c r="F627" s="45" t="s">
        <v>19</v>
      </c>
      <c r="G627" s="46">
        <v>419</v>
      </c>
      <c r="H627" s="46">
        <v>37</v>
      </c>
      <c r="I627" s="46">
        <v>5</v>
      </c>
      <c r="J627" s="47">
        <v>91.885964912280699</v>
      </c>
      <c r="K627" s="47"/>
      <c r="L627" s="48">
        <v>290</v>
      </c>
      <c r="M627" s="48">
        <v>9</v>
      </c>
      <c r="N627" s="48">
        <v>4</v>
      </c>
      <c r="O627" s="47">
        <v>96.989966555183997</v>
      </c>
      <c r="P627" s="49"/>
    </row>
    <row r="628" spans="1:16" ht="15" customHeight="1">
      <c r="A628" s="50">
        <v>622</v>
      </c>
      <c r="B628" s="51" t="s">
        <v>24</v>
      </c>
      <c r="C628" s="58" t="s">
        <v>165</v>
      </c>
      <c r="D628" s="58" t="s">
        <v>211</v>
      </c>
      <c r="E628" s="58" t="s">
        <v>214</v>
      </c>
      <c r="F628" s="59" t="s">
        <v>214</v>
      </c>
      <c r="G628" s="52">
        <v>98</v>
      </c>
      <c r="H628" s="52">
        <v>8</v>
      </c>
      <c r="I628" s="52">
        <v>3</v>
      </c>
      <c r="J628" s="53">
        <v>92.452830188679201</v>
      </c>
      <c r="K628" s="53">
        <f>G628+H628+I628</f>
        <v>109</v>
      </c>
      <c r="L628" s="54">
        <v>83</v>
      </c>
      <c r="M628" s="54">
        <v>0</v>
      </c>
      <c r="N628" s="54">
        <v>1</v>
      </c>
      <c r="O628" s="53">
        <v>100</v>
      </c>
      <c r="P628" s="55">
        <f>L628+M628+N628</f>
        <v>84</v>
      </c>
    </row>
    <row r="629" spans="1:16" ht="15" hidden="1" customHeight="1">
      <c r="A629" s="43">
        <v>623</v>
      </c>
      <c r="B629" s="44" t="s">
        <v>24</v>
      </c>
      <c r="C629" s="44" t="s">
        <v>165</v>
      </c>
      <c r="D629" s="44" t="s">
        <v>211</v>
      </c>
      <c r="E629" s="44" t="s">
        <v>214</v>
      </c>
      <c r="F629" s="45" t="s">
        <v>18</v>
      </c>
      <c r="G629" s="46"/>
      <c r="H629" s="46"/>
      <c r="I629" s="46"/>
      <c r="J629" s="47"/>
      <c r="K629" s="47"/>
      <c r="L629" s="48"/>
      <c r="M629" s="48"/>
      <c r="N629" s="48"/>
      <c r="O629" s="47"/>
      <c r="P629" s="49"/>
    </row>
    <row r="630" spans="1:16" ht="15" hidden="1" customHeight="1">
      <c r="A630" s="43">
        <v>624</v>
      </c>
      <c r="B630" s="44" t="s">
        <v>24</v>
      </c>
      <c r="C630" s="44" t="s">
        <v>165</v>
      </c>
      <c r="D630" s="44" t="s">
        <v>211</v>
      </c>
      <c r="E630" s="44" t="s">
        <v>214</v>
      </c>
      <c r="F630" s="45" t="s">
        <v>19</v>
      </c>
      <c r="G630" s="46">
        <v>98</v>
      </c>
      <c r="H630" s="46">
        <v>8</v>
      </c>
      <c r="I630" s="46">
        <v>3</v>
      </c>
      <c r="J630" s="47">
        <v>92.452830188679201</v>
      </c>
      <c r="K630" s="47"/>
      <c r="L630" s="48">
        <v>83</v>
      </c>
      <c r="M630" s="48">
        <v>0</v>
      </c>
      <c r="N630" s="48">
        <v>1</v>
      </c>
      <c r="O630" s="47">
        <v>100</v>
      </c>
      <c r="P630" s="49"/>
    </row>
    <row r="631" spans="1:16" ht="15" customHeight="1">
      <c r="A631" s="50">
        <v>625</v>
      </c>
      <c r="B631" s="51" t="s">
        <v>24</v>
      </c>
      <c r="C631" s="58" t="s">
        <v>165</v>
      </c>
      <c r="D631" s="58" t="s">
        <v>211</v>
      </c>
      <c r="E631" s="58" t="s">
        <v>215</v>
      </c>
      <c r="F631" s="59" t="s">
        <v>215</v>
      </c>
      <c r="G631" s="52">
        <v>259</v>
      </c>
      <c r="H631" s="52">
        <v>27</v>
      </c>
      <c r="I631" s="52">
        <v>3</v>
      </c>
      <c r="J631" s="53">
        <v>90.559440559440603</v>
      </c>
      <c r="K631" s="53">
        <f>G631+H631+I631</f>
        <v>289</v>
      </c>
      <c r="L631" s="54">
        <v>231</v>
      </c>
      <c r="M631" s="54">
        <v>7</v>
      </c>
      <c r="N631" s="54">
        <v>2</v>
      </c>
      <c r="O631" s="53">
        <v>97.058823529411796</v>
      </c>
      <c r="P631" s="55">
        <f>L631+M631+N631</f>
        <v>240</v>
      </c>
    </row>
    <row r="632" spans="1:16" ht="15" hidden="1" customHeight="1">
      <c r="A632" s="43">
        <v>626</v>
      </c>
      <c r="B632" s="44" t="s">
        <v>24</v>
      </c>
      <c r="C632" s="44" t="s">
        <v>165</v>
      </c>
      <c r="D632" s="44" t="s">
        <v>211</v>
      </c>
      <c r="E632" s="44" t="s">
        <v>215</v>
      </c>
      <c r="F632" s="45" t="s">
        <v>18</v>
      </c>
      <c r="G632" s="46"/>
      <c r="H632" s="46"/>
      <c r="I632" s="46"/>
      <c r="J632" s="47"/>
      <c r="K632" s="47"/>
      <c r="L632" s="48"/>
      <c r="M632" s="48"/>
      <c r="N632" s="48"/>
      <c r="O632" s="47"/>
      <c r="P632" s="49"/>
    </row>
    <row r="633" spans="1:16" ht="15" hidden="1" customHeight="1">
      <c r="A633" s="43">
        <v>627</v>
      </c>
      <c r="B633" s="44" t="s">
        <v>24</v>
      </c>
      <c r="C633" s="44" t="s">
        <v>165</v>
      </c>
      <c r="D633" s="44" t="s">
        <v>211</v>
      </c>
      <c r="E633" s="44" t="s">
        <v>215</v>
      </c>
      <c r="F633" s="45" t="s">
        <v>19</v>
      </c>
      <c r="G633" s="46">
        <v>259</v>
      </c>
      <c r="H633" s="46">
        <v>27</v>
      </c>
      <c r="I633" s="46">
        <v>3</v>
      </c>
      <c r="J633" s="47">
        <v>90.559440559440603</v>
      </c>
      <c r="K633" s="47"/>
      <c r="L633" s="48">
        <v>231</v>
      </c>
      <c r="M633" s="48">
        <v>7</v>
      </c>
      <c r="N633" s="48">
        <v>2</v>
      </c>
      <c r="O633" s="47">
        <v>97.058823529411796</v>
      </c>
      <c r="P633" s="49"/>
    </row>
    <row r="634" spans="1:16" ht="15" hidden="1" customHeight="1">
      <c r="A634" s="37">
        <v>628</v>
      </c>
      <c r="B634" s="38" t="s">
        <v>22</v>
      </c>
      <c r="C634" s="57" t="s">
        <v>165</v>
      </c>
      <c r="D634" s="57" t="s">
        <v>216</v>
      </c>
      <c r="E634" s="57"/>
      <c r="F634" s="38" t="s">
        <v>216</v>
      </c>
      <c r="G634" s="39">
        <v>710</v>
      </c>
      <c r="H634" s="39">
        <v>73</v>
      </c>
      <c r="I634" s="39">
        <v>10</v>
      </c>
      <c r="J634" s="40">
        <v>90.676883780332005</v>
      </c>
      <c r="K634" s="40"/>
      <c r="L634" s="41">
        <v>705</v>
      </c>
      <c r="M634" s="41">
        <v>13</v>
      </c>
      <c r="N634" s="41">
        <v>12</v>
      </c>
      <c r="O634" s="40">
        <v>98.189415041782695</v>
      </c>
      <c r="P634" s="42"/>
    </row>
    <row r="635" spans="1:16" ht="15" hidden="1" customHeight="1">
      <c r="A635" s="43">
        <v>629</v>
      </c>
      <c r="B635" s="44" t="s">
        <v>22</v>
      </c>
      <c r="C635" s="44" t="s">
        <v>165</v>
      </c>
      <c r="D635" s="44" t="s">
        <v>216</v>
      </c>
      <c r="E635" s="44"/>
      <c r="F635" s="45" t="s">
        <v>18</v>
      </c>
      <c r="G635" s="46"/>
      <c r="H635" s="46"/>
      <c r="I635" s="46"/>
      <c r="J635" s="47"/>
      <c r="K635" s="47"/>
      <c r="L635" s="48"/>
      <c r="M635" s="48"/>
      <c r="N635" s="48"/>
      <c r="O635" s="47"/>
      <c r="P635" s="49"/>
    </row>
    <row r="636" spans="1:16" ht="15" hidden="1" customHeight="1">
      <c r="A636" s="43">
        <v>630</v>
      </c>
      <c r="B636" s="44" t="s">
        <v>22</v>
      </c>
      <c r="C636" s="44" t="s">
        <v>165</v>
      </c>
      <c r="D636" s="44" t="s">
        <v>216</v>
      </c>
      <c r="E636" s="44"/>
      <c r="F636" s="45" t="s">
        <v>19</v>
      </c>
      <c r="G636" s="46">
        <v>710</v>
      </c>
      <c r="H636" s="46">
        <v>73</v>
      </c>
      <c r="I636" s="46">
        <v>10</v>
      </c>
      <c r="J636" s="47">
        <v>90.676883780332005</v>
      </c>
      <c r="K636" s="47"/>
      <c r="L636" s="48">
        <v>705</v>
      </c>
      <c r="M636" s="48">
        <v>13</v>
      </c>
      <c r="N636" s="48">
        <v>12</v>
      </c>
      <c r="O636" s="47">
        <v>98.189415041782695</v>
      </c>
      <c r="P636" s="49"/>
    </row>
    <row r="637" spans="1:16" ht="15" customHeight="1">
      <c r="A637" s="50">
        <v>631</v>
      </c>
      <c r="B637" s="51" t="s">
        <v>24</v>
      </c>
      <c r="C637" s="58" t="s">
        <v>165</v>
      </c>
      <c r="D637" s="58" t="s">
        <v>216</v>
      </c>
      <c r="E637" s="58" t="s">
        <v>216</v>
      </c>
      <c r="F637" s="59" t="s">
        <v>216</v>
      </c>
      <c r="G637" s="52">
        <v>710</v>
      </c>
      <c r="H637" s="52">
        <v>73</v>
      </c>
      <c r="I637" s="52">
        <v>10</v>
      </c>
      <c r="J637" s="53">
        <v>90.676883780332005</v>
      </c>
      <c r="K637" s="53">
        <f>G637+H637+I637</f>
        <v>793</v>
      </c>
      <c r="L637" s="54">
        <v>705</v>
      </c>
      <c r="M637" s="54">
        <v>13</v>
      </c>
      <c r="N637" s="54">
        <v>12</v>
      </c>
      <c r="O637" s="53">
        <v>98.189415041782695</v>
      </c>
      <c r="P637" s="55">
        <f>L637+M637+N637</f>
        <v>730</v>
      </c>
    </row>
    <row r="638" spans="1:16" ht="15" hidden="1" customHeight="1">
      <c r="A638" s="43">
        <v>632</v>
      </c>
      <c r="B638" s="44" t="s">
        <v>24</v>
      </c>
      <c r="C638" s="44" t="s">
        <v>165</v>
      </c>
      <c r="D638" s="44" t="s">
        <v>216</v>
      </c>
      <c r="E638" s="44" t="s">
        <v>216</v>
      </c>
      <c r="F638" s="45" t="s">
        <v>18</v>
      </c>
      <c r="G638" s="46"/>
      <c r="H638" s="46"/>
      <c r="I638" s="46"/>
      <c r="J638" s="47"/>
      <c r="K638" s="47"/>
      <c r="L638" s="48"/>
      <c r="M638" s="48"/>
      <c r="N638" s="48"/>
      <c r="O638" s="47"/>
      <c r="P638" s="49"/>
    </row>
    <row r="639" spans="1:16" ht="15" hidden="1" customHeight="1">
      <c r="A639" s="43">
        <v>633</v>
      </c>
      <c r="B639" s="44" t="s">
        <v>24</v>
      </c>
      <c r="C639" s="44" t="s">
        <v>165</v>
      </c>
      <c r="D639" s="44" t="s">
        <v>216</v>
      </c>
      <c r="E639" s="44" t="s">
        <v>216</v>
      </c>
      <c r="F639" s="45" t="s">
        <v>19</v>
      </c>
      <c r="G639" s="46">
        <v>710</v>
      </c>
      <c r="H639" s="46">
        <v>73</v>
      </c>
      <c r="I639" s="46">
        <v>10</v>
      </c>
      <c r="J639" s="47">
        <v>90.676883780332005</v>
      </c>
      <c r="K639" s="47"/>
      <c r="L639" s="48">
        <v>705</v>
      </c>
      <c r="M639" s="48">
        <v>13</v>
      </c>
      <c r="N639" s="48">
        <v>12</v>
      </c>
      <c r="O639" s="47">
        <v>98.189415041782695</v>
      </c>
      <c r="P639" s="49"/>
    </row>
    <row r="640" spans="1:16" ht="15" hidden="1" customHeight="1">
      <c r="A640" s="37">
        <v>634</v>
      </c>
      <c r="B640" s="38" t="s">
        <v>22</v>
      </c>
      <c r="C640" s="57" t="s">
        <v>165</v>
      </c>
      <c r="D640" s="57" t="s">
        <v>217</v>
      </c>
      <c r="E640" s="57"/>
      <c r="F640" s="38" t="s">
        <v>217</v>
      </c>
      <c r="G640" s="39">
        <v>4429</v>
      </c>
      <c r="H640" s="39">
        <v>554</v>
      </c>
      <c r="I640" s="39">
        <v>98</v>
      </c>
      <c r="J640" s="40">
        <v>88.882199478225999</v>
      </c>
      <c r="K640" s="40"/>
      <c r="L640" s="41">
        <v>3598</v>
      </c>
      <c r="M640" s="41">
        <v>100</v>
      </c>
      <c r="N640" s="41">
        <v>33</v>
      </c>
      <c r="O640" s="40">
        <v>97.295835586803705</v>
      </c>
      <c r="P640" s="42"/>
    </row>
    <row r="641" spans="1:16" ht="15" hidden="1" customHeight="1">
      <c r="A641" s="43">
        <v>635</v>
      </c>
      <c r="B641" s="44" t="s">
        <v>22</v>
      </c>
      <c r="C641" s="44" t="s">
        <v>165</v>
      </c>
      <c r="D641" s="44" t="s">
        <v>217</v>
      </c>
      <c r="E641" s="44"/>
      <c r="F641" s="45" t="s">
        <v>18</v>
      </c>
      <c r="G641" s="46">
        <v>840</v>
      </c>
      <c r="H641" s="46">
        <v>127</v>
      </c>
      <c r="I641" s="46">
        <v>23</v>
      </c>
      <c r="J641" s="47">
        <v>86.8665977249224</v>
      </c>
      <c r="K641" s="47"/>
      <c r="L641" s="48">
        <v>940</v>
      </c>
      <c r="M641" s="48">
        <v>27</v>
      </c>
      <c r="N641" s="48">
        <v>7</v>
      </c>
      <c r="O641" s="47">
        <v>97.207859358841802</v>
      </c>
      <c r="P641" s="49"/>
    </row>
    <row r="642" spans="1:16" ht="15" hidden="1" customHeight="1">
      <c r="A642" s="43">
        <v>636</v>
      </c>
      <c r="B642" s="44" t="s">
        <v>22</v>
      </c>
      <c r="C642" s="44" t="s">
        <v>165</v>
      </c>
      <c r="D642" s="44" t="s">
        <v>217</v>
      </c>
      <c r="E642" s="44"/>
      <c r="F642" s="45" t="s">
        <v>19</v>
      </c>
      <c r="G642" s="46">
        <v>3589</v>
      </c>
      <c r="H642" s="46">
        <v>427</v>
      </c>
      <c r="I642" s="46">
        <v>75</v>
      </c>
      <c r="J642" s="47">
        <v>89.367529880478102</v>
      </c>
      <c r="K642" s="47"/>
      <c r="L642" s="48">
        <v>2658</v>
      </c>
      <c r="M642" s="48">
        <v>73</v>
      </c>
      <c r="N642" s="48">
        <v>26</v>
      </c>
      <c r="O642" s="47">
        <v>97.326986451849095</v>
      </c>
      <c r="P642" s="49"/>
    </row>
    <row r="643" spans="1:16" ht="15" customHeight="1">
      <c r="A643" s="50">
        <v>637</v>
      </c>
      <c r="B643" s="51" t="s">
        <v>24</v>
      </c>
      <c r="C643" s="58" t="s">
        <v>165</v>
      </c>
      <c r="D643" s="58" t="s">
        <v>217</v>
      </c>
      <c r="E643" s="58" t="s">
        <v>217</v>
      </c>
      <c r="F643" s="59" t="s">
        <v>217</v>
      </c>
      <c r="G643" s="52">
        <v>2265</v>
      </c>
      <c r="H643" s="52">
        <v>198</v>
      </c>
      <c r="I643" s="52">
        <v>58</v>
      </c>
      <c r="J643" s="53">
        <v>91.961023142509106</v>
      </c>
      <c r="K643" s="53">
        <f>G643+H643+I643</f>
        <v>2521</v>
      </c>
      <c r="L643" s="54">
        <v>1345</v>
      </c>
      <c r="M643" s="54">
        <v>31</v>
      </c>
      <c r="N643" s="54">
        <v>18</v>
      </c>
      <c r="O643" s="53">
        <v>97.7470930232558</v>
      </c>
      <c r="P643" s="55">
        <f>L643+M643+N643</f>
        <v>1394</v>
      </c>
    </row>
    <row r="644" spans="1:16" ht="15" hidden="1" customHeight="1">
      <c r="A644" s="43">
        <v>638</v>
      </c>
      <c r="B644" s="44" t="s">
        <v>24</v>
      </c>
      <c r="C644" s="44" t="s">
        <v>165</v>
      </c>
      <c r="D644" s="44" t="s">
        <v>217</v>
      </c>
      <c r="E644" s="44" t="s">
        <v>217</v>
      </c>
      <c r="F644" s="45" t="s">
        <v>18</v>
      </c>
      <c r="G644" s="46">
        <v>261</v>
      </c>
      <c r="H644" s="46">
        <v>18</v>
      </c>
      <c r="I644" s="46">
        <v>7</v>
      </c>
      <c r="J644" s="47">
        <v>93.548387096774206</v>
      </c>
      <c r="K644" s="47"/>
      <c r="L644" s="48">
        <v>203</v>
      </c>
      <c r="M644" s="48">
        <v>6</v>
      </c>
      <c r="N644" s="48">
        <v>1</v>
      </c>
      <c r="O644" s="47">
        <v>97.129186602870803</v>
      </c>
      <c r="P644" s="49"/>
    </row>
    <row r="645" spans="1:16" ht="15" hidden="1" customHeight="1">
      <c r="A645" s="43">
        <v>639</v>
      </c>
      <c r="B645" s="44" t="s">
        <v>24</v>
      </c>
      <c r="C645" s="44" t="s">
        <v>165</v>
      </c>
      <c r="D645" s="44" t="s">
        <v>217</v>
      </c>
      <c r="E645" s="44" t="s">
        <v>217</v>
      </c>
      <c r="F645" s="45" t="s">
        <v>19</v>
      </c>
      <c r="G645" s="46">
        <v>2004</v>
      </c>
      <c r="H645" s="46">
        <v>180</v>
      </c>
      <c r="I645" s="46">
        <v>51</v>
      </c>
      <c r="J645" s="47">
        <v>91.758241758241795</v>
      </c>
      <c r="K645" s="47"/>
      <c r="L645" s="48">
        <v>1142</v>
      </c>
      <c r="M645" s="48">
        <v>25</v>
      </c>
      <c r="N645" s="48">
        <v>17</v>
      </c>
      <c r="O645" s="47">
        <v>97.857754927163697</v>
      </c>
      <c r="P645" s="49"/>
    </row>
    <row r="646" spans="1:16" ht="15" customHeight="1">
      <c r="A646" s="50">
        <v>640</v>
      </c>
      <c r="B646" s="51" t="s">
        <v>24</v>
      </c>
      <c r="C646" s="58" t="s">
        <v>165</v>
      </c>
      <c r="D646" s="58" t="s">
        <v>217</v>
      </c>
      <c r="E646" s="58" t="s">
        <v>218</v>
      </c>
      <c r="F646" s="59" t="s">
        <v>218</v>
      </c>
      <c r="G646" s="52">
        <v>2164</v>
      </c>
      <c r="H646" s="52">
        <v>356</v>
      </c>
      <c r="I646" s="52">
        <v>40</v>
      </c>
      <c r="J646" s="53">
        <v>85.873015873015902</v>
      </c>
      <c r="K646" s="53">
        <f>G646+H646+I646</f>
        <v>2560</v>
      </c>
      <c r="L646" s="54">
        <v>2253</v>
      </c>
      <c r="M646" s="54">
        <v>69</v>
      </c>
      <c r="N646" s="54">
        <v>15</v>
      </c>
      <c r="O646" s="53">
        <v>97.028423772609798</v>
      </c>
      <c r="P646" s="55">
        <f>L646+M646+N646</f>
        <v>2337</v>
      </c>
    </row>
    <row r="647" spans="1:16" ht="15" hidden="1" customHeight="1">
      <c r="A647" s="43">
        <v>641</v>
      </c>
      <c r="B647" s="44" t="s">
        <v>24</v>
      </c>
      <c r="C647" s="44" t="s">
        <v>165</v>
      </c>
      <c r="D647" s="44" t="s">
        <v>217</v>
      </c>
      <c r="E647" s="44" t="s">
        <v>218</v>
      </c>
      <c r="F647" s="45" t="s">
        <v>18</v>
      </c>
      <c r="G647" s="46">
        <v>579</v>
      </c>
      <c r="H647" s="46">
        <v>109</v>
      </c>
      <c r="I647" s="46">
        <v>16</v>
      </c>
      <c r="J647" s="47">
        <v>84.156976744186096</v>
      </c>
      <c r="K647" s="47"/>
      <c r="L647" s="48">
        <v>737</v>
      </c>
      <c r="M647" s="48">
        <v>21</v>
      </c>
      <c r="N647" s="48">
        <v>6</v>
      </c>
      <c r="O647" s="47">
        <v>97.229551451187305</v>
      </c>
      <c r="P647" s="49"/>
    </row>
    <row r="648" spans="1:16" ht="15" hidden="1" customHeight="1">
      <c r="A648" s="43">
        <v>642</v>
      </c>
      <c r="B648" s="44" t="s">
        <v>24</v>
      </c>
      <c r="C648" s="44" t="s">
        <v>165</v>
      </c>
      <c r="D648" s="44" t="s">
        <v>217</v>
      </c>
      <c r="E648" s="44" t="s">
        <v>218</v>
      </c>
      <c r="F648" s="45" t="s">
        <v>19</v>
      </c>
      <c r="G648" s="46">
        <v>1585</v>
      </c>
      <c r="H648" s="46">
        <v>247</v>
      </c>
      <c r="I648" s="46">
        <v>24</v>
      </c>
      <c r="J648" s="47">
        <v>86.517467248908304</v>
      </c>
      <c r="K648" s="47"/>
      <c r="L648" s="48">
        <v>1516</v>
      </c>
      <c r="M648" s="48">
        <v>48</v>
      </c>
      <c r="N648" s="48">
        <v>9</v>
      </c>
      <c r="O648" s="47">
        <v>96.930946291560105</v>
      </c>
      <c r="P648" s="49"/>
    </row>
    <row r="649" spans="1:16" ht="15" hidden="1" customHeight="1">
      <c r="A649" s="25">
        <v>643</v>
      </c>
      <c r="B649" s="26" t="s">
        <v>20</v>
      </c>
      <c r="C649" s="26" t="s">
        <v>219</v>
      </c>
      <c r="D649" s="26"/>
      <c r="E649" s="26"/>
      <c r="F649" s="26" t="s">
        <v>219</v>
      </c>
      <c r="G649" s="27">
        <v>49798</v>
      </c>
      <c r="H649" s="27">
        <v>4560</v>
      </c>
      <c r="I649" s="27">
        <v>506</v>
      </c>
      <c r="J649" s="28">
        <v>91.611170388903204</v>
      </c>
      <c r="K649" s="28">
        <f>G649+H649+I649</f>
        <v>54864</v>
      </c>
      <c r="L649" s="29">
        <v>40293</v>
      </c>
      <c r="M649" s="29">
        <v>1205</v>
      </c>
      <c r="N649" s="29">
        <v>372</v>
      </c>
      <c r="O649" s="28">
        <v>97.096245602197698</v>
      </c>
      <c r="P649" s="30">
        <f>L649+M649+N649</f>
        <v>41870</v>
      </c>
    </row>
    <row r="650" spans="1:16" ht="15" hidden="1" customHeight="1">
      <c r="A650" s="31">
        <v>644</v>
      </c>
      <c r="B650" s="32" t="s">
        <v>20</v>
      </c>
      <c r="C650" s="56" t="s">
        <v>219</v>
      </c>
      <c r="D650" s="56"/>
      <c r="E650" s="56"/>
      <c r="F650" s="32" t="s">
        <v>18</v>
      </c>
      <c r="G650" s="33">
        <v>33133</v>
      </c>
      <c r="H650" s="33">
        <v>2604</v>
      </c>
      <c r="I650" s="33">
        <v>313</v>
      </c>
      <c r="J650" s="34">
        <v>92.713434255813297</v>
      </c>
      <c r="K650" s="34"/>
      <c r="L650" s="35">
        <v>25998</v>
      </c>
      <c r="M650" s="35">
        <v>458</v>
      </c>
      <c r="N650" s="35">
        <v>124</v>
      </c>
      <c r="O650" s="34">
        <v>98.268823707287595</v>
      </c>
      <c r="P650" s="36"/>
    </row>
    <row r="651" spans="1:16" ht="15" hidden="1" customHeight="1">
      <c r="A651" s="31">
        <v>645</v>
      </c>
      <c r="B651" s="32" t="s">
        <v>20</v>
      </c>
      <c r="C651" s="56" t="s">
        <v>219</v>
      </c>
      <c r="D651" s="56"/>
      <c r="E651" s="56"/>
      <c r="F651" s="32" t="s">
        <v>19</v>
      </c>
      <c r="G651" s="33">
        <v>16665</v>
      </c>
      <c r="H651" s="33">
        <v>1956</v>
      </c>
      <c r="I651" s="33">
        <v>193</v>
      </c>
      <c r="J651" s="34">
        <v>89.495730626711804</v>
      </c>
      <c r="K651" s="34"/>
      <c r="L651" s="35">
        <v>14295</v>
      </c>
      <c r="M651" s="35">
        <v>747</v>
      </c>
      <c r="N651" s="35">
        <v>248</v>
      </c>
      <c r="O651" s="34">
        <v>95.033905065815702</v>
      </c>
      <c r="P651" s="36"/>
    </row>
    <row r="652" spans="1:16" ht="15" hidden="1" customHeight="1">
      <c r="A652" s="37">
        <v>646</v>
      </c>
      <c r="B652" s="38" t="s">
        <v>22</v>
      </c>
      <c r="C652" s="57" t="s">
        <v>219</v>
      </c>
      <c r="D652" s="57" t="s">
        <v>166</v>
      </c>
      <c r="E652" s="57"/>
      <c r="F652" s="38" t="s">
        <v>166</v>
      </c>
      <c r="G652" s="39">
        <v>31299</v>
      </c>
      <c r="H652" s="39">
        <v>2722</v>
      </c>
      <c r="I652" s="39">
        <v>333</v>
      </c>
      <c r="J652" s="40">
        <v>91.999059404485493</v>
      </c>
      <c r="K652" s="40"/>
      <c r="L652" s="41">
        <v>24972</v>
      </c>
      <c r="M652" s="41">
        <v>421</v>
      </c>
      <c r="N652" s="41">
        <v>230</v>
      </c>
      <c r="O652" s="40">
        <v>98.3420627732052</v>
      </c>
      <c r="P652" s="42"/>
    </row>
    <row r="653" spans="1:16" ht="15" hidden="1" customHeight="1">
      <c r="A653" s="43">
        <v>647</v>
      </c>
      <c r="B653" s="44" t="s">
        <v>22</v>
      </c>
      <c r="C653" s="44" t="s">
        <v>219</v>
      </c>
      <c r="D653" s="44" t="s">
        <v>166</v>
      </c>
      <c r="E653" s="44"/>
      <c r="F653" s="45" t="s">
        <v>18</v>
      </c>
      <c r="G653" s="46">
        <v>27812</v>
      </c>
      <c r="H653" s="46">
        <v>2297</v>
      </c>
      <c r="I653" s="46">
        <v>279</v>
      </c>
      <c r="J653" s="47">
        <v>92.371051844963304</v>
      </c>
      <c r="K653" s="47"/>
      <c r="L653" s="48">
        <v>21924</v>
      </c>
      <c r="M653" s="48">
        <v>326</v>
      </c>
      <c r="N653" s="48">
        <v>98</v>
      </c>
      <c r="O653" s="47">
        <v>98.534831460674198</v>
      </c>
      <c r="P653" s="49"/>
    </row>
    <row r="654" spans="1:16" ht="15" hidden="1" customHeight="1">
      <c r="A654" s="43">
        <v>648</v>
      </c>
      <c r="B654" s="44" t="s">
        <v>22</v>
      </c>
      <c r="C654" s="44" t="s">
        <v>219</v>
      </c>
      <c r="D654" s="44" t="s">
        <v>166</v>
      </c>
      <c r="E654" s="44"/>
      <c r="F654" s="45" t="s">
        <v>19</v>
      </c>
      <c r="G654" s="46">
        <v>3487</v>
      </c>
      <c r="H654" s="46">
        <v>425</v>
      </c>
      <c r="I654" s="46">
        <v>54</v>
      </c>
      <c r="J654" s="47">
        <v>89.1359918200409</v>
      </c>
      <c r="K654" s="47"/>
      <c r="L654" s="48">
        <v>3048</v>
      </c>
      <c r="M654" s="48">
        <v>95</v>
      </c>
      <c r="N654" s="48">
        <v>132</v>
      </c>
      <c r="O654" s="47">
        <v>96.977410117721902</v>
      </c>
      <c r="P654" s="49"/>
    </row>
    <row r="655" spans="1:16" ht="15" customHeight="1">
      <c r="A655" s="50">
        <v>649</v>
      </c>
      <c r="B655" s="51" t="s">
        <v>24</v>
      </c>
      <c r="C655" s="58" t="s">
        <v>219</v>
      </c>
      <c r="D655" s="58" t="s">
        <v>166</v>
      </c>
      <c r="E655" s="58" t="s">
        <v>219</v>
      </c>
      <c r="F655" s="59" t="s">
        <v>219</v>
      </c>
      <c r="G655" s="52">
        <v>27170</v>
      </c>
      <c r="H655" s="52">
        <v>2239</v>
      </c>
      <c r="I655" s="52">
        <v>273</v>
      </c>
      <c r="J655" s="53">
        <v>92.3866843483287</v>
      </c>
      <c r="K655" s="53">
        <f>G655+H655+I655</f>
        <v>29682</v>
      </c>
      <c r="L655" s="54">
        <v>21361</v>
      </c>
      <c r="M655" s="54">
        <v>317</v>
      </c>
      <c r="N655" s="54">
        <v>96</v>
      </c>
      <c r="O655" s="53">
        <v>98.537687978595798</v>
      </c>
      <c r="P655" s="55">
        <f>L655+M655+N655</f>
        <v>21774</v>
      </c>
    </row>
    <row r="656" spans="1:16" ht="15" hidden="1" customHeight="1">
      <c r="A656" s="43">
        <v>650</v>
      </c>
      <c r="B656" s="44" t="s">
        <v>24</v>
      </c>
      <c r="C656" s="44" t="s">
        <v>219</v>
      </c>
      <c r="D656" s="44" t="s">
        <v>166</v>
      </c>
      <c r="E656" s="44" t="s">
        <v>219</v>
      </c>
      <c r="F656" s="45" t="s">
        <v>18</v>
      </c>
      <c r="G656" s="46">
        <v>27170</v>
      </c>
      <c r="H656" s="46">
        <v>2239</v>
      </c>
      <c r="I656" s="46">
        <v>273</v>
      </c>
      <c r="J656" s="47">
        <v>92.3866843483287</v>
      </c>
      <c r="K656" s="47"/>
      <c r="L656" s="48">
        <v>21355</v>
      </c>
      <c r="M656" s="48">
        <v>317</v>
      </c>
      <c r="N656" s="48">
        <v>96</v>
      </c>
      <c r="O656" s="47">
        <v>98.537283130306406</v>
      </c>
      <c r="P656" s="49"/>
    </row>
    <row r="657" spans="1:16" ht="15" hidden="1" customHeight="1">
      <c r="A657" s="43">
        <v>651</v>
      </c>
      <c r="B657" s="44" t="s">
        <v>24</v>
      </c>
      <c r="C657" s="44" t="s">
        <v>219</v>
      </c>
      <c r="D657" s="44" t="s">
        <v>166</v>
      </c>
      <c r="E657" s="44" t="s">
        <v>219</v>
      </c>
      <c r="F657" s="45" t="s">
        <v>19</v>
      </c>
      <c r="G657" s="46"/>
      <c r="H657" s="46"/>
      <c r="I657" s="46"/>
      <c r="J657" s="47"/>
      <c r="K657" s="47"/>
      <c r="L657" s="48">
        <v>6</v>
      </c>
      <c r="M657" s="48">
        <v>0</v>
      </c>
      <c r="N657" s="48">
        <v>0</v>
      </c>
      <c r="O657" s="47">
        <v>100</v>
      </c>
      <c r="P657" s="49"/>
    </row>
    <row r="658" spans="1:16" ht="15" customHeight="1">
      <c r="A658" s="50">
        <v>652</v>
      </c>
      <c r="B658" s="51" t="s">
        <v>24</v>
      </c>
      <c r="C658" s="58" t="s">
        <v>219</v>
      </c>
      <c r="D658" s="58" t="s">
        <v>166</v>
      </c>
      <c r="E658" s="58" t="s">
        <v>220</v>
      </c>
      <c r="F658" s="59" t="s">
        <v>220</v>
      </c>
      <c r="G658" s="52">
        <v>2194</v>
      </c>
      <c r="H658" s="52">
        <v>267</v>
      </c>
      <c r="I658" s="52">
        <v>29</v>
      </c>
      <c r="J658" s="53">
        <v>89.1507517269403</v>
      </c>
      <c r="K658" s="53">
        <f>G658+H658+I658</f>
        <v>2490</v>
      </c>
      <c r="L658" s="54">
        <v>1664</v>
      </c>
      <c r="M658" s="54">
        <v>25</v>
      </c>
      <c r="N658" s="54">
        <v>14</v>
      </c>
      <c r="O658" s="53">
        <v>98.519834221432802</v>
      </c>
      <c r="P658" s="55">
        <f>L658+M658+N658</f>
        <v>1703</v>
      </c>
    </row>
    <row r="659" spans="1:16" ht="15" hidden="1" customHeight="1">
      <c r="A659" s="43">
        <v>653</v>
      </c>
      <c r="B659" s="44" t="s">
        <v>24</v>
      </c>
      <c r="C659" s="44" t="s">
        <v>219</v>
      </c>
      <c r="D659" s="44" t="s">
        <v>166</v>
      </c>
      <c r="E659" s="44" t="s">
        <v>220</v>
      </c>
      <c r="F659" s="45" t="s">
        <v>18</v>
      </c>
      <c r="G659" s="46">
        <v>642</v>
      </c>
      <c r="H659" s="46">
        <v>58</v>
      </c>
      <c r="I659" s="46">
        <v>6</v>
      </c>
      <c r="J659" s="47">
        <v>91.714285714285694</v>
      </c>
      <c r="K659" s="47"/>
      <c r="L659" s="48">
        <v>569</v>
      </c>
      <c r="M659" s="48">
        <v>9</v>
      </c>
      <c r="N659" s="48">
        <v>2</v>
      </c>
      <c r="O659" s="47">
        <v>98.442906574394499</v>
      </c>
      <c r="P659" s="49"/>
    </row>
    <row r="660" spans="1:16" ht="15" hidden="1" customHeight="1">
      <c r="A660" s="43">
        <v>654</v>
      </c>
      <c r="B660" s="44" t="s">
        <v>24</v>
      </c>
      <c r="C660" s="44" t="s">
        <v>219</v>
      </c>
      <c r="D660" s="44" t="s">
        <v>166</v>
      </c>
      <c r="E660" s="44" t="s">
        <v>220</v>
      </c>
      <c r="F660" s="45" t="s">
        <v>19</v>
      </c>
      <c r="G660" s="46">
        <v>1552</v>
      </c>
      <c r="H660" s="46">
        <v>209</v>
      </c>
      <c r="I660" s="46">
        <v>23</v>
      </c>
      <c r="J660" s="47">
        <v>88.131743327654704</v>
      </c>
      <c r="K660" s="47"/>
      <c r="L660" s="48">
        <v>1095</v>
      </c>
      <c r="M660" s="48">
        <v>16</v>
      </c>
      <c r="N660" s="48">
        <v>12</v>
      </c>
      <c r="O660" s="47">
        <v>98.559855985598603</v>
      </c>
      <c r="P660" s="49"/>
    </row>
    <row r="661" spans="1:16" ht="15" customHeight="1">
      <c r="A661" s="50">
        <v>655</v>
      </c>
      <c r="B661" s="51" t="s">
        <v>24</v>
      </c>
      <c r="C661" s="58" t="s">
        <v>219</v>
      </c>
      <c r="D661" s="58" t="s">
        <v>166</v>
      </c>
      <c r="E661" s="58" t="s">
        <v>221</v>
      </c>
      <c r="F661" s="59" t="s">
        <v>221</v>
      </c>
      <c r="G661" s="52">
        <v>777</v>
      </c>
      <c r="H661" s="52">
        <v>83</v>
      </c>
      <c r="I661" s="52">
        <v>18</v>
      </c>
      <c r="J661" s="53">
        <v>90.348837209302303</v>
      </c>
      <c r="K661" s="53">
        <f>G661+H661+I661</f>
        <v>878</v>
      </c>
      <c r="L661" s="54">
        <v>723</v>
      </c>
      <c r="M661" s="54">
        <v>66</v>
      </c>
      <c r="N661" s="54">
        <v>103</v>
      </c>
      <c r="O661" s="53">
        <v>91.634980988593199</v>
      </c>
      <c r="P661" s="55">
        <f>L661+M661+N661</f>
        <v>892</v>
      </c>
    </row>
    <row r="662" spans="1:16" ht="15" hidden="1" customHeight="1">
      <c r="A662" s="43">
        <v>656</v>
      </c>
      <c r="B662" s="44" t="s">
        <v>24</v>
      </c>
      <c r="C662" s="44" t="s">
        <v>219</v>
      </c>
      <c r="D662" s="44" t="s">
        <v>166</v>
      </c>
      <c r="E662" s="44" t="s">
        <v>221</v>
      </c>
      <c r="F662" s="45" t="s">
        <v>18</v>
      </c>
      <c r="G662" s="46"/>
      <c r="H662" s="46"/>
      <c r="I662" s="46"/>
      <c r="J662" s="47"/>
      <c r="K662" s="47"/>
      <c r="L662" s="48"/>
      <c r="M662" s="48"/>
      <c r="N662" s="48"/>
      <c r="O662" s="47"/>
      <c r="P662" s="49"/>
    </row>
    <row r="663" spans="1:16" ht="15" hidden="1" customHeight="1">
      <c r="A663" s="43">
        <v>657</v>
      </c>
      <c r="B663" s="44" t="s">
        <v>24</v>
      </c>
      <c r="C663" s="44" t="s">
        <v>219</v>
      </c>
      <c r="D663" s="44" t="s">
        <v>166</v>
      </c>
      <c r="E663" s="44" t="s">
        <v>221</v>
      </c>
      <c r="F663" s="45" t="s">
        <v>19</v>
      </c>
      <c r="G663" s="46">
        <v>777</v>
      </c>
      <c r="H663" s="46">
        <v>83</v>
      </c>
      <c r="I663" s="46">
        <v>18</v>
      </c>
      <c r="J663" s="47">
        <v>90.348837209302303</v>
      </c>
      <c r="K663" s="47"/>
      <c r="L663" s="48">
        <v>723</v>
      </c>
      <c r="M663" s="48">
        <v>66</v>
      </c>
      <c r="N663" s="48">
        <v>103</v>
      </c>
      <c r="O663" s="47">
        <v>91.634980988593199</v>
      </c>
      <c r="P663" s="49"/>
    </row>
    <row r="664" spans="1:16" ht="15" customHeight="1">
      <c r="A664" s="50">
        <v>658</v>
      </c>
      <c r="B664" s="51" t="s">
        <v>24</v>
      </c>
      <c r="C664" s="58" t="s">
        <v>219</v>
      </c>
      <c r="D664" s="58" t="s">
        <v>166</v>
      </c>
      <c r="E664" s="58" t="s">
        <v>222</v>
      </c>
      <c r="F664" s="59" t="s">
        <v>222</v>
      </c>
      <c r="G664" s="52">
        <v>1158</v>
      </c>
      <c r="H664" s="52">
        <v>133</v>
      </c>
      <c r="I664" s="52">
        <v>13</v>
      </c>
      <c r="J664" s="53">
        <v>89.6979085979861</v>
      </c>
      <c r="K664" s="53">
        <f>G664+H664+I664</f>
        <v>1304</v>
      </c>
      <c r="L664" s="54">
        <v>1224</v>
      </c>
      <c r="M664" s="54">
        <v>13</v>
      </c>
      <c r="N664" s="54">
        <v>17</v>
      </c>
      <c r="O664" s="53">
        <v>98.949070331447004</v>
      </c>
      <c r="P664" s="55">
        <f>L664+M664+N664</f>
        <v>1254</v>
      </c>
    </row>
    <row r="665" spans="1:16" ht="15" hidden="1" customHeight="1">
      <c r="A665" s="43">
        <v>659</v>
      </c>
      <c r="B665" s="44" t="s">
        <v>24</v>
      </c>
      <c r="C665" s="44" t="s">
        <v>219</v>
      </c>
      <c r="D665" s="44" t="s">
        <v>166</v>
      </c>
      <c r="E665" s="44" t="s">
        <v>222</v>
      </c>
      <c r="F665" s="45" t="s">
        <v>18</v>
      </c>
      <c r="G665" s="46"/>
      <c r="H665" s="46"/>
      <c r="I665" s="46"/>
      <c r="J665" s="47"/>
      <c r="K665" s="47"/>
      <c r="L665" s="48"/>
      <c r="M665" s="48"/>
      <c r="N665" s="48"/>
      <c r="O665" s="47"/>
      <c r="P665" s="49"/>
    </row>
    <row r="666" spans="1:16" ht="15" hidden="1" customHeight="1">
      <c r="A666" s="43">
        <v>660</v>
      </c>
      <c r="B666" s="44" t="s">
        <v>24</v>
      </c>
      <c r="C666" s="44" t="s">
        <v>219</v>
      </c>
      <c r="D666" s="44" t="s">
        <v>166</v>
      </c>
      <c r="E666" s="44" t="s">
        <v>222</v>
      </c>
      <c r="F666" s="45" t="s">
        <v>19</v>
      </c>
      <c r="G666" s="46">
        <v>1158</v>
      </c>
      <c r="H666" s="46">
        <v>133</v>
      </c>
      <c r="I666" s="46">
        <v>13</v>
      </c>
      <c r="J666" s="47">
        <v>89.6979085979861</v>
      </c>
      <c r="K666" s="47"/>
      <c r="L666" s="48">
        <v>1224</v>
      </c>
      <c r="M666" s="48">
        <v>13</v>
      </c>
      <c r="N666" s="48">
        <v>17</v>
      </c>
      <c r="O666" s="47">
        <v>98.949070331447004</v>
      </c>
      <c r="P666" s="49"/>
    </row>
    <row r="667" spans="1:16" ht="15" hidden="1" customHeight="1">
      <c r="A667" s="37">
        <v>661</v>
      </c>
      <c r="B667" s="38" t="s">
        <v>22</v>
      </c>
      <c r="C667" s="57" t="s">
        <v>219</v>
      </c>
      <c r="D667" s="57" t="s">
        <v>223</v>
      </c>
      <c r="E667" s="57"/>
      <c r="F667" s="38" t="s">
        <v>223</v>
      </c>
      <c r="G667" s="39">
        <v>3351</v>
      </c>
      <c r="H667" s="39">
        <v>384</v>
      </c>
      <c r="I667" s="39">
        <v>37</v>
      </c>
      <c r="J667" s="40">
        <v>89.718875502008004</v>
      </c>
      <c r="K667" s="40"/>
      <c r="L667" s="41">
        <v>3144</v>
      </c>
      <c r="M667" s="41">
        <v>117</v>
      </c>
      <c r="N667" s="41">
        <v>29</v>
      </c>
      <c r="O667" s="40">
        <v>96.412143514259398</v>
      </c>
      <c r="P667" s="42"/>
    </row>
    <row r="668" spans="1:16" ht="15" hidden="1" customHeight="1">
      <c r="A668" s="43">
        <v>662</v>
      </c>
      <c r="B668" s="44" t="s">
        <v>22</v>
      </c>
      <c r="C668" s="44" t="s">
        <v>219</v>
      </c>
      <c r="D668" s="44" t="s">
        <v>223</v>
      </c>
      <c r="E668" s="44"/>
      <c r="F668" s="45" t="s">
        <v>18</v>
      </c>
      <c r="G668" s="46">
        <v>1443</v>
      </c>
      <c r="H668" s="46">
        <v>150</v>
      </c>
      <c r="I668" s="46">
        <v>13</v>
      </c>
      <c r="J668" s="47">
        <v>90.583804143126201</v>
      </c>
      <c r="K668" s="47"/>
      <c r="L668" s="48">
        <v>1148</v>
      </c>
      <c r="M668" s="48">
        <v>32</v>
      </c>
      <c r="N668" s="48">
        <v>6</v>
      </c>
      <c r="O668" s="47">
        <v>97.288135593220304</v>
      </c>
      <c r="P668" s="49"/>
    </row>
    <row r="669" spans="1:16" ht="15" hidden="1" customHeight="1">
      <c r="A669" s="43">
        <v>663</v>
      </c>
      <c r="B669" s="44" t="s">
        <v>22</v>
      </c>
      <c r="C669" s="44" t="s">
        <v>219</v>
      </c>
      <c r="D669" s="44" t="s">
        <v>223</v>
      </c>
      <c r="E669" s="44"/>
      <c r="F669" s="45" t="s">
        <v>19</v>
      </c>
      <c r="G669" s="46">
        <v>1908</v>
      </c>
      <c r="H669" s="46">
        <v>234</v>
      </c>
      <c r="I669" s="46">
        <v>24</v>
      </c>
      <c r="J669" s="47">
        <v>89.075630252100893</v>
      </c>
      <c r="K669" s="47"/>
      <c r="L669" s="48">
        <v>1996</v>
      </c>
      <c r="M669" s="48">
        <v>85</v>
      </c>
      <c r="N669" s="48">
        <v>23</v>
      </c>
      <c r="O669" s="47">
        <v>95.915425276309506</v>
      </c>
      <c r="P669" s="49"/>
    </row>
    <row r="670" spans="1:16" ht="15" customHeight="1">
      <c r="A670" s="50">
        <v>664</v>
      </c>
      <c r="B670" s="51" t="s">
        <v>24</v>
      </c>
      <c r="C670" s="58" t="s">
        <v>219</v>
      </c>
      <c r="D670" s="58" t="s">
        <v>223</v>
      </c>
      <c r="E670" s="58" t="s">
        <v>224</v>
      </c>
      <c r="F670" s="59" t="s">
        <v>224</v>
      </c>
      <c r="G670" s="52">
        <v>2950</v>
      </c>
      <c r="H670" s="52">
        <v>338</v>
      </c>
      <c r="I670" s="52">
        <v>35</v>
      </c>
      <c r="J670" s="53">
        <v>89.720194647202007</v>
      </c>
      <c r="K670" s="53">
        <f>G670+H670+I670</f>
        <v>3323</v>
      </c>
      <c r="L670" s="54">
        <v>2871</v>
      </c>
      <c r="M670" s="54">
        <v>111</v>
      </c>
      <c r="N670" s="54">
        <v>27</v>
      </c>
      <c r="O670" s="53">
        <v>96.277665995975894</v>
      </c>
      <c r="P670" s="55">
        <f>L670+M670+N670</f>
        <v>3009</v>
      </c>
    </row>
    <row r="671" spans="1:16" ht="15" hidden="1" customHeight="1">
      <c r="A671" s="43">
        <v>665</v>
      </c>
      <c r="B671" s="44" t="s">
        <v>24</v>
      </c>
      <c r="C671" s="44" t="s">
        <v>219</v>
      </c>
      <c r="D671" s="44" t="s">
        <v>223</v>
      </c>
      <c r="E671" s="44" t="s">
        <v>224</v>
      </c>
      <c r="F671" s="45" t="s">
        <v>18</v>
      </c>
      <c r="G671" s="46">
        <v>1443</v>
      </c>
      <c r="H671" s="46">
        <v>150</v>
      </c>
      <c r="I671" s="46">
        <v>13</v>
      </c>
      <c r="J671" s="47">
        <v>90.583804143126201</v>
      </c>
      <c r="K671" s="47"/>
      <c r="L671" s="48">
        <v>1148</v>
      </c>
      <c r="M671" s="48">
        <v>32</v>
      </c>
      <c r="N671" s="48">
        <v>6</v>
      </c>
      <c r="O671" s="47">
        <v>97.288135593220304</v>
      </c>
      <c r="P671" s="49"/>
    </row>
    <row r="672" spans="1:16" ht="15" hidden="1" customHeight="1">
      <c r="A672" s="43">
        <v>666</v>
      </c>
      <c r="B672" s="44" t="s">
        <v>24</v>
      </c>
      <c r="C672" s="44" t="s">
        <v>219</v>
      </c>
      <c r="D672" s="44" t="s">
        <v>223</v>
      </c>
      <c r="E672" s="44" t="s">
        <v>224</v>
      </c>
      <c r="F672" s="45" t="s">
        <v>19</v>
      </c>
      <c r="G672" s="46">
        <v>1507</v>
      </c>
      <c r="H672" s="46">
        <v>188</v>
      </c>
      <c r="I672" s="46">
        <v>22</v>
      </c>
      <c r="J672" s="47">
        <v>88.908554572271399</v>
      </c>
      <c r="K672" s="47"/>
      <c r="L672" s="48">
        <v>1723</v>
      </c>
      <c r="M672" s="48">
        <v>79</v>
      </c>
      <c r="N672" s="48">
        <v>21</v>
      </c>
      <c r="O672" s="47">
        <v>95.615982241953404</v>
      </c>
      <c r="P672" s="49"/>
    </row>
    <row r="673" spans="1:16" ht="15" customHeight="1">
      <c r="A673" s="50">
        <v>667</v>
      </c>
      <c r="B673" s="51" t="s">
        <v>24</v>
      </c>
      <c r="C673" s="58" t="s">
        <v>219</v>
      </c>
      <c r="D673" s="58" t="s">
        <v>223</v>
      </c>
      <c r="E673" s="58" t="s">
        <v>225</v>
      </c>
      <c r="F673" s="59" t="s">
        <v>225</v>
      </c>
      <c r="G673" s="52">
        <v>401</v>
      </c>
      <c r="H673" s="52">
        <v>46</v>
      </c>
      <c r="I673" s="52">
        <v>2</v>
      </c>
      <c r="J673" s="53">
        <v>89.709172259507795</v>
      </c>
      <c r="K673" s="53">
        <f>G673+H673+I673</f>
        <v>449</v>
      </c>
      <c r="L673" s="54">
        <v>273</v>
      </c>
      <c r="M673" s="54">
        <v>6</v>
      </c>
      <c r="N673" s="54">
        <v>2</v>
      </c>
      <c r="O673" s="53">
        <v>97.849462365591407</v>
      </c>
      <c r="P673" s="55">
        <f>L673+M673+N673</f>
        <v>281</v>
      </c>
    </row>
    <row r="674" spans="1:16" ht="15" hidden="1" customHeight="1">
      <c r="A674" s="43">
        <v>668</v>
      </c>
      <c r="B674" s="44" t="s">
        <v>24</v>
      </c>
      <c r="C674" s="44" t="s">
        <v>219</v>
      </c>
      <c r="D674" s="44" t="s">
        <v>223</v>
      </c>
      <c r="E674" s="44" t="s">
        <v>225</v>
      </c>
      <c r="F674" s="45" t="s">
        <v>18</v>
      </c>
      <c r="G674" s="46"/>
      <c r="H674" s="46"/>
      <c r="I674" s="46"/>
      <c r="J674" s="47"/>
      <c r="K674" s="47"/>
      <c r="L674" s="48"/>
      <c r="M674" s="48"/>
      <c r="N674" s="48"/>
      <c r="O674" s="47"/>
      <c r="P674" s="49"/>
    </row>
    <row r="675" spans="1:16" ht="15" hidden="1" customHeight="1">
      <c r="A675" s="43">
        <v>669</v>
      </c>
      <c r="B675" s="44" t="s">
        <v>24</v>
      </c>
      <c r="C675" s="44" t="s">
        <v>219</v>
      </c>
      <c r="D675" s="44" t="s">
        <v>223</v>
      </c>
      <c r="E675" s="44" t="s">
        <v>225</v>
      </c>
      <c r="F675" s="45" t="s">
        <v>19</v>
      </c>
      <c r="G675" s="46">
        <v>401</v>
      </c>
      <c r="H675" s="46">
        <v>46</v>
      </c>
      <c r="I675" s="46">
        <v>2</v>
      </c>
      <c r="J675" s="47">
        <v>89.709172259507795</v>
      </c>
      <c r="K675" s="47"/>
      <c r="L675" s="48">
        <v>273</v>
      </c>
      <c r="M675" s="48">
        <v>6</v>
      </c>
      <c r="N675" s="48">
        <v>2</v>
      </c>
      <c r="O675" s="47">
        <v>97.849462365591407</v>
      </c>
      <c r="P675" s="49"/>
    </row>
    <row r="676" spans="1:16" ht="15" hidden="1" customHeight="1">
      <c r="A676" s="37">
        <v>670</v>
      </c>
      <c r="B676" s="38" t="s">
        <v>22</v>
      </c>
      <c r="C676" s="57" t="s">
        <v>219</v>
      </c>
      <c r="D676" s="57" t="s">
        <v>226</v>
      </c>
      <c r="E676" s="57"/>
      <c r="F676" s="38" t="s">
        <v>226</v>
      </c>
      <c r="G676" s="39">
        <v>1029</v>
      </c>
      <c r="H676" s="39">
        <v>85</v>
      </c>
      <c r="I676" s="39">
        <v>9</v>
      </c>
      <c r="J676" s="40">
        <v>92.369838420107698</v>
      </c>
      <c r="K676" s="40"/>
      <c r="L676" s="41">
        <v>1205</v>
      </c>
      <c r="M676" s="41">
        <v>44</v>
      </c>
      <c r="N676" s="41">
        <v>10</v>
      </c>
      <c r="O676" s="40">
        <v>96.477181745396294</v>
      </c>
      <c r="P676" s="42"/>
    </row>
    <row r="677" spans="1:16" ht="15" hidden="1" customHeight="1">
      <c r="A677" s="43">
        <v>671</v>
      </c>
      <c r="B677" s="44" t="s">
        <v>22</v>
      </c>
      <c r="C677" s="44" t="s">
        <v>219</v>
      </c>
      <c r="D677" s="44" t="s">
        <v>226</v>
      </c>
      <c r="E677" s="44"/>
      <c r="F677" s="45" t="s">
        <v>18</v>
      </c>
      <c r="G677" s="46"/>
      <c r="H677" s="46"/>
      <c r="I677" s="46"/>
      <c r="J677" s="47"/>
      <c r="K677" s="47"/>
      <c r="L677" s="48"/>
      <c r="M677" s="48"/>
      <c r="N677" s="48"/>
      <c r="O677" s="47"/>
      <c r="P677" s="49"/>
    </row>
    <row r="678" spans="1:16" ht="15" hidden="1" customHeight="1">
      <c r="A678" s="43">
        <v>672</v>
      </c>
      <c r="B678" s="44" t="s">
        <v>22</v>
      </c>
      <c r="C678" s="44" t="s">
        <v>219</v>
      </c>
      <c r="D678" s="44" t="s">
        <v>226</v>
      </c>
      <c r="E678" s="44"/>
      <c r="F678" s="45" t="s">
        <v>19</v>
      </c>
      <c r="G678" s="46">
        <v>1029</v>
      </c>
      <c r="H678" s="46">
        <v>85</v>
      </c>
      <c r="I678" s="46">
        <v>9</v>
      </c>
      <c r="J678" s="47">
        <v>92.369838420107698</v>
      </c>
      <c r="K678" s="47"/>
      <c r="L678" s="48">
        <v>1205</v>
      </c>
      <c r="M678" s="48">
        <v>44</v>
      </c>
      <c r="N678" s="48">
        <v>10</v>
      </c>
      <c r="O678" s="47">
        <v>96.477181745396294</v>
      </c>
      <c r="P678" s="49"/>
    </row>
    <row r="679" spans="1:16" ht="15" customHeight="1">
      <c r="A679" s="50">
        <v>673</v>
      </c>
      <c r="B679" s="51" t="s">
        <v>24</v>
      </c>
      <c r="C679" s="58" t="s">
        <v>219</v>
      </c>
      <c r="D679" s="58" t="s">
        <v>226</v>
      </c>
      <c r="E679" s="58" t="s">
        <v>227</v>
      </c>
      <c r="F679" s="59" t="s">
        <v>227</v>
      </c>
      <c r="G679" s="52">
        <v>860</v>
      </c>
      <c r="H679" s="52">
        <v>74</v>
      </c>
      <c r="I679" s="52">
        <v>7</v>
      </c>
      <c r="J679" s="53">
        <v>92.077087794432501</v>
      </c>
      <c r="K679" s="53">
        <f>G679+H679+I679</f>
        <v>941</v>
      </c>
      <c r="L679" s="54">
        <v>1046</v>
      </c>
      <c r="M679" s="54">
        <v>38</v>
      </c>
      <c r="N679" s="54">
        <v>9</v>
      </c>
      <c r="O679" s="53">
        <v>96.494464944649494</v>
      </c>
      <c r="P679" s="55">
        <f>L679+M679+N679</f>
        <v>1093</v>
      </c>
    </row>
    <row r="680" spans="1:16" ht="15" hidden="1" customHeight="1">
      <c r="A680" s="43">
        <v>674</v>
      </c>
      <c r="B680" s="44" t="s">
        <v>24</v>
      </c>
      <c r="C680" s="44" t="s">
        <v>219</v>
      </c>
      <c r="D680" s="44" t="s">
        <v>226</v>
      </c>
      <c r="E680" s="44" t="s">
        <v>227</v>
      </c>
      <c r="F680" s="45" t="s">
        <v>18</v>
      </c>
      <c r="G680" s="46"/>
      <c r="H680" s="46"/>
      <c r="I680" s="46"/>
      <c r="J680" s="47"/>
      <c r="K680" s="47"/>
      <c r="L680" s="48"/>
      <c r="M680" s="48"/>
      <c r="N680" s="48"/>
      <c r="O680" s="47"/>
      <c r="P680" s="49"/>
    </row>
    <row r="681" spans="1:16" ht="15" hidden="1" customHeight="1">
      <c r="A681" s="43">
        <v>675</v>
      </c>
      <c r="B681" s="44" t="s">
        <v>24</v>
      </c>
      <c r="C681" s="44" t="s">
        <v>219</v>
      </c>
      <c r="D681" s="44" t="s">
        <v>226</v>
      </c>
      <c r="E681" s="44" t="s">
        <v>227</v>
      </c>
      <c r="F681" s="45" t="s">
        <v>19</v>
      </c>
      <c r="G681" s="46">
        <v>860</v>
      </c>
      <c r="H681" s="46">
        <v>74</v>
      </c>
      <c r="I681" s="46">
        <v>7</v>
      </c>
      <c r="J681" s="47">
        <v>92.077087794432501</v>
      </c>
      <c r="K681" s="47"/>
      <c r="L681" s="48">
        <v>1046</v>
      </c>
      <c r="M681" s="48">
        <v>38</v>
      </c>
      <c r="N681" s="48">
        <v>9</v>
      </c>
      <c r="O681" s="47">
        <v>96.494464944649494</v>
      </c>
      <c r="P681" s="49"/>
    </row>
    <row r="682" spans="1:16" ht="15" customHeight="1">
      <c r="A682" s="50">
        <v>676</v>
      </c>
      <c r="B682" s="51" t="s">
        <v>24</v>
      </c>
      <c r="C682" s="58" t="s">
        <v>219</v>
      </c>
      <c r="D682" s="58" t="s">
        <v>226</v>
      </c>
      <c r="E682" s="58" t="s">
        <v>228</v>
      </c>
      <c r="F682" s="59" t="s">
        <v>228</v>
      </c>
      <c r="G682" s="52">
        <v>169</v>
      </c>
      <c r="H682" s="52">
        <v>11</v>
      </c>
      <c r="I682" s="52">
        <v>2</v>
      </c>
      <c r="J682" s="53">
        <v>93.8888888888889</v>
      </c>
      <c r="K682" s="53">
        <f>G682+H682+I682</f>
        <v>182</v>
      </c>
      <c r="L682" s="54">
        <v>159</v>
      </c>
      <c r="M682" s="54">
        <v>6</v>
      </c>
      <c r="N682" s="54">
        <v>1</v>
      </c>
      <c r="O682" s="53">
        <v>96.363636363636402</v>
      </c>
      <c r="P682" s="55">
        <f>L682+M682+N682</f>
        <v>166</v>
      </c>
    </row>
    <row r="683" spans="1:16" ht="15" hidden="1" customHeight="1">
      <c r="A683" s="43">
        <v>677</v>
      </c>
      <c r="B683" s="44" t="s">
        <v>24</v>
      </c>
      <c r="C683" s="44" t="s">
        <v>219</v>
      </c>
      <c r="D683" s="44" t="s">
        <v>226</v>
      </c>
      <c r="E683" s="44" t="s">
        <v>228</v>
      </c>
      <c r="F683" s="45" t="s">
        <v>18</v>
      </c>
      <c r="G683" s="46"/>
      <c r="H683" s="46"/>
      <c r="I683" s="46"/>
      <c r="J683" s="47"/>
      <c r="K683" s="47"/>
      <c r="L683" s="48"/>
      <c r="M683" s="48"/>
      <c r="N683" s="48"/>
      <c r="O683" s="47"/>
      <c r="P683" s="49"/>
    </row>
    <row r="684" spans="1:16" ht="15" hidden="1" customHeight="1">
      <c r="A684" s="43">
        <v>678</v>
      </c>
      <c r="B684" s="44" t="s">
        <v>24</v>
      </c>
      <c r="C684" s="44" t="s">
        <v>219</v>
      </c>
      <c r="D684" s="44" t="s">
        <v>226</v>
      </c>
      <c r="E684" s="44" t="s">
        <v>228</v>
      </c>
      <c r="F684" s="45" t="s">
        <v>19</v>
      </c>
      <c r="G684" s="46">
        <v>169</v>
      </c>
      <c r="H684" s="46">
        <v>11</v>
      </c>
      <c r="I684" s="46">
        <v>2</v>
      </c>
      <c r="J684" s="47">
        <v>93.8888888888889</v>
      </c>
      <c r="K684" s="47"/>
      <c r="L684" s="48">
        <v>159</v>
      </c>
      <c r="M684" s="48">
        <v>6</v>
      </c>
      <c r="N684" s="48">
        <v>1</v>
      </c>
      <c r="O684" s="47">
        <v>96.363636363636402</v>
      </c>
      <c r="P684" s="49"/>
    </row>
    <row r="685" spans="1:16" ht="15" hidden="1" customHeight="1">
      <c r="A685" s="37">
        <v>679</v>
      </c>
      <c r="B685" s="38" t="s">
        <v>22</v>
      </c>
      <c r="C685" s="57" t="s">
        <v>219</v>
      </c>
      <c r="D685" s="57" t="s">
        <v>229</v>
      </c>
      <c r="E685" s="57"/>
      <c r="F685" s="38" t="s">
        <v>229</v>
      </c>
      <c r="G685" s="39">
        <v>861</v>
      </c>
      <c r="H685" s="39">
        <v>47</v>
      </c>
      <c r="I685" s="39">
        <v>8</v>
      </c>
      <c r="J685" s="40">
        <v>94.8237885462555</v>
      </c>
      <c r="K685" s="40"/>
      <c r="L685" s="41">
        <v>725</v>
      </c>
      <c r="M685" s="41">
        <v>39</v>
      </c>
      <c r="N685" s="41">
        <v>11</v>
      </c>
      <c r="O685" s="40">
        <v>94.895287958115205</v>
      </c>
      <c r="P685" s="42"/>
    </row>
    <row r="686" spans="1:16" ht="15" hidden="1" customHeight="1">
      <c r="A686" s="43">
        <v>680</v>
      </c>
      <c r="B686" s="44" t="s">
        <v>22</v>
      </c>
      <c r="C686" s="44" t="s">
        <v>219</v>
      </c>
      <c r="D686" s="44" t="s">
        <v>229</v>
      </c>
      <c r="E686" s="44"/>
      <c r="F686" s="45" t="s">
        <v>18</v>
      </c>
      <c r="G686" s="46"/>
      <c r="H686" s="46"/>
      <c r="I686" s="46"/>
      <c r="J686" s="47"/>
      <c r="K686" s="47"/>
      <c r="L686" s="48"/>
      <c r="M686" s="48"/>
      <c r="N686" s="48"/>
      <c r="O686" s="47"/>
      <c r="P686" s="49"/>
    </row>
    <row r="687" spans="1:16" ht="15" hidden="1" customHeight="1">
      <c r="A687" s="43">
        <v>681</v>
      </c>
      <c r="B687" s="44" t="s">
        <v>22</v>
      </c>
      <c r="C687" s="44" t="s">
        <v>219</v>
      </c>
      <c r="D687" s="44" t="s">
        <v>229</v>
      </c>
      <c r="E687" s="44"/>
      <c r="F687" s="45" t="s">
        <v>19</v>
      </c>
      <c r="G687" s="46">
        <v>861</v>
      </c>
      <c r="H687" s="46">
        <v>47</v>
      </c>
      <c r="I687" s="46">
        <v>8</v>
      </c>
      <c r="J687" s="47">
        <v>94.8237885462555</v>
      </c>
      <c r="K687" s="47"/>
      <c r="L687" s="48">
        <v>725</v>
      </c>
      <c r="M687" s="48">
        <v>39</v>
      </c>
      <c r="N687" s="48">
        <v>11</v>
      </c>
      <c r="O687" s="47">
        <v>94.895287958115205</v>
      </c>
      <c r="P687" s="49"/>
    </row>
    <row r="688" spans="1:16" ht="15" customHeight="1">
      <c r="A688" s="50">
        <v>682</v>
      </c>
      <c r="B688" s="51" t="s">
        <v>24</v>
      </c>
      <c r="C688" s="58" t="s">
        <v>219</v>
      </c>
      <c r="D688" s="58" t="s">
        <v>229</v>
      </c>
      <c r="E688" s="58" t="s">
        <v>230</v>
      </c>
      <c r="F688" s="59" t="s">
        <v>230</v>
      </c>
      <c r="G688" s="52">
        <v>373</v>
      </c>
      <c r="H688" s="52">
        <v>18</v>
      </c>
      <c r="I688" s="52">
        <v>3</v>
      </c>
      <c r="J688" s="53">
        <v>95.396419437340199</v>
      </c>
      <c r="K688" s="53">
        <f>G688+H688+I688</f>
        <v>394</v>
      </c>
      <c r="L688" s="54">
        <v>352</v>
      </c>
      <c r="M688" s="54">
        <v>24</v>
      </c>
      <c r="N688" s="54">
        <v>6</v>
      </c>
      <c r="O688" s="53">
        <v>93.617021276595807</v>
      </c>
      <c r="P688" s="55">
        <f>L688+M688+N688</f>
        <v>382</v>
      </c>
    </row>
    <row r="689" spans="1:16" ht="15" hidden="1" customHeight="1">
      <c r="A689" s="43">
        <v>683</v>
      </c>
      <c r="B689" s="44" t="s">
        <v>24</v>
      </c>
      <c r="C689" s="44" t="s">
        <v>219</v>
      </c>
      <c r="D689" s="44" t="s">
        <v>229</v>
      </c>
      <c r="E689" s="44" t="s">
        <v>230</v>
      </c>
      <c r="F689" s="45" t="s">
        <v>18</v>
      </c>
      <c r="G689" s="46"/>
      <c r="H689" s="46"/>
      <c r="I689" s="46"/>
      <c r="J689" s="47"/>
      <c r="K689" s="47"/>
      <c r="L689" s="48"/>
      <c r="M689" s="48"/>
      <c r="N689" s="48"/>
      <c r="O689" s="47"/>
      <c r="P689" s="49"/>
    </row>
    <row r="690" spans="1:16" ht="15" hidden="1" customHeight="1">
      <c r="A690" s="43">
        <v>684</v>
      </c>
      <c r="B690" s="44" t="s">
        <v>24</v>
      </c>
      <c r="C690" s="44" t="s">
        <v>219</v>
      </c>
      <c r="D690" s="44" t="s">
        <v>229</v>
      </c>
      <c r="E690" s="44" t="s">
        <v>230</v>
      </c>
      <c r="F690" s="45" t="s">
        <v>19</v>
      </c>
      <c r="G690" s="46">
        <v>373</v>
      </c>
      <c r="H690" s="46">
        <v>18</v>
      </c>
      <c r="I690" s="46">
        <v>3</v>
      </c>
      <c r="J690" s="47">
        <v>95.396419437340199</v>
      </c>
      <c r="K690" s="47"/>
      <c r="L690" s="48">
        <v>352</v>
      </c>
      <c r="M690" s="48">
        <v>24</v>
      </c>
      <c r="N690" s="48">
        <v>6</v>
      </c>
      <c r="O690" s="47">
        <v>93.617021276595807</v>
      </c>
      <c r="P690" s="49"/>
    </row>
    <row r="691" spans="1:16" ht="15" customHeight="1">
      <c r="A691" s="50">
        <v>685</v>
      </c>
      <c r="B691" s="51" t="s">
        <v>24</v>
      </c>
      <c r="C691" s="58" t="s">
        <v>219</v>
      </c>
      <c r="D691" s="58" t="s">
        <v>229</v>
      </c>
      <c r="E691" s="58" t="s">
        <v>231</v>
      </c>
      <c r="F691" s="59" t="s">
        <v>231</v>
      </c>
      <c r="G691" s="52">
        <v>488</v>
      </c>
      <c r="H691" s="52">
        <v>29</v>
      </c>
      <c r="I691" s="52">
        <v>5</v>
      </c>
      <c r="J691" s="53">
        <v>94.390715667311397</v>
      </c>
      <c r="K691" s="53">
        <f>G691+H691+I691</f>
        <v>522</v>
      </c>
      <c r="L691" s="54">
        <v>373</v>
      </c>
      <c r="M691" s="54">
        <v>15</v>
      </c>
      <c r="N691" s="54">
        <v>5</v>
      </c>
      <c r="O691" s="53">
        <v>96.134020618556704</v>
      </c>
      <c r="P691" s="55">
        <f>L691+M691+N691</f>
        <v>393</v>
      </c>
    </row>
    <row r="692" spans="1:16" ht="15" hidden="1" customHeight="1">
      <c r="A692" s="43">
        <v>686</v>
      </c>
      <c r="B692" s="44" t="s">
        <v>24</v>
      </c>
      <c r="C692" s="44" t="s">
        <v>219</v>
      </c>
      <c r="D692" s="44" t="s">
        <v>229</v>
      </c>
      <c r="E692" s="44" t="s">
        <v>231</v>
      </c>
      <c r="F692" s="45" t="s">
        <v>18</v>
      </c>
      <c r="G692" s="46"/>
      <c r="H692" s="46"/>
      <c r="I692" s="46"/>
      <c r="J692" s="47"/>
      <c r="K692" s="47"/>
      <c r="L692" s="48"/>
      <c r="M692" s="48"/>
      <c r="N692" s="48"/>
      <c r="O692" s="47"/>
      <c r="P692" s="49"/>
    </row>
    <row r="693" spans="1:16" ht="15" hidden="1" customHeight="1">
      <c r="A693" s="43">
        <v>687</v>
      </c>
      <c r="B693" s="44" t="s">
        <v>24</v>
      </c>
      <c r="C693" s="44" t="s">
        <v>219</v>
      </c>
      <c r="D693" s="44" t="s">
        <v>229</v>
      </c>
      <c r="E693" s="44" t="s">
        <v>231</v>
      </c>
      <c r="F693" s="45" t="s">
        <v>19</v>
      </c>
      <c r="G693" s="46">
        <v>488</v>
      </c>
      <c r="H693" s="46">
        <v>29</v>
      </c>
      <c r="I693" s="46">
        <v>5</v>
      </c>
      <c r="J693" s="47">
        <v>94.390715667311397</v>
      </c>
      <c r="K693" s="47"/>
      <c r="L693" s="48">
        <v>373</v>
      </c>
      <c r="M693" s="48">
        <v>15</v>
      </c>
      <c r="N693" s="48">
        <v>5</v>
      </c>
      <c r="O693" s="47">
        <v>96.134020618556704</v>
      </c>
      <c r="P693" s="49"/>
    </row>
    <row r="694" spans="1:16" ht="15" hidden="1" customHeight="1">
      <c r="A694" s="37">
        <v>688</v>
      </c>
      <c r="B694" s="38" t="s">
        <v>22</v>
      </c>
      <c r="C694" s="57" t="s">
        <v>219</v>
      </c>
      <c r="D694" s="57" t="s">
        <v>232</v>
      </c>
      <c r="E694" s="57"/>
      <c r="F694" s="38" t="s">
        <v>232</v>
      </c>
      <c r="G694" s="39">
        <v>1037</v>
      </c>
      <c r="H694" s="39">
        <v>181</v>
      </c>
      <c r="I694" s="39">
        <v>6</v>
      </c>
      <c r="J694" s="40">
        <v>85.139573070607597</v>
      </c>
      <c r="K694" s="40"/>
      <c r="L694" s="41">
        <v>959</v>
      </c>
      <c r="M694" s="41">
        <v>121</v>
      </c>
      <c r="N694" s="41">
        <v>14</v>
      </c>
      <c r="O694" s="40">
        <v>88.796296296296305</v>
      </c>
      <c r="P694" s="42"/>
    </row>
    <row r="695" spans="1:16" ht="15" hidden="1" customHeight="1">
      <c r="A695" s="43">
        <v>689</v>
      </c>
      <c r="B695" s="44" t="s">
        <v>22</v>
      </c>
      <c r="C695" s="44" t="s">
        <v>219</v>
      </c>
      <c r="D695" s="44" t="s">
        <v>232</v>
      </c>
      <c r="E695" s="44"/>
      <c r="F695" s="45" t="s">
        <v>18</v>
      </c>
      <c r="G695" s="46"/>
      <c r="H695" s="46"/>
      <c r="I695" s="46"/>
      <c r="J695" s="47"/>
      <c r="K695" s="47"/>
      <c r="L695" s="48">
        <v>414</v>
      </c>
      <c r="M695" s="48">
        <v>29</v>
      </c>
      <c r="N695" s="48">
        <v>8</v>
      </c>
      <c r="O695" s="47">
        <v>93.453724604966098</v>
      </c>
      <c r="P695" s="49"/>
    </row>
    <row r="696" spans="1:16" ht="15" hidden="1" customHeight="1">
      <c r="A696" s="43">
        <v>690</v>
      </c>
      <c r="B696" s="44" t="s">
        <v>22</v>
      </c>
      <c r="C696" s="44" t="s">
        <v>219</v>
      </c>
      <c r="D696" s="44" t="s">
        <v>232</v>
      </c>
      <c r="E696" s="44"/>
      <c r="F696" s="45" t="s">
        <v>19</v>
      </c>
      <c r="G696" s="46">
        <v>1037</v>
      </c>
      <c r="H696" s="46">
        <v>181</v>
      </c>
      <c r="I696" s="46">
        <v>6</v>
      </c>
      <c r="J696" s="47">
        <v>85.139573070607597</v>
      </c>
      <c r="K696" s="47"/>
      <c r="L696" s="48">
        <v>545</v>
      </c>
      <c r="M696" s="48">
        <v>92</v>
      </c>
      <c r="N696" s="48">
        <v>6</v>
      </c>
      <c r="O696" s="47">
        <v>85.557299843014107</v>
      </c>
      <c r="P696" s="49"/>
    </row>
    <row r="697" spans="1:16" ht="15" customHeight="1">
      <c r="A697" s="50">
        <v>691</v>
      </c>
      <c r="B697" s="51" t="s">
        <v>24</v>
      </c>
      <c r="C697" s="58" t="s">
        <v>219</v>
      </c>
      <c r="D697" s="58" t="s">
        <v>232</v>
      </c>
      <c r="E697" s="58" t="s">
        <v>233</v>
      </c>
      <c r="F697" s="59" t="s">
        <v>233</v>
      </c>
      <c r="G697" s="52">
        <v>80</v>
      </c>
      <c r="H697" s="52">
        <v>6</v>
      </c>
      <c r="I697" s="52">
        <v>0</v>
      </c>
      <c r="J697" s="53">
        <v>93.023255813953497</v>
      </c>
      <c r="K697" s="53">
        <f>G697+H697+I697</f>
        <v>86</v>
      </c>
      <c r="L697" s="54">
        <v>228</v>
      </c>
      <c r="M697" s="54">
        <v>19</v>
      </c>
      <c r="N697" s="54">
        <v>2</v>
      </c>
      <c r="O697" s="53">
        <v>92.307692307692307</v>
      </c>
      <c r="P697" s="55">
        <f>L697+M697+N697</f>
        <v>249</v>
      </c>
    </row>
    <row r="698" spans="1:16" ht="15" hidden="1" customHeight="1">
      <c r="A698" s="43">
        <v>692</v>
      </c>
      <c r="B698" s="44" t="s">
        <v>24</v>
      </c>
      <c r="C698" s="44" t="s">
        <v>219</v>
      </c>
      <c r="D698" s="44" t="s">
        <v>232</v>
      </c>
      <c r="E698" s="44" t="s">
        <v>233</v>
      </c>
      <c r="F698" s="45" t="s">
        <v>18</v>
      </c>
      <c r="G698" s="46"/>
      <c r="H698" s="46"/>
      <c r="I698" s="46"/>
      <c r="J698" s="47"/>
      <c r="K698" s="47"/>
      <c r="L698" s="48">
        <v>215</v>
      </c>
      <c r="M698" s="48">
        <v>19</v>
      </c>
      <c r="N698" s="48">
        <v>2</v>
      </c>
      <c r="O698" s="47">
        <v>91.880341880341902</v>
      </c>
      <c r="P698" s="49"/>
    </row>
    <row r="699" spans="1:16" ht="15" hidden="1" customHeight="1">
      <c r="A699" s="43">
        <v>693</v>
      </c>
      <c r="B699" s="44" t="s">
        <v>24</v>
      </c>
      <c r="C699" s="44" t="s">
        <v>219</v>
      </c>
      <c r="D699" s="44" t="s">
        <v>232</v>
      </c>
      <c r="E699" s="44" t="s">
        <v>233</v>
      </c>
      <c r="F699" s="45" t="s">
        <v>19</v>
      </c>
      <c r="G699" s="46">
        <v>80</v>
      </c>
      <c r="H699" s="46">
        <v>6</v>
      </c>
      <c r="I699" s="46">
        <v>0</v>
      </c>
      <c r="J699" s="47">
        <v>93.023255813953497</v>
      </c>
      <c r="K699" s="47"/>
      <c r="L699" s="48">
        <v>13</v>
      </c>
      <c r="M699" s="48">
        <v>0</v>
      </c>
      <c r="N699" s="48">
        <v>0</v>
      </c>
      <c r="O699" s="47">
        <v>100</v>
      </c>
      <c r="P699" s="49"/>
    </row>
    <row r="700" spans="1:16" ht="15" customHeight="1">
      <c r="A700" s="50">
        <v>694</v>
      </c>
      <c r="B700" s="51" t="s">
        <v>24</v>
      </c>
      <c r="C700" s="58" t="s">
        <v>219</v>
      </c>
      <c r="D700" s="58" t="s">
        <v>232</v>
      </c>
      <c r="E700" s="58" t="s">
        <v>234</v>
      </c>
      <c r="F700" s="59" t="s">
        <v>234</v>
      </c>
      <c r="G700" s="52">
        <v>393</v>
      </c>
      <c r="H700" s="52">
        <v>66</v>
      </c>
      <c r="I700" s="52">
        <v>1</v>
      </c>
      <c r="J700" s="53">
        <v>85.620915032679704</v>
      </c>
      <c r="K700" s="53">
        <f>G700+H700+I700</f>
        <v>460</v>
      </c>
      <c r="L700" s="54">
        <v>314</v>
      </c>
      <c r="M700" s="54">
        <v>28</v>
      </c>
      <c r="N700" s="54">
        <v>8</v>
      </c>
      <c r="O700" s="53">
        <v>91.812865497076004</v>
      </c>
      <c r="P700" s="55">
        <f>L700+M700+N700</f>
        <v>350</v>
      </c>
    </row>
    <row r="701" spans="1:16" ht="15" hidden="1" customHeight="1">
      <c r="A701" s="43">
        <v>695</v>
      </c>
      <c r="B701" s="44" t="s">
        <v>24</v>
      </c>
      <c r="C701" s="44" t="s">
        <v>219</v>
      </c>
      <c r="D701" s="44" t="s">
        <v>232</v>
      </c>
      <c r="E701" s="44" t="s">
        <v>234</v>
      </c>
      <c r="F701" s="45" t="s">
        <v>18</v>
      </c>
      <c r="G701" s="46"/>
      <c r="H701" s="46"/>
      <c r="I701" s="46"/>
      <c r="J701" s="47"/>
      <c r="K701" s="47"/>
      <c r="L701" s="48">
        <v>199</v>
      </c>
      <c r="M701" s="48">
        <v>10</v>
      </c>
      <c r="N701" s="48">
        <v>6</v>
      </c>
      <c r="O701" s="47">
        <v>95.215311004784695</v>
      </c>
      <c r="P701" s="49"/>
    </row>
    <row r="702" spans="1:16" ht="15" hidden="1" customHeight="1">
      <c r="A702" s="43">
        <v>696</v>
      </c>
      <c r="B702" s="44" t="s">
        <v>24</v>
      </c>
      <c r="C702" s="44" t="s">
        <v>219</v>
      </c>
      <c r="D702" s="44" t="s">
        <v>232</v>
      </c>
      <c r="E702" s="44" t="s">
        <v>234</v>
      </c>
      <c r="F702" s="45" t="s">
        <v>19</v>
      </c>
      <c r="G702" s="46">
        <v>393</v>
      </c>
      <c r="H702" s="46">
        <v>66</v>
      </c>
      <c r="I702" s="46">
        <v>1</v>
      </c>
      <c r="J702" s="47">
        <v>85.620915032679704</v>
      </c>
      <c r="K702" s="47"/>
      <c r="L702" s="48">
        <v>115</v>
      </c>
      <c r="M702" s="48">
        <v>18</v>
      </c>
      <c r="N702" s="48">
        <v>2</v>
      </c>
      <c r="O702" s="47">
        <v>86.466165413533801</v>
      </c>
      <c r="P702" s="49"/>
    </row>
    <row r="703" spans="1:16" ht="15" customHeight="1">
      <c r="A703" s="50">
        <v>697</v>
      </c>
      <c r="B703" s="51" t="s">
        <v>24</v>
      </c>
      <c r="C703" s="58" t="s">
        <v>219</v>
      </c>
      <c r="D703" s="58" t="s">
        <v>232</v>
      </c>
      <c r="E703" s="58" t="s">
        <v>235</v>
      </c>
      <c r="F703" s="59" t="s">
        <v>235</v>
      </c>
      <c r="G703" s="52">
        <v>195</v>
      </c>
      <c r="H703" s="52">
        <v>51</v>
      </c>
      <c r="I703" s="52">
        <v>2</v>
      </c>
      <c r="J703" s="53">
        <v>79.268292682926798</v>
      </c>
      <c r="K703" s="53">
        <f>G703+H703+I703</f>
        <v>248</v>
      </c>
      <c r="L703" s="54">
        <v>80</v>
      </c>
      <c r="M703" s="54">
        <v>15</v>
      </c>
      <c r="N703" s="54">
        <v>4</v>
      </c>
      <c r="O703" s="53">
        <v>84.210526315789494</v>
      </c>
      <c r="P703" s="55">
        <f>L703+M703+N703</f>
        <v>99</v>
      </c>
    </row>
    <row r="704" spans="1:16" ht="15" hidden="1" customHeight="1">
      <c r="A704" s="43">
        <v>698</v>
      </c>
      <c r="B704" s="44" t="s">
        <v>24</v>
      </c>
      <c r="C704" s="44" t="s">
        <v>219</v>
      </c>
      <c r="D704" s="44" t="s">
        <v>232</v>
      </c>
      <c r="E704" s="44" t="s">
        <v>235</v>
      </c>
      <c r="F704" s="45" t="s">
        <v>18</v>
      </c>
      <c r="G704" s="46"/>
      <c r="H704" s="46"/>
      <c r="I704" s="46"/>
      <c r="J704" s="47"/>
      <c r="K704" s="47"/>
      <c r="L704" s="48"/>
      <c r="M704" s="48"/>
      <c r="N704" s="48"/>
      <c r="O704" s="47"/>
      <c r="P704" s="49"/>
    </row>
    <row r="705" spans="1:16" ht="15" hidden="1" customHeight="1">
      <c r="A705" s="43">
        <v>699</v>
      </c>
      <c r="B705" s="44" t="s">
        <v>24</v>
      </c>
      <c r="C705" s="44" t="s">
        <v>219</v>
      </c>
      <c r="D705" s="44" t="s">
        <v>232</v>
      </c>
      <c r="E705" s="44" t="s">
        <v>235</v>
      </c>
      <c r="F705" s="45" t="s">
        <v>19</v>
      </c>
      <c r="G705" s="46">
        <v>195</v>
      </c>
      <c r="H705" s="46">
        <v>51</v>
      </c>
      <c r="I705" s="46">
        <v>2</v>
      </c>
      <c r="J705" s="47">
        <v>79.268292682926798</v>
      </c>
      <c r="K705" s="47"/>
      <c r="L705" s="48">
        <v>80</v>
      </c>
      <c r="M705" s="48">
        <v>15</v>
      </c>
      <c r="N705" s="48">
        <v>4</v>
      </c>
      <c r="O705" s="47">
        <v>84.210526315789494</v>
      </c>
      <c r="P705" s="49"/>
    </row>
    <row r="706" spans="1:16" ht="15" customHeight="1">
      <c r="A706" s="50">
        <v>700</v>
      </c>
      <c r="B706" s="51" t="s">
        <v>24</v>
      </c>
      <c r="C706" s="58" t="s">
        <v>219</v>
      </c>
      <c r="D706" s="58" t="s">
        <v>232</v>
      </c>
      <c r="E706" s="58" t="s">
        <v>236</v>
      </c>
      <c r="F706" s="59" t="s">
        <v>236</v>
      </c>
      <c r="G706" s="52">
        <v>45</v>
      </c>
      <c r="H706" s="52">
        <v>7</v>
      </c>
      <c r="I706" s="52">
        <v>0</v>
      </c>
      <c r="J706" s="53">
        <v>86.538461538461505</v>
      </c>
      <c r="K706" s="53">
        <f>G706+H706+I706</f>
        <v>52</v>
      </c>
      <c r="L706" s="54">
        <v>64</v>
      </c>
      <c r="M706" s="54">
        <v>11</v>
      </c>
      <c r="N706" s="54">
        <v>0</v>
      </c>
      <c r="O706" s="53">
        <v>85.3333333333333</v>
      </c>
      <c r="P706" s="55">
        <f>L706+M706+N706</f>
        <v>75</v>
      </c>
    </row>
    <row r="707" spans="1:16" ht="15" hidden="1" customHeight="1">
      <c r="A707" s="43">
        <v>701</v>
      </c>
      <c r="B707" s="44" t="s">
        <v>24</v>
      </c>
      <c r="C707" s="44" t="s">
        <v>219</v>
      </c>
      <c r="D707" s="44" t="s">
        <v>232</v>
      </c>
      <c r="E707" s="44" t="s">
        <v>236</v>
      </c>
      <c r="F707" s="45" t="s">
        <v>18</v>
      </c>
      <c r="G707" s="46"/>
      <c r="H707" s="46"/>
      <c r="I707" s="46"/>
      <c r="J707" s="47"/>
      <c r="K707" s="47"/>
      <c r="L707" s="48"/>
      <c r="M707" s="48"/>
      <c r="N707" s="48"/>
      <c r="O707" s="47"/>
      <c r="P707" s="49"/>
    </row>
    <row r="708" spans="1:16" ht="15" hidden="1" customHeight="1">
      <c r="A708" s="43">
        <v>702</v>
      </c>
      <c r="B708" s="44" t="s">
        <v>24</v>
      </c>
      <c r="C708" s="44" t="s">
        <v>219</v>
      </c>
      <c r="D708" s="44" t="s">
        <v>232</v>
      </c>
      <c r="E708" s="44" t="s">
        <v>236</v>
      </c>
      <c r="F708" s="45" t="s">
        <v>19</v>
      </c>
      <c r="G708" s="46">
        <v>45</v>
      </c>
      <c r="H708" s="46">
        <v>7</v>
      </c>
      <c r="I708" s="46">
        <v>0</v>
      </c>
      <c r="J708" s="47">
        <v>86.538461538461505</v>
      </c>
      <c r="K708" s="47"/>
      <c r="L708" s="48">
        <v>64</v>
      </c>
      <c r="M708" s="48">
        <v>11</v>
      </c>
      <c r="N708" s="48">
        <v>0</v>
      </c>
      <c r="O708" s="47">
        <v>85.3333333333333</v>
      </c>
      <c r="P708" s="49"/>
    </row>
    <row r="709" spans="1:16" ht="15" customHeight="1">
      <c r="A709" s="50">
        <v>703</v>
      </c>
      <c r="B709" s="51" t="s">
        <v>24</v>
      </c>
      <c r="C709" s="58" t="s">
        <v>219</v>
      </c>
      <c r="D709" s="58" t="s">
        <v>232</v>
      </c>
      <c r="E709" s="58" t="s">
        <v>237</v>
      </c>
      <c r="F709" s="59" t="s">
        <v>237</v>
      </c>
      <c r="G709" s="52">
        <v>324</v>
      </c>
      <c r="H709" s="52">
        <v>51</v>
      </c>
      <c r="I709" s="52">
        <v>3</v>
      </c>
      <c r="J709" s="53">
        <v>86.4</v>
      </c>
      <c r="K709" s="53">
        <f>G709+H709+I709</f>
        <v>378</v>
      </c>
      <c r="L709" s="54">
        <v>273</v>
      </c>
      <c r="M709" s="54">
        <v>48</v>
      </c>
      <c r="N709" s="54">
        <v>0</v>
      </c>
      <c r="O709" s="53">
        <v>85.046728971962594</v>
      </c>
      <c r="P709" s="55">
        <f>L709+M709+N709</f>
        <v>321</v>
      </c>
    </row>
    <row r="710" spans="1:16" ht="15" hidden="1" customHeight="1">
      <c r="A710" s="43">
        <v>704</v>
      </c>
      <c r="B710" s="44" t="s">
        <v>24</v>
      </c>
      <c r="C710" s="44" t="s">
        <v>219</v>
      </c>
      <c r="D710" s="44" t="s">
        <v>232</v>
      </c>
      <c r="E710" s="44" t="s">
        <v>237</v>
      </c>
      <c r="F710" s="45" t="s">
        <v>18</v>
      </c>
      <c r="G710" s="46"/>
      <c r="H710" s="46"/>
      <c r="I710" s="46"/>
      <c r="J710" s="47"/>
      <c r="K710" s="47"/>
      <c r="L710" s="48"/>
      <c r="M710" s="48"/>
      <c r="N710" s="48"/>
      <c r="O710" s="47"/>
      <c r="P710" s="49"/>
    </row>
    <row r="711" spans="1:16" ht="15" hidden="1" customHeight="1">
      <c r="A711" s="43">
        <v>705</v>
      </c>
      <c r="B711" s="44" t="s">
        <v>24</v>
      </c>
      <c r="C711" s="44" t="s">
        <v>219</v>
      </c>
      <c r="D711" s="44" t="s">
        <v>232</v>
      </c>
      <c r="E711" s="44" t="s">
        <v>237</v>
      </c>
      <c r="F711" s="45" t="s">
        <v>19</v>
      </c>
      <c r="G711" s="46">
        <v>324</v>
      </c>
      <c r="H711" s="46">
        <v>51</v>
      </c>
      <c r="I711" s="46">
        <v>3</v>
      </c>
      <c r="J711" s="47">
        <v>86.4</v>
      </c>
      <c r="K711" s="47"/>
      <c r="L711" s="48">
        <v>273</v>
      </c>
      <c r="M711" s="48">
        <v>48</v>
      </c>
      <c r="N711" s="48">
        <v>0</v>
      </c>
      <c r="O711" s="47">
        <v>85.046728971962594</v>
      </c>
      <c r="P711" s="49"/>
    </row>
    <row r="712" spans="1:16" ht="15" hidden="1" customHeight="1">
      <c r="A712" s="37">
        <v>706</v>
      </c>
      <c r="B712" s="38" t="s">
        <v>22</v>
      </c>
      <c r="C712" s="57" t="s">
        <v>219</v>
      </c>
      <c r="D712" s="57" t="s">
        <v>238</v>
      </c>
      <c r="E712" s="57"/>
      <c r="F712" s="38" t="s">
        <v>238</v>
      </c>
      <c r="G712" s="39">
        <v>1659</v>
      </c>
      <c r="H712" s="39">
        <v>103</v>
      </c>
      <c r="I712" s="39">
        <v>20</v>
      </c>
      <c r="J712" s="40">
        <v>94.154370034052207</v>
      </c>
      <c r="K712" s="40"/>
      <c r="L712" s="41">
        <v>1229</v>
      </c>
      <c r="M712" s="41">
        <v>69</v>
      </c>
      <c r="N712" s="41">
        <v>3</v>
      </c>
      <c r="O712" s="40">
        <v>94.684129429892096</v>
      </c>
      <c r="P712" s="42"/>
    </row>
    <row r="713" spans="1:16" ht="15" hidden="1" customHeight="1">
      <c r="A713" s="43">
        <v>707</v>
      </c>
      <c r="B713" s="44" t="s">
        <v>22</v>
      </c>
      <c r="C713" s="44" t="s">
        <v>219</v>
      </c>
      <c r="D713" s="44" t="s">
        <v>238</v>
      </c>
      <c r="E713" s="44"/>
      <c r="F713" s="45" t="s">
        <v>18</v>
      </c>
      <c r="G713" s="46">
        <v>437</v>
      </c>
      <c r="H713" s="46">
        <v>13</v>
      </c>
      <c r="I713" s="46">
        <v>4</v>
      </c>
      <c r="J713" s="47">
        <v>97.1111111111111</v>
      </c>
      <c r="K713" s="47"/>
      <c r="L713" s="48">
        <v>478</v>
      </c>
      <c r="M713" s="48">
        <v>20</v>
      </c>
      <c r="N713" s="48">
        <v>0</v>
      </c>
      <c r="O713" s="47">
        <v>95.983935742971894</v>
      </c>
      <c r="P713" s="49"/>
    </row>
    <row r="714" spans="1:16" ht="15" hidden="1" customHeight="1">
      <c r="A714" s="43">
        <v>708</v>
      </c>
      <c r="B714" s="44" t="s">
        <v>22</v>
      </c>
      <c r="C714" s="44" t="s">
        <v>219</v>
      </c>
      <c r="D714" s="44" t="s">
        <v>238</v>
      </c>
      <c r="E714" s="44"/>
      <c r="F714" s="45" t="s">
        <v>19</v>
      </c>
      <c r="G714" s="46">
        <v>1222</v>
      </c>
      <c r="H714" s="46">
        <v>90</v>
      </c>
      <c r="I714" s="46">
        <v>16</v>
      </c>
      <c r="J714" s="47">
        <v>93.140243902438996</v>
      </c>
      <c r="K714" s="47"/>
      <c r="L714" s="48">
        <v>751</v>
      </c>
      <c r="M714" s="48">
        <v>49</v>
      </c>
      <c r="N714" s="48">
        <v>3</v>
      </c>
      <c r="O714" s="47">
        <v>93.875</v>
      </c>
      <c r="P714" s="49"/>
    </row>
    <row r="715" spans="1:16" ht="15" customHeight="1">
      <c r="A715" s="50">
        <v>709</v>
      </c>
      <c r="B715" s="51" t="s">
        <v>24</v>
      </c>
      <c r="C715" s="58" t="s">
        <v>219</v>
      </c>
      <c r="D715" s="58" t="s">
        <v>238</v>
      </c>
      <c r="E715" s="58" t="s">
        <v>238</v>
      </c>
      <c r="F715" s="59" t="s">
        <v>238</v>
      </c>
      <c r="G715" s="52">
        <v>695</v>
      </c>
      <c r="H715" s="52">
        <v>25</v>
      </c>
      <c r="I715" s="52">
        <v>6</v>
      </c>
      <c r="J715" s="53">
        <v>96.5277777777778</v>
      </c>
      <c r="K715" s="53">
        <f>G715+H715+I715</f>
        <v>726</v>
      </c>
      <c r="L715" s="54">
        <v>715</v>
      </c>
      <c r="M715" s="54">
        <v>38</v>
      </c>
      <c r="N715" s="54">
        <v>0</v>
      </c>
      <c r="O715" s="53">
        <v>94.953519256308098</v>
      </c>
      <c r="P715" s="55">
        <f>L715+M715+N715</f>
        <v>753</v>
      </c>
    </row>
    <row r="716" spans="1:16" ht="15" hidden="1" customHeight="1">
      <c r="A716" s="43">
        <v>710</v>
      </c>
      <c r="B716" s="44" t="s">
        <v>24</v>
      </c>
      <c r="C716" s="44" t="s">
        <v>219</v>
      </c>
      <c r="D716" s="44" t="s">
        <v>238</v>
      </c>
      <c r="E716" s="44" t="s">
        <v>238</v>
      </c>
      <c r="F716" s="45" t="s">
        <v>18</v>
      </c>
      <c r="G716" s="46">
        <v>437</v>
      </c>
      <c r="H716" s="46">
        <v>13</v>
      </c>
      <c r="I716" s="46">
        <v>4</v>
      </c>
      <c r="J716" s="47">
        <v>97.1111111111111</v>
      </c>
      <c r="K716" s="47"/>
      <c r="L716" s="48">
        <v>478</v>
      </c>
      <c r="M716" s="48">
        <v>20</v>
      </c>
      <c r="N716" s="48">
        <v>0</v>
      </c>
      <c r="O716" s="47">
        <v>95.983935742971894</v>
      </c>
      <c r="P716" s="49"/>
    </row>
    <row r="717" spans="1:16" ht="15" hidden="1" customHeight="1">
      <c r="A717" s="43">
        <v>711</v>
      </c>
      <c r="B717" s="44" t="s">
        <v>24</v>
      </c>
      <c r="C717" s="44" t="s">
        <v>219</v>
      </c>
      <c r="D717" s="44" t="s">
        <v>238</v>
      </c>
      <c r="E717" s="44" t="s">
        <v>238</v>
      </c>
      <c r="F717" s="45" t="s">
        <v>19</v>
      </c>
      <c r="G717" s="46">
        <v>258</v>
      </c>
      <c r="H717" s="46">
        <v>12</v>
      </c>
      <c r="I717" s="46">
        <v>2</v>
      </c>
      <c r="J717" s="47">
        <v>95.5555555555556</v>
      </c>
      <c r="K717" s="47"/>
      <c r="L717" s="48">
        <v>237</v>
      </c>
      <c r="M717" s="48">
        <v>18</v>
      </c>
      <c r="N717" s="48">
        <v>0</v>
      </c>
      <c r="O717" s="47">
        <v>92.941176470588204</v>
      </c>
      <c r="P717" s="49"/>
    </row>
    <row r="718" spans="1:16" ht="15" customHeight="1">
      <c r="A718" s="50">
        <v>712</v>
      </c>
      <c r="B718" s="51" t="s">
        <v>24</v>
      </c>
      <c r="C718" s="58" t="s">
        <v>219</v>
      </c>
      <c r="D718" s="58" t="s">
        <v>238</v>
      </c>
      <c r="E718" s="58" t="s">
        <v>239</v>
      </c>
      <c r="F718" s="59" t="s">
        <v>239</v>
      </c>
      <c r="G718" s="52">
        <v>600</v>
      </c>
      <c r="H718" s="52">
        <v>48</v>
      </c>
      <c r="I718" s="52">
        <v>12</v>
      </c>
      <c r="J718" s="53">
        <v>92.592592592592595</v>
      </c>
      <c r="K718" s="53">
        <f>G718+H718+I718</f>
        <v>660</v>
      </c>
      <c r="L718" s="54">
        <v>273</v>
      </c>
      <c r="M718" s="54">
        <v>26</v>
      </c>
      <c r="N718" s="54">
        <v>2</v>
      </c>
      <c r="O718" s="53">
        <v>91.304347826086996</v>
      </c>
      <c r="P718" s="55">
        <f>L718+M718+N718</f>
        <v>301</v>
      </c>
    </row>
    <row r="719" spans="1:16" ht="15" hidden="1" customHeight="1">
      <c r="A719" s="43">
        <v>713</v>
      </c>
      <c r="B719" s="44" t="s">
        <v>24</v>
      </c>
      <c r="C719" s="44" t="s">
        <v>219</v>
      </c>
      <c r="D719" s="44" t="s">
        <v>238</v>
      </c>
      <c r="E719" s="44" t="s">
        <v>239</v>
      </c>
      <c r="F719" s="45" t="s">
        <v>18</v>
      </c>
      <c r="G719" s="46"/>
      <c r="H719" s="46"/>
      <c r="I719" s="46"/>
      <c r="J719" s="47"/>
      <c r="K719" s="47"/>
      <c r="L719" s="48"/>
      <c r="M719" s="48"/>
      <c r="N719" s="48"/>
      <c r="O719" s="47"/>
      <c r="P719" s="49"/>
    </row>
    <row r="720" spans="1:16" ht="15" hidden="1" customHeight="1">
      <c r="A720" s="43">
        <v>714</v>
      </c>
      <c r="B720" s="44" t="s">
        <v>24</v>
      </c>
      <c r="C720" s="44" t="s">
        <v>219</v>
      </c>
      <c r="D720" s="44" t="s">
        <v>238</v>
      </c>
      <c r="E720" s="44" t="s">
        <v>239</v>
      </c>
      <c r="F720" s="45" t="s">
        <v>19</v>
      </c>
      <c r="G720" s="46">
        <v>600</v>
      </c>
      <c r="H720" s="46">
        <v>48</v>
      </c>
      <c r="I720" s="46">
        <v>12</v>
      </c>
      <c r="J720" s="47">
        <v>92.592592592592595</v>
      </c>
      <c r="K720" s="47"/>
      <c r="L720" s="48">
        <v>273</v>
      </c>
      <c r="M720" s="48">
        <v>26</v>
      </c>
      <c r="N720" s="48">
        <v>2</v>
      </c>
      <c r="O720" s="47">
        <v>91.304347826086996</v>
      </c>
      <c r="P720" s="49"/>
    </row>
    <row r="721" spans="1:16" ht="15" customHeight="1">
      <c r="A721" s="50">
        <v>715</v>
      </c>
      <c r="B721" s="51" t="s">
        <v>24</v>
      </c>
      <c r="C721" s="58" t="s">
        <v>219</v>
      </c>
      <c r="D721" s="58" t="s">
        <v>238</v>
      </c>
      <c r="E721" s="58" t="s">
        <v>240</v>
      </c>
      <c r="F721" s="59" t="s">
        <v>240</v>
      </c>
      <c r="G721" s="52">
        <v>364</v>
      </c>
      <c r="H721" s="52">
        <v>30</v>
      </c>
      <c r="I721" s="52">
        <v>2</v>
      </c>
      <c r="J721" s="53">
        <v>92.385786802030495</v>
      </c>
      <c r="K721" s="53">
        <f>G721+H721+I721</f>
        <v>396</v>
      </c>
      <c r="L721" s="54">
        <v>241</v>
      </c>
      <c r="M721" s="54">
        <v>5</v>
      </c>
      <c r="N721" s="54">
        <v>1</v>
      </c>
      <c r="O721" s="53">
        <v>97.967479674796706</v>
      </c>
      <c r="P721" s="55">
        <f>L721+M721+N721</f>
        <v>247</v>
      </c>
    </row>
    <row r="722" spans="1:16" ht="15" hidden="1" customHeight="1">
      <c r="A722" s="43">
        <v>716</v>
      </c>
      <c r="B722" s="44" t="s">
        <v>24</v>
      </c>
      <c r="C722" s="44" t="s">
        <v>219</v>
      </c>
      <c r="D722" s="44" t="s">
        <v>238</v>
      </c>
      <c r="E722" s="44" t="s">
        <v>240</v>
      </c>
      <c r="F722" s="45" t="s">
        <v>18</v>
      </c>
      <c r="G722" s="46"/>
      <c r="H722" s="46"/>
      <c r="I722" s="46"/>
      <c r="J722" s="47"/>
      <c r="K722" s="47"/>
      <c r="L722" s="48"/>
      <c r="M722" s="48"/>
      <c r="N722" s="48"/>
      <c r="O722" s="47"/>
      <c r="P722" s="49"/>
    </row>
    <row r="723" spans="1:16" ht="15" hidden="1" customHeight="1">
      <c r="A723" s="43">
        <v>717</v>
      </c>
      <c r="B723" s="44" t="s">
        <v>24</v>
      </c>
      <c r="C723" s="44" t="s">
        <v>219</v>
      </c>
      <c r="D723" s="44" t="s">
        <v>238</v>
      </c>
      <c r="E723" s="44" t="s">
        <v>240</v>
      </c>
      <c r="F723" s="45" t="s">
        <v>19</v>
      </c>
      <c r="G723" s="46">
        <v>364</v>
      </c>
      <c r="H723" s="46">
        <v>30</v>
      </c>
      <c r="I723" s="46">
        <v>2</v>
      </c>
      <c r="J723" s="47">
        <v>92.385786802030495</v>
      </c>
      <c r="K723" s="47"/>
      <c r="L723" s="48">
        <v>241</v>
      </c>
      <c r="M723" s="48">
        <v>5</v>
      </c>
      <c r="N723" s="48">
        <v>1</v>
      </c>
      <c r="O723" s="47">
        <v>97.967479674796706</v>
      </c>
      <c r="P723" s="49"/>
    </row>
    <row r="724" spans="1:16" ht="15" hidden="1" customHeight="1">
      <c r="A724" s="37">
        <v>718</v>
      </c>
      <c r="B724" s="38" t="s">
        <v>22</v>
      </c>
      <c r="C724" s="57" t="s">
        <v>219</v>
      </c>
      <c r="D724" s="57" t="s">
        <v>241</v>
      </c>
      <c r="E724" s="57"/>
      <c r="F724" s="38" t="s">
        <v>241</v>
      </c>
      <c r="G724" s="39">
        <v>3386</v>
      </c>
      <c r="H724" s="39">
        <v>164</v>
      </c>
      <c r="I724" s="39">
        <v>15</v>
      </c>
      <c r="J724" s="40">
        <v>95.380281690140805</v>
      </c>
      <c r="K724" s="40"/>
      <c r="L724" s="41">
        <v>1710</v>
      </c>
      <c r="M724" s="41">
        <v>20</v>
      </c>
      <c r="N724" s="41">
        <v>11</v>
      </c>
      <c r="O724" s="40">
        <v>98.843930635838106</v>
      </c>
      <c r="P724" s="42"/>
    </row>
    <row r="725" spans="1:16" ht="15" hidden="1" customHeight="1">
      <c r="A725" s="43">
        <v>719</v>
      </c>
      <c r="B725" s="44" t="s">
        <v>22</v>
      </c>
      <c r="C725" s="44" t="s">
        <v>219</v>
      </c>
      <c r="D725" s="44" t="s">
        <v>241</v>
      </c>
      <c r="E725" s="44"/>
      <c r="F725" s="45" t="s">
        <v>18</v>
      </c>
      <c r="G725" s="46">
        <v>2714</v>
      </c>
      <c r="H725" s="46">
        <v>108</v>
      </c>
      <c r="I725" s="46">
        <v>10</v>
      </c>
      <c r="J725" s="47">
        <v>96.172927002126201</v>
      </c>
      <c r="K725" s="47"/>
      <c r="L725" s="48">
        <v>1219</v>
      </c>
      <c r="M725" s="48">
        <v>14</v>
      </c>
      <c r="N725" s="48">
        <v>5</v>
      </c>
      <c r="O725" s="47">
        <v>98.864557988645601</v>
      </c>
      <c r="P725" s="49"/>
    </row>
    <row r="726" spans="1:16" ht="15" hidden="1" customHeight="1">
      <c r="A726" s="43">
        <v>720</v>
      </c>
      <c r="B726" s="44" t="s">
        <v>22</v>
      </c>
      <c r="C726" s="44" t="s">
        <v>219</v>
      </c>
      <c r="D726" s="44" t="s">
        <v>241</v>
      </c>
      <c r="E726" s="44"/>
      <c r="F726" s="45" t="s">
        <v>19</v>
      </c>
      <c r="G726" s="46">
        <v>672</v>
      </c>
      <c r="H726" s="46">
        <v>56</v>
      </c>
      <c r="I726" s="46">
        <v>5</v>
      </c>
      <c r="J726" s="47">
        <v>92.307692307692307</v>
      </c>
      <c r="K726" s="47"/>
      <c r="L726" s="48">
        <v>491</v>
      </c>
      <c r="M726" s="48">
        <v>6</v>
      </c>
      <c r="N726" s="48">
        <v>6</v>
      </c>
      <c r="O726" s="47">
        <v>98.792756539235398</v>
      </c>
      <c r="P726" s="49"/>
    </row>
    <row r="727" spans="1:16" ht="15" customHeight="1">
      <c r="A727" s="50">
        <v>721</v>
      </c>
      <c r="B727" s="51" t="s">
        <v>24</v>
      </c>
      <c r="C727" s="58" t="s">
        <v>219</v>
      </c>
      <c r="D727" s="58" t="s">
        <v>241</v>
      </c>
      <c r="E727" s="58" t="s">
        <v>242</v>
      </c>
      <c r="F727" s="59" t="s">
        <v>242</v>
      </c>
      <c r="G727" s="52">
        <v>2907</v>
      </c>
      <c r="H727" s="52">
        <v>119</v>
      </c>
      <c r="I727" s="52">
        <v>11</v>
      </c>
      <c r="J727" s="53">
        <v>96.067415730337103</v>
      </c>
      <c r="K727" s="53">
        <f>G727+H727+I727</f>
        <v>3037</v>
      </c>
      <c r="L727" s="54">
        <v>1284</v>
      </c>
      <c r="M727" s="54">
        <v>15</v>
      </c>
      <c r="N727" s="54">
        <v>8</v>
      </c>
      <c r="O727" s="53">
        <v>98.8452655889146</v>
      </c>
      <c r="P727" s="55">
        <f>L727+M727+N727</f>
        <v>1307</v>
      </c>
    </row>
    <row r="728" spans="1:16" ht="15" hidden="1" customHeight="1">
      <c r="A728" s="43">
        <v>722</v>
      </c>
      <c r="B728" s="44" t="s">
        <v>24</v>
      </c>
      <c r="C728" s="44" t="s">
        <v>219</v>
      </c>
      <c r="D728" s="44" t="s">
        <v>241</v>
      </c>
      <c r="E728" s="44" t="s">
        <v>242</v>
      </c>
      <c r="F728" s="45" t="s">
        <v>18</v>
      </c>
      <c r="G728" s="46">
        <v>2421</v>
      </c>
      <c r="H728" s="46">
        <v>80</v>
      </c>
      <c r="I728" s="46">
        <v>8</v>
      </c>
      <c r="J728" s="47">
        <v>96.801279488204699</v>
      </c>
      <c r="K728" s="47"/>
      <c r="L728" s="48">
        <v>1009</v>
      </c>
      <c r="M728" s="48">
        <v>10</v>
      </c>
      <c r="N728" s="48">
        <v>5</v>
      </c>
      <c r="O728" s="47">
        <v>99.018645731108904</v>
      </c>
      <c r="P728" s="49"/>
    </row>
    <row r="729" spans="1:16" ht="15" hidden="1" customHeight="1">
      <c r="A729" s="43">
        <v>723</v>
      </c>
      <c r="B729" s="44" t="s">
        <v>24</v>
      </c>
      <c r="C729" s="44" t="s">
        <v>219</v>
      </c>
      <c r="D729" s="44" t="s">
        <v>241</v>
      </c>
      <c r="E729" s="44" t="s">
        <v>242</v>
      </c>
      <c r="F729" s="45" t="s">
        <v>19</v>
      </c>
      <c r="G729" s="46">
        <v>486</v>
      </c>
      <c r="H729" s="46">
        <v>39</v>
      </c>
      <c r="I729" s="46">
        <v>3</v>
      </c>
      <c r="J729" s="47">
        <v>92.571428571428598</v>
      </c>
      <c r="K729" s="47"/>
      <c r="L729" s="48">
        <v>275</v>
      </c>
      <c r="M729" s="48">
        <v>5</v>
      </c>
      <c r="N729" s="48">
        <v>3</v>
      </c>
      <c r="O729" s="47">
        <v>98.214285714285694</v>
      </c>
      <c r="P729" s="49"/>
    </row>
    <row r="730" spans="1:16" ht="15" customHeight="1">
      <c r="A730" s="50">
        <v>724</v>
      </c>
      <c r="B730" s="51" t="s">
        <v>24</v>
      </c>
      <c r="C730" s="58" t="s">
        <v>219</v>
      </c>
      <c r="D730" s="58" t="s">
        <v>241</v>
      </c>
      <c r="E730" s="58" t="s">
        <v>243</v>
      </c>
      <c r="F730" s="59" t="s">
        <v>243</v>
      </c>
      <c r="G730" s="52">
        <v>479</v>
      </c>
      <c r="H730" s="52">
        <v>45</v>
      </c>
      <c r="I730" s="52">
        <v>4</v>
      </c>
      <c r="J730" s="53">
        <v>91.412213740458</v>
      </c>
      <c r="K730" s="53">
        <f>G730+H730+I730</f>
        <v>528</v>
      </c>
      <c r="L730" s="54">
        <v>426</v>
      </c>
      <c r="M730" s="54">
        <v>5</v>
      </c>
      <c r="N730" s="54">
        <v>3</v>
      </c>
      <c r="O730" s="53">
        <v>98.839907192575396</v>
      </c>
      <c r="P730" s="55">
        <f>L730+M730+N730</f>
        <v>434</v>
      </c>
    </row>
    <row r="731" spans="1:16" ht="15" hidden="1" customHeight="1">
      <c r="A731" s="43">
        <v>725</v>
      </c>
      <c r="B731" s="44" t="s">
        <v>24</v>
      </c>
      <c r="C731" s="44" t="s">
        <v>219</v>
      </c>
      <c r="D731" s="44" t="s">
        <v>241</v>
      </c>
      <c r="E731" s="44" t="s">
        <v>243</v>
      </c>
      <c r="F731" s="45" t="s">
        <v>18</v>
      </c>
      <c r="G731" s="46">
        <v>293</v>
      </c>
      <c r="H731" s="46">
        <v>28</v>
      </c>
      <c r="I731" s="46">
        <v>2</v>
      </c>
      <c r="J731" s="47">
        <v>91.277258566978205</v>
      </c>
      <c r="K731" s="47"/>
      <c r="L731" s="48">
        <v>210</v>
      </c>
      <c r="M731" s="48">
        <v>4</v>
      </c>
      <c r="N731" s="48">
        <v>0</v>
      </c>
      <c r="O731" s="47">
        <v>98.130841121495294</v>
      </c>
      <c r="P731" s="49"/>
    </row>
    <row r="732" spans="1:16" ht="15" hidden="1" customHeight="1">
      <c r="A732" s="43">
        <v>726</v>
      </c>
      <c r="B732" s="44" t="s">
        <v>24</v>
      </c>
      <c r="C732" s="44" t="s">
        <v>219</v>
      </c>
      <c r="D732" s="44" t="s">
        <v>241</v>
      </c>
      <c r="E732" s="44" t="s">
        <v>243</v>
      </c>
      <c r="F732" s="45" t="s">
        <v>19</v>
      </c>
      <c r="G732" s="46">
        <v>186</v>
      </c>
      <c r="H732" s="46">
        <v>17</v>
      </c>
      <c r="I732" s="46">
        <v>2</v>
      </c>
      <c r="J732" s="47">
        <v>91.625615763546804</v>
      </c>
      <c r="K732" s="47"/>
      <c r="L732" s="48">
        <v>216</v>
      </c>
      <c r="M732" s="48">
        <v>1</v>
      </c>
      <c r="N732" s="48">
        <v>3</v>
      </c>
      <c r="O732" s="47">
        <v>99.539170506912399</v>
      </c>
      <c r="P732" s="49"/>
    </row>
    <row r="733" spans="1:16" ht="15" hidden="1" customHeight="1">
      <c r="A733" s="37">
        <v>727</v>
      </c>
      <c r="B733" s="38" t="s">
        <v>22</v>
      </c>
      <c r="C733" s="57" t="s">
        <v>219</v>
      </c>
      <c r="D733" s="57" t="s">
        <v>244</v>
      </c>
      <c r="E733" s="57"/>
      <c r="F733" s="38" t="s">
        <v>244</v>
      </c>
      <c r="G733" s="39">
        <v>1514</v>
      </c>
      <c r="H733" s="39">
        <v>201</v>
      </c>
      <c r="I733" s="39">
        <v>13</v>
      </c>
      <c r="J733" s="40">
        <v>88.279883381924193</v>
      </c>
      <c r="K733" s="40"/>
      <c r="L733" s="41">
        <v>1377</v>
      </c>
      <c r="M733" s="41">
        <v>34</v>
      </c>
      <c r="N733" s="41">
        <v>11</v>
      </c>
      <c r="O733" s="40">
        <v>97.590361445783103</v>
      </c>
      <c r="P733" s="42"/>
    </row>
    <row r="734" spans="1:16" ht="15" hidden="1" customHeight="1">
      <c r="A734" s="43">
        <v>728</v>
      </c>
      <c r="B734" s="44" t="s">
        <v>22</v>
      </c>
      <c r="C734" s="44" t="s">
        <v>219</v>
      </c>
      <c r="D734" s="44" t="s">
        <v>244</v>
      </c>
      <c r="E734" s="44"/>
      <c r="F734" s="45" t="s">
        <v>18</v>
      </c>
      <c r="G734" s="46"/>
      <c r="H734" s="46"/>
      <c r="I734" s="46"/>
      <c r="J734" s="47"/>
      <c r="K734" s="47"/>
      <c r="L734" s="48"/>
      <c r="M734" s="48"/>
      <c r="N734" s="48"/>
      <c r="O734" s="47"/>
      <c r="P734" s="49"/>
    </row>
    <row r="735" spans="1:16" ht="15" hidden="1" customHeight="1">
      <c r="A735" s="43">
        <v>729</v>
      </c>
      <c r="B735" s="44" t="s">
        <v>22</v>
      </c>
      <c r="C735" s="44" t="s">
        <v>219</v>
      </c>
      <c r="D735" s="44" t="s">
        <v>244</v>
      </c>
      <c r="E735" s="44"/>
      <c r="F735" s="45" t="s">
        <v>19</v>
      </c>
      <c r="G735" s="46">
        <v>1514</v>
      </c>
      <c r="H735" s="46">
        <v>201</v>
      </c>
      <c r="I735" s="46">
        <v>13</v>
      </c>
      <c r="J735" s="47">
        <v>88.279883381924193</v>
      </c>
      <c r="K735" s="47"/>
      <c r="L735" s="48">
        <v>1377</v>
      </c>
      <c r="M735" s="48">
        <v>34</v>
      </c>
      <c r="N735" s="48">
        <v>11</v>
      </c>
      <c r="O735" s="47">
        <v>97.590361445783103</v>
      </c>
      <c r="P735" s="49"/>
    </row>
    <row r="736" spans="1:16" ht="15" customHeight="1">
      <c r="A736" s="50">
        <v>730</v>
      </c>
      <c r="B736" s="51" t="s">
        <v>24</v>
      </c>
      <c r="C736" s="58" t="s">
        <v>219</v>
      </c>
      <c r="D736" s="58" t="s">
        <v>244</v>
      </c>
      <c r="E736" s="58" t="s">
        <v>245</v>
      </c>
      <c r="F736" s="59" t="s">
        <v>245</v>
      </c>
      <c r="G736" s="52">
        <v>1194</v>
      </c>
      <c r="H736" s="52">
        <v>155</v>
      </c>
      <c r="I736" s="52">
        <v>10</v>
      </c>
      <c r="J736" s="53">
        <v>88.510007412898403</v>
      </c>
      <c r="K736" s="53">
        <f>G736+H736+I736</f>
        <v>1359</v>
      </c>
      <c r="L736" s="54">
        <v>1163</v>
      </c>
      <c r="M736" s="54">
        <v>31</v>
      </c>
      <c r="N736" s="54">
        <v>10</v>
      </c>
      <c r="O736" s="53">
        <v>97.403685092127304</v>
      </c>
      <c r="P736" s="55">
        <f>L736+M736+N736</f>
        <v>1204</v>
      </c>
    </row>
    <row r="737" spans="1:16" ht="15" hidden="1" customHeight="1">
      <c r="A737" s="43">
        <v>731</v>
      </c>
      <c r="B737" s="44" t="s">
        <v>24</v>
      </c>
      <c r="C737" s="44" t="s">
        <v>219</v>
      </c>
      <c r="D737" s="44" t="s">
        <v>244</v>
      </c>
      <c r="E737" s="44" t="s">
        <v>245</v>
      </c>
      <c r="F737" s="45" t="s">
        <v>18</v>
      </c>
      <c r="G737" s="46"/>
      <c r="H737" s="46"/>
      <c r="I737" s="46"/>
      <c r="J737" s="47"/>
      <c r="K737" s="47"/>
      <c r="L737" s="48"/>
      <c r="M737" s="48"/>
      <c r="N737" s="48"/>
      <c r="O737" s="47"/>
      <c r="P737" s="49"/>
    </row>
    <row r="738" spans="1:16" ht="15" hidden="1" customHeight="1">
      <c r="A738" s="43">
        <v>732</v>
      </c>
      <c r="B738" s="44" t="s">
        <v>24</v>
      </c>
      <c r="C738" s="44" t="s">
        <v>219</v>
      </c>
      <c r="D738" s="44" t="s">
        <v>244</v>
      </c>
      <c r="E738" s="44" t="s">
        <v>245</v>
      </c>
      <c r="F738" s="45" t="s">
        <v>19</v>
      </c>
      <c r="G738" s="46">
        <v>1194</v>
      </c>
      <c r="H738" s="46">
        <v>155</v>
      </c>
      <c r="I738" s="46">
        <v>10</v>
      </c>
      <c r="J738" s="47">
        <v>88.510007412898403</v>
      </c>
      <c r="K738" s="47"/>
      <c r="L738" s="48">
        <v>1163</v>
      </c>
      <c r="M738" s="48">
        <v>31</v>
      </c>
      <c r="N738" s="48">
        <v>10</v>
      </c>
      <c r="O738" s="47">
        <v>97.403685092127304</v>
      </c>
      <c r="P738" s="49"/>
    </row>
    <row r="739" spans="1:16" ht="15" customHeight="1">
      <c r="A739" s="50">
        <v>733</v>
      </c>
      <c r="B739" s="51" t="s">
        <v>24</v>
      </c>
      <c r="C739" s="58" t="s">
        <v>219</v>
      </c>
      <c r="D739" s="58" t="s">
        <v>244</v>
      </c>
      <c r="E739" s="58" t="s">
        <v>246</v>
      </c>
      <c r="F739" s="59" t="s">
        <v>246</v>
      </c>
      <c r="G739" s="52">
        <v>320</v>
      </c>
      <c r="H739" s="52">
        <v>46</v>
      </c>
      <c r="I739" s="52">
        <v>3</v>
      </c>
      <c r="J739" s="53">
        <v>87.431693989070993</v>
      </c>
      <c r="K739" s="53">
        <f>G739+H739+I739</f>
        <v>369</v>
      </c>
      <c r="L739" s="54">
        <v>214</v>
      </c>
      <c r="M739" s="54">
        <v>3</v>
      </c>
      <c r="N739" s="54">
        <v>1</v>
      </c>
      <c r="O739" s="53">
        <v>98.617511520737295</v>
      </c>
      <c r="P739" s="55">
        <f>L739+M739+N739</f>
        <v>218</v>
      </c>
    </row>
    <row r="740" spans="1:16" ht="15" hidden="1" customHeight="1">
      <c r="A740" s="43">
        <v>734</v>
      </c>
      <c r="B740" s="44" t="s">
        <v>24</v>
      </c>
      <c r="C740" s="44" t="s">
        <v>219</v>
      </c>
      <c r="D740" s="44" t="s">
        <v>244</v>
      </c>
      <c r="E740" s="44" t="s">
        <v>246</v>
      </c>
      <c r="F740" s="45" t="s">
        <v>18</v>
      </c>
      <c r="G740" s="46"/>
      <c r="H740" s="46"/>
      <c r="I740" s="46"/>
      <c r="J740" s="47"/>
      <c r="K740" s="47"/>
      <c r="L740" s="48"/>
      <c r="M740" s="48"/>
      <c r="N740" s="48"/>
      <c r="O740" s="47"/>
      <c r="P740" s="49"/>
    </row>
    <row r="741" spans="1:16" ht="15" hidden="1" customHeight="1">
      <c r="A741" s="43">
        <v>735</v>
      </c>
      <c r="B741" s="44" t="s">
        <v>24</v>
      </c>
      <c r="C741" s="44" t="s">
        <v>219</v>
      </c>
      <c r="D741" s="44" t="s">
        <v>244</v>
      </c>
      <c r="E741" s="44" t="s">
        <v>246</v>
      </c>
      <c r="F741" s="45" t="s">
        <v>19</v>
      </c>
      <c r="G741" s="46">
        <v>320</v>
      </c>
      <c r="H741" s="46">
        <v>46</v>
      </c>
      <c r="I741" s="46">
        <v>3</v>
      </c>
      <c r="J741" s="47">
        <v>87.431693989070993</v>
      </c>
      <c r="K741" s="47"/>
      <c r="L741" s="48">
        <v>214</v>
      </c>
      <c r="M741" s="48">
        <v>3</v>
      </c>
      <c r="N741" s="48">
        <v>1</v>
      </c>
      <c r="O741" s="47">
        <v>98.617511520737295</v>
      </c>
      <c r="P741" s="49"/>
    </row>
    <row r="742" spans="1:16" ht="15" hidden="1" customHeight="1">
      <c r="A742" s="37">
        <v>736</v>
      </c>
      <c r="B742" s="38" t="s">
        <v>22</v>
      </c>
      <c r="C742" s="57" t="s">
        <v>219</v>
      </c>
      <c r="D742" s="57" t="s">
        <v>247</v>
      </c>
      <c r="E742" s="57"/>
      <c r="F742" s="38" t="s">
        <v>247</v>
      </c>
      <c r="G742" s="39">
        <v>1246</v>
      </c>
      <c r="H742" s="39">
        <v>197</v>
      </c>
      <c r="I742" s="39">
        <v>4</v>
      </c>
      <c r="J742" s="40">
        <v>86.347886347886302</v>
      </c>
      <c r="K742" s="40"/>
      <c r="L742" s="41">
        <v>1511</v>
      </c>
      <c r="M742" s="41">
        <v>194</v>
      </c>
      <c r="N742" s="41">
        <v>16</v>
      </c>
      <c r="O742" s="40">
        <v>88.621700879765399</v>
      </c>
      <c r="P742" s="42"/>
    </row>
    <row r="743" spans="1:16" ht="15" hidden="1" customHeight="1">
      <c r="A743" s="43">
        <v>737</v>
      </c>
      <c r="B743" s="44" t="s">
        <v>22</v>
      </c>
      <c r="C743" s="44" t="s">
        <v>219</v>
      </c>
      <c r="D743" s="44" t="s">
        <v>247</v>
      </c>
      <c r="E743" s="44"/>
      <c r="F743" s="45" t="s">
        <v>18</v>
      </c>
      <c r="G743" s="46"/>
      <c r="H743" s="46"/>
      <c r="I743" s="46"/>
      <c r="J743" s="47"/>
      <c r="K743" s="47"/>
      <c r="L743" s="48">
        <v>188</v>
      </c>
      <c r="M743" s="48">
        <v>8</v>
      </c>
      <c r="N743" s="48">
        <v>5</v>
      </c>
      <c r="O743" s="47">
        <v>95.918367346938794</v>
      </c>
      <c r="P743" s="49"/>
    </row>
    <row r="744" spans="1:16" ht="15" hidden="1" customHeight="1">
      <c r="A744" s="43">
        <v>738</v>
      </c>
      <c r="B744" s="44" t="s">
        <v>22</v>
      </c>
      <c r="C744" s="44" t="s">
        <v>219</v>
      </c>
      <c r="D744" s="44" t="s">
        <v>247</v>
      </c>
      <c r="E744" s="44"/>
      <c r="F744" s="45" t="s">
        <v>19</v>
      </c>
      <c r="G744" s="46">
        <v>1246</v>
      </c>
      <c r="H744" s="46">
        <v>197</v>
      </c>
      <c r="I744" s="46">
        <v>4</v>
      </c>
      <c r="J744" s="47">
        <v>86.347886347886302</v>
      </c>
      <c r="K744" s="47"/>
      <c r="L744" s="48">
        <v>1323</v>
      </c>
      <c r="M744" s="48">
        <v>186</v>
      </c>
      <c r="N744" s="48">
        <v>11</v>
      </c>
      <c r="O744" s="47">
        <v>87.673956262425406</v>
      </c>
      <c r="P744" s="49"/>
    </row>
    <row r="745" spans="1:16" ht="15" customHeight="1">
      <c r="A745" s="50">
        <v>739</v>
      </c>
      <c r="B745" s="51" t="s">
        <v>24</v>
      </c>
      <c r="C745" s="58" t="s">
        <v>219</v>
      </c>
      <c r="D745" s="58" t="s">
        <v>247</v>
      </c>
      <c r="E745" s="58" t="s">
        <v>247</v>
      </c>
      <c r="F745" s="59" t="s">
        <v>247</v>
      </c>
      <c r="G745" s="52">
        <v>938</v>
      </c>
      <c r="H745" s="52">
        <v>141</v>
      </c>
      <c r="I745" s="52">
        <v>2</v>
      </c>
      <c r="J745" s="53">
        <v>86.932344763670102</v>
      </c>
      <c r="K745" s="53">
        <f>G745+H745+I745</f>
        <v>1081</v>
      </c>
      <c r="L745" s="54">
        <v>1171</v>
      </c>
      <c r="M745" s="54">
        <v>137</v>
      </c>
      <c r="N745" s="54">
        <v>14</v>
      </c>
      <c r="O745" s="53">
        <v>89.525993883792097</v>
      </c>
      <c r="P745" s="55">
        <f>L745+M745+N745</f>
        <v>1322</v>
      </c>
    </row>
    <row r="746" spans="1:16" ht="15" hidden="1" customHeight="1">
      <c r="A746" s="43">
        <v>740</v>
      </c>
      <c r="B746" s="44" t="s">
        <v>24</v>
      </c>
      <c r="C746" s="44" t="s">
        <v>219</v>
      </c>
      <c r="D746" s="44" t="s">
        <v>247</v>
      </c>
      <c r="E746" s="44" t="s">
        <v>247</v>
      </c>
      <c r="F746" s="45" t="s">
        <v>18</v>
      </c>
      <c r="G746" s="46"/>
      <c r="H746" s="46"/>
      <c r="I746" s="46"/>
      <c r="J746" s="47"/>
      <c r="K746" s="47"/>
      <c r="L746" s="48">
        <v>188</v>
      </c>
      <c r="M746" s="48">
        <v>8</v>
      </c>
      <c r="N746" s="48">
        <v>5</v>
      </c>
      <c r="O746" s="47">
        <v>95.918367346938794</v>
      </c>
      <c r="P746" s="49"/>
    </row>
    <row r="747" spans="1:16" ht="15" hidden="1" customHeight="1">
      <c r="A747" s="43">
        <v>741</v>
      </c>
      <c r="B747" s="44" t="s">
        <v>24</v>
      </c>
      <c r="C747" s="44" t="s">
        <v>219</v>
      </c>
      <c r="D747" s="44" t="s">
        <v>247</v>
      </c>
      <c r="E747" s="44" t="s">
        <v>247</v>
      </c>
      <c r="F747" s="45" t="s">
        <v>19</v>
      </c>
      <c r="G747" s="46">
        <v>938</v>
      </c>
      <c r="H747" s="46">
        <v>141</v>
      </c>
      <c r="I747" s="46">
        <v>2</v>
      </c>
      <c r="J747" s="47">
        <v>86.932344763670102</v>
      </c>
      <c r="K747" s="47"/>
      <c r="L747" s="48">
        <v>983</v>
      </c>
      <c r="M747" s="48">
        <v>129</v>
      </c>
      <c r="N747" s="48">
        <v>9</v>
      </c>
      <c r="O747" s="47">
        <v>88.399280575539606</v>
      </c>
      <c r="P747" s="49"/>
    </row>
    <row r="748" spans="1:16" ht="15" customHeight="1">
      <c r="A748" s="50">
        <v>742</v>
      </c>
      <c r="B748" s="51" t="s">
        <v>24</v>
      </c>
      <c r="C748" s="58" t="s">
        <v>219</v>
      </c>
      <c r="D748" s="58" t="s">
        <v>247</v>
      </c>
      <c r="E748" s="58" t="s">
        <v>248</v>
      </c>
      <c r="F748" s="59" t="s">
        <v>248</v>
      </c>
      <c r="G748" s="52">
        <v>96</v>
      </c>
      <c r="H748" s="52">
        <v>15</v>
      </c>
      <c r="I748" s="52">
        <v>0</v>
      </c>
      <c r="J748" s="53">
        <v>86.486486486486498</v>
      </c>
      <c r="K748" s="53">
        <f>G748+H748+I748</f>
        <v>111</v>
      </c>
      <c r="L748" s="54">
        <v>167</v>
      </c>
      <c r="M748" s="54">
        <v>15</v>
      </c>
      <c r="N748" s="54">
        <v>2</v>
      </c>
      <c r="O748" s="53">
        <v>91.758241758241795</v>
      </c>
      <c r="P748" s="55">
        <f>L748+M748+N748</f>
        <v>184</v>
      </c>
    </row>
    <row r="749" spans="1:16" ht="15" hidden="1" customHeight="1">
      <c r="A749" s="43">
        <v>743</v>
      </c>
      <c r="B749" s="44" t="s">
        <v>24</v>
      </c>
      <c r="C749" s="44" t="s">
        <v>219</v>
      </c>
      <c r="D749" s="44" t="s">
        <v>247</v>
      </c>
      <c r="E749" s="44" t="s">
        <v>248</v>
      </c>
      <c r="F749" s="45" t="s">
        <v>18</v>
      </c>
      <c r="G749" s="46"/>
      <c r="H749" s="46"/>
      <c r="I749" s="46"/>
      <c r="J749" s="47"/>
      <c r="K749" s="47"/>
      <c r="L749" s="48"/>
      <c r="M749" s="48"/>
      <c r="N749" s="48"/>
      <c r="O749" s="47"/>
      <c r="P749" s="49"/>
    </row>
    <row r="750" spans="1:16" ht="15" hidden="1" customHeight="1">
      <c r="A750" s="43">
        <v>744</v>
      </c>
      <c r="B750" s="44" t="s">
        <v>24</v>
      </c>
      <c r="C750" s="44" t="s">
        <v>219</v>
      </c>
      <c r="D750" s="44" t="s">
        <v>247</v>
      </c>
      <c r="E750" s="44" t="s">
        <v>248</v>
      </c>
      <c r="F750" s="45" t="s">
        <v>19</v>
      </c>
      <c r="G750" s="46">
        <v>96</v>
      </c>
      <c r="H750" s="46">
        <v>15</v>
      </c>
      <c r="I750" s="46">
        <v>0</v>
      </c>
      <c r="J750" s="47">
        <v>86.486486486486498</v>
      </c>
      <c r="K750" s="47"/>
      <c r="L750" s="48">
        <v>167</v>
      </c>
      <c r="M750" s="48">
        <v>15</v>
      </c>
      <c r="N750" s="48">
        <v>2</v>
      </c>
      <c r="O750" s="47">
        <v>91.758241758241795</v>
      </c>
      <c r="P750" s="49"/>
    </row>
    <row r="751" spans="1:16" ht="15" customHeight="1">
      <c r="A751" s="50">
        <v>745</v>
      </c>
      <c r="B751" s="51" t="s">
        <v>24</v>
      </c>
      <c r="C751" s="58" t="s">
        <v>219</v>
      </c>
      <c r="D751" s="58" t="s">
        <v>247</v>
      </c>
      <c r="E751" s="58" t="s">
        <v>249</v>
      </c>
      <c r="F751" s="59" t="s">
        <v>249</v>
      </c>
      <c r="G751" s="52">
        <v>212</v>
      </c>
      <c r="H751" s="52">
        <v>41</v>
      </c>
      <c r="I751" s="52">
        <v>2</v>
      </c>
      <c r="J751" s="53">
        <v>83.794466403162104</v>
      </c>
      <c r="K751" s="53">
        <f>G751+H751+I751</f>
        <v>255</v>
      </c>
      <c r="L751" s="54">
        <v>173</v>
      </c>
      <c r="M751" s="54">
        <v>42</v>
      </c>
      <c r="N751" s="54">
        <v>0</v>
      </c>
      <c r="O751" s="53">
        <v>80.465116279069804</v>
      </c>
      <c r="P751" s="55">
        <f>L751+M751+N751</f>
        <v>215</v>
      </c>
    </row>
    <row r="752" spans="1:16" ht="15" hidden="1" customHeight="1">
      <c r="A752" s="43">
        <v>746</v>
      </c>
      <c r="B752" s="44" t="s">
        <v>24</v>
      </c>
      <c r="C752" s="44" t="s">
        <v>219</v>
      </c>
      <c r="D752" s="44" t="s">
        <v>247</v>
      </c>
      <c r="E752" s="44" t="s">
        <v>249</v>
      </c>
      <c r="F752" s="45" t="s">
        <v>18</v>
      </c>
      <c r="G752" s="46"/>
      <c r="H752" s="46"/>
      <c r="I752" s="46"/>
      <c r="J752" s="47"/>
      <c r="K752" s="47"/>
      <c r="L752" s="48"/>
      <c r="M752" s="48"/>
      <c r="N752" s="48"/>
      <c r="O752" s="47"/>
      <c r="P752" s="49"/>
    </row>
    <row r="753" spans="1:16" ht="15" hidden="1" customHeight="1">
      <c r="A753" s="43">
        <v>747</v>
      </c>
      <c r="B753" s="44" t="s">
        <v>24</v>
      </c>
      <c r="C753" s="44" t="s">
        <v>219</v>
      </c>
      <c r="D753" s="44" t="s">
        <v>247</v>
      </c>
      <c r="E753" s="44" t="s">
        <v>249</v>
      </c>
      <c r="F753" s="45" t="s">
        <v>19</v>
      </c>
      <c r="G753" s="46">
        <v>212</v>
      </c>
      <c r="H753" s="46">
        <v>41</v>
      </c>
      <c r="I753" s="46">
        <v>2</v>
      </c>
      <c r="J753" s="47">
        <v>83.794466403162104</v>
      </c>
      <c r="K753" s="47"/>
      <c r="L753" s="48">
        <v>173</v>
      </c>
      <c r="M753" s="48">
        <v>42</v>
      </c>
      <c r="N753" s="48">
        <v>0</v>
      </c>
      <c r="O753" s="47">
        <v>80.465116279069804</v>
      </c>
      <c r="P753" s="49"/>
    </row>
    <row r="754" spans="1:16" ht="15" hidden="1" customHeight="1">
      <c r="A754" s="37">
        <v>748</v>
      </c>
      <c r="B754" s="38" t="s">
        <v>22</v>
      </c>
      <c r="C754" s="57" t="s">
        <v>219</v>
      </c>
      <c r="D754" s="57" t="s">
        <v>250</v>
      </c>
      <c r="E754" s="57"/>
      <c r="F754" s="38" t="s">
        <v>250</v>
      </c>
      <c r="G754" s="39">
        <v>873</v>
      </c>
      <c r="H754" s="39">
        <v>115</v>
      </c>
      <c r="I754" s="39">
        <v>13</v>
      </c>
      <c r="J754" s="40">
        <v>88.360323886639705</v>
      </c>
      <c r="K754" s="40"/>
      <c r="L754" s="41">
        <v>605</v>
      </c>
      <c r="M754" s="41">
        <v>17</v>
      </c>
      <c r="N754" s="41">
        <v>4</v>
      </c>
      <c r="O754" s="40">
        <v>97.266881028938897</v>
      </c>
      <c r="P754" s="42"/>
    </row>
    <row r="755" spans="1:16" ht="15" hidden="1" customHeight="1">
      <c r="A755" s="43">
        <v>749</v>
      </c>
      <c r="B755" s="44" t="s">
        <v>22</v>
      </c>
      <c r="C755" s="44" t="s">
        <v>219</v>
      </c>
      <c r="D755" s="44" t="s">
        <v>250</v>
      </c>
      <c r="E755" s="44"/>
      <c r="F755" s="45" t="s">
        <v>18</v>
      </c>
      <c r="G755" s="46"/>
      <c r="H755" s="46"/>
      <c r="I755" s="46"/>
      <c r="J755" s="47"/>
      <c r="K755" s="47"/>
      <c r="L755" s="48"/>
      <c r="M755" s="48"/>
      <c r="N755" s="48"/>
      <c r="O755" s="47"/>
      <c r="P755" s="49"/>
    </row>
    <row r="756" spans="1:16" ht="15" hidden="1" customHeight="1">
      <c r="A756" s="43">
        <v>750</v>
      </c>
      <c r="B756" s="44" t="s">
        <v>22</v>
      </c>
      <c r="C756" s="44" t="s">
        <v>219</v>
      </c>
      <c r="D756" s="44" t="s">
        <v>250</v>
      </c>
      <c r="E756" s="44"/>
      <c r="F756" s="45" t="s">
        <v>19</v>
      </c>
      <c r="G756" s="46">
        <v>873</v>
      </c>
      <c r="H756" s="46">
        <v>115</v>
      </c>
      <c r="I756" s="46">
        <v>13</v>
      </c>
      <c r="J756" s="47">
        <v>88.360323886639705</v>
      </c>
      <c r="K756" s="47"/>
      <c r="L756" s="48">
        <v>605</v>
      </c>
      <c r="M756" s="48">
        <v>17</v>
      </c>
      <c r="N756" s="48">
        <v>4</v>
      </c>
      <c r="O756" s="47">
        <v>97.266881028938897</v>
      </c>
      <c r="P756" s="49"/>
    </row>
    <row r="757" spans="1:16" ht="15" customHeight="1">
      <c r="A757" s="50">
        <v>751</v>
      </c>
      <c r="B757" s="51" t="s">
        <v>24</v>
      </c>
      <c r="C757" s="58" t="s">
        <v>219</v>
      </c>
      <c r="D757" s="58" t="s">
        <v>250</v>
      </c>
      <c r="E757" s="58" t="s">
        <v>251</v>
      </c>
      <c r="F757" s="59" t="s">
        <v>251</v>
      </c>
      <c r="G757" s="52">
        <v>873</v>
      </c>
      <c r="H757" s="52">
        <v>115</v>
      </c>
      <c r="I757" s="52">
        <v>13</v>
      </c>
      <c r="J757" s="53">
        <v>88.360323886639705</v>
      </c>
      <c r="K757" s="53">
        <f>G757+H757+I757</f>
        <v>1001</v>
      </c>
      <c r="L757" s="54">
        <v>605</v>
      </c>
      <c r="M757" s="54">
        <v>17</v>
      </c>
      <c r="N757" s="54">
        <v>4</v>
      </c>
      <c r="O757" s="53">
        <v>97.266881028938897</v>
      </c>
      <c r="P757" s="55">
        <f>L757+M757+N757</f>
        <v>626</v>
      </c>
    </row>
    <row r="758" spans="1:16" ht="15" hidden="1" customHeight="1">
      <c r="A758" s="43">
        <v>752</v>
      </c>
      <c r="B758" s="44" t="s">
        <v>24</v>
      </c>
      <c r="C758" s="44" t="s">
        <v>219</v>
      </c>
      <c r="D758" s="44" t="s">
        <v>250</v>
      </c>
      <c r="E758" s="44" t="s">
        <v>251</v>
      </c>
      <c r="F758" s="45" t="s">
        <v>18</v>
      </c>
      <c r="G758" s="46"/>
      <c r="H758" s="46"/>
      <c r="I758" s="46"/>
      <c r="J758" s="47"/>
      <c r="K758" s="47"/>
      <c r="L758" s="48"/>
      <c r="M758" s="48"/>
      <c r="N758" s="48"/>
      <c r="O758" s="47"/>
      <c r="P758" s="49"/>
    </row>
    <row r="759" spans="1:16" ht="15" hidden="1" customHeight="1">
      <c r="A759" s="43">
        <v>753</v>
      </c>
      <c r="B759" s="44" t="s">
        <v>24</v>
      </c>
      <c r="C759" s="44" t="s">
        <v>219</v>
      </c>
      <c r="D759" s="44" t="s">
        <v>250</v>
      </c>
      <c r="E759" s="44" t="s">
        <v>251</v>
      </c>
      <c r="F759" s="45" t="s">
        <v>19</v>
      </c>
      <c r="G759" s="46">
        <v>873</v>
      </c>
      <c r="H759" s="46">
        <v>115</v>
      </c>
      <c r="I759" s="46">
        <v>13</v>
      </c>
      <c r="J759" s="47">
        <v>88.360323886639705</v>
      </c>
      <c r="K759" s="47"/>
      <c r="L759" s="48">
        <v>605</v>
      </c>
      <c r="M759" s="48">
        <v>17</v>
      </c>
      <c r="N759" s="48">
        <v>4</v>
      </c>
      <c r="O759" s="47">
        <v>97.266881028938897</v>
      </c>
      <c r="P759" s="49"/>
    </row>
    <row r="760" spans="1:16" ht="15" hidden="1" customHeight="1">
      <c r="A760" s="37">
        <v>754</v>
      </c>
      <c r="B760" s="38" t="s">
        <v>22</v>
      </c>
      <c r="C760" s="57" t="s">
        <v>219</v>
      </c>
      <c r="D760" s="57" t="s">
        <v>252</v>
      </c>
      <c r="E760" s="57"/>
      <c r="F760" s="38" t="s">
        <v>252</v>
      </c>
      <c r="G760" s="39">
        <v>503</v>
      </c>
      <c r="H760" s="39">
        <v>43</v>
      </c>
      <c r="I760" s="39">
        <v>9</v>
      </c>
      <c r="J760" s="40">
        <v>92.124542124542103</v>
      </c>
      <c r="K760" s="40"/>
      <c r="L760" s="41">
        <v>380</v>
      </c>
      <c r="M760" s="41">
        <v>8</v>
      </c>
      <c r="N760" s="41">
        <v>1</v>
      </c>
      <c r="O760" s="40">
        <v>97.9381443298969</v>
      </c>
      <c r="P760" s="42"/>
    </row>
    <row r="761" spans="1:16" ht="15" hidden="1" customHeight="1">
      <c r="A761" s="43">
        <v>755</v>
      </c>
      <c r="B761" s="44" t="s">
        <v>22</v>
      </c>
      <c r="C761" s="44" t="s">
        <v>219</v>
      </c>
      <c r="D761" s="44" t="s">
        <v>252</v>
      </c>
      <c r="E761" s="44"/>
      <c r="F761" s="45" t="s">
        <v>18</v>
      </c>
      <c r="G761" s="46">
        <v>281</v>
      </c>
      <c r="H761" s="46">
        <v>15</v>
      </c>
      <c r="I761" s="46">
        <v>2</v>
      </c>
      <c r="J761" s="47">
        <v>94.932432432432407</v>
      </c>
      <c r="K761" s="47"/>
      <c r="L761" s="48">
        <v>172</v>
      </c>
      <c r="M761" s="48">
        <v>3</v>
      </c>
      <c r="N761" s="48">
        <v>0</v>
      </c>
      <c r="O761" s="47">
        <v>98.285714285714306</v>
      </c>
      <c r="P761" s="49"/>
    </row>
    <row r="762" spans="1:16" ht="15" hidden="1" customHeight="1">
      <c r="A762" s="43">
        <v>756</v>
      </c>
      <c r="B762" s="44" t="s">
        <v>22</v>
      </c>
      <c r="C762" s="44" t="s">
        <v>219</v>
      </c>
      <c r="D762" s="44" t="s">
        <v>252</v>
      </c>
      <c r="E762" s="44"/>
      <c r="F762" s="45" t="s">
        <v>19</v>
      </c>
      <c r="G762" s="46">
        <v>222</v>
      </c>
      <c r="H762" s="46">
        <v>28</v>
      </c>
      <c r="I762" s="46">
        <v>7</v>
      </c>
      <c r="J762" s="47">
        <v>88.8</v>
      </c>
      <c r="K762" s="47"/>
      <c r="L762" s="48">
        <v>208</v>
      </c>
      <c r="M762" s="48">
        <v>5</v>
      </c>
      <c r="N762" s="48">
        <v>1</v>
      </c>
      <c r="O762" s="47">
        <v>97.652582159624401</v>
      </c>
      <c r="P762" s="49"/>
    </row>
    <row r="763" spans="1:16" ht="15" customHeight="1">
      <c r="A763" s="50">
        <v>757</v>
      </c>
      <c r="B763" s="51" t="s">
        <v>24</v>
      </c>
      <c r="C763" s="58" t="s">
        <v>219</v>
      </c>
      <c r="D763" s="58" t="s">
        <v>252</v>
      </c>
      <c r="E763" s="58" t="s">
        <v>253</v>
      </c>
      <c r="F763" s="59" t="s">
        <v>253</v>
      </c>
      <c r="G763" s="52">
        <v>503</v>
      </c>
      <c r="H763" s="52">
        <v>43</v>
      </c>
      <c r="I763" s="52">
        <v>9</v>
      </c>
      <c r="J763" s="53">
        <v>92.124542124542103</v>
      </c>
      <c r="K763" s="53">
        <f>G763+H763+I763</f>
        <v>555</v>
      </c>
      <c r="L763" s="54">
        <v>380</v>
      </c>
      <c r="M763" s="54">
        <v>8</v>
      </c>
      <c r="N763" s="54">
        <v>1</v>
      </c>
      <c r="O763" s="53">
        <v>97.9381443298969</v>
      </c>
      <c r="P763" s="55">
        <f>L763+M763+N763</f>
        <v>389</v>
      </c>
    </row>
    <row r="764" spans="1:16" ht="15" hidden="1" customHeight="1">
      <c r="A764" s="43">
        <v>758</v>
      </c>
      <c r="B764" s="44" t="s">
        <v>24</v>
      </c>
      <c r="C764" s="44" t="s">
        <v>219</v>
      </c>
      <c r="D764" s="44" t="s">
        <v>252</v>
      </c>
      <c r="E764" s="44" t="s">
        <v>253</v>
      </c>
      <c r="F764" s="45" t="s">
        <v>18</v>
      </c>
      <c r="G764" s="46">
        <v>281</v>
      </c>
      <c r="H764" s="46">
        <v>15</v>
      </c>
      <c r="I764" s="46">
        <v>2</v>
      </c>
      <c r="J764" s="47">
        <v>94.932432432432407</v>
      </c>
      <c r="K764" s="47"/>
      <c r="L764" s="48">
        <v>172</v>
      </c>
      <c r="M764" s="48">
        <v>3</v>
      </c>
      <c r="N764" s="48">
        <v>0</v>
      </c>
      <c r="O764" s="47">
        <v>98.285714285714306</v>
      </c>
      <c r="P764" s="49"/>
    </row>
    <row r="765" spans="1:16" ht="15" hidden="1" customHeight="1">
      <c r="A765" s="43">
        <v>759</v>
      </c>
      <c r="B765" s="44" t="s">
        <v>24</v>
      </c>
      <c r="C765" s="44" t="s">
        <v>219</v>
      </c>
      <c r="D765" s="44" t="s">
        <v>252</v>
      </c>
      <c r="E765" s="44" t="s">
        <v>253</v>
      </c>
      <c r="F765" s="45" t="s">
        <v>19</v>
      </c>
      <c r="G765" s="46">
        <v>222</v>
      </c>
      <c r="H765" s="46">
        <v>28</v>
      </c>
      <c r="I765" s="46">
        <v>7</v>
      </c>
      <c r="J765" s="47">
        <v>88.8</v>
      </c>
      <c r="K765" s="47"/>
      <c r="L765" s="48">
        <v>208</v>
      </c>
      <c r="M765" s="48">
        <v>5</v>
      </c>
      <c r="N765" s="48">
        <v>1</v>
      </c>
      <c r="O765" s="47">
        <v>97.652582159624401</v>
      </c>
      <c r="P765" s="49"/>
    </row>
    <row r="766" spans="1:16" ht="15" hidden="1" customHeight="1">
      <c r="A766" s="37">
        <v>760</v>
      </c>
      <c r="B766" s="38" t="s">
        <v>22</v>
      </c>
      <c r="C766" s="57" t="s">
        <v>219</v>
      </c>
      <c r="D766" s="57" t="s">
        <v>254</v>
      </c>
      <c r="E766" s="57"/>
      <c r="F766" s="38" t="s">
        <v>254</v>
      </c>
      <c r="G766" s="39">
        <v>630</v>
      </c>
      <c r="H766" s="39">
        <v>51</v>
      </c>
      <c r="I766" s="39">
        <v>11</v>
      </c>
      <c r="J766" s="40">
        <v>92.511013215858995</v>
      </c>
      <c r="K766" s="40"/>
      <c r="L766" s="41">
        <v>543</v>
      </c>
      <c r="M766" s="41">
        <v>6</v>
      </c>
      <c r="N766" s="41">
        <v>5</v>
      </c>
      <c r="O766" s="40">
        <v>98.907103825136602</v>
      </c>
      <c r="P766" s="42"/>
    </row>
    <row r="767" spans="1:16" ht="15" hidden="1" customHeight="1">
      <c r="A767" s="43">
        <v>761</v>
      </c>
      <c r="B767" s="44" t="s">
        <v>22</v>
      </c>
      <c r="C767" s="44" t="s">
        <v>219</v>
      </c>
      <c r="D767" s="44" t="s">
        <v>254</v>
      </c>
      <c r="E767" s="44"/>
      <c r="F767" s="45" t="s">
        <v>18</v>
      </c>
      <c r="G767" s="46"/>
      <c r="H767" s="46"/>
      <c r="I767" s="46"/>
      <c r="J767" s="47"/>
      <c r="K767" s="47"/>
      <c r="L767" s="48"/>
      <c r="M767" s="48"/>
      <c r="N767" s="48"/>
      <c r="O767" s="47"/>
      <c r="P767" s="49"/>
    </row>
    <row r="768" spans="1:16" ht="15" hidden="1" customHeight="1">
      <c r="A768" s="43">
        <v>762</v>
      </c>
      <c r="B768" s="44" t="s">
        <v>22</v>
      </c>
      <c r="C768" s="44" t="s">
        <v>219</v>
      </c>
      <c r="D768" s="44" t="s">
        <v>254</v>
      </c>
      <c r="E768" s="44"/>
      <c r="F768" s="45" t="s">
        <v>19</v>
      </c>
      <c r="G768" s="46">
        <v>630</v>
      </c>
      <c r="H768" s="46">
        <v>51</v>
      </c>
      <c r="I768" s="46">
        <v>11</v>
      </c>
      <c r="J768" s="47">
        <v>92.511013215858995</v>
      </c>
      <c r="K768" s="47"/>
      <c r="L768" s="48">
        <v>543</v>
      </c>
      <c r="M768" s="48">
        <v>6</v>
      </c>
      <c r="N768" s="48">
        <v>5</v>
      </c>
      <c r="O768" s="47">
        <v>98.907103825136602</v>
      </c>
      <c r="P768" s="49"/>
    </row>
    <row r="769" spans="1:16" ht="15" customHeight="1">
      <c r="A769" s="50">
        <v>763</v>
      </c>
      <c r="B769" s="51" t="s">
        <v>24</v>
      </c>
      <c r="C769" s="58" t="s">
        <v>219</v>
      </c>
      <c r="D769" s="58" t="s">
        <v>254</v>
      </c>
      <c r="E769" s="58" t="s">
        <v>255</v>
      </c>
      <c r="F769" s="59" t="s">
        <v>255</v>
      </c>
      <c r="G769" s="52">
        <v>429</v>
      </c>
      <c r="H769" s="52">
        <v>35</v>
      </c>
      <c r="I769" s="52">
        <v>6</v>
      </c>
      <c r="J769" s="53">
        <v>92.4568965517241</v>
      </c>
      <c r="K769" s="53">
        <f>G769+H769+I769</f>
        <v>470</v>
      </c>
      <c r="L769" s="54">
        <v>351</v>
      </c>
      <c r="M769" s="54">
        <v>4</v>
      </c>
      <c r="N769" s="54">
        <v>5</v>
      </c>
      <c r="O769" s="53">
        <v>98.873239436619698</v>
      </c>
      <c r="P769" s="55">
        <f>L769+M769+N769</f>
        <v>360</v>
      </c>
    </row>
    <row r="770" spans="1:16" ht="15" hidden="1" customHeight="1">
      <c r="A770" s="43">
        <v>764</v>
      </c>
      <c r="B770" s="44" t="s">
        <v>24</v>
      </c>
      <c r="C770" s="44" t="s">
        <v>219</v>
      </c>
      <c r="D770" s="44" t="s">
        <v>254</v>
      </c>
      <c r="E770" s="44" t="s">
        <v>255</v>
      </c>
      <c r="F770" s="45" t="s">
        <v>18</v>
      </c>
      <c r="G770" s="46"/>
      <c r="H770" s="46"/>
      <c r="I770" s="46"/>
      <c r="J770" s="47"/>
      <c r="K770" s="47"/>
      <c r="L770" s="48"/>
      <c r="M770" s="48"/>
      <c r="N770" s="48"/>
      <c r="O770" s="47"/>
      <c r="P770" s="49"/>
    </row>
    <row r="771" spans="1:16" ht="15" hidden="1" customHeight="1">
      <c r="A771" s="43">
        <v>765</v>
      </c>
      <c r="B771" s="44" t="s">
        <v>24</v>
      </c>
      <c r="C771" s="44" t="s">
        <v>219</v>
      </c>
      <c r="D771" s="44" t="s">
        <v>254</v>
      </c>
      <c r="E771" s="44" t="s">
        <v>255</v>
      </c>
      <c r="F771" s="45" t="s">
        <v>19</v>
      </c>
      <c r="G771" s="46">
        <v>429</v>
      </c>
      <c r="H771" s="46">
        <v>35</v>
      </c>
      <c r="I771" s="46">
        <v>6</v>
      </c>
      <c r="J771" s="47">
        <v>92.4568965517241</v>
      </c>
      <c r="K771" s="47"/>
      <c r="L771" s="48">
        <v>351</v>
      </c>
      <c r="M771" s="48">
        <v>4</v>
      </c>
      <c r="N771" s="48">
        <v>5</v>
      </c>
      <c r="O771" s="47">
        <v>98.873239436619698</v>
      </c>
      <c r="P771" s="49"/>
    </row>
    <row r="772" spans="1:16" ht="15" customHeight="1">
      <c r="A772" s="50">
        <v>766</v>
      </c>
      <c r="B772" s="51" t="s">
        <v>24</v>
      </c>
      <c r="C772" s="58" t="s">
        <v>219</v>
      </c>
      <c r="D772" s="58" t="s">
        <v>254</v>
      </c>
      <c r="E772" s="58" t="s">
        <v>256</v>
      </c>
      <c r="F772" s="59" t="s">
        <v>256</v>
      </c>
      <c r="G772" s="52">
        <v>201</v>
      </c>
      <c r="H772" s="52">
        <v>16</v>
      </c>
      <c r="I772" s="52">
        <v>5</v>
      </c>
      <c r="J772" s="53">
        <v>92.626728110599103</v>
      </c>
      <c r="K772" s="53">
        <f>G772+H772+I772</f>
        <v>222</v>
      </c>
      <c r="L772" s="54">
        <v>192</v>
      </c>
      <c r="M772" s="54">
        <v>2</v>
      </c>
      <c r="N772" s="54">
        <v>0</v>
      </c>
      <c r="O772" s="53">
        <v>98.9690721649485</v>
      </c>
      <c r="P772" s="55">
        <f>L772+M772+N772</f>
        <v>194</v>
      </c>
    </row>
    <row r="773" spans="1:16" ht="15" hidden="1" customHeight="1">
      <c r="A773" s="43">
        <v>767</v>
      </c>
      <c r="B773" s="44" t="s">
        <v>24</v>
      </c>
      <c r="C773" s="44" t="s">
        <v>219</v>
      </c>
      <c r="D773" s="44" t="s">
        <v>254</v>
      </c>
      <c r="E773" s="44" t="s">
        <v>256</v>
      </c>
      <c r="F773" s="45" t="s">
        <v>18</v>
      </c>
      <c r="G773" s="46"/>
      <c r="H773" s="46"/>
      <c r="I773" s="46"/>
      <c r="J773" s="47"/>
      <c r="K773" s="47"/>
      <c r="L773" s="48"/>
      <c r="M773" s="48"/>
      <c r="N773" s="48"/>
      <c r="O773" s="47"/>
      <c r="P773" s="49"/>
    </row>
    <row r="774" spans="1:16" ht="15" hidden="1" customHeight="1">
      <c r="A774" s="43">
        <v>768</v>
      </c>
      <c r="B774" s="44" t="s">
        <v>24</v>
      </c>
      <c r="C774" s="44" t="s">
        <v>219</v>
      </c>
      <c r="D774" s="44" t="s">
        <v>254</v>
      </c>
      <c r="E774" s="44" t="s">
        <v>256</v>
      </c>
      <c r="F774" s="45" t="s">
        <v>19</v>
      </c>
      <c r="G774" s="46">
        <v>201</v>
      </c>
      <c r="H774" s="46">
        <v>16</v>
      </c>
      <c r="I774" s="46">
        <v>5</v>
      </c>
      <c r="J774" s="47">
        <v>92.626728110599103</v>
      </c>
      <c r="K774" s="47"/>
      <c r="L774" s="48">
        <v>192</v>
      </c>
      <c r="M774" s="48">
        <v>2</v>
      </c>
      <c r="N774" s="48">
        <v>0</v>
      </c>
      <c r="O774" s="47">
        <v>98.9690721649485</v>
      </c>
      <c r="P774" s="49"/>
    </row>
    <row r="775" spans="1:16" ht="15" hidden="1" customHeight="1">
      <c r="A775" s="37">
        <v>769</v>
      </c>
      <c r="B775" s="38" t="s">
        <v>22</v>
      </c>
      <c r="C775" s="57" t="s">
        <v>219</v>
      </c>
      <c r="D775" s="57" t="s">
        <v>257</v>
      </c>
      <c r="E775" s="57"/>
      <c r="F775" s="38" t="s">
        <v>257</v>
      </c>
      <c r="G775" s="39">
        <v>540</v>
      </c>
      <c r="H775" s="39">
        <v>45</v>
      </c>
      <c r="I775" s="39">
        <v>5</v>
      </c>
      <c r="J775" s="40">
        <v>92.307692307692307</v>
      </c>
      <c r="K775" s="40"/>
      <c r="L775" s="41">
        <v>399</v>
      </c>
      <c r="M775" s="41">
        <v>19</v>
      </c>
      <c r="N775" s="41">
        <v>8</v>
      </c>
      <c r="O775" s="40">
        <v>95.454545454545496</v>
      </c>
      <c r="P775" s="42"/>
    </row>
    <row r="776" spans="1:16" ht="15" hidden="1" customHeight="1">
      <c r="A776" s="43">
        <v>770</v>
      </c>
      <c r="B776" s="44" t="s">
        <v>22</v>
      </c>
      <c r="C776" s="44" t="s">
        <v>219</v>
      </c>
      <c r="D776" s="44" t="s">
        <v>257</v>
      </c>
      <c r="E776" s="44"/>
      <c r="F776" s="45" t="s">
        <v>18</v>
      </c>
      <c r="G776" s="46"/>
      <c r="H776" s="46"/>
      <c r="I776" s="46"/>
      <c r="J776" s="47"/>
      <c r="K776" s="47"/>
      <c r="L776" s="48"/>
      <c r="M776" s="48"/>
      <c r="N776" s="48"/>
      <c r="O776" s="47"/>
      <c r="P776" s="49"/>
    </row>
    <row r="777" spans="1:16" ht="15" hidden="1" customHeight="1">
      <c r="A777" s="43">
        <v>771</v>
      </c>
      <c r="B777" s="44" t="s">
        <v>22</v>
      </c>
      <c r="C777" s="44" t="s">
        <v>219</v>
      </c>
      <c r="D777" s="44" t="s">
        <v>257</v>
      </c>
      <c r="E777" s="44"/>
      <c r="F777" s="45" t="s">
        <v>19</v>
      </c>
      <c r="G777" s="46">
        <v>540</v>
      </c>
      <c r="H777" s="46">
        <v>45</v>
      </c>
      <c r="I777" s="46">
        <v>5</v>
      </c>
      <c r="J777" s="47">
        <v>92.307692307692307</v>
      </c>
      <c r="K777" s="47"/>
      <c r="L777" s="48">
        <v>399</v>
      </c>
      <c r="M777" s="48">
        <v>19</v>
      </c>
      <c r="N777" s="48">
        <v>8</v>
      </c>
      <c r="O777" s="47">
        <v>95.454545454545496</v>
      </c>
      <c r="P777" s="49"/>
    </row>
    <row r="778" spans="1:16" ht="15" customHeight="1">
      <c r="A778" s="50">
        <v>772</v>
      </c>
      <c r="B778" s="51" t="s">
        <v>24</v>
      </c>
      <c r="C778" s="58" t="s">
        <v>219</v>
      </c>
      <c r="D778" s="58" t="s">
        <v>257</v>
      </c>
      <c r="E778" s="58" t="s">
        <v>201</v>
      </c>
      <c r="F778" s="59" t="s">
        <v>201</v>
      </c>
      <c r="G778" s="52">
        <v>540</v>
      </c>
      <c r="H778" s="52">
        <v>45</v>
      </c>
      <c r="I778" s="52">
        <v>5</v>
      </c>
      <c r="J778" s="53">
        <v>92.307692307692307</v>
      </c>
      <c r="K778" s="53">
        <f>G778+H778+I778</f>
        <v>590</v>
      </c>
      <c r="L778" s="54">
        <v>399</v>
      </c>
      <c r="M778" s="54">
        <v>19</v>
      </c>
      <c r="N778" s="54">
        <v>8</v>
      </c>
      <c r="O778" s="53">
        <v>95.454545454545496</v>
      </c>
      <c r="P778" s="55">
        <f>L778+M778+N778</f>
        <v>426</v>
      </c>
    </row>
    <row r="779" spans="1:16" ht="15" hidden="1" customHeight="1">
      <c r="A779" s="43">
        <v>773</v>
      </c>
      <c r="B779" s="44" t="s">
        <v>24</v>
      </c>
      <c r="C779" s="44" t="s">
        <v>219</v>
      </c>
      <c r="D779" s="44" t="s">
        <v>257</v>
      </c>
      <c r="E779" s="44" t="s">
        <v>201</v>
      </c>
      <c r="F779" s="45" t="s">
        <v>18</v>
      </c>
      <c r="G779" s="46"/>
      <c r="H779" s="46"/>
      <c r="I779" s="46"/>
      <c r="J779" s="47"/>
      <c r="K779" s="47"/>
      <c r="L779" s="48"/>
      <c r="M779" s="48"/>
      <c r="N779" s="48"/>
      <c r="O779" s="47"/>
      <c r="P779" s="49"/>
    </row>
    <row r="780" spans="1:16" ht="15" hidden="1" customHeight="1">
      <c r="A780" s="43">
        <v>774</v>
      </c>
      <c r="B780" s="44" t="s">
        <v>24</v>
      </c>
      <c r="C780" s="44" t="s">
        <v>219</v>
      </c>
      <c r="D780" s="44" t="s">
        <v>257</v>
      </c>
      <c r="E780" s="44" t="s">
        <v>201</v>
      </c>
      <c r="F780" s="45" t="s">
        <v>19</v>
      </c>
      <c r="G780" s="46">
        <v>540</v>
      </c>
      <c r="H780" s="46">
        <v>45</v>
      </c>
      <c r="I780" s="46">
        <v>5</v>
      </c>
      <c r="J780" s="47">
        <v>92.307692307692307</v>
      </c>
      <c r="K780" s="47"/>
      <c r="L780" s="48">
        <v>399</v>
      </c>
      <c r="M780" s="48">
        <v>19</v>
      </c>
      <c r="N780" s="48">
        <v>8</v>
      </c>
      <c r="O780" s="47">
        <v>95.454545454545496</v>
      </c>
      <c r="P780" s="49"/>
    </row>
    <row r="781" spans="1:16" ht="15" hidden="1" customHeight="1">
      <c r="A781" s="37">
        <v>775</v>
      </c>
      <c r="B781" s="38" t="s">
        <v>22</v>
      </c>
      <c r="C781" s="57" t="s">
        <v>219</v>
      </c>
      <c r="D781" s="57" t="s">
        <v>258</v>
      </c>
      <c r="E781" s="57"/>
      <c r="F781" s="38" t="s">
        <v>258</v>
      </c>
      <c r="G781" s="39">
        <v>1253</v>
      </c>
      <c r="H781" s="39">
        <v>125</v>
      </c>
      <c r="I781" s="39">
        <v>12</v>
      </c>
      <c r="J781" s="40">
        <v>90.928882438316407</v>
      </c>
      <c r="K781" s="40"/>
      <c r="L781" s="41">
        <v>994</v>
      </c>
      <c r="M781" s="41">
        <v>46</v>
      </c>
      <c r="N781" s="41">
        <v>12</v>
      </c>
      <c r="O781" s="40">
        <v>95.576923076923094</v>
      </c>
      <c r="P781" s="42"/>
    </row>
    <row r="782" spans="1:16" ht="15" hidden="1" customHeight="1">
      <c r="A782" s="43">
        <v>776</v>
      </c>
      <c r="B782" s="44" t="s">
        <v>22</v>
      </c>
      <c r="C782" s="44" t="s">
        <v>219</v>
      </c>
      <c r="D782" s="44" t="s">
        <v>258</v>
      </c>
      <c r="E782" s="44"/>
      <c r="F782" s="45" t="s">
        <v>18</v>
      </c>
      <c r="G782" s="46">
        <v>446</v>
      </c>
      <c r="H782" s="46">
        <v>21</v>
      </c>
      <c r="I782" s="46">
        <v>5</v>
      </c>
      <c r="J782" s="47">
        <v>95.503211991434696</v>
      </c>
      <c r="K782" s="47"/>
      <c r="L782" s="48">
        <v>455</v>
      </c>
      <c r="M782" s="48">
        <v>26</v>
      </c>
      <c r="N782" s="48">
        <v>2</v>
      </c>
      <c r="O782" s="47">
        <v>94.594594594594597</v>
      </c>
      <c r="P782" s="49"/>
    </row>
    <row r="783" spans="1:16" ht="15" hidden="1" customHeight="1">
      <c r="A783" s="43">
        <v>777</v>
      </c>
      <c r="B783" s="44" t="s">
        <v>22</v>
      </c>
      <c r="C783" s="44" t="s">
        <v>219</v>
      </c>
      <c r="D783" s="44" t="s">
        <v>258</v>
      </c>
      <c r="E783" s="44"/>
      <c r="F783" s="45" t="s">
        <v>19</v>
      </c>
      <c r="G783" s="46">
        <v>807</v>
      </c>
      <c r="H783" s="46">
        <v>104</v>
      </c>
      <c r="I783" s="46">
        <v>7</v>
      </c>
      <c r="J783" s="47">
        <v>88.583973655323803</v>
      </c>
      <c r="K783" s="47"/>
      <c r="L783" s="48">
        <v>539</v>
      </c>
      <c r="M783" s="48">
        <v>20</v>
      </c>
      <c r="N783" s="48">
        <v>10</v>
      </c>
      <c r="O783" s="47">
        <v>96.422182468694103</v>
      </c>
      <c r="P783" s="49"/>
    </row>
    <row r="784" spans="1:16" ht="15" customHeight="1">
      <c r="A784" s="50">
        <v>778</v>
      </c>
      <c r="B784" s="51" t="s">
        <v>24</v>
      </c>
      <c r="C784" s="58" t="s">
        <v>219</v>
      </c>
      <c r="D784" s="58" t="s">
        <v>258</v>
      </c>
      <c r="E784" s="58" t="s">
        <v>259</v>
      </c>
      <c r="F784" s="59" t="s">
        <v>259</v>
      </c>
      <c r="G784" s="52">
        <v>1253</v>
      </c>
      <c r="H784" s="52">
        <v>125</v>
      </c>
      <c r="I784" s="52">
        <v>12</v>
      </c>
      <c r="J784" s="53">
        <v>90.928882438316407</v>
      </c>
      <c r="K784" s="53">
        <f>G784+H784+I784</f>
        <v>1390</v>
      </c>
      <c r="L784" s="54">
        <v>994</v>
      </c>
      <c r="M784" s="54">
        <v>46</v>
      </c>
      <c r="N784" s="54">
        <v>12</v>
      </c>
      <c r="O784" s="53">
        <v>95.576923076923094</v>
      </c>
      <c r="P784" s="55">
        <f>L784+M784+N784</f>
        <v>1052</v>
      </c>
    </row>
    <row r="785" spans="1:16" ht="15" hidden="1" customHeight="1">
      <c r="A785" s="43">
        <v>779</v>
      </c>
      <c r="B785" s="44" t="s">
        <v>24</v>
      </c>
      <c r="C785" s="44" t="s">
        <v>219</v>
      </c>
      <c r="D785" s="44" t="s">
        <v>258</v>
      </c>
      <c r="E785" s="44" t="s">
        <v>259</v>
      </c>
      <c r="F785" s="45" t="s">
        <v>18</v>
      </c>
      <c r="G785" s="46">
        <v>446</v>
      </c>
      <c r="H785" s="46">
        <v>21</v>
      </c>
      <c r="I785" s="46">
        <v>5</v>
      </c>
      <c r="J785" s="47">
        <v>95.503211991434696</v>
      </c>
      <c r="K785" s="47"/>
      <c r="L785" s="48">
        <v>455</v>
      </c>
      <c r="M785" s="48">
        <v>26</v>
      </c>
      <c r="N785" s="48">
        <v>2</v>
      </c>
      <c r="O785" s="47">
        <v>94.594594594594597</v>
      </c>
      <c r="P785" s="49"/>
    </row>
    <row r="786" spans="1:16" ht="15" hidden="1" customHeight="1">
      <c r="A786" s="43">
        <v>780</v>
      </c>
      <c r="B786" s="44" t="s">
        <v>24</v>
      </c>
      <c r="C786" s="44" t="s">
        <v>219</v>
      </c>
      <c r="D786" s="44" t="s">
        <v>258</v>
      </c>
      <c r="E786" s="44" t="s">
        <v>259</v>
      </c>
      <c r="F786" s="45" t="s">
        <v>19</v>
      </c>
      <c r="G786" s="46">
        <v>807</v>
      </c>
      <c r="H786" s="46">
        <v>104</v>
      </c>
      <c r="I786" s="46">
        <v>7</v>
      </c>
      <c r="J786" s="47">
        <v>88.583973655323803</v>
      </c>
      <c r="K786" s="47"/>
      <c r="L786" s="48">
        <v>539</v>
      </c>
      <c r="M786" s="48">
        <v>20</v>
      </c>
      <c r="N786" s="48">
        <v>10</v>
      </c>
      <c r="O786" s="47">
        <v>96.422182468694103</v>
      </c>
      <c r="P786" s="49"/>
    </row>
    <row r="787" spans="1:16" ht="15" hidden="1" customHeight="1">
      <c r="A787" s="37">
        <v>781</v>
      </c>
      <c r="B787" s="38" t="s">
        <v>22</v>
      </c>
      <c r="C787" s="57" t="s">
        <v>219</v>
      </c>
      <c r="D787" s="57" t="s">
        <v>260</v>
      </c>
      <c r="E787" s="57"/>
      <c r="F787" s="38" t="s">
        <v>260</v>
      </c>
      <c r="G787" s="39">
        <v>218</v>
      </c>
      <c r="H787" s="39">
        <v>53</v>
      </c>
      <c r="I787" s="39">
        <v>1</v>
      </c>
      <c r="J787" s="40">
        <v>80.442804428044298</v>
      </c>
      <c r="K787" s="40"/>
      <c r="L787" s="41">
        <v>250</v>
      </c>
      <c r="M787" s="41">
        <v>44</v>
      </c>
      <c r="N787" s="41">
        <v>2</v>
      </c>
      <c r="O787" s="40">
        <v>85.034013605442198</v>
      </c>
      <c r="P787" s="42"/>
    </row>
    <row r="788" spans="1:16" ht="15" hidden="1" customHeight="1">
      <c r="A788" s="43">
        <v>782</v>
      </c>
      <c r="B788" s="44" t="s">
        <v>22</v>
      </c>
      <c r="C788" s="44" t="s">
        <v>219</v>
      </c>
      <c r="D788" s="44" t="s">
        <v>260</v>
      </c>
      <c r="E788" s="44"/>
      <c r="F788" s="45" t="s">
        <v>18</v>
      </c>
      <c r="G788" s="46"/>
      <c r="H788" s="46"/>
      <c r="I788" s="46"/>
      <c r="J788" s="47"/>
      <c r="K788" s="47"/>
      <c r="L788" s="48"/>
      <c r="M788" s="48"/>
      <c r="N788" s="48"/>
      <c r="O788" s="47"/>
      <c r="P788" s="49"/>
    </row>
    <row r="789" spans="1:16" ht="15" hidden="1" customHeight="1">
      <c r="A789" s="43">
        <v>783</v>
      </c>
      <c r="B789" s="44" t="s">
        <v>22</v>
      </c>
      <c r="C789" s="44" t="s">
        <v>219</v>
      </c>
      <c r="D789" s="44" t="s">
        <v>260</v>
      </c>
      <c r="E789" s="44"/>
      <c r="F789" s="45" t="s">
        <v>19</v>
      </c>
      <c r="G789" s="46">
        <v>218</v>
      </c>
      <c r="H789" s="46">
        <v>53</v>
      </c>
      <c r="I789" s="46">
        <v>1</v>
      </c>
      <c r="J789" s="47">
        <v>80.442804428044298</v>
      </c>
      <c r="K789" s="47"/>
      <c r="L789" s="48">
        <v>250</v>
      </c>
      <c r="M789" s="48">
        <v>44</v>
      </c>
      <c r="N789" s="48">
        <v>2</v>
      </c>
      <c r="O789" s="47">
        <v>85.034013605442198</v>
      </c>
      <c r="P789" s="49"/>
    </row>
    <row r="790" spans="1:16" ht="15" customHeight="1">
      <c r="A790" s="50">
        <v>784</v>
      </c>
      <c r="B790" s="51" t="s">
        <v>24</v>
      </c>
      <c r="C790" s="58" t="s">
        <v>219</v>
      </c>
      <c r="D790" s="58" t="s">
        <v>260</v>
      </c>
      <c r="E790" s="58" t="s">
        <v>261</v>
      </c>
      <c r="F790" s="59" t="s">
        <v>261</v>
      </c>
      <c r="G790" s="52">
        <v>58</v>
      </c>
      <c r="H790" s="52">
        <v>12</v>
      </c>
      <c r="I790" s="52">
        <v>0</v>
      </c>
      <c r="J790" s="53">
        <v>82.857142857142904</v>
      </c>
      <c r="K790" s="53">
        <f>G790+H790+I790</f>
        <v>70</v>
      </c>
      <c r="L790" s="54">
        <v>78</v>
      </c>
      <c r="M790" s="54">
        <v>26</v>
      </c>
      <c r="N790" s="54">
        <v>0</v>
      </c>
      <c r="O790" s="53">
        <v>75</v>
      </c>
      <c r="P790" s="55">
        <f>L790+M790+N790</f>
        <v>104</v>
      </c>
    </row>
    <row r="791" spans="1:16" ht="15" hidden="1" customHeight="1">
      <c r="A791" s="43">
        <v>785</v>
      </c>
      <c r="B791" s="44" t="s">
        <v>24</v>
      </c>
      <c r="C791" s="44" t="s">
        <v>219</v>
      </c>
      <c r="D791" s="44" t="s">
        <v>260</v>
      </c>
      <c r="E791" s="44" t="s">
        <v>261</v>
      </c>
      <c r="F791" s="45" t="s">
        <v>18</v>
      </c>
      <c r="G791" s="46"/>
      <c r="H791" s="46"/>
      <c r="I791" s="46"/>
      <c r="J791" s="47"/>
      <c r="K791" s="47"/>
      <c r="L791" s="48"/>
      <c r="M791" s="48"/>
      <c r="N791" s="48"/>
      <c r="O791" s="47"/>
      <c r="P791" s="49"/>
    </row>
    <row r="792" spans="1:16" ht="15" hidden="1" customHeight="1">
      <c r="A792" s="43">
        <v>786</v>
      </c>
      <c r="B792" s="44" t="s">
        <v>24</v>
      </c>
      <c r="C792" s="44" t="s">
        <v>219</v>
      </c>
      <c r="D792" s="44" t="s">
        <v>260</v>
      </c>
      <c r="E792" s="44" t="s">
        <v>261</v>
      </c>
      <c r="F792" s="45" t="s">
        <v>19</v>
      </c>
      <c r="G792" s="46">
        <v>58</v>
      </c>
      <c r="H792" s="46">
        <v>12</v>
      </c>
      <c r="I792" s="46">
        <v>0</v>
      </c>
      <c r="J792" s="47">
        <v>82.857142857142904</v>
      </c>
      <c r="K792" s="47"/>
      <c r="L792" s="48">
        <v>78</v>
      </c>
      <c r="M792" s="48">
        <v>26</v>
      </c>
      <c r="N792" s="48">
        <v>0</v>
      </c>
      <c r="O792" s="47">
        <v>75</v>
      </c>
      <c r="P792" s="49"/>
    </row>
    <row r="793" spans="1:16" ht="15" customHeight="1">
      <c r="A793" s="50">
        <v>787</v>
      </c>
      <c r="B793" s="51" t="s">
        <v>24</v>
      </c>
      <c r="C793" s="58" t="s">
        <v>219</v>
      </c>
      <c r="D793" s="58" t="s">
        <v>260</v>
      </c>
      <c r="E793" s="58" t="s">
        <v>262</v>
      </c>
      <c r="F793" s="59" t="s">
        <v>262</v>
      </c>
      <c r="G793" s="52">
        <v>70</v>
      </c>
      <c r="H793" s="52">
        <v>18</v>
      </c>
      <c r="I793" s="52">
        <v>0</v>
      </c>
      <c r="J793" s="53">
        <v>79.545454545454504</v>
      </c>
      <c r="K793" s="53">
        <f>G793+H793+I793</f>
        <v>88</v>
      </c>
      <c r="L793" s="54">
        <v>96</v>
      </c>
      <c r="M793" s="54">
        <v>6</v>
      </c>
      <c r="N793" s="54">
        <v>1</v>
      </c>
      <c r="O793" s="53">
        <v>94.117647058823493</v>
      </c>
      <c r="P793" s="55">
        <f>L793+M793+N793</f>
        <v>103</v>
      </c>
    </row>
    <row r="794" spans="1:16" ht="15" hidden="1" customHeight="1">
      <c r="A794" s="43">
        <v>788</v>
      </c>
      <c r="B794" s="44" t="s">
        <v>24</v>
      </c>
      <c r="C794" s="44" t="s">
        <v>219</v>
      </c>
      <c r="D794" s="44" t="s">
        <v>260</v>
      </c>
      <c r="E794" s="44" t="s">
        <v>262</v>
      </c>
      <c r="F794" s="45" t="s">
        <v>18</v>
      </c>
      <c r="G794" s="46"/>
      <c r="H794" s="46"/>
      <c r="I794" s="46"/>
      <c r="J794" s="47"/>
      <c r="K794" s="47"/>
      <c r="L794" s="48"/>
      <c r="M794" s="48"/>
      <c r="N794" s="48"/>
      <c r="O794" s="47"/>
      <c r="P794" s="49"/>
    </row>
    <row r="795" spans="1:16" ht="15" hidden="1" customHeight="1">
      <c r="A795" s="43">
        <v>789</v>
      </c>
      <c r="B795" s="44" t="s">
        <v>24</v>
      </c>
      <c r="C795" s="44" t="s">
        <v>219</v>
      </c>
      <c r="D795" s="44" t="s">
        <v>260</v>
      </c>
      <c r="E795" s="44" t="s">
        <v>262</v>
      </c>
      <c r="F795" s="45" t="s">
        <v>19</v>
      </c>
      <c r="G795" s="46">
        <v>70</v>
      </c>
      <c r="H795" s="46">
        <v>18</v>
      </c>
      <c r="I795" s="46">
        <v>0</v>
      </c>
      <c r="J795" s="47">
        <v>79.545454545454504</v>
      </c>
      <c r="K795" s="47"/>
      <c r="L795" s="48">
        <v>96</v>
      </c>
      <c r="M795" s="48">
        <v>6</v>
      </c>
      <c r="N795" s="48">
        <v>1</v>
      </c>
      <c r="O795" s="47">
        <v>94.117647058823493</v>
      </c>
      <c r="P795" s="49"/>
    </row>
    <row r="796" spans="1:16" ht="15" customHeight="1">
      <c r="A796" s="50">
        <v>790</v>
      </c>
      <c r="B796" s="51" t="s">
        <v>24</v>
      </c>
      <c r="C796" s="58" t="s">
        <v>219</v>
      </c>
      <c r="D796" s="58" t="s">
        <v>260</v>
      </c>
      <c r="E796" s="58" t="s">
        <v>226</v>
      </c>
      <c r="F796" s="59" t="s">
        <v>226</v>
      </c>
      <c r="G796" s="52">
        <v>90</v>
      </c>
      <c r="H796" s="52">
        <v>23</v>
      </c>
      <c r="I796" s="52">
        <v>1</v>
      </c>
      <c r="J796" s="53">
        <v>79.646017699115006</v>
      </c>
      <c r="K796" s="53">
        <f>G796+H796+I796</f>
        <v>114</v>
      </c>
      <c r="L796" s="54">
        <v>76</v>
      </c>
      <c r="M796" s="54">
        <v>12</v>
      </c>
      <c r="N796" s="54">
        <v>1</v>
      </c>
      <c r="O796" s="53">
        <v>86.363636363636402</v>
      </c>
      <c r="P796" s="55">
        <f>L796+M796+N796</f>
        <v>89</v>
      </c>
    </row>
    <row r="797" spans="1:16" ht="15" hidden="1" customHeight="1">
      <c r="A797" s="43">
        <v>791</v>
      </c>
      <c r="B797" s="44" t="s">
        <v>24</v>
      </c>
      <c r="C797" s="44" t="s">
        <v>219</v>
      </c>
      <c r="D797" s="44" t="s">
        <v>260</v>
      </c>
      <c r="E797" s="44" t="s">
        <v>226</v>
      </c>
      <c r="F797" s="45" t="s">
        <v>18</v>
      </c>
      <c r="G797" s="46"/>
      <c r="H797" s="46"/>
      <c r="I797" s="46"/>
      <c r="J797" s="47"/>
      <c r="K797" s="47"/>
      <c r="L797" s="48"/>
      <c r="M797" s="48"/>
      <c r="N797" s="48"/>
      <c r="O797" s="47"/>
      <c r="P797" s="49"/>
    </row>
    <row r="798" spans="1:16" ht="15" hidden="1" customHeight="1">
      <c r="A798" s="43">
        <v>792</v>
      </c>
      <c r="B798" s="44" t="s">
        <v>24</v>
      </c>
      <c r="C798" s="44" t="s">
        <v>219</v>
      </c>
      <c r="D798" s="44" t="s">
        <v>260</v>
      </c>
      <c r="E798" s="44" t="s">
        <v>226</v>
      </c>
      <c r="F798" s="45" t="s">
        <v>19</v>
      </c>
      <c r="G798" s="46">
        <v>90</v>
      </c>
      <c r="H798" s="46">
        <v>23</v>
      </c>
      <c r="I798" s="46">
        <v>1</v>
      </c>
      <c r="J798" s="47">
        <v>79.646017699115006</v>
      </c>
      <c r="K798" s="47"/>
      <c r="L798" s="48">
        <v>76</v>
      </c>
      <c r="M798" s="48">
        <v>12</v>
      </c>
      <c r="N798" s="48">
        <v>1</v>
      </c>
      <c r="O798" s="47">
        <v>86.363636363636402</v>
      </c>
      <c r="P798" s="49"/>
    </row>
    <row r="799" spans="1:16" ht="15" hidden="1" customHeight="1">
      <c r="A799" s="37">
        <v>793</v>
      </c>
      <c r="B799" s="38" t="s">
        <v>22</v>
      </c>
      <c r="C799" s="57" t="s">
        <v>219</v>
      </c>
      <c r="D799" s="57" t="s">
        <v>263</v>
      </c>
      <c r="E799" s="57"/>
      <c r="F799" s="38" t="s">
        <v>263</v>
      </c>
      <c r="G799" s="39">
        <v>399</v>
      </c>
      <c r="H799" s="39">
        <v>44</v>
      </c>
      <c r="I799" s="39">
        <v>10</v>
      </c>
      <c r="J799" s="40">
        <v>90.067720090293506</v>
      </c>
      <c r="K799" s="40"/>
      <c r="L799" s="41">
        <v>290</v>
      </c>
      <c r="M799" s="41">
        <v>6</v>
      </c>
      <c r="N799" s="41">
        <v>5</v>
      </c>
      <c r="O799" s="40">
        <v>97.972972972972997</v>
      </c>
      <c r="P799" s="42"/>
    </row>
    <row r="800" spans="1:16" ht="15" hidden="1" customHeight="1">
      <c r="A800" s="43">
        <v>794</v>
      </c>
      <c r="B800" s="44" t="s">
        <v>22</v>
      </c>
      <c r="C800" s="44" t="s">
        <v>219</v>
      </c>
      <c r="D800" s="44" t="s">
        <v>263</v>
      </c>
      <c r="E800" s="44"/>
      <c r="F800" s="45" t="s">
        <v>18</v>
      </c>
      <c r="G800" s="46"/>
      <c r="H800" s="46"/>
      <c r="I800" s="46"/>
      <c r="J800" s="47"/>
      <c r="K800" s="47"/>
      <c r="L800" s="48"/>
      <c r="M800" s="48"/>
      <c r="N800" s="48"/>
      <c r="O800" s="47"/>
      <c r="P800" s="49"/>
    </row>
    <row r="801" spans="1:16" ht="15" hidden="1" customHeight="1">
      <c r="A801" s="43">
        <v>795</v>
      </c>
      <c r="B801" s="44" t="s">
        <v>22</v>
      </c>
      <c r="C801" s="44" t="s">
        <v>219</v>
      </c>
      <c r="D801" s="44" t="s">
        <v>263</v>
      </c>
      <c r="E801" s="44"/>
      <c r="F801" s="45" t="s">
        <v>19</v>
      </c>
      <c r="G801" s="46">
        <v>399</v>
      </c>
      <c r="H801" s="46">
        <v>44</v>
      </c>
      <c r="I801" s="46">
        <v>10</v>
      </c>
      <c r="J801" s="47">
        <v>90.067720090293506</v>
      </c>
      <c r="K801" s="47"/>
      <c r="L801" s="48">
        <v>290</v>
      </c>
      <c r="M801" s="48">
        <v>6</v>
      </c>
      <c r="N801" s="48">
        <v>5</v>
      </c>
      <c r="O801" s="47">
        <v>97.972972972972997</v>
      </c>
      <c r="P801" s="49"/>
    </row>
    <row r="802" spans="1:16" ht="15" customHeight="1">
      <c r="A802" s="50">
        <v>796</v>
      </c>
      <c r="B802" s="51" t="s">
        <v>24</v>
      </c>
      <c r="C802" s="58" t="s">
        <v>219</v>
      </c>
      <c r="D802" s="58" t="s">
        <v>263</v>
      </c>
      <c r="E802" s="58" t="s">
        <v>264</v>
      </c>
      <c r="F802" s="59" t="s">
        <v>264</v>
      </c>
      <c r="G802" s="52">
        <v>399</v>
      </c>
      <c r="H802" s="52">
        <v>44</v>
      </c>
      <c r="I802" s="52">
        <v>10</v>
      </c>
      <c r="J802" s="53">
        <v>90.067720090293506</v>
      </c>
      <c r="K802" s="53">
        <f>G802+H802+I802</f>
        <v>453</v>
      </c>
      <c r="L802" s="54">
        <v>290</v>
      </c>
      <c r="M802" s="54">
        <v>6</v>
      </c>
      <c r="N802" s="54">
        <v>5</v>
      </c>
      <c r="O802" s="53">
        <v>97.972972972972997</v>
      </c>
      <c r="P802" s="55">
        <f>L802+M802+N802</f>
        <v>301</v>
      </c>
    </row>
    <row r="803" spans="1:16" ht="15" hidden="1" customHeight="1">
      <c r="A803" s="43">
        <v>797</v>
      </c>
      <c r="B803" s="44" t="s">
        <v>24</v>
      </c>
      <c r="C803" s="44" t="s">
        <v>219</v>
      </c>
      <c r="D803" s="44" t="s">
        <v>263</v>
      </c>
      <c r="E803" s="44" t="s">
        <v>264</v>
      </c>
      <c r="F803" s="45" t="s">
        <v>18</v>
      </c>
      <c r="G803" s="46"/>
      <c r="H803" s="46"/>
      <c r="I803" s="46"/>
      <c r="J803" s="47"/>
      <c r="K803" s="47"/>
      <c r="L803" s="48"/>
      <c r="M803" s="48"/>
      <c r="N803" s="48"/>
      <c r="O803" s="47"/>
      <c r="P803" s="49"/>
    </row>
    <row r="804" spans="1:16" ht="15" hidden="1" customHeight="1">
      <c r="A804" s="43">
        <v>798</v>
      </c>
      <c r="B804" s="44" t="s">
        <v>24</v>
      </c>
      <c r="C804" s="44" t="s">
        <v>219</v>
      </c>
      <c r="D804" s="44" t="s">
        <v>263</v>
      </c>
      <c r="E804" s="44" t="s">
        <v>264</v>
      </c>
      <c r="F804" s="45" t="s">
        <v>19</v>
      </c>
      <c r="G804" s="46">
        <v>399</v>
      </c>
      <c r="H804" s="46">
        <v>44</v>
      </c>
      <c r="I804" s="46">
        <v>10</v>
      </c>
      <c r="J804" s="47">
        <v>90.067720090293506</v>
      </c>
      <c r="K804" s="47"/>
      <c r="L804" s="48">
        <v>290</v>
      </c>
      <c r="M804" s="48">
        <v>6</v>
      </c>
      <c r="N804" s="48">
        <v>5</v>
      </c>
      <c r="O804" s="47">
        <v>97.972972972972997</v>
      </c>
      <c r="P804" s="49"/>
    </row>
    <row r="805" spans="1:16" ht="15" hidden="1" customHeight="1">
      <c r="A805" s="25">
        <v>799</v>
      </c>
      <c r="B805" s="26" t="s">
        <v>20</v>
      </c>
      <c r="C805" s="26" t="s">
        <v>265</v>
      </c>
      <c r="D805" s="26"/>
      <c r="E805" s="26"/>
      <c r="F805" s="26" t="s">
        <v>265</v>
      </c>
      <c r="G805" s="27">
        <v>85494</v>
      </c>
      <c r="H805" s="27">
        <v>9462</v>
      </c>
      <c r="I805" s="27">
        <v>2507</v>
      </c>
      <c r="J805" s="28">
        <v>90.0353848098067</v>
      </c>
      <c r="K805" s="28">
        <f>G805+H805+I805</f>
        <v>97463</v>
      </c>
      <c r="L805" s="29">
        <v>68866</v>
      </c>
      <c r="M805" s="29">
        <v>1851</v>
      </c>
      <c r="N805" s="29">
        <v>549</v>
      </c>
      <c r="O805" s="28">
        <v>97.382524711172707</v>
      </c>
      <c r="P805" s="30">
        <f>L805+M805+N805</f>
        <v>71266</v>
      </c>
    </row>
    <row r="806" spans="1:16" ht="15" hidden="1" customHeight="1">
      <c r="A806" s="31">
        <v>800</v>
      </c>
      <c r="B806" s="32" t="s">
        <v>20</v>
      </c>
      <c r="C806" s="56" t="s">
        <v>265</v>
      </c>
      <c r="D806" s="56"/>
      <c r="E806" s="56"/>
      <c r="F806" s="32" t="s">
        <v>18</v>
      </c>
      <c r="G806" s="33">
        <v>36959</v>
      </c>
      <c r="H806" s="33">
        <v>2879</v>
      </c>
      <c r="I806" s="33">
        <v>859</v>
      </c>
      <c r="J806" s="34">
        <v>92.773231587931093</v>
      </c>
      <c r="K806" s="34"/>
      <c r="L806" s="35">
        <v>30752</v>
      </c>
      <c r="M806" s="35">
        <v>751</v>
      </c>
      <c r="N806" s="35">
        <v>117</v>
      </c>
      <c r="O806" s="34">
        <v>97.616100053963095</v>
      </c>
      <c r="P806" s="36"/>
    </row>
    <row r="807" spans="1:16" ht="15" hidden="1" customHeight="1">
      <c r="A807" s="31">
        <v>801</v>
      </c>
      <c r="B807" s="32" t="s">
        <v>20</v>
      </c>
      <c r="C807" s="56" t="s">
        <v>265</v>
      </c>
      <c r="D807" s="56"/>
      <c r="E807" s="56"/>
      <c r="F807" s="32" t="s">
        <v>19</v>
      </c>
      <c r="G807" s="33">
        <v>48535</v>
      </c>
      <c r="H807" s="33">
        <v>6583</v>
      </c>
      <c r="I807" s="33">
        <v>1648</v>
      </c>
      <c r="J807" s="34">
        <v>88.056533255923696</v>
      </c>
      <c r="K807" s="34"/>
      <c r="L807" s="35">
        <v>38114</v>
      </c>
      <c r="M807" s="35">
        <v>1100</v>
      </c>
      <c r="N807" s="35">
        <v>432</v>
      </c>
      <c r="O807" s="34">
        <v>97.194879379813301</v>
      </c>
      <c r="P807" s="36"/>
    </row>
    <row r="808" spans="1:16" ht="15" hidden="1" customHeight="1">
      <c r="A808" s="37">
        <v>802</v>
      </c>
      <c r="B808" s="38" t="s">
        <v>22</v>
      </c>
      <c r="C808" s="57" t="s">
        <v>265</v>
      </c>
      <c r="D808" s="57" t="s">
        <v>266</v>
      </c>
      <c r="E808" s="57"/>
      <c r="F808" s="38" t="s">
        <v>266</v>
      </c>
      <c r="G808" s="39">
        <v>25107</v>
      </c>
      <c r="H808" s="39">
        <v>2356</v>
      </c>
      <c r="I808" s="39">
        <v>582</v>
      </c>
      <c r="J808" s="40">
        <v>91.421184866911801</v>
      </c>
      <c r="K808" s="40"/>
      <c r="L808" s="41">
        <v>22533</v>
      </c>
      <c r="M808" s="41">
        <v>367</v>
      </c>
      <c r="N808" s="41">
        <v>86</v>
      </c>
      <c r="O808" s="40">
        <v>98.397379912663794</v>
      </c>
      <c r="P808" s="42"/>
    </row>
    <row r="809" spans="1:16" ht="15" hidden="1" customHeight="1">
      <c r="A809" s="43">
        <v>803</v>
      </c>
      <c r="B809" s="44" t="s">
        <v>22</v>
      </c>
      <c r="C809" s="44" t="s">
        <v>265</v>
      </c>
      <c r="D809" s="44" t="s">
        <v>266</v>
      </c>
      <c r="E809" s="44"/>
      <c r="F809" s="45" t="s">
        <v>18</v>
      </c>
      <c r="G809" s="46">
        <v>19633</v>
      </c>
      <c r="H809" s="46">
        <v>1662</v>
      </c>
      <c r="I809" s="46">
        <v>420</v>
      </c>
      <c r="J809" s="47">
        <v>92.195351021366506</v>
      </c>
      <c r="K809" s="47"/>
      <c r="L809" s="48">
        <v>16689</v>
      </c>
      <c r="M809" s="48">
        <v>270</v>
      </c>
      <c r="N809" s="48">
        <v>46</v>
      </c>
      <c r="O809" s="47">
        <v>98.407924995577602</v>
      </c>
      <c r="P809" s="49"/>
    </row>
    <row r="810" spans="1:16" ht="15" hidden="1" customHeight="1">
      <c r="A810" s="43">
        <v>804</v>
      </c>
      <c r="B810" s="44" t="s">
        <v>22</v>
      </c>
      <c r="C810" s="44" t="s">
        <v>265</v>
      </c>
      <c r="D810" s="44" t="s">
        <v>266</v>
      </c>
      <c r="E810" s="44"/>
      <c r="F810" s="45" t="s">
        <v>19</v>
      </c>
      <c r="G810" s="46">
        <v>5474</v>
      </c>
      <c r="H810" s="46">
        <v>694</v>
      </c>
      <c r="I810" s="46">
        <v>162</v>
      </c>
      <c r="J810" s="47">
        <v>88.748378728923498</v>
      </c>
      <c r="K810" s="47"/>
      <c r="L810" s="48">
        <v>5844</v>
      </c>
      <c r="M810" s="48">
        <v>97</v>
      </c>
      <c r="N810" s="48">
        <v>40</v>
      </c>
      <c r="O810" s="47">
        <v>98.3672782359872</v>
      </c>
      <c r="P810" s="49"/>
    </row>
    <row r="811" spans="1:16" ht="15" customHeight="1">
      <c r="A811" s="50">
        <v>805</v>
      </c>
      <c r="B811" s="51" t="s">
        <v>24</v>
      </c>
      <c r="C811" s="58" t="s">
        <v>265</v>
      </c>
      <c r="D811" s="58" t="s">
        <v>266</v>
      </c>
      <c r="E811" s="58" t="s">
        <v>265</v>
      </c>
      <c r="F811" s="59" t="s">
        <v>265</v>
      </c>
      <c r="G811" s="52">
        <v>21062</v>
      </c>
      <c r="H811" s="52">
        <v>1806</v>
      </c>
      <c r="I811" s="52">
        <v>456</v>
      </c>
      <c r="J811" s="53">
        <v>92.102501311876907</v>
      </c>
      <c r="K811" s="53">
        <f>G811+H811+I811</f>
        <v>23324</v>
      </c>
      <c r="L811" s="54">
        <v>18398</v>
      </c>
      <c r="M811" s="54">
        <v>288</v>
      </c>
      <c r="N811" s="54">
        <v>57</v>
      </c>
      <c r="O811" s="53">
        <v>98.458739163009696</v>
      </c>
      <c r="P811" s="55">
        <f>L811+M811+N811</f>
        <v>18743</v>
      </c>
    </row>
    <row r="812" spans="1:16" ht="15" hidden="1" customHeight="1">
      <c r="A812" s="43">
        <v>806</v>
      </c>
      <c r="B812" s="44" t="s">
        <v>24</v>
      </c>
      <c r="C812" s="44" t="s">
        <v>265</v>
      </c>
      <c r="D812" s="44" t="s">
        <v>266</v>
      </c>
      <c r="E812" s="44" t="s">
        <v>265</v>
      </c>
      <c r="F812" s="45" t="s">
        <v>18</v>
      </c>
      <c r="G812" s="46">
        <v>19633</v>
      </c>
      <c r="H812" s="46">
        <v>1662</v>
      </c>
      <c r="I812" s="46">
        <v>420</v>
      </c>
      <c r="J812" s="47">
        <v>92.195351021366506</v>
      </c>
      <c r="K812" s="47"/>
      <c r="L812" s="48">
        <v>16689</v>
      </c>
      <c r="M812" s="48">
        <v>270</v>
      </c>
      <c r="N812" s="48">
        <v>46</v>
      </c>
      <c r="O812" s="47">
        <v>98.407924995577602</v>
      </c>
      <c r="P812" s="49"/>
    </row>
    <row r="813" spans="1:16" ht="15" hidden="1" customHeight="1">
      <c r="A813" s="43">
        <v>807</v>
      </c>
      <c r="B813" s="44" t="s">
        <v>24</v>
      </c>
      <c r="C813" s="44" t="s">
        <v>265</v>
      </c>
      <c r="D813" s="44" t="s">
        <v>266</v>
      </c>
      <c r="E813" s="44" t="s">
        <v>265</v>
      </c>
      <c r="F813" s="45" t="s">
        <v>19</v>
      </c>
      <c r="G813" s="46">
        <v>1429</v>
      </c>
      <c r="H813" s="46">
        <v>144</v>
      </c>
      <c r="I813" s="46">
        <v>36</v>
      </c>
      <c r="J813" s="47">
        <v>90.845518118245394</v>
      </c>
      <c r="K813" s="47"/>
      <c r="L813" s="48">
        <v>1709</v>
      </c>
      <c r="M813" s="48">
        <v>18</v>
      </c>
      <c r="N813" s="48">
        <v>11</v>
      </c>
      <c r="O813" s="47">
        <v>98.957730167921298</v>
      </c>
      <c r="P813" s="49"/>
    </row>
    <row r="814" spans="1:16" ht="15" customHeight="1">
      <c r="A814" s="50">
        <v>808</v>
      </c>
      <c r="B814" s="51" t="s">
        <v>24</v>
      </c>
      <c r="C814" s="58" t="s">
        <v>265</v>
      </c>
      <c r="D814" s="58" t="s">
        <v>266</v>
      </c>
      <c r="E814" s="58" t="s">
        <v>267</v>
      </c>
      <c r="F814" s="59" t="s">
        <v>267</v>
      </c>
      <c r="G814" s="52">
        <v>3088</v>
      </c>
      <c r="H814" s="52">
        <v>448</v>
      </c>
      <c r="I814" s="52">
        <v>93</v>
      </c>
      <c r="J814" s="53">
        <v>87.330316742081493</v>
      </c>
      <c r="K814" s="53">
        <f>G814+H814+I814</f>
        <v>3629</v>
      </c>
      <c r="L814" s="54">
        <v>3069</v>
      </c>
      <c r="M814" s="54">
        <v>54</v>
      </c>
      <c r="N814" s="54">
        <v>21</v>
      </c>
      <c r="O814" s="53">
        <v>98.270893371757893</v>
      </c>
      <c r="P814" s="55">
        <f>L814+M814+N814</f>
        <v>3144</v>
      </c>
    </row>
    <row r="815" spans="1:16" ht="15" hidden="1" customHeight="1">
      <c r="A815" s="43">
        <v>809</v>
      </c>
      <c r="B815" s="44" t="s">
        <v>24</v>
      </c>
      <c r="C815" s="44" t="s">
        <v>265</v>
      </c>
      <c r="D815" s="44" t="s">
        <v>266</v>
      </c>
      <c r="E815" s="44" t="s">
        <v>267</v>
      </c>
      <c r="F815" s="45" t="s">
        <v>18</v>
      </c>
      <c r="G815" s="46"/>
      <c r="H815" s="46"/>
      <c r="I815" s="46"/>
      <c r="J815" s="47"/>
      <c r="K815" s="47"/>
      <c r="L815" s="48"/>
      <c r="M815" s="48"/>
      <c r="N815" s="48"/>
      <c r="O815" s="47"/>
      <c r="P815" s="49"/>
    </row>
    <row r="816" spans="1:16" ht="15" hidden="1" customHeight="1">
      <c r="A816" s="43">
        <v>810</v>
      </c>
      <c r="B816" s="44" t="s">
        <v>24</v>
      </c>
      <c r="C816" s="44" t="s">
        <v>265</v>
      </c>
      <c r="D816" s="44" t="s">
        <v>266</v>
      </c>
      <c r="E816" s="44" t="s">
        <v>267</v>
      </c>
      <c r="F816" s="45" t="s">
        <v>19</v>
      </c>
      <c r="G816" s="46">
        <v>3088</v>
      </c>
      <c r="H816" s="46">
        <v>448</v>
      </c>
      <c r="I816" s="46">
        <v>93</v>
      </c>
      <c r="J816" s="47">
        <v>87.330316742081493</v>
      </c>
      <c r="K816" s="47"/>
      <c r="L816" s="48">
        <v>3069</v>
      </c>
      <c r="M816" s="48">
        <v>54</v>
      </c>
      <c r="N816" s="48">
        <v>21</v>
      </c>
      <c r="O816" s="47">
        <v>98.270893371757893</v>
      </c>
      <c r="P816" s="49"/>
    </row>
    <row r="817" spans="1:16" ht="15" customHeight="1">
      <c r="A817" s="50">
        <v>811</v>
      </c>
      <c r="B817" s="51" t="s">
        <v>24</v>
      </c>
      <c r="C817" s="58" t="s">
        <v>265</v>
      </c>
      <c r="D817" s="58" t="s">
        <v>266</v>
      </c>
      <c r="E817" s="58" t="s">
        <v>268</v>
      </c>
      <c r="F817" s="59" t="s">
        <v>268</v>
      </c>
      <c r="G817" s="52">
        <v>720</v>
      </c>
      <c r="H817" s="52">
        <v>57</v>
      </c>
      <c r="I817" s="52">
        <v>25</v>
      </c>
      <c r="J817" s="53">
        <v>92.664092664092706</v>
      </c>
      <c r="K817" s="53">
        <f>G817+H817+I817</f>
        <v>802</v>
      </c>
      <c r="L817" s="54">
        <v>871</v>
      </c>
      <c r="M817" s="54">
        <v>20</v>
      </c>
      <c r="N817" s="54">
        <v>8</v>
      </c>
      <c r="O817" s="53">
        <v>97.755331088664406</v>
      </c>
      <c r="P817" s="55">
        <f>L817+M817+N817</f>
        <v>899</v>
      </c>
    </row>
    <row r="818" spans="1:16" ht="15" hidden="1" customHeight="1">
      <c r="A818" s="43">
        <v>812</v>
      </c>
      <c r="B818" s="44" t="s">
        <v>24</v>
      </c>
      <c r="C818" s="44" t="s">
        <v>265</v>
      </c>
      <c r="D818" s="44" t="s">
        <v>266</v>
      </c>
      <c r="E818" s="44" t="s">
        <v>268</v>
      </c>
      <c r="F818" s="45" t="s">
        <v>18</v>
      </c>
      <c r="G818" s="46"/>
      <c r="H818" s="46"/>
      <c r="I818" s="46"/>
      <c r="J818" s="47"/>
      <c r="K818" s="47"/>
      <c r="L818" s="48"/>
      <c r="M818" s="48"/>
      <c r="N818" s="48"/>
      <c r="O818" s="47"/>
      <c r="P818" s="49"/>
    </row>
    <row r="819" spans="1:16" ht="15" hidden="1" customHeight="1">
      <c r="A819" s="43">
        <v>813</v>
      </c>
      <c r="B819" s="44" t="s">
        <v>24</v>
      </c>
      <c r="C819" s="44" t="s">
        <v>265</v>
      </c>
      <c r="D819" s="44" t="s">
        <v>266</v>
      </c>
      <c r="E819" s="44" t="s">
        <v>268</v>
      </c>
      <c r="F819" s="45" t="s">
        <v>19</v>
      </c>
      <c r="G819" s="46">
        <v>720</v>
      </c>
      <c r="H819" s="46">
        <v>57</v>
      </c>
      <c r="I819" s="46">
        <v>25</v>
      </c>
      <c r="J819" s="47">
        <v>92.664092664092706</v>
      </c>
      <c r="K819" s="47"/>
      <c r="L819" s="48">
        <v>871</v>
      </c>
      <c r="M819" s="48">
        <v>20</v>
      </c>
      <c r="N819" s="48">
        <v>8</v>
      </c>
      <c r="O819" s="47">
        <v>97.755331088664406</v>
      </c>
      <c r="P819" s="49"/>
    </row>
    <row r="820" spans="1:16" ht="15" customHeight="1">
      <c r="A820" s="50">
        <v>814</v>
      </c>
      <c r="B820" s="51" t="s">
        <v>24</v>
      </c>
      <c r="C820" s="58" t="s">
        <v>265</v>
      </c>
      <c r="D820" s="58" t="s">
        <v>266</v>
      </c>
      <c r="E820" s="58" t="s">
        <v>269</v>
      </c>
      <c r="F820" s="59" t="s">
        <v>269</v>
      </c>
      <c r="G820" s="52">
        <v>237</v>
      </c>
      <c r="H820" s="52">
        <v>45</v>
      </c>
      <c r="I820" s="52">
        <v>8</v>
      </c>
      <c r="J820" s="53">
        <v>84.042553191489404</v>
      </c>
      <c r="K820" s="53">
        <f>G820+H820+I820</f>
        <v>290</v>
      </c>
      <c r="L820" s="54">
        <v>195</v>
      </c>
      <c r="M820" s="54">
        <v>5</v>
      </c>
      <c r="N820" s="54">
        <v>0</v>
      </c>
      <c r="O820" s="53">
        <v>97.5</v>
      </c>
      <c r="P820" s="55">
        <f>L820+M820+N820</f>
        <v>200</v>
      </c>
    </row>
    <row r="821" spans="1:16" ht="15" hidden="1" customHeight="1">
      <c r="A821" s="43">
        <v>815</v>
      </c>
      <c r="B821" s="44" t="s">
        <v>24</v>
      </c>
      <c r="C821" s="44" t="s">
        <v>265</v>
      </c>
      <c r="D821" s="44" t="s">
        <v>266</v>
      </c>
      <c r="E821" s="44" t="s">
        <v>269</v>
      </c>
      <c r="F821" s="45" t="s">
        <v>18</v>
      </c>
      <c r="G821" s="46"/>
      <c r="H821" s="46"/>
      <c r="I821" s="46"/>
      <c r="J821" s="47"/>
      <c r="K821" s="47"/>
      <c r="L821" s="48"/>
      <c r="M821" s="48"/>
      <c r="N821" s="48"/>
      <c r="O821" s="47"/>
      <c r="P821" s="49"/>
    </row>
    <row r="822" spans="1:16" ht="15" hidden="1" customHeight="1">
      <c r="A822" s="43">
        <v>816</v>
      </c>
      <c r="B822" s="44" t="s">
        <v>24</v>
      </c>
      <c r="C822" s="44" t="s">
        <v>265</v>
      </c>
      <c r="D822" s="44" t="s">
        <v>266</v>
      </c>
      <c r="E822" s="44" t="s">
        <v>269</v>
      </c>
      <c r="F822" s="45" t="s">
        <v>19</v>
      </c>
      <c r="G822" s="46">
        <v>237</v>
      </c>
      <c r="H822" s="46">
        <v>45</v>
      </c>
      <c r="I822" s="46">
        <v>8</v>
      </c>
      <c r="J822" s="47">
        <v>84.042553191489404</v>
      </c>
      <c r="K822" s="47"/>
      <c r="L822" s="48">
        <v>195</v>
      </c>
      <c r="M822" s="48">
        <v>5</v>
      </c>
      <c r="N822" s="48">
        <v>0</v>
      </c>
      <c r="O822" s="47">
        <v>97.5</v>
      </c>
      <c r="P822" s="49"/>
    </row>
    <row r="823" spans="1:16" ht="15" hidden="1" customHeight="1">
      <c r="A823" s="37">
        <v>817</v>
      </c>
      <c r="B823" s="38" t="s">
        <v>22</v>
      </c>
      <c r="C823" s="57" t="s">
        <v>265</v>
      </c>
      <c r="D823" s="57" t="s">
        <v>270</v>
      </c>
      <c r="E823" s="57"/>
      <c r="F823" s="38" t="s">
        <v>270</v>
      </c>
      <c r="G823" s="39">
        <v>9523</v>
      </c>
      <c r="H823" s="39">
        <v>661</v>
      </c>
      <c r="I823" s="39">
        <v>235</v>
      </c>
      <c r="J823" s="40">
        <v>93.509426551453302</v>
      </c>
      <c r="K823" s="40"/>
      <c r="L823" s="41">
        <v>6877</v>
      </c>
      <c r="M823" s="41">
        <v>103</v>
      </c>
      <c r="N823" s="41">
        <v>41</v>
      </c>
      <c r="O823" s="40">
        <v>98.524355300859597</v>
      </c>
      <c r="P823" s="42"/>
    </row>
    <row r="824" spans="1:16" ht="15" hidden="1" customHeight="1">
      <c r="A824" s="43">
        <v>818</v>
      </c>
      <c r="B824" s="44" t="s">
        <v>22</v>
      </c>
      <c r="C824" s="44" t="s">
        <v>265</v>
      </c>
      <c r="D824" s="44" t="s">
        <v>270</v>
      </c>
      <c r="E824" s="44"/>
      <c r="F824" s="45" t="s">
        <v>18</v>
      </c>
      <c r="G824" s="46">
        <v>5166</v>
      </c>
      <c r="H824" s="46">
        <v>265</v>
      </c>
      <c r="I824" s="46">
        <v>115</v>
      </c>
      <c r="J824" s="47">
        <v>95.120603940342505</v>
      </c>
      <c r="K824" s="47"/>
      <c r="L824" s="48">
        <v>3734</v>
      </c>
      <c r="M824" s="48">
        <v>54</v>
      </c>
      <c r="N824" s="48">
        <v>18</v>
      </c>
      <c r="O824" s="47">
        <v>98.574445617740196</v>
      </c>
      <c r="P824" s="49"/>
    </row>
    <row r="825" spans="1:16" ht="15" hidden="1" customHeight="1">
      <c r="A825" s="43">
        <v>819</v>
      </c>
      <c r="B825" s="44" t="s">
        <v>22</v>
      </c>
      <c r="C825" s="44" t="s">
        <v>265</v>
      </c>
      <c r="D825" s="44" t="s">
        <v>270</v>
      </c>
      <c r="E825" s="44"/>
      <c r="F825" s="45" t="s">
        <v>19</v>
      </c>
      <c r="G825" s="46">
        <v>4357</v>
      </c>
      <c r="H825" s="46">
        <v>396</v>
      </c>
      <c r="I825" s="46">
        <v>120</v>
      </c>
      <c r="J825" s="47">
        <v>91.6684199452977</v>
      </c>
      <c r="K825" s="47"/>
      <c r="L825" s="48">
        <v>3143</v>
      </c>
      <c r="M825" s="48">
        <v>49</v>
      </c>
      <c r="N825" s="48">
        <v>23</v>
      </c>
      <c r="O825" s="47">
        <v>98.464912280701796</v>
      </c>
      <c r="P825" s="49"/>
    </row>
    <row r="826" spans="1:16" ht="15" customHeight="1">
      <c r="A826" s="50">
        <v>820</v>
      </c>
      <c r="B826" s="51" t="s">
        <v>24</v>
      </c>
      <c r="C826" s="58" t="s">
        <v>265</v>
      </c>
      <c r="D826" s="58" t="s">
        <v>270</v>
      </c>
      <c r="E826" s="58" t="s">
        <v>271</v>
      </c>
      <c r="F826" s="59" t="s">
        <v>271</v>
      </c>
      <c r="G826" s="52">
        <v>2236</v>
      </c>
      <c r="H826" s="52">
        <v>145</v>
      </c>
      <c r="I826" s="52">
        <v>44</v>
      </c>
      <c r="J826" s="53">
        <v>93.910121797564003</v>
      </c>
      <c r="K826" s="53">
        <f>G826+H826+I826</f>
        <v>2425</v>
      </c>
      <c r="L826" s="54">
        <v>1760</v>
      </c>
      <c r="M826" s="54">
        <v>40</v>
      </c>
      <c r="N826" s="54">
        <v>9</v>
      </c>
      <c r="O826" s="53">
        <v>97.7777777777778</v>
      </c>
      <c r="P826" s="55">
        <f>L826+M826+N826</f>
        <v>1809</v>
      </c>
    </row>
    <row r="827" spans="1:16" ht="15" hidden="1" customHeight="1">
      <c r="A827" s="43">
        <v>821</v>
      </c>
      <c r="B827" s="44" t="s">
        <v>24</v>
      </c>
      <c r="C827" s="44" t="s">
        <v>265</v>
      </c>
      <c r="D827" s="44" t="s">
        <v>270</v>
      </c>
      <c r="E827" s="44" t="s">
        <v>271</v>
      </c>
      <c r="F827" s="45" t="s">
        <v>18</v>
      </c>
      <c r="G827" s="46">
        <v>1014</v>
      </c>
      <c r="H827" s="46">
        <v>42</v>
      </c>
      <c r="I827" s="46">
        <v>15</v>
      </c>
      <c r="J827" s="47">
        <v>96.022727272727295</v>
      </c>
      <c r="K827" s="47"/>
      <c r="L827" s="48">
        <v>705</v>
      </c>
      <c r="M827" s="48">
        <v>14</v>
      </c>
      <c r="N827" s="48">
        <v>3</v>
      </c>
      <c r="O827" s="47">
        <v>98.0528511821975</v>
      </c>
      <c r="P827" s="49"/>
    </row>
    <row r="828" spans="1:16" ht="15" hidden="1" customHeight="1">
      <c r="A828" s="43">
        <v>822</v>
      </c>
      <c r="B828" s="44" t="s">
        <v>24</v>
      </c>
      <c r="C828" s="44" t="s">
        <v>265</v>
      </c>
      <c r="D828" s="44" t="s">
        <v>270</v>
      </c>
      <c r="E828" s="44" t="s">
        <v>271</v>
      </c>
      <c r="F828" s="45" t="s">
        <v>19</v>
      </c>
      <c r="G828" s="46">
        <v>1222</v>
      </c>
      <c r="H828" s="46">
        <v>103</v>
      </c>
      <c r="I828" s="46">
        <v>29</v>
      </c>
      <c r="J828" s="47">
        <v>92.2264150943396</v>
      </c>
      <c r="K828" s="47"/>
      <c r="L828" s="48">
        <v>1055</v>
      </c>
      <c r="M828" s="48">
        <v>26</v>
      </c>
      <c r="N828" s="48">
        <v>6</v>
      </c>
      <c r="O828" s="47">
        <v>97.594819611470896</v>
      </c>
      <c r="P828" s="49"/>
    </row>
    <row r="829" spans="1:16" ht="15" customHeight="1">
      <c r="A829" s="50">
        <v>823</v>
      </c>
      <c r="B829" s="51" t="s">
        <v>24</v>
      </c>
      <c r="C829" s="58" t="s">
        <v>265</v>
      </c>
      <c r="D829" s="58" t="s">
        <v>270</v>
      </c>
      <c r="E829" s="58" t="s">
        <v>272</v>
      </c>
      <c r="F829" s="59" t="s">
        <v>272</v>
      </c>
      <c r="G829" s="52">
        <v>1791</v>
      </c>
      <c r="H829" s="52">
        <v>119</v>
      </c>
      <c r="I829" s="52">
        <v>64</v>
      </c>
      <c r="J829" s="53">
        <v>93.769633507853399</v>
      </c>
      <c r="K829" s="53">
        <f>G829+H829+I829</f>
        <v>1974</v>
      </c>
      <c r="L829" s="54">
        <v>1310</v>
      </c>
      <c r="M829" s="54">
        <v>14</v>
      </c>
      <c r="N829" s="54">
        <v>12</v>
      </c>
      <c r="O829" s="53">
        <v>98.942598187311205</v>
      </c>
      <c r="P829" s="55">
        <f>L829+M829+N829</f>
        <v>1336</v>
      </c>
    </row>
    <row r="830" spans="1:16" ht="15" hidden="1" customHeight="1">
      <c r="A830" s="43">
        <v>824</v>
      </c>
      <c r="B830" s="44" t="s">
        <v>24</v>
      </c>
      <c r="C830" s="44" t="s">
        <v>265</v>
      </c>
      <c r="D830" s="44" t="s">
        <v>270</v>
      </c>
      <c r="E830" s="44" t="s">
        <v>272</v>
      </c>
      <c r="F830" s="45" t="s">
        <v>18</v>
      </c>
      <c r="G830" s="46">
        <v>280</v>
      </c>
      <c r="H830" s="46">
        <v>8</v>
      </c>
      <c r="I830" s="46">
        <v>23</v>
      </c>
      <c r="J830" s="47">
        <v>97.2222222222222</v>
      </c>
      <c r="K830" s="47"/>
      <c r="L830" s="48">
        <v>199</v>
      </c>
      <c r="M830" s="48">
        <v>2</v>
      </c>
      <c r="N830" s="48">
        <v>1</v>
      </c>
      <c r="O830" s="47">
        <v>99.004975124378106</v>
      </c>
      <c r="P830" s="49"/>
    </row>
    <row r="831" spans="1:16" ht="15" hidden="1" customHeight="1">
      <c r="A831" s="43">
        <v>825</v>
      </c>
      <c r="B831" s="44" t="s">
        <v>24</v>
      </c>
      <c r="C831" s="44" t="s">
        <v>265</v>
      </c>
      <c r="D831" s="44" t="s">
        <v>270</v>
      </c>
      <c r="E831" s="44" t="s">
        <v>272</v>
      </c>
      <c r="F831" s="45" t="s">
        <v>19</v>
      </c>
      <c r="G831" s="46">
        <v>1511</v>
      </c>
      <c r="H831" s="46">
        <v>111</v>
      </c>
      <c r="I831" s="46">
        <v>41</v>
      </c>
      <c r="J831" s="47">
        <v>93.156596794081395</v>
      </c>
      <c r="K831" s="47"/>
      <c r="L831" s="48">
        <v>1111</v>
      </c>
      <c r="M831" s="48">
        <v>12</v>
      </c>
      <c r="N831" s="48">
        <v>11</v>
      </c>
      <c r="O831" s="47">
        <v>98.931433659839698</v>
      </c>
      <c r="P831" s="49"/>
    </row>
    <row r="832" spans="1:16" ht="15" customHeight="1">
      <c r="A832" s="50">
        <v>826</v>
      </c>
      <c r="B832" s="51" t="s">
        <v>24</v>
      </c>
      <c r="C832" s="58" t="s">
        <v>265</v>
      </c>
      <c r="D832" s="58" t="s">
        <v>270</v>
      </c>
      <c r="E832" s="58" t="s">
        <v>273</v>
      </c>
      <c r="F832" s="59" t="s">
        <v>273</v>
      </c>
      <c r="G832" s="52">
        <v>4496</v>
      </c>
      <c r="H832" s="52">
        <v>278</v>
      </c>
      <c r="I832" s="52">
        <v>110</v>
      </c>
      <c r="J832" s="53">
        <v>94.176790950984497</v>
      </c>
      <c r="K832" s="53">
        <f>G832+H832+I832</f>
        <v>4884</v>
      </c>
      <c r="L832" s="54">
        <v>3078</v>
      </c>
      <c r="M832" s="54">
        <v>37</v>
      </c>
      <c r="N832" s="54">
        <v>15</v>
      </c>
      <c r="O832" s="53">
        <v>98.812199036918102</v>
      </c>
      <c r="P832" s="55">
        <f>L832+M832+N832</f>
        <v>3130</v>
      </c>
    </row>
    <row r="833" spans="1:16" ht="15" hidden="1" customHeight="1">
      <c r="A833" s="43">
        <v>827</v>
      </c>
      <c r="B833" s="44" t="s">
        <v>24</v>
      </c>
      <c r="C833" s="44" t="s">
        <v>265</v>
      </c>
      <c r="D833" s="44" t="s">
        <v>270</v>
      </c>
      <c r="E833" s="44" t="s">
        <v>273</v>
      </c>
      <c r="F833" s="45" t="s">
        <v>18</v>
      </c>
      <c r="G833" s="46">
        <v>3872</v>
      </c>
      <c r="H833" s="46">
        <v>215</v>
      </c>
      <c r="I833" s="46">
        <v>77</v>
      </c>
      <c r="J833" s="47">
        <v>94.739417665769494</v>
      </c>
      <c r="K833" s="47"/>
      <c r="L833" s="48">
        <v>2647</v>
      </c>
      <c r="M833" s="48">
        <v>33</v>
      </c>
      <c r="N833" s="48">
        <v>13</v>
      </c>
      <c r="O833" s="47">
        <v>98.768656716417894</v>
      </c>
      <c r="P833" s="49"/>
    </row>
    <row r="834" spans="1:16" ht="15" hidden="1" customHeight="1">
      <c r="A834" s="43">
        <v>828</v>
      </c>
      <c r="B834" s="44" t="s">
        <v>24</v>
      </c>
      <c r="C834" s="44" t="s">
        <v>265</v>
      </c>
      <c r="D834" s="44" t="s">
        <v>270</v>
      </c>
      <c r="E834" s="44" t="s">
        <v>273</v>
      </c>
      <c r="F834" s="45" t="s">
        <v>19</v>
      </c>
      <c r="G834" s="46">
        <v>624</v>
      </c>
      <c r="H834" s="46">
        <v>63</v>
      </c>
      <c r="I834" s="46">
        <v>33</v>
      </c>
      <c r="J834" s="47">
        <v>90.829694323144096</v>
      </c>
      <c r="K834" s="47"/>
      <c r="L834" s="48">
        <v>431</v>
      </c>
      <c r="M834" s="48">
        <v>4</v>
      </c>
      <c r="N834" s="48">
        <v>2</v>
      </c>
      <c r="O834" s="47">
        <v>99.080459770114899</v>
      </c>
      <c r="P834" s="49"/>
    </row>
    <row r="835" spans="1:16" ht="15" customHeight="1">
      <c r="A835" s="50">
        <v>829</v>
      </c>
      <c r="B835" s="51" t="s">
        <v>24</v>
      </c>
      <c r="C835" s="58" t="s">
        <v>265</v>
      </c>
      <c r="D835" s="58" t="s">
        <v>270</v>
      </c>
      <c r="E835" s="58" t="s">
        <v>274</v>
      </c>
      <c r="F835" s="59" t="s">
        <v>274</v>
      </c>
      <c r="G835" s="52">
        <v>1000</v>
      </c>
      <c r="H835" s="52">
        <v>119</v>
      </c>
      <c r="I835" s="52">
        <v>17</v>
      </c>
      <c r="J835" s="53">
        <v>89.365504915102804</v>
      </c>
      <c r="K835" s="53">
        <f>G835+H835+I835</f>
        <v>1136</v>
      </c>
      <c r="L835" s="54">
        <v>729</v>
      </c>
      <c r="M835" s="54">
        <v>12</v>
      </c>
      <c r="N835" s="54">
        <v>5</v>
      </c>
      <c r="O835" s="53">
        <v>98.380566801619395</v>
      </c>
      <c r="P835" s="55">
        <f>L835+M835+N835</f>
        <v>746</v>
      </c>
    </row>
    <row r="836" spans="1:16" ht="15" hidden="1" customHeight="1">
      <c r="A836" s="43">
        <v>830</v>
      </c>
      <c r="B836" s="44" t="s">
        <v>24</v>
      </c>
      <c r="C836" s="44" t="s">
        <v>265</v>
      </c>
      <c r="D836" s="44" t="s">
        <v>270</v>
      </c>
      <c r="E836" s="44" t="s">
        <v>274</v>
      </c>
      <c r="F836" s="45" t="s">
        <v>18</v>
      </c>
      <c r="G836" s="46"/>
      <c r="H836" s="46"/>
      <c r="I836" s="46"/>
      <c r="J836" s="47"/>
      <c r="K836" s="47"/>
      <c r="L836" s="48">
        <v>183</v>
      </c>
      <c r="M836" s="48">
        <v>5</v>
      </c>
      <c r="N836" s="48">
        <v>1</v>
      </c>
      <c r="O836" s="47">
        <v>97.340425531914903</v>
      </c>
      <c r="P836" s="49"/>
    </row>
    <row r="837" spans="1:16" ht="15" hidden="1" customHeight="1">
      <c r="A837" s="43">
        <v>831</v>
      </c>
      <c r="B837" s="44" t="s">
        <v>24</v>
      </c>
      <c r="C837" s="44" t="s">
        <v>265</v>
      </c>
      <c r="D837" s="44" t="s">
        <v>270</v>
      </c>
      <c r="E837" s="44" t="s">
        <v>274</v>
      </c>
      <c r="F837" s="45" t="s">
        <v>19</v>
      </c>
      <c r="G837" s="46">
        <v>1000</v>
      </c>
      <c r="H837" s="46">
        <v>119</v>
      </c>
      <c r="I837" s="46">
        <v>17</v>
      </c>
      <c r="J837" s="47">
        <v>89.365504915102804</v>
      </c>
      <c r="K837" s="47"/>
      <c r="L837" s="48">
        <v>546</v>
      </c>
      <c r="M837" s="48">
        <v>7</v>
      </c>
      <c r="N837" s="48">
        <v>4</v>
      </c>
      <c r="O837" s="47">
        <v>98.734177215189902</v>
      </c>
      <c r="P837" s="49"/>
    </row>
    <row r="838" spans="1:16" ht="15" hidden="1" customHeight="1">
      <c r="A838" s="37">
        <v>832</v>
      </c>
      <c r="B838" s="38" t="s">
        <v>22</v>
      </c>
      <c r="C838" s="57" t="s">
        <v>265</v>
      </c>
      <c r="D838" s="57" t="s">
        <v>275</v>
      </c>
      <c r="E838" s="57"/>
      <c r="F838" s="38" t="s">
        <v>275</v>
      </c>
      <c r="G838" s="39">
        <v>5082</v>
      </c>
      <c r="H838" s="39">
        <v>598</v>
      </c>
      <c r="I838" s="39">
        <v>172</v>
      </c>
      <c r="J838" s="40">
        <v>89.471830985915503</v>
      </c>
      <c r="K838" s="40"/>
      <c r="L838" s="41">
        <v>4363</v>
      </c>
      <c r="M838" s="41">
        <v>130</v>
      </c>
      <c r="N838" s="41">
        <v>34</v>
      </c>
      <c r="O838" s="40">
        <v>97.106610282661904</v>
      </c>
      <c r="P838" s="42"/>
    </row>
    <row r="839" spans="1:16" ht="15" hidden="1" customHeight="1">
      <c r="A839" s="43">
        <v>833</v>
      </c>
      <c r="B839" s="44" t="s">
        <v>22</v>
      </c>
      <c r="C839" s="44" t="s">
        <v>265</v>
      </c>
      <c r="D839" s="44" t="s">
        <v>275</v>
      </c>
      <c r="E839" s="44"/>
      <c r="F839" s="45" t="s">
        <v>18</v>
      </c>
      <c r="G839" s="46">
        <v>491</v>
      </c>
      <c r="H839" s="46">
        <v>36</v>
      </c>
      <c r="I839" s="46">
        <v>3</v>
      </c>
      <c r="J839" s="47">
        <v>93.168880455408001</v>
      </c>
      <c r="K839" s="47"/>
      <c r="L839" s="48">
        <v>527</v>
      </c>
      <c r="M839" s="48">
        <v>18</v>
      </c>
      <c r="N839" s="48">
        <v>1</v>
      </c>
      <c r="O839" s="47">
        <v>96.697247706422004</v>
      </c>
      <c r="P839" s="49"/>
    </row>
    <row r="840" spans="1:16" ht="15" hidden="1" customHeight="1">
      <c r="A840" s="43">
        <v>834</v>
      </c>
      <c r="B840" s="44" t="s">
        <v>22</v>
      </c>
      <c r="C840" s="44" t="s">
        <v>265</v>
      </c>
      <c r="D840" s="44" t="s">
        <v>275</v>
      </c>
      <c r="E840" s="44"/>
      <c r="F840" s="45" t="s">
        <v>19</v>
      </c>
      <c r="G840" s="46">
        <v>4591</v>
      </c>
      <c r="H840" s="46">
        <v>562</v>
      </c>
      <c r="I840" s="46">
        <v>169</v>
      </c>
      <c r="J840" s="47">
        <v>89.093731806714501</v>
      </c>
      <c r="K840" s="47"/>
      <c r="L840" s="48">
        <v>3836</v>
      </c>
      <c r="M840" s="48">
        <v>112</v>
      </c>
      <c r="N840" s="48">
        <v>33</v>
      </c>
      <c r="O840" s="47">
        <v>97.163120567375898</v>
      </c>
      <c r="P840" s="49"/>
    </row>
    <row r="841" spans="1:16" ht="15" customHeight="1">
      <c r="A841" s="50">
        <v>835</v>
      </c>
      <c r="B841" s="51" t="s">
        <v>24</v>
      </c>
      <c r="C841" s="58" t="s">
        <v>265</v>
      </c>
      <c r="D841" s="58" t="s">
        <v>275</v>
      </c>
      <c r="E841" s="58" t="s">
        <v>276</v>
      </c>
      <c r="F841" s="59" t="s">
        <v>276</v>
      </c>
      <c r="G841" s="52">
        <v>3175</v>
      </c>
      <c r="H841" s="52">
        <v>322</v>
      </c>
      <c r="I841" s="52">
        <v>72</v>
      </c>
      <c r="J841" s="53">
        <v>90.792107520732102</v>
      </c>
      <c r="K841" s="53">
        <f>G841+H841+I841</f>
        <v>3569</v>
      </c>
      <c r="L841" s="54">
        <v>2470</v>
      </c>
      <c r="M841" s="54">
        <v>78</v>
      </c>
      <c r="N841" s="54">
        <v>18</v>
      </c>
      <c r="O841" s="53">
        <v>96.938775510204096</v>
      </c>
      <c r="P841" s="55">
        <f>L841+M841+N841</f>
        <v>2566</v>
      </c>
    </row>
    <row r="842" spans="1:16" ht="15" hidden="1" customHeight="1">
      <c r="A842" s="43">
        <v>836</v>
      </c>
      <c r="B842" s="44" t="s">
        <v>24</v>
      </c>
      <c r="C842" s="44" t="s">
        <v>265</v>
      </c>
      <c r="D842" s="44" t="s">
        <v>275</v>
      </c>
      <c r="E842" s="44" t="s">
        <v>276</v>
      </c>
      <c r="F842" s="45" t="s">
        <v>18</v>
      </c>
      <c r="G842" s="46">
        <v>491</v>
      </c>
      <c r="H842" s="46">
        <v>36</v>
      </c>
      <c r="I842" s="46">
        <v>3</v>
      </c>
      <c r="J842" s="47">
        <v>93.168880455408001</v>
      </c>
      <c r="K842" s="47"/>
      <c r="L842" s="48">
        <v>527</v>
      </c>
      <c r="M842" s="48">
        <v>18</v>
      </c>
      <c r="N842" s="48">
        <v>1</v>
      </c>
      <c r="O842" s="47">
        <v>96.697247706422004</v>
      </c>
      <c r="P842" s="49"/>
    </row>
    <row r="843" spans="1:16" ht="15" hidden="1" customHeight="1">
      <c r="A843" s="43">
        <v>837</v>
      </c>
      <c r="B843" s="44" t="s">
        <v>24</v>
      </c>
      <c r="C843" s="44" t="s">
        <v>265</v>
      </c>
      <c r="D843" s="44" t="s">
        <v>275</v>
      </c>
      <c r="E843" s="44" t="s">
        <v>276</v>
      </c>
      <c r="F843" s="45" t="s">
        <v>19</v>
      </c>
      <c r="G843" s="46">
        <v>2684</v>
      </c>
      <c r="H843" s="46">
        <v>286</v>
      </c>
      <c r="I843" s="46">
        <v>69</v>
      </c>
      <c r="J843" s="47">
        <v>90.370370370370395</v>
      </c>
      <c r="K843" s="47"/>
      <c r="L843" s="48">
        <v>1943</v>
      </c>
      <c r="M843" s="48">
        <v>60</v>
      </c>
      <c r="N843" s="48">
        <v>17</v>
      </c>
      <c r="O843" s="47">
        <v>97.004493260109797</v>
      </c>
      <c r="P843" s="49"/>
    </row>
    <row r="844" spans="1:16" ht="15" customHeight="1">
      <c r="A844" s="50">
        <v>838</v>
      </c>
      <c r="B844" s="51" t="s">
        <v>24</v>
      </c>
      <c r="C844" s="58" t="s">
        <v>265</v>
      </c>
      <c r="D844" s="58" t="s">
        <v>275</v>
      </c>
      <c r="E844" s="58" t="s">
        <v>277</v>
      </c>
      <c r="F844" s="59" t="s">
        <v>277</v>
      </c>
      <c r="G844" s="52">
        <v>860</v>
      </c>
      <c r="H844" s="52">
        <v>51</v>
      </c>
      <c r="I844" s="52">
        <v>18</v>
      </c>
      <c r="J844" s="53">
        <v>94.401756311745302</v>
      </c>
      <c r="K844" s="53">
        <f>G844+H844+I844</f>
        <v>929</v>
      </c>
      <c r="L844" s="54">
        <v>671</v>
      </c>
      <c r="M844" s="54">
        <v>19</v>
      </c>
      <c r="N844" s="54">
        <v>2</v>
      </c>
      <c r="O844" s="53">
        <v>97.246376811594203</v>
      </c>
      <c r="P844" s="55">
        <f>L844+M844+N844</f>
        <v>692</v>
      </c>
    </row>
    <row r="845" spans="1:16" ht="15" hidden="1" customHeight="1">
      <c r="A845" s="43">
        <v>839</v>
      </c>
      <c r="B845" s="44" t="s">
        <v>24</v>
      </c>
      <c r="C845" s="44" t="s">
        <v>265</v>
      </c>
      <c r="D845" s="44" t="s">
        <v>275</v>
      </c>
      <c r="E845" s="44" t="s">
        <v>277</v>
      </c>
      <c r="F845" s="45" t="s">
        <v>18</v>
      </c>
      <c r="G845" s="46"/>
      <c r="H845" s="46"/>
      <c r="I845" s="46"/>
      <c r="J845" s="47"/>
      <c r="K845" s="47"/>
      <c r="L845" s="48"/>
      <c r="M845" s="48"/>
      <c r="N845" s="48"/>
      <c r="O845" s="47"/>
      <c r="P845" s="49"/>
    </row>
    <row r="846" spans="1:16" ht="15" hidden="1" customHeight="1">
      <c r="A846" s="43">
        <v>840</v>
      </c>
      <c r="B846" s="44" t="s">
        <v>24</v>
      </c>
      <c r="C846" s="44" t="s">
        <v>265</v>
      </c>
      <c r="D846" s="44" t="s">
        <v>275</v>
      </c>
      <c r="E846" s="44" t="s">
        <v>277</v>
      </c>
      <c r="F846" s="45" t="s">
        <v>19</v>
      </c>
      <c r="G846" s="46">
        <v>860</v>
      </c>
      <c r="H846" s="46">
        <v>51</v>
      </c>
      <c r="I846" s="46">
        <v>18</v>
      </c>
      <c r="J846" s="47">
        <v>94.401756311745302</v>
      </c>
      <c r="K846" s="47"/>
      <c r="L846" s="48">
        <v>671</v>
      </c>
      <c r="M846" s="48">
        <v>19</v>
      </c>
      <c r="N846" s="48">
        <v>2</v>
      </c>
      <c r="O846" s="47">
        <v>97.246376811594203</v>
      </c>
      <c r="P846" s="49"/>
    </row>
    <row r="847" spans="1:16" ht="15" customHeight="1">
      <c r="A847" s="50">
        <v>841</v>
      </c>
      <c r="B847" s="51" t="s">
        <v>24</v>
      </c>
      <c r="C847" s="58" t="s">
        <v>265</v>
      </c>
      <c r="D847" s="58" t="s">
        <v>275</v>
      </c>
      <c r="E847" s="58" t="s">
        <v>278</v>
      </c>
      <c r="F847" s="59" t="s">
        <v>278</v>
      </c>
      <c r="G847" s="52">
        <v>1047</v>
      </c>
      <c r="H847" s="52">
        <v>225</v>
      </c>
      <c r="I847" s="52">
        <v>82</v>
      </c>
      <c r="J847" s="53">
        <v>82.311320754717002</v>
      </c>
      <c r="K847" s="53">
        <f>G847+H847+I847</f>
        <v>1354</v>
      </c>
      <c r="L847" s="54">
        <v>1222</v>
      </c>
      <c r="M847" s="54">
        <v>33</v>
      </c>
      <c r="N847" s="54">
        <v>14</v>
      </c>
      <c r="O847" s="53">
        <v>97.370517928286802</v>
      </c>
      <c r="P847" s="55">
        <f>L847+M847+N847</f>
        <v>1269</v>
      </c>
    </row>
    <row r="848" spans="1:16" ht="15" hidden="1" customHeight="1">
      <c r="A848" s="43">
        <v>842</v>
      </c>
      <c r="B848" s="44" t="s">
        <v>24</v>
      </c>
      <c r="C848" s="44" t="s">
        <v>265</v>
      </c>
      <c r="D848" s="44" t="s">
        <v>275</v>
      </c>
      <c r="E848" s="44" t="s">
        <v>278</v>
      </c>
      <c r="F848" s="45" t="s">
        <v>18</v>
      </c>
      <c r="G848" s="46"/>
      <c r="H848" s="46"/>
      <c r="I848" s="46"/>
      <c r="J848" s="47"/>
      <c r="K848" s="47"/>
      <c r="L848" s="48"/>
      <c r="M848" s="48"/>
      <c r="N848" s="48"/>
      <c r="O848" s="47"/>
      <c r="P848" s="49"/>
    </row>
    <row r="849" spans="1:16" ht="15" hidden="1" customHeight="1">
      <c r="A849" s="43">
        <v>843</v>
      </c>
      <c r="B849" s="44" t="s">
        <v>24</v>
      </c>
      <c r="C849" s="44" t="s">
        <v>265</v>
      </c>
      <c r="D849" s="44" t="s">
        <v>275</v>
      </c>
      <c r="E849" s="44" t="s">
        <v>278</v>
      </c>
      <c r="F849" s="45" t="s">
        <v>19</v>
      </c>
      <c r="G849" s="46">
        <v>1047</v>
      </c>
      <c r="H849" s="46">
        <v>225</v>
      </c>
      <c r="I849" s="46">
        <v>82</v>
      </c>
      <c r="J849" s="47">
        <v>82.311320754717002</v>
      </c>
      <c r="K849" s="47"/>
      <c r="L849" s="48">
        <v>1222</v>
      </c>
      <c r="M849" s="48">
        <v>33</v>
      </c>
      <c r="N849" s="48">
        <v>14</v>
      </c>
      <c r="O849" s="47">
        <v>97.370517928286802</v>
      </c>
      <c r="P849" s="49"/>
    </row>
    <row r="850" spans="1:16" ht="15" hidden="1" customHeight="1">
      <c r="A850" s="37">
        <v>844</v>
      </c>
      <c r="B850" s="38" t="s">
        <v>22</v>
      </c>
      <c r="C850" s="57" t="s">
        <v>265</v>
      </c>
      <c r="D850" s="57" t="s">
        <v>272</v>
      </c>
      <c r="E850" s="57"/>
      <c r="F850" s="38" t="s">
        <v>272</v>
      </c>
      <c r="G850" s="39">
        <v>10035</v>
      </c>
      <c r="H850" s="39">
        <v>1627</v>
      </c>
      <c r="I850" s="39">
        <v>402</v>
      </c>
      <c r="J850" s="40">
        <v>86.048705196364295</v>
      </c>
      <c r="K850" s="40"/>
      <c r="L850" s="41">
        <v>8388</v>
      </c>
      <c r="M850" s="41">
        <v>219</v>
      </c>
      <c r="N850" s="41">
        <v>161</v>
      </c>
      <c r="O850" s="40">
        <v>97.455559428372297</v>
      </c>
      <c r="P850" s="42"/>
    </row>
    <row r="851" spans="1:16" ht="15" hidden="1" customHeight="1">
      <c r="A851" s="43">
        <v>845</v>
      </c>
      <c r="B851" s="44" t="s">
        <v>22</v>
      </c>
      <c r="C851" s="44" t="s">
        <v>265</v>
      </c>
      <c r="D851" s="44" t="s">
        <v>272</v>
      </c>
      <c r="E851" s="44"/>
      <c r="F851" s="45" t="s">
        <v>18</v>
      </c>
      <c r="G851" s="46">
        <v>487</v>
      </c>
      <c r="H851" s="46">
        <v>40</v>
      </c>
      <c r="I851" s="46">
        <v>11</v>
      </c>
      <c r="J851" s="47">
        <v>92.409867172675504</v>
      </c>
      <c r="K851" s="47"/>
      <c r="L851" s="48">
        <v>712</v>
      </c>
      <c r="M851" s="48">
        <v>13</v>
      </c>
      <c r="N851" s="48">
        <v>4</v>
      </c>
      <c r="O851" s="47">
        <v>98.2068965517241</v>
      </c>
      <c r="P851" s="49"/>
    </row>
    <row r="852" spans="1:16" ht="15" hidden="1" customHeight="1">
      <c r="A852" s="43">
        <v>846</v>
      </c>
      <c r="B852" s="44" t="s">
        <v>22</v>
      </c>
      <c r="C852" s="44" t="s">
        <v>265</v>
      </c>
      <c r="D852" s="44" t="s">
        <v>272</v>
      </c>
      <c r="E852" s="44"/>
      <c r="F852" s="45" t="s">
        <v>19</v>
      </c>
      <c r="G852" s="46">
        <v>9548</v>
      </c>
      <c r="H852" s="46">
        <v>1587</v>
      </c>
      <c r="I852" s="46">
        <v>391</v>
      </c>
      <c r="J852" s="47">
        <v>85.747642568477801</v>
      </c>
      <c r="K852" s="47"/>
      <c r="L852" s="48">
        <v>7676</v>
      </c>
      <c r="M852" s="48">
        <v>206</v>
      </c>
      <c r="N852" s="48">
        <v>157</v>
      </c>
      <c r="O852" s="47">
        <v>97.386450139558505</v>
      </c>
      <c r="P852" s="49"/>
    </row>
    <row r="853" spans="1:16" ht="15" customHeight="1">
      <c r="A853" s="50">
        <v>847</v>
      </c>
      <c r="B853" s="51" t="s">
        <v>24</v>
      </c>
      <c r="C853" s="58" t="s">
        <v>265</v>
      </c>
      <c r="D853" s="58" t="s">
        <v>272</v>
      </c>
      <c r="E853" s="58" t="s">
        <v>279</v>
      </c>
      <c r="F853" s="59" t="s">
        <v>279</v>
      </c>
      <c r="G853" s="52">
        <v>1531</v>
      </c>
      <c r="H853" s="52">
        <v>341</v>
      </c>
      <c r="I853" s="52">
        <v>63</v>
      </c>
      <c r="J853" s="53">
        <v>81.784188034188006</v>
      </c>
      <c r="K853" s="53">
        <f>G853+H853+I853</f>
        <v>1935</v>
      </c>
      <c r="L853" s="54">
        <v>1501</v>
      </c>
      <c r="M853" s="54">
        <v>43</v>
      </c>
      <c r="N853" s="54">
        <v>41</v>
      </c>
      <c r="O853" s="53">
        <v>97.215025906735704</v>
      </c>
      <c r="P853" s="55">
        <f>L853+M853+N853</f>
        <v>1585</v>
      </c>
    </row>
    <row r="854" spans="1:16" ht="15" hidden="1" customHeight="1">
      <c r="A854" s="43">
        <v>848</v>
      </c>
      <c r="B854" s="44" t="s">
        <v>24</v>
      </c>
      <c r="C854" s="44" t="s">
        <v>265</v>
      </c>
      <c r="D854" s="44" t="s">
        <v>272</v>
      </c>
      <c r="E854" s="44" t="s">
        <v>279</v>
      </c>
      <c r="F854" s="45" t="s">
        <v>18</v>
      </c>
      <c r="G854" s="46">
        <v>487</v>
      </c>
      <c r="H854" s="46">
        <v>40</v>
      </c>
      <c r="I854" s="46">
        <v>11</v>
      </c>
      <c r="J854" s="47">
        <v>92.409867172675504</v>
      </c>
      <c r="K854" s="47"/>
      <c r="L854" s="48">
        <v>561</v>
      </c>
      <c r="M854" s="48">
        <v>9</v>
      </c>
      <c r="N854" s="48">
        <v>2</v>
      </c>
      <c r="O854" s="47">
        <v>98.421052631578902</v>
      </c>
      <c r="P854" s="49"/>
    </row>
    <row r="855" spans="1:16" ht="15" hidden="1" customHeight="1">
      <c r="A855" s="43">
        <v>849</v>
      </c>
      <c r="B855" s="44" t="s">
        <v>24</v>
      </c>
      <c r="C855" s="44" t="s">
        <v>265</v>
      </c>
      <c r="D855" s="44" t="s">
        <v>272</v>
      </c>
      <c r="E855" s="44" t="s">
        <v>279</v>
      </c>
      <c r="F855" s="45" t="s">
        <v>19</v>
      </c>
      <c r="G855" s="46">
        <v>1044</v>
      </c>
      <c r="H855" s="46">
        <v>301</v>
      </c>
      <c r="I855" s="46">
        <v>52</v>
      </c>
      <c r="J855" s="47">
        <v>77.620817843866206</v>
      </c>
      <c r="K855" s="47"/>
      <c r="L855" s="48">
        <v>940</v>
      </c>
      <c r="M855" s="48">
        <v>34</v>
      </c>
      <c r="N855" s="48">
        <v>39</v>
      </c>
      <c r="O855" s="47">
        <v>96.509240246406605</v>
      </c>
      <c r="P855" s="49"/>
    </row>
    <row r="856" spans="1:16" ht="15" customHeight="1">
      <c r="A856" s="50">
        <v>850</v>
      </c>
      <c r="B856" s="51" t="s">
        <v>24</v>
      </c>
      <c r="C856" s="58" t="s">
        <v>265</v>
      </c>
      <c r="D856" s="58" t="s">
        <v>272</v>
      </c>
      <c r="E856" s="58" t="s">
        <v>280</v>
      </c>
      <c r="F856" s="59" t="s">
        <v>280</v>
      </c>
      <c r="G856" s="52">
        <v>2024</v>
      </c>
      <c r="H856" s="52">
        <v>282</v>
      </c>
      <c r="I856" s="52">
        <v>109</v>
      </c>
      <c r="J856" s="53">
        <v>87.771032090199498</v>
      </c>
      <c r="K856" s="53">
        <f>G856+H856+I856</f>
        <v>2415</v>
      </c>
      <c r="L856" s="54">
        <v>1101</v>
      </c>
      <c r="M856" s="54">
        <v>14</v>
      </c>
      <c r="N856" s="54">
        <v>20</v>
      </c>
      <c r="O856" s="53">
        <v>98.744394618834093</v>
      </c>
      <c r="P856" s="55">
        <f>L856+M856+N856</f>
        <v>1135</v>
      </c>
    </row>
    <row r="857" spans="1:16" ht="15" hidden="1" customHeight="1">
      <c r="A857" s="43">
        <v>851</v>
      </c>
      <c r="B857" s="44" t="s">
        <v>24</v>
      </c>
      <c r="C857" s="44" t="s">
        <v>265</v>
      </c>
      <c r="D857" s="44" t="s">
        <v>272</v>
      </c>
      <c r="E857" s="44" t="s">
        <v>280</v>
      </c>
      <c r="F857" s="45" t="s">
        <v>18</v>
      </c>
      <c r="G857" s="46"/>
      <c r="H857" s="46"/>
      <c r="I857" s="46"/>
      <c r="J857" s="47"/>
      <c r="K857" s="47"/>
      <c r="L857" s="48"/>
      <c r="M857" s="48"/>
      <c r="N857" s="48"/>
      <c r="O857" s="47"/>
      <c r="P857" s="49"/>
    </row>
    <row r="858" spans="1:16" ht="15" hidden="1" customHeight="1">
      <c r="A858" s="43">
        <v>852</v>
      </c>
      <c r="B858" s="44" t="s">
        <v>24</v>
      </c>
      <c r="C858" s="44" t="s">
        <v>265</v>
      </c>
      <c r="D858" s="44" t="s">
        <v>272</v>
      </c>
      <c r="E858" s="44" t="s">
        <v>280</v>
      </c>
      <c r="F858" s="45" t="s">
        <v>19</v>
      </c>
      <c r="G858" s="46">
        <v>2024</v>
      </c>
      <c r="H858" s="46">
        <v>282</v>
      </c>
      <c r="I858" s="46">
        <v>109</v>
      </c>
      <c r="J858" s="47">
        <v>87.771032090199498</v>
      </c>
      <c r="K858" s="47"/>
      <c r="L858" s="48">
        <v>1101</v>
      </c>
      <c r="M858" s="48">
        <v>14</v>
      </c>
      <c r="N858" s="48">
        <v>20</v>
      </c>
      <c r="O858" s="47">
        <v>98.744394618834093</v>
      </c>
      <c r="P858" s="49"/>
    </row>
    <row r="859" spans="1:16" ht="15" customHeight="1">
      <c r="A859" s="50">
        <v>853</v>
      </c>
      <c r="B859" s="51" t="s">
        <v>24</v>
      </c>
      <c r="C859" s="58" t="s">
        <v>265</v>
      </c>
      <c r="D859" s="58" t="s">
        <v>272</v>
      </c>
      <c r="E859" s="58" t="s">
        <v>281</v>
      </c>
      <c r="F859" s="59" t="s">
        <v>281</v>
      </c>
      <c r="G859" s="52">
        <v>2574</v>
      </c>
      <c r="H859" s="52">
        <v>351</v>
      </c>
      <c r="I859" s="52">
        <v>105</v>
      </c>
      <c r="J859" s="53">
        <v>88</v>
      </c>
      <c r="K859" s="53">
        <f>G859+H859+I859</f>
        <v>3030</v>
      </c>
      <c r="L859" s="54">
        <v>2847</v>
      </c>
      <c r="M859" s="54">
        <v>68</v>
      </c>
      <c r="N859" s="54">
        <v>46</v>
      </c>
      <c r="O859" s="53">
        <v>97.667238421955403</v>
      </c>
      <c r="P859" s="55">
        <f>L859+M859+N859</f>
        <v>2961</v>
      </c>
    </row>
    <row r="860" spans="1:16" ht="15" hidden="1" customHeight="1">
      <c r="A860" s="43">
        <v>854</v>
      </c>
      <c r="B860" s="44" t="s">
        <v>24</v>
      </c>
      <c r="C860" s="44" t="s">
        <v>265</v>
      </c>
      <c r="D860" s="44" t="s">
        <v>272</v>
      </c>
      <c r="E860" s="44" t="s">
        <v>281</v>
      </c>
      <c r="F860" s="45" t="s">
        <v>18</v>
      </c>
      <c r="G860" s="46"/>
      <c r="H860" s="46"/>
      <c r="I860" s="46"/>
      <c r="J860" s="47"/>
      <c r="K860" s="47"/>
      <c r="L860" s="48">
        <v>151</v>
      </c>
      <c r="M860" s="48">
        <v>4</v>
      </c>
      <c r="N860" s="48">
        <v>2</v>
      </c>
      <c r="O860" s="47">
        <v>97.419354838709694</v>
      </c>
      <c r="P860" s="49"/>
    </row>
    <row r="861" spans="1:16" ht="15" hidden="1" customHeight="1">
      <c r="A861" s="43">
        <v>855</v>
      </c>
      <c r="B861" s="44" t="s">
        <v>24</v>
      </c>
      <c r="C861" s="44" t="s">
        <v>265</v>
      </c>
      <c r="D861" s="44" t="s">
        <v>272</v>
      </c>
      <c r="E861" s="44" t="s">
        <v>281</v>
      </c>
      <c r="F861" s="45" t="s">
        <v>19</v>
      </c>
      <c r="G861" s="46">
        <v>2574</v>
      </c>
      <c r="H861" s="46">
        <v>351</v>
      </c>
      <c r="I861" s="46">
        <v>105</v>
      </c>
      <c r="J861" s="47">
        <v>88</v>
      </c>
      <c r="K861" s="47"/>
      <c r="L861" s="48">
        <v>2696</v>
      </c>
      <c r="M861" s="48">
        <v>64</v>
      </c>
      <c r="N861" s="48">
        <v>44</v>
      </c>
      <c r="O861" s="47">
        <v>97.681159420289902</v>
      </c>
      <c r="P861" s="49"/>
    </row>
    <row r="862" spans="1:16" ht="15" customHeight="1">
      <c r="A862" s="50">
        <v>856</v>
      </c>
      <c r="B862" s="51" t="s">
        <v>24</v>
      </c>
      <c r="C862" s="58" t="s">
        <v>265</v>
      </c>
      <c r="D862" s="58" t="s">
        <v>272</v>
      </c>
      <c r="E862" s="58" t="s">
        <v>282</v>
      </c>
      <c r="F862" s="59" t="s">
        <v>282</v>
      </c>
      <c r="G862" s="52">
        <v>1648</v>
      </c>
      <c r="H862" s="52">
        <v>398</v>
      </c>
      <c r="I862" s="52">
        <v>48</v>
      </c>
      <c r="J862" s="53">
        <v>80.547409579667601</v>
      </c>
      <c r="K862" s="53">
        <f>G862+H862+I862</f>
        <v>2094</v>
      </c>
      <c r="L862" s="54">
        <v>1162</v>
      </c>
      <c r="M862" s="54">
        <v>29</v>
      </c>
      <c r="N862" s="54">
        <v>19</v>
      </c>
      <c r="O862" s="53">
        <v>97.565071368597799</v>
      </c>
      <c r="P862" s="55">
        <f>L862+M862+N862</f>
        <v>1210</v>
      </c>
    </row>
    <row r="863" spans="1:16" ht="15" hidden="1" customHeight="1">
      <c r="A863" s="43">
        <v>857</v>
      </c>
      <c r="B863" s="44" t="s">
        <v>24</v>
      </c>
      <c r="C863" s="44" t="s">
        <v>265</v>
      </c>
      <c r="D863" s="44" t="s">
        <v>272</v>
      </c>
      <c r="E863" s="44" t="s">
        <v>282</v>
      </c>
      <c r="F863" s="45" t="s">
        <v>18</v>
      </c>
      <c r="G863" s="46"/>
      <c r="H863" s="46"/>
      <c r="I863" s="46"/>
      <c r="J863" s="47"/>
      <c r="K863" s="47"/>
      <c r="L863" s="48"/>
      <c r="M863" s="48"/>
      <c r="N863" s="48"/>
      <c r="O863" s="47"/>
      <c r="P863" s="49"/>
    </row>
    <row r="864" spans="1:16" ht="15" hidden="1" customHeight="1">
      <c r="A864" s="43">
        <v>858</v>
      </c>
      <c r="B864" s="44" t="s">
        <v>24</v>
      </c>
      <c r="C864" s="44" t="s">
        <v>265</v>
      </c>
      <c r="D864" s="44" t="s">
        <v>272</v>
      </c>
      <c r="E864" s="44" t="s">
        <v>282</v>
      </c>
      <c r="F864" s="45" t="s">
        <v>19</v>
      </c>
      <c r="G864" s="46">
        <v>1648</v>
      </c>
      <c r="H864" s="46">
        <v>398</v>
      </c>
      <c r="I864" s="46">
        <v>48</v>
      </c>
      <c r="J864" s="47">
        <v>80.547409579667601</v>
      </c>
      <c r="K864" s="47"/>
      <c r="L864" s="48">
        <v>1162</v>
      </c>
      <c r="M864" s="48">
        <v>29</v>
      </c>
      <c r="N864" s="48">
        <v>19</v>
      </c>
      <c r="O864" s="47">
        <v>97.565071368597799</v>
      </c>
      <c r="P864" s="49"/>
    </row>
    <row r="865" spans="1:16" ht="15" customHeight="1">
      <c r="A865" s="50">
        <v>859</v>
      </c>
      <c r="B865" s="51" t="s">
        <v>24</v>
      </c>
      <c r="C865" s="58" t="s">
        <v>265</v>
      </c>
      <c r="D865" s="58" t="s">
        <v>272</v>
      </c>
      <c r="E865" s="58" t="s">
        <v>283</v>
      </c>
      <c r="F865" s="59" t="s">
        <v>283</v>
      </c>
      <c r="G865" s="52">
        <v>2258</v>
      </c>
      <c r="H865" s="52">
        <v>255</v>
      </c>
      <c r="I865" s="52">
        <v>77</v>
      </c>
      <c r="J865" s="53">
        <v>89.8527656187823</v>
      </c>
      <c r="K865" s="53">
        <f>G865+H865+I865</f>
        <v>2590</v>
      </c>
      <c r="L865" s="54">
        <v>1777</v>
      </c>
      <c r="M865" s="54">
        <v>65</v>
      </c>
      <c r="N865" s="54">
        <v>35</v>
      </c>
      <c r="O865" s="53">
        <v>96.471226927252999</v>
      </c>
      <c r="P865" s="55">
        <f>L865+M865+N865</f>
        <v>1877</v>
      </c>
    </row>
    <row r="866" spans="1:16" ht="15" hidden="1" customHeight="1">
      <c r="A866" s="43">
        <v>860</v>
      </c>
      <c r="B866" s="44" t="s">
        <v>24</v>
      </c>
      <c r="C866" s="44" t="s">
        <v>265</v>
      </c>
      <c r="D866" s="44" t="s">
        <v>272</v>
      </c>
      <c r="E866" s="44" t="s">
        <v>283</v>
      </c>
      <c r="F866" s="45" t="s">
        <v>18</v>
      </c>
      <c r="G866" s="46"/>
      <c r="H866" s="46"/>
      <c r="I866" s="46"/>
      <c r="J866" s="47"/>
      <c r="K866" s="47"/>
      <c r="L866" s="48"/>
      <c r="M866" s="48"/>
      <c r="N866" s="48"/>
      <c r="O866" s="47"/>
      <c r="P866" s="49"/>
    </row>
    <row r="867" spans="1:16" ht="15" hidden="1" customHeight="1">
      <c r="A867" s="43">
        <v>861</v>
      </c>
      <c r="B867" s="44" t="s">
        <v>24</v>
      </c>
      <c r="C867" s="44" t="s">
        <v>265</v>
      </c>
      <c r="D867" s="44" t="s">
        <v>272</v>
      </c>
      <c r="E867" s="44" t="s">
        <v>283</v>
      </c>
      <c r="F867" s="45" t="s">
        <v>19</v>
      </c>
      <c r="G867" s="46">
        <v>2258</v>
      </c>
      <c r="H867" s="46">
        <v>255</v>
      </c>
      <c r="I867" s="46">
        <v>77</v>
      </c>
      <c r="J867" s="47">
        <v>89.8527656187823</v>
      </c>
      <c r="K867" s="47"/>
      <c r="L867" s="48">
        <v>1777</v>
      </c>
      <c r="M867" s="48">
        <v>65</v>
      </c>
      <c r="N867" s="48">
        <v>35</v>
      </c>
      <c r="O867" s="47">
        <v>96.471226927252999</v>
      </c>
      <c r="P867" s="49"/>
    </row>
    <row r="868" spans="1:16" ht="15" hidden="1" customHeight="1">
      <c r="A868" s="37">
        <v>862</v>
      </c>
      <c r="B868" s="38" t="s">
        <v>22</v>
      </c>
      <c r="C868" s="57" t="s">
        <v>265</v>
      </c>
      <c r="D868" s="57" t="s">
        <v>284</v>
      </c>
      <c r="E868" s="57"/>
      <c r="F868" s="38" t="s">
        <v>284</v>
      </c>
      <c r="G868" s="39">
        <v>3719</v>
      </c>
      <c r="H868" s="39">
        <v>1193</v>
      </c>
      <c r="I868" s="39">
        <v>175</v>
      </c>
      <c r="J868" s="40">
        <v>75.712540716612395</v>
      </c>
      <c r="K868" s="40"/>
      <c r="L868" s="41">
        <v>3602</v>
      </c>
      <c r="M868" s="41">
        <v>102</v>
      </c>
      <c r="N868" s="41">
        <v>53</v>
      </c>
      <c r="O868" s="40">
        <v>97.246220302375804</v>
      </c>
      <c r="P868" s="42"/>
    </row>
    <row r="869" spans="1:16" ht="15" hidden="1" customHeight="1">
      <c r="A869" s="43">
        <v>863</v>
      </c>
      <c r="B869" s="44" t="s">
        <v>22</v>
      </c>
      <c r="C869" s="44" t="s">
        <v>265</v>
      </c>
      <c r="D869" s="44" t="s">
        <v>284</v>
      </c>
      <c r="E869" s="44"/>
      <c r="F869" s="45" t="s">
        <v>18</v>
      </c>
      <c r="G869" s="46"/>
      <c r="H869" s="46"/>
      <c r="I869" s="46"/>
      <c r="J869" s="47"/>
      <c r="K869" s="47"/>
      <c r="L869" s="48"/>
      <c r="M869" s="48"/>
      <c r="N869" s="48"/>
      <c r="O869" s="47"/>
      <c r="P869" s="49"/>
    </row>
    <row r="870" spans="1:16" ht="15" hidden="1" customHeight="1">
      <c r="A870" s="43">
        <v>864</v>
      </c>
      <c r="B870" s="44" t="s">
        <v>22</v>
      </c>
      <c r="C870" s="44" t="s">
        <v>265</v>
      </c>
      <c r="D870" s="44" t="s">
        <v>284</v>
      </c>
      <c r="E870" s="44"/>
      <c r="F870" s="45" t="s">
        <v>19</v>
      </c>
      <c r="G870" s="46">
        <v>3719</v>
      </c>
      <c r="H870" s="46">
        <v>1193</v>
      </c>
      <c r="I870" s="46">
        <v>175</v>
      </c>
      <c r="J870" s="47">
        <v>75.712540716612395</v>
      </c>
      <c r="K870" s="47"/>
      <c r="L870" s="48">
        <v>3602</v>
      </c>
      <c r="M870" s="48">
        <v>102</v>
      </c>
      <c r="N870" s="48">
        <v>53</v>
      </c>
      <c r="O870" s="47">
        <v>97.246220302375804</v>
      </c>
      <c r="P870" s="49"/>
    </row>
    <row r="871" spans="1:16" ht="15" customHeight="1">
      <c r="A871" s="50">
        <v>865</v>
      </c>
      <c r="B871" s="51" t="s">
        <v>24</v>
      </c>
      <c r="C871" s="58" t="s">
        <v>265</v>
      </c>
      <c r="D871" s="58" t="s">
        <v>284</v>
      </c>
      <c r="E871" s="58" t="s">
        <v>285</v>
      </c>
      <c r="F871" s="59" t="s">
        <v>285</v>
      </c>
      <c r="G871" s="52">
        <v>2722</v>
      </c>
      <c r="H871" s="52">
        <v>883</v>
      </c>
      <c r="I871" s="52">
        <v>142</v>
      </c>
      <c r="J871" s="53">
        <v>75.506241331484006</v>
      </c>
      <c r="K871" s="53">
        <f>G871+H871+I871</f>
        <v>3747</v>
      </c>
      <c r="L871" s="54">
        <v>2688</v>
      </c>
      <c r="M871" s="54">
        <v>75</v>
      </c>
      <c r="N871" s="54">
        <v>41</v>
      </c>
      <c r="O871" s="53">
        <v>97.285559174810004</v>
      </c>
      <c r="P871" s="55">
        <f>L871+M871+N871</f>
        <v>2804</v>
      </c>
    </row>
    <row r="872" spans="1:16" ht="15" hidden="1" customHeight="1">
      <c r="A872" s="43">
        <v>866</v>
      </c>
      <c r="B872" s="44" t="s">
        <v>24</v>
      </c>
      <c r="C872" s="44" t="s">
        <v>265</v>
      </c>
      <c r="D872" s="44" t="s">
        <v>284</v>
      </c>
      <c r="E872" s="44" t="s">
        <v>285</v>
      </c>
      <c r="F872" s="45" t="s">
        <v>18</v>
      </c>
      <c r="G872" s="46"/>
      <c r="H872" s="46"/>
      <c r="I872" s="46"/>
      <c r="J872" s="47"/>
      <c r="K872" s="47"/>
      <c r="L872" s="48"/>
      <c r="M872" s="48"/>
      <c r="N872" s="48"/>
      <c r="O872" s="47"/>
      <c r="P872" s="49"/>
    </row>
    <row r="873" spans="1:16" ht="15" hidden="1" customHeight="1">
      <c r="A873" s="43">
        <v>867</v>
      </c>
      <c r="B873" s="44" t="s">
        <v>24</v>
      </c>
      <c r="C873" s="44" t="s">
        <v>265</v>
      </c>
      <c r="D873" s="44" t="s">
        <v>284</v>
      </c>
      <c r="E873" s="44" t="s">
        <v>285</v>
      </c>
      <c r="F873" s="45" t="s">
        <v>19</v>
      </c>
      <c r="G873" s="46">
        <v>2722</v>
      </c>
      <c r="H873" s="46">
        <v>883</v>
      </c>
      <c r="I873" s="46">
        <v>142</v>
      </c>
      <c r="J873" s="47">
        <v>75.506241331484006</v>
      </c>
      <c r="K873" s="47"/>
      <c r="L873" s="48">
        <v>2688</v>
      </c>
      <c r="M873" s="48">
        <v>75</v>
      </c>
      <c r="N873" s="48">
        <v>41</v>
      </c>
      <c r="O873" s="47">
        <v>97.285559174810004</v>
      </c>
      <c r="P873" s="49"/>
    </row>
    <row r="874" spans="1:16" ht="15" customHeight="1">
      <c r="A874" s="50">
        <v>868</v>
      </c>
      <c r="B874" s="51" t="s">
        <v>24</v>
      </c>
      <c r="C874" s="58" t="s">
        <v>265</v>
      </c>
      <c r="D874" s="58" t="s">
        <v>284</v>
      </c>
      <c r="E874" s="58" t="s">
        <v>286</v>
      </c>
      <c r="F874" s="59" t="s">
        <v>286</v>
      </c>
      <c r="G874" s="52">
        <v>997</v>
      </c>
      <c r="H874" s="52">
        <v>310</v>
      </c>
      <c r="I874" s="52">
        <v>33</v>
      </c>
      <c r="J874" s="53">
        <v>76.281560826319804</v>
      </c>
      <c r="K874" s="53">
        <f>G874+H874+I874</f>
        <v>1340</v>
      </c>
      <c r="L874" s="54">
        <v>914</v>
      </c>
      <c r="M874" s="54">
        <v>27</v>
      </c>
      <c r="N874" s="54">
        <v>12</v>
      </c>
      <c r="O874" s="53">
        <v>97.130712008501604</v>
      </c>
      <c r="P874" s="55">
        <f>L874+M874+N874</f>
        <v>953</v>
      </c>
    </row>
    <row r="875" spans="1:16" ht="15" hidden="1" customHeight="1">
      <c r="A875" s="43">
        <v>869</v>
      </c>
      <c r="B875" s="44" t="s">
        <v>24</v>
      </c>
      <c r="C875" s="44" t="s">
        <v>265</v>
      </c>
      <c r="D875" s="44" t="s">
        <v>284</v>
      </c>
      <c r="E875" s="44" t="s">
        <v>286</v>
      </c>
      <c r="F875" s="45" t="s">
        <v>18</v>
      </c>
      <c r="G875" s="46"/>
      <c r="H875" s="46"/>
      <c r="I875" s="46"/>
      <c r="J875" s="47"/>
      <c r="K875" s="47"/>
      <c r="L875" s="48"/>
      <c r="M875" s="48"/>
      <c r="N875" s="48"/>
      <c r="O875" s="47"/>
      <c r="P875" s="49"/>
    </row>
    <row r="876" spans="1:16" ht="15" hidden="1" customHeight="1">
      <c r="A876" s="43">
        <v>870</v>
      </c>
      <c r="B876" s="44" t="s">
        <v>24</v>
      </c>
      <c r="C876" s="44" t="s">
        <v>265</v>
      </c>
      <c r="D876" s="44" t="s">
        <v>284</v>
      </c>
      <c r="E876" s="44" t="s">
        <v>286</v>
      </c>
      <c r="F876" s="45" t="s">
        <v>19</v>
      </c>
      <c r="G876" s="46">
        <v>997</v>
      </c>
      <c r="H876" s="46">
        <v>310</v>
      </c>
      <c r="I876" s="46">
        <v>33</v>
      </c>
      <c r="J876" s="47">
        <v>76.281560826319804</v>
      </c>
      <c r="K876" s="47"/>
      <c r="L876" s="48">
        <v>914</v>
      </c>
      <c r="M876" s="48">
        <v>27</v>
      </c>
      <c r="N876" s="48">
        <v>12</v>
      </c>
      <c r="O876" s="47">
        <v>97.130712008501604</v>
      </c>
      <c r="P876" s="49"/>
    </row>
    <row r="877" spans="1:16" ht="15" hidden="1" customHeight="1">
      <c r="A877" s="37">
        <v>871</v>
      </c>
      <c r="B877" s="38" t="s">
        <v>22</v>
      </c>
      <c r="C877" s="57" t="s">
        <v>265</v>
      </c>
      <c r="D877" s="57" t="s">
        <v>287</v>
      </c>
      <c r="E877" s="57"/>
      <c r="F877" s="38" t="s">
        <v>287</v>
      </c>
      <c r="G877" s="39">
        <v>3828</v>
      </c>
      <c r="H877" s="39">
        <v>365</v>
      </c>
      <c r="I877" s="39">
        <v>98</v>
      </c>
      <c r="J877" s="40">
        <v>91.295015502027198</v>
      </c>
      <c r="K877" s="40"/>
      <c r="L877" s="41">
        <v>2493</v>
      </c>
      <c r="M877" s="41">
        <v>146</v>
      </c>
      <c r="N877" s="41">
        <v>27</v>
      </c>
      <c r="O877" s="40">
        <v>94.467601364153097</v>
      </c>
      <c r="P877" s="42"/>
    </row>
    <row r="878" spans="1:16" ht="15" hidden="1" customHeight="1">
      <c r="A878" s="43">
        <v>872</v>
      </c>
      <c r="B878" s="44" t="s">
        <v>22</v>
      </c>
      <c r="C878" s="44" t="s">
        <v>265</v>
      </c>
      <c r="D878" s="44" t="s">
        <v>287</v>
      </c>
      <c r="E878" s="44"/>
      <c r="F878" s="45" t="s">
        <v>18</v>
      </c>
      <c r="G878" s="46">
        <v>766</v>
      </c>
      <c r="H878" s="46">
        <v>31</v>
      </c>
      <c r="I878" s="46">
        <v>10</v>
      </c>
      <c r="J878" s="47">
        <v>96.110414052697607</v>
      </c>
      <c r="K878" s="47"/>
      <c r="L878" s="48">
        <v>239</v>
      </c>
      <c r="M878" s="48">
        <v>2</v>
      </c>
      <c r="N878" s="48">
        <v>2</v>
      </c>
      <c r="O878" s="47">
        <v>99.170124481327804</v>
      </c>
      <c r="P878" s="49"/>
    </row>
    <row r="879" spans="1:16" ht="15" hidden="1" customHeight="1">
      <c r="A879" s="43">
        <v>873</v>
      </c>
      <c r="B879" s="44" t="s">
        <v>22</v>
      </c>
      <c r="C879" s="44" t="s">
        <v>265</v>
      </c>
      <c r="D879" s="44" t="s">
        <v>287</v>
      </c>
      <c r="E879" s="44"/>
      <c r="F879" s="45" t="s">
        <v>19</v>
      </c>
      <c r="G879" s="46">
        <v>3062</v>
      </c>
      <c r="H879" s="46">
        <v>334</v>
      </c>
      <c r="I879" s="46">
        <v>88</v>
      </c>
      <c r="J879" s="47">
        <v>90.164899882214399</v>
      </c>
      <c r="K879" s="47"/>
      <c r="L879" s="48">
        <v>2254</v>
      </c>
      <c r="M879" s="48">
        <v>144</v>
      </c>
      <c r="N879" s="48">
        <v>25</v>
      </c>
      <c r="O879" s="47">
        <v>93.994995829858198</v>
      </c>
      <c r="P879" s="49"/>
    </row>
    <row r="880" spans="1:16" ht="15" customHeight="1">
      <c r="A880" s="50">
        <v>874</v>
      </c>
      <c r="B880" s="51" t="s">
        <v>24</v>
      </c>
      <c r="C880" s="58" t="s">
        <v>265</v>
      </c>
      <c r="D880" s="58" t="s">
        <v>287</v>
      </c>
      <c r="E880" s="58" t="s">
        <v>288</v>
      </c>
      <c r="F880" s="59" t="s">
        <v>288</v>
      </c>
      <c r="G880" s="52">
        <v>2910</v>
      </c>
      <c r="H880" s="52">
        <v>277</v>
      </c>
      <c r="I880" s="52">
        <v>77</v>
      </c>
      <c r="J880" s="53">
        <v>91.308440539692498</v>
      </c>
      <c r="K880" s="53">
        <f>G880+H880+I880</f>
        <v>3264</v>
      </c>
      <c r="L880" s="54">
        <v>1893</v>
      </c>
      <c r="M880" s="54">
        <v>117</v>
      </c>
      <c r="N880" s="54">
        <v>20</v>
      </c>
      <c r="O880" s="53">
        <v>94.179104477611901</v>
      </c>
      <c r="P880" s="55">
        <f>L880+M880+N880</f>
        <v>2030</v>
      </c>
    </row>
    <row r="881" spans="1:16" ht="15" hidden="1" customHeight="1">
      <c r="A881" s="43">
        <v>875</v>
      </c>
      <c r="B881" s="44" t="s">
        <v>24</v>
      </c>
      <c r="C881" s="44" t="s">
        <v>265</v>
      </c>
      <c r="D881" s="44" t="s">
        <v>287</v>
      </c>
      <c r="E881" s="44" t="s">
        <v>288</v>
      </c>
      <c r="F881" s="45" t="s">
        <v>18</v>
      </c>
      <c r="G881" s="46">
        <v>766</v>
      </c>
      <c r="H881" s="46">
        <v>31</v>
      </c>
      <c r="I881" s="46">
        <v>10</v>
      </c>
      <c r="J881" s="47">
        <v>96.110414052697607</v>
      </c>
      <c r="K881" s="47"/>
      <c r="L881" s="48">
        <v>239</v>
      </c>
      <c r="M881" s="48">
        <v>2</v>
      </c>
      <c r="N881" s="48">
        <v>2</v>
      </c>
      <c r="O881" s="47">
        <v>99.170124481327804</v>
      </c>
      <c r="P881" s="49"/>
    </row>
    <row r="882" spans="1:16" ht="15" hidden="1" customHeight="1">
      <c r="A882" s="43">
        <v>876</v>
      </c>
      <c r="B882" s="44" t="s">
        <v>24</v>
      </c>
      <c r="C882" s="44" t="s">
        <v>265</v>
      </c>
      <c r="D882" s="44" t="s">
        <v>287</v>
      </c>
      <c r="E882" s="44" t="s">
        <v>288</v>
      </c>
      <c r="F882" s="45" t="s">
        <v>19</v>
      </c>
      <c r="G882" s="46">
        <v>2144</v>
      </c>
      <c r="H882" s="46">
        <v>246</v>
      </c>
      <c r="I882" s="46">
        <v>67</v>
      </c>
      <c r="J882" s="47">
        <v>89.707112970711293</v>
      </c>
      <c r="K882" s="47"/>
      <c r="L882" s="48">
        <v>1654</v>
      </c>
      <c r="M882" s="48">
        <v>115</v>
      </c>
      <c r="N882" s="48">
        <v>18</v>
      </c>
      <c r="O882" s="47">
        <v>93.499152063312593</v>
      </c>
      <c r="P882" s="49"/>
    </row>
    <row r="883" spans="1:16" ht="15" customHeight="1">
      <c r="A883" s="50">
        <v>877</v>
      </c>
      <c r="B883" s="51" t="s">
        <v>24</v>
      </c>
      <c r="C883" s="58" t="s">
        <v>265</v>
      </c>
      <c r="D883" s="58" t="s">
        <v>287</v>
      </c>
      <c r="E883" s="58" t="s">
        <v>289</v>
      </c>
      <c r="F883" s="59" t="s">
        <v>289</v>
      </c>
      <c r="G883" s="52">
        <v>918</v>
      </c>
      <c r="H883" s="52">
        <v>88</v>
      </c>
      <c r="I883" s="52">
        <v>21</v>
      </c>
      <c r="J883" s="53">
        <v>91.252485089463207</v>
      </c>
      <c r="K883" s="53">
        <f>G883+H883+I883</f>
        <v>1027</v>
      </c>
      <c r="L883" s="54">
        <v>600</v>
      </c>
      <c r="M883" s="54">
        <v>29</v>
      </c>
      <c r="N883" s="54">
        <v>7</v>
      </c>
      <c r="O883" s="53">
        <v>95.389507154213007</v>
      </c>
      <c r="P883" s="55">
        <f>L883+M883+N883</f>
        <v>636</v>
      </c>
    </row>
    <row r="884" spans="1:16" ht="15" hidden="1" customHeight="1">
      <c r="A884" s="43">
        <v>878</v>
      </c>
      <c r="B884" s="44" t="s">
        <v>24</v>
      </c>
      <c r="C884" s="44" t="s">
        <v>265</v>
      </c>
      <c r="D884" s="44" t="s">
        <v>287</v>
      </c>
      <c r="E884" s="44" t="s">
        <v>289</v>
      </c>
      <c r="F884" s="45" t="s">
        <v>18</v>
      </c>
      <c r="G884" s="46"/>
      <c r="H884" s="46"/>
      <c r="I884" s="46"/>
      <c r="J884" s="47"/>
      <c r="K884" s="47"/>
      <c r="L884" s="48"/>
      <c r="M884" s="48"/>
      <c r="N884" s="48"/>
      <c r="O884" s="47"/>
      <c r="P884" s="49"/>
    </row>
    <row r="885" spans="1:16" ht="15" hidden="1" customHeight="1">
      <c r="A885" s="43">
        <v>879</v>
      </c>
      <c r="B885" s="44" t="s">
        <v>24</v>
      </c>
      <c r="C885" s="44" t="s">
        <v>265</v>
      </c>
      <c r="D885" s="44" t="s">
        <v>287</v>
      </c>
      <c r="E885" s="44" t="s">
        <v>289</v>
      </c>
      <c r="F885" s="45" t="s">
        <v>19</v>
      </c>
      <c r="G885" s="46">
        <v>918</v>
      </c>
      <c r="H885" s="46">
        <v>88</v>
      </c>
      <c r="I885" s="46">
        <v>21</v>
      </c>
      <c r="J885" s="47">
        <v>91.252485089463207</v>
      </c>
      <c r="K885" s="47"/>
      <c r="L885" s="48">
        <v>600</v>
      </c>
      <c r="M885" s="48">
        <v>29</v>
      </c>
      <c r="N885" s="48">
        <v>7</v>
      </c>
      <c r="O885" s="47">
        <v>95.389507154213007</v>
      </c>
      <c r="P885" s="49"/>
    </row>
    <row r="886" spans="1:16" ht="15" hidden="1" customHeight="1">
      <c r="A886" s="37">
        <v>880</v>
      </c>
      <c r="B886" s="38" t="s">
        <v>22</v>
      </c>
      <c r="C886" s="57" t="s">
        <v>265</v>
      </c>
      <c r="D886" s="57" t="s">
        <v>290</v>
      </c>
      <c r="E886" s="57"/>
      <c r="F886" s="38" t="s">
        <v>290</v>
      </c>
      <c r="G886" s="39">
        <v>3231</v>
      </c>
      <c r="H886" s="39">
        <v>282</v>
      </c>
      <c r="I886" s="39">
        <v>72</v>
      </c>
      <c r="J886" s="40">
        <v>91.972672929120407</v>
      </c>
      <c r="K886" s="40"/>
      <c r="L886" s="41">
        <v>2287</v>
      </c>
      <c r="M886" s="41">
        <v>38</v>
      </c>
      <c r="N886" s="41">
        <v>31</v>
      </c>
      <c r="O886" s="40">
        <v>98.365591397849499</v>
      </c>
      <c r="P886" s="42"/>
    </row>
    <row r="887" spans="1:16" ht="15" hidden="1" customHeight="1">
      <c r="A887" s="43">
        <v>881</v>
      </c>
      <c r="B887" s="44" t="s">
        <v>22</v>
      </c>
      <c r="C887" s="44" t="s">
        <v>265</v>
      </c>
      <c r="D887" s="44" t="s">
        <v>290</v>
      </c>
      <c r="E887" s="44"/>
      <c r="F887" s="45" t="s">
        <v>18</v>
      </c>
      <c r="G887" s="46">
        <v>222</v>
      </c>
      <c r="H887" s="46">
        <v>13</v>
      </c>
      <c r="I887" s="46">
        <v>2</v>
      </c>
      <c r="J887" s="47">
        <v>94.468085106383</v>
      </c>
      <c r="K887" s="47"/>
      <c r="L887" s="48">
        <v>188</v>
      </c>
      <c r="M887" s="48">
        <v>2</v>
      </c>
      <c r="N887" s="48">
        <v>1</v>
      </c>
      <c r="O887" s="47">
        <v>98.947368421052602</v>
      </c>
      <c r="P887" s="49"/>
    </row>
    <row r="888" spans="1:16" ht="15" hidden="1" customHeight="1">
      <c r="A888" s="43">
        <v>882</v>
      </c>
      <c r="B888" s="44" t="s">
        <v>22</v>
      </c>
      <c r="C888" s="44" t="s">
        <v>265</v>
      </c>
      <c r="D888" s="44" t="s">
        <v>290</v>
      </c>
      <c r="E888" s="44"/>
      <c r="F888" s="45" t="s">
        <v>19</v>
      </c>
      <c r="G888" s="46">
        <v>3009</v>
      </c>
      <c r="H888" s="46">
        <v>269</v>
      </c>
      <c r="I888" s="46">
        <v>70</v>
      </c>
      <c r="J888" s="47">
        <v>91.793776693105599</v>
      </c>
      <c r="K888" s="47"/>
      <c r="L888" s="48">
        <v>2099</v>
      </c>
      <c r="M888" s="48">
        <v>36</v>
      </c>
      <c r="N888" s="48">
        <v>30</v>
      </c>
      <c r="O888" s="47">
        <v>98.313817330210796</v>
      </c>
      <c r="P888" s="49"/>
    </row>
    <row r="889" spans="1:16" ht="15" customHeight="1">
      <c r="A889" s="50">
        <v>883</v>
      </c>
      <c r="B889" s="51" t="s">
        <v>24</v>
      </c>
      <c r="C889" s="58" t="s">
        <v>265</v>
      </c>
      <c r="D889" s="58" t="s">
        <v>290</v>
      </c>
      <c r="E889" s="58" t="s">
        <v>291</v>
      </c>
      <c r="F889" s="59" t="s">
        <v>291</v>
      </c>
      <c r="G889" s="52">
        <v>2277</v>
      </c>
      <c r="H889" s="52">
        <v>228</v>
      </c>
      <c r="I889" s="52">
        <v>61</v>
      </c>
      <c r="J889" s="53">
        <v>90.898203592814397</v>
      </c>
      <c r="K889" s="53">
        <f>G889+H889+I889</f>
        <v>2566</v>
      </c>
      <c r="L889" s="54">
        <v>1623</v>
      </c>
      <c r="M889" s="54">
        <v>22</v>
      </c>
      <c r="N889" s="54">
        <v>23</v>
      </c>
      <c r="O889" s="53">
        <v>98.662613981762902</v>
      </c>
      <c r="P889" s="55">
        <f>L889+M889+N889</f>
        <v>1668</v>
      </c>
    </row>
    <row r="890" spans="1:16" ht="15" hidden="1" customHeight="1">
      <c r="A890" s="43">
        <v>884</v>
      </c>
      <c r="B890" s="44" t="s">
        <v>24</v>
      </c>
      <c r="C890" s="44" t="s">
        <v>265</v>
      </c>
      <c r="D890" s="44" t="s">
        <v>290</v>
      </c>
      <c r="E890" s="44" t="s">
        <v>291</v>
      </c>
      <c r="F890" s="45" t="s">
        <v>18</v>
      </c>
      <c r="G890" s="46">
        <v>222</v>
      </c>
      <c r="H890" s="46">
        <v>13</v>
      </c>
      <c r="I890" s="46">
        <v>2</v>
      </c>
      <c r="J890" s="47">
        <v>94.468085106383</v>
      </c>
      <c r="K890" s="47"/>
      <c r="L890" s="48">
        <v>188</v>
      </c>
      <c r="M890" s="48">
        <v>2</v>
      </c>
      <c r="N890" s="48">
        <v>1</v>
      </c>
      <c r="O890" s="47">
        <v>98.947368421052602</v>
      </c>
      <c r="P890" s="49"/>
    </row>
    <row r="891" spans="1:16" ht="15" hidden="1" customHeight="1">
      <c r="A891" s="43">
        <v>885</v>
      </c>
      <c r="B891" s="44" t="s">
        <v>24</v>
      </c>
      <c r="C891" s="44" t="s">
        <v>265</v>
      </c>
      <c r="D891" s="44" t="s">
        <v>290</v>
      </c>
      <c r="E891" s="44" t="s">
        <v>291</v>
      </c>
      <c r="F891" s="45" t="s">
        <v>19</v>
      </c>
      <c r="G891" s="46">
        <v>2055</v>
      </c>
      <c r="H891" s="46">
        <v>215</v>
      </c>
      <c r="I891" s="46">
        <v>59</v>
      </c>
      <c r="J891" s="47">
        <v>90.5286343612335</v>
      </c>
      <c r="K891" s="47"/>
      <c r="L891" s="48">
        <v>1435</v>
      </c>
      <c r="M891" s="48">
        <v>20</v>
      </c>
      <c r="N891" s="48">
        <v>22</v>
      </c>
      <c r="O891" s="47">
        <v>98.625429553264595</v>
      </c>
      <c r="P891" s="49"/>
    </row>
    <row r="892" spans="1:16" ht="15" customHeight="1">
      <c r="A892" s="50">
        <v>886</v>
      </c>
      <c r="B892" s="51" t="s">
        <v>24</v>
      </c>
      <c r="C892" s="58" t="s">
        <v>265</v>
      </c>
      <c r="D892" s="58" t="s">
        <v>290</v>
      </c>
      <c r="E892" s="58" t="s">
        <v>292</v>
      </c>
      <c r="F892" s="59" t="s">
        <v>292</v>
      </c>
      <c r="G892" s="52">
        <v>954</v>
      </c>
      <c r="H892" s="52">
        <v>54</v>
      </c>
      <c r="I892" s="52">
        <v>11</v>
      </c>
      <c r="J892" s="53">
        <v>94.642857142857096</v>
      </c>
      <c r="K892" s="53">
        <f>G892+H892+I892</f>
        <v>1019</v>
      </c>
      <c r="L892" s="54">
        <v>664</v>
      </c>
      <c r="M892" s="54">
        <v>16</v>
      </c>
      <c r="N892" s="54">
        <v>8</v>
      </c>
      <c r="O892" s="53">
        <v>97.647058823529406</v>
      </c>
      <c r="P892" s="55">
        <f>L892+M892+N892</f>
        <v>688</v>
      </c>
    </row>
    <row r="893" spans="1:16" ht="15" hidden="1" customHeight="1">
      <c r="A893" s="43">
        <v>887</v>
      </c>
      <c r="B893" s="44" t="s">
        <v>24</v>
      </c>
      <c r="C893" s="44" t="s">
        <v>265</v>
      </c>
      <c r="D893" s="44" t="s">
        <v>290</v>
      </c>
      <c r="E893" s="44" t="s">
        <v>292</v>
      </c>
      <c r="F893" s="45" t="s">
        <v>18</v>
      </c>
      <c r="G893" s="46"/>
      <c r="H893" s="46"/>
      <c r="I893" s="46"/>
      <c r="J893" s="47"/>
      <c r="K893" s="47"/>
      <c r="L893" s="48"/>
      <c r="M893" s="48"/>
      <c r="N893" s="48"/>
      <c r="O893" s="47"/>
      <c r="P893" s="49"/>
    </row>
    <row r="894" spans="1:16" ht="15" hidden="1" customHeight="1">
      <c r="A894" s="43">
        <v>888</v>
      </c>
      <c r="B894" s="44" t="s">
        <v>24</v>
      </c>
      <c r="C894" s="44" t="s">
        <v>265</v>
      </c>
      <c r="D894" s="44" t="s">
        <v>290</v>
      </c>
      <c r="E894" s="44" t="s">
        <v>292</v>
      </c>
      <c r="F894" s="45" t="s">
        <v>19</v>
      </c>
      <c r="G894" s="46">
        <v>954</v>
      </c>
      <c r="H894" s="46">
        <v>54</v>
      </c>
      <c r="I894" s="46">
        <v>11</v>
      </c>
      <c r="J894" s="47">
        <v>94.642857142857096</v>
      </c>
      <c r="K894" s="47"/>
      <c r="L894" s="48">
        <v>664</v>
      </c>
      <c r="M894" s="48">
        <v>16</v>
      </c>
      <c r="N894" s="48">
        <v>8</v>
      </c>
      <c r="O894" s="47">
        <v>97.647058823529406</v>
      </c>
      <c r="P894" s="49"/>
    </row>
    <row r="895" spans="1:16" ht="15" hidden="1" customHeight="1">
      <c r="A895" s="37">
        <v>889</v>
      </c>
      <c r="B895" s="38" t="s">
        <v>22</v>
      </c>
      <c r="C895" s="57" t="s">
        <v>265</v>
      </c>
      <c r="D895" s="57" t="s">
        <v>293</v>
      </c>
      <c r="E895" s="57"/>
      <c r="F895" s="38" t="s">
        <v>293</v>
      </c>
      <c r="G895" s="39">
        <v>5932</v>
      </c>
      <c r="H895" s="39">
        <v>365</v>
      </c>
      <c r="I895" s="39">
        <v>159</v>
      </c>
      <c r="J895" s="40">
        <v>94.203589010640002</v>
      </c>
      <c r="K895" s="40"/>
      <c r="L895" s="41">
        <v>4011</v>
      </c>
      <c r="M895" s="41">
        <v>91</v>
      </c>
      <c r="N895" s="41">
        <v>16</v>
      </c>
      <c r="O895" s="40">
        <v>97.781569965870304</v>
      </c>
      <c r="P895" s="42"/>
    </row>
    <row r="896" spans="1:16" ht="15" hidden="1" customHeight="1">
      <c r="A896" s="43">
        <v>890</v>
      </c>
      <c r="B896" s="44" t="s">
        <v>22</v>
      </c>
      <c r="C896" s="44" t="s">
        <v>265</v>
      </c>
      <c r="D896" s="44" t="s">
        <v>293</v>
      </c>
      <c r="E896" s="44"/>
      <c r="F896" s="45" t="s">
        <v>18</v>
      </c>
      <c r="G896" s="46">
        <v>3340</v>
      </c>
      <c r="H896" s="46">
        <v>166</v>
      </c>
      <c r="I896" s="46">
        <v>89</v>
      </c>
      <c r="J896" s="47">
        <v>95.265259555048502</v>
      </c>
      <c r="K896" s="47"/>
      <c r="L896" s="48">
        <v>2022</v>
      </c>
      <c r="M896" s="48">
        <v>39</v>
      </c>
      <c r="N896" s="48">
        <v>6</v>
      </c>
      <c r="O896" s="47">
        <v>98.107714701601196</v>
      </c>
      <c r="P896" s="49"/>
    </row>
    <row r="897" spans="1:16" ht="15" hidden="1" customHeight="1">
      <c r="A897" s="43">
        <v>891</v>
      </c>
      <c r="B897" s="44" t="s">
        <v>22</v>
      </c>
      <c r="C897" s="44" t="s">
        <v>265</v>
      </c>
      <c r="D897" s="44" t="s">
        <v>293</v>
      </c>
      <c r="E897" s="44"/>
      <c r="F897" s="45" t="s">
        <v>19</v>
      </c>
      <c r="G897" s="46">
        <v>2592</v>
      </c>
      <c r="H897" s="46">
        <v>199</v>
      </c>
      <c r="I897" s="46">
        <v>70</v>
      </c>
      <c r="J897" s="47">
        <v>92.869939089931904</v>
      </c>
      <c r="K897" s="47"/>
      <c r="L897" s="48">
        <v>1989</v>
      </c>
      <c r="M897" s="48">
        <v>52</v>
      </c>
      <c r="N897" s="48">
        <v>10</v>
      </c>
      <c r="O897" s="47">
        <v>97.452229299363097</v>
      </c>
      <c r="P897" s="49"/>
    </row>
    <row r="898" spans="1:16" ht="15" customHeight="1">
      <c r="A898" s="50">
        <v>892</v>
      </c>
      <c r="B898" s="51" t="s">
        <v>24</v>
      </c>
      <c r="C898" s="58" t="s">
        <v>265</v>
      </c>
      <c r="D898" s="58" t="s">
        <v>293</v>
      </c>
      <c r="E898" s="58" t="s">
        <v>294</v>
      </c>
      <c r="F898" s="59" t="s">
        <v>294</v>
      </c>
      <c r="G898" s="52">
        <v>4523</v>
      </c>
      <c r="H898" s="52">
        <v>331</v>
      </c>
      <c r="I898" s="52">
        <v>124</v>
      </c>
      <c r="J898" s="53">
        <v>93.180881747012805</v>
      </c>
      <c r="K898" s="53">
        <f>G898+H898+I898</f>
        <v>4978</v>
      </c>
      <c r="L898" s="54">
        <v>3242</v>
      </c>
      <c r="M898" s="54">
        <v>86</v>
      </c>
      <c r="N898" s="54">
        <v>14</v>
      </c>
      <c r="O898" s="53">
        <v>97.415865384615401</v>
      </c>
      <c r="P898" s="55">
        <f>L898+M898+N898</f>
        <v>3342</v>
      </c>
    </row>
    <row r="899" spans="1:16" ht="15" hidden="1" customHeight="1">
      <c r="A899" s="43">
        <v>893</v>
      </c>
      <c r="B899" s="44" t="s">
        <v>24</v>
      </c>
      <c r="C899" s="44" t="s">
        <v>265</v>
      </c>
      <c r="D899" s="44" t="s">
        <v>293</v>
      </c>
      <c r="E899" s="44" t="s">
        <v>294</v>
      </c>
      <c r="F899" s="45" t="s">
        <v>18</v>
      </c>
      <c r="G899" s="46">
        <v>2878</v>
      </c>
      <c r="H899" s="46">
        <v>152</v>
      </c>
      <c r="I899" s="46">
        <v>62</v>
      </c>
      <c r="J899" s="47">
        <v>94.983498349835003</v>
      </c>
      <c r="K899" s="47"/>
      <c r="L899" s="48">
        <v>2022</v>
      </c>
      <c r="M899" s="48">
        <v>39</v>
      </c>
      <c r="N899" s="48">
        <v>6</v>
      </c>
      <c r="O899" s="47">
        <v>98.107714701601196</v>
      </c>
      <c r="P899" s="49"/>
    </row>
    <row r="900" spans="1:16" ht="15" hidden="1" customHeight="1">
      <c r="A900" s="43">
        <v>894</v>
      </c>
      <c r="B900" s="44" t="s">
        <v>24</v>
      </c>
      <c r="C900" s="44" t="s">
        <v>265</v>
      </c>
      <c r="D900" s="44" t="s">
        <v>293</v>
      </c>
      <c r="E900" s="44" t="s">
        <v>294</v>
      </c>
      <c r="F900" s="45" t="s">
        <v>19</v>
      </c>
      <c r="G900" s="46">
        <v>1645</v>
      </c>
      <c r="H900" s="46">
        <v>179</v>
      </c>
      <c r="I900" s="46">
        <v>62</v>
      </c>
      <c r="J900" s="47">
        <v>90.186403508771903</v>
      </c>
      <c r="K900" s="47"/>
      <c r="L900" s="48">
        <v>1220</v>
      </c>
      <c r="M900" s="48">
        <v>47</v>
      </c>
      <c r="N900" s="48">
        <v>8</v>
      </c>
      <c r="O900" s="47">
        <v>96.290449881610101</v>
      </c>
      <c r="P900" s="49"/>
    </row>
    <row r="901" spans="1:16" ht="15" customHeight="1">
      <c r="A901" s="50">
        <v>895</v>
      </c>
      <c r="B901" s="51" t="s">
        <v>24</v>
      </c>
      <c r="C901" s="58" t="s">
        <v>265</v>
      </c>
      <c r="D901" s="58" t="s">
        <v>293</v>
      </c>
      <c r="E901" s="58" t="s">
        <v>295</v>
      </c>
      <c r="F901" s="59" t="s">
        <v>295</v>
      </c>
      <c r="G901" s="52">
        <v>1409</v>
      </c>
      <c r="H901" s="52">
        <v>34</v>
      </c>
      <c r="I901" s="52">
        <v>35</v>
      </c>
      <c r="J901" s="53">
        <v>97.643797643797697</v>
      </c>
      <c r="K901" s="53">
        <f>G901+H901+I901</f>
        <v>1478</v>
      </c>
      <c r="L901" s="54">
        <v>769</v>
      </c>
      <c r="M901" s="54">
        <v>5</v>
      </c>
      <c r="N901" s="54">
        <v>2</v>
      </c>
      <c r="O901" s="53">
        <v>99.354005167958704</v>
      </c>
      <c r="P901" s="55">
        <f>L901+M901+N901</f>
        <v>776</v>
      </c>
    </row>
    <row r="902" spans="1:16" ht="15" hidden="1" customHeight="1">
      <c r="A902" s="43">
        <v>896</v>
      </c>
      <c r="B902" s="44" t="s">
        <v>24</v>
      </c>
      <c r="C902" s="44" t="s">
        <v>265</v>
      </c>
      <c r="D902" s="44" t="s">
        <v>293</v>
      </c>
      <c r="E902" s="44" t="s">
        <v>295</v>
      </c>
      <c r="F902" s="45" t="s">
        <v>18</v>
      </c>
      <c r="G902" s="46">
        <v>462</v>
      </c>
      <c r="H902" s="46">
        <v>14</v>
      </c>
      <c r="I902" s="46">
        <v>27</v>
      </c>
      <c r="J902" s="47">
        <v>97.058823529411796</v>
      </c>
      <c r="K902" s="47"/>
      <c r="L902" s="48"/>
      <c r="M902" s="48"/>
      <c r="N902" s="48"/>
      <c r="O902" s="47"/>
      <c r="P902" s="49"/>
    </row>
    <row r="903" spans="1:16" ht="15" hidden="1" customHeight="1">
      <c r="A903" s="43">
        <v>897</v>
      </c>
      <c r="B903" s="44" t="s">
        <v>24</v>
      </c>
      <c r="C903" s="44" t="s">
        <v>265</v>
      </c>
      <c r="D903" s="44" t="s">
        <v>293</v>
      </c>
      <c r="E903" s="44" t="s">
        <v>295</v>
      </c>
      <c r="F903" s="45" t="s">
        <v>19</v>
      </c>
      <c r="G903" s="46">
        <v>947</v>
      </c>
      <c r="H903" s="46">
        <v>20</v>
      </c>
      <c r="I903" s="46">
        <v>8</v>
      </c>
      <c r="J903" s="47">
        <v>97.931747673216094</v>
      </c>
      <c r="K903" s="47"/>
      <c r="L903" s="48">
        <v>769</v>
      </c>
      <c r="M903" s="48">
        <v>5</v>
      </c>
      <c r="N903" s="48">
        <v>2</v>
      </c>
      <c r="O903" s="47">
        <v>99.354005167958704</v>
      </c>
      <c r="P903" s="49"/>
    </row>
    <row r="904" spans="1:16" ht="15" hidden="1" customHeight="1">
      <c r="A904" s="37">
        <v>898</v>
      </c>
      <c r="B904" s="38" t="s">
        <v>22</v>
      </c>
      <c r="C904" s="57" t="s">
        <v>265</v>
      </c>
      <c r="D904" s="57" t="s">
        <v>296</v>
      </c>
      <c r="E904" s="57"/>
      <c r="F904" s="38" t="s">
        <v>296</v>
      </c>
      <c r="G904" s="39">
        <v>1319</v>
      </c>
      <c r="H904" s="39">
        <v>110</v>
      </c>
      <c r="I904" s="39">
        <v>25</v>
      </c>
      <c r="J904" s="40">
        <v>92.302309307207807</v>
      </c>
      <c r="K904" s="40"/>
      <c r="L904" s="41">
        <v>1053</v>
      </c>
      <c r="M904" s="41">
        <v>29</v>
      </c>
      <c r="N904" s="41">
        <v>6</v>
      </c>
      <c r="O904" s="40">
        <v>97.319778188539701</v>
      </c>
      <c r="P904" s="42"/>
    </row>
    <row r="905" spans="1:16" ht="15" hidden="1" customHeight="1">
      <c r="A905" s="43">
        <v>899</v>
      </c>
      <c r="B905" s="44" t="s">
        <v>22</v>
      </c>
      <c r="C905" s="44" t="s">
        <v>265</v>
      </c>
      <c r="D905" s="44" t="s">
        <v>296</v>
      </c>
      <c r="E905" s="44"/>
      <c r="F905" s="45" t="s">
        <v>18</v>
      </c>
      <c r="G905" s="46"/>
      <c r="H905" s="46"/>
      <c r="I905" s="46"/>
      <c r="J905" s="47"/>
      <c r="K905" s="47"/>
      <c r="L905" s="48">
        <v>224</v>
      </c>
      <c r="M905" s="48">
        <v>3</v>
      </c>
      <c r="N905" s="48">
        <v>1</v>
      </c>
      <c r="O905" s="47">
        <v>98.678414096916299</v>
      </c>
      <c r="P905" s="49"/>
    </row>
    <row r="906" spans="1:16" ht="15" hidden="1" customHeight="1">
      <c r="A906" s="43">
        <v>900</v>
      </c>
      <c r="B906" s="44" t="s">
        <v>22</v>
      </c>
      <c r="C906" s="44" t="s">
        <v>265</v>
      </c>
      <c r="D906" s="44" t="s">
        <v>296</v>
      </c>
      <c r="E906" s="44"/>
      <c r="F906" s="45" t="s">
        <v>19</v>
      </c>
      <c r="G906" s="46">
        <v>1319</v>
      </c>
      <c r="H906" s="46">
        <v>110</v>
      </c>
      <c r="I906" s="46">
        <v>25</v>
      </c>
      <c r="J906" s="47">
        <v>92.302309307207807</v>
      </c>
      <c r="K906" s="47"/>
      <c r="L906" s="48">
        <v>829</v>
      </c>
      <c r="M906" s="48">
        <v>26</v>
      </c>
      <c r="N906" s="48">
        <v>5</v>
      </c>
      <c r="O906" s="47">
        <v>96.959064327485393</v>
      </c>
      <c r="P906" s="49"/>
    </row>
    <row r="907" spans="1:16" ht="15" customHeight="1">
      <c r="A907" s="50">
        <v>901</v>
      </c>
      <c r="B907" s="51" t="s">
        <v>24</v>
      </c>
      <c r="C907" s="58" t="s">
        <v>265</v>
      </c>
      <c r="D907" s="58" t="s">
        <v>296</v>
      </c>
      <c r="E907" s="58" t="s">
        <v>297</v>
      </c>
      <c r="F907" s="59" t="s">
        <v>297</v>
      </c>
      <c r="G907" s="52">
        <v>1253</v>
      </c>
      <c r="H907" s="52">
        <v>97</v>
      </c>
      <c r="I907" s="52">
        <v>21</v>
      </c>
      <c r="J907" s="53">
        <v>92.814814814814795</v>
      </c>
      <c r="K907" s="53">
        <f>G907+H907+I907</f>
        <v>1371</v>
      </c>
      <c r="L907" s="54">
        <v>957</v>
      </c>
      <c r="M907" s="54">
        <v>24</v>
      </c>
      <c r="N907" s="54">
        <v>6</v>
      </c>
      <c r="O907" s="53">
        <v>97.553516819571897</v>
      </c>
      <c r="P907" s="55">
        <f>L907+M907+N907</f>
        <v>987</v>
      </c>
    </row>
    <row r="908" spans="1:16" ht="15" hidden="1" customHeight="1">
      <c r="A908" s="43">
        <v>902</v>
      </c>
      <c r="B908" s="44" t="s">
        <v>24</v>
      </c>
      <c r="C908" s="44" t="s">
        <v>265</v>
      </c>
      <c r="D908" s="44" t="s">
        <v>296</v>
      </c>
      <c r="E908" s="44" t="s">
        <v>297</v>
      </c>
      <c r="F908" s="45" t="s">
        <v>18</v>
      </c>
      <c r="G908" s="46"/>
      <c r="H908" s="46"/>
      <c r="I908" s="46"/>
      <c r="J908" s="47"/>
      <c r="K908" s="47"/>
      <c r="L908" s="48">
        <v>224</v>
      </c>
      <c r="M908" s="48">
        <v>3</v>
      </c>
      <c r="N908" s="48">
        <v>1</v>
      </c>
      <c r="O908" s="47">
        <v>98.678414096916299</v>
      </c>
      <c r="P908" s="49"/>
    </row>
    <row r="909" spans="1:16" ht="15" hidden="1" customHeight="1">
      <c r="A909" s="43">
        <v>903</v>
      </c>
      <c r="B909" s="44" t="s">
        <v>24</v>
      </c>
      <c r="C909" s="44" t="s">
        <v>265</v>
      </c>
      <c r="D909" s="44" t="s">
        <v>296</v>
      </c>
      <c r="E909" s="44" t="s">
        <v>297</v>
      </c>
      <c r="F909" s="45" t="s">
        <v>19</v>
      </c>
      <c r="G909" s="46">
        <v>1253</v>
      </c>
      <c r="H909" s="46">
        <v>97</v>
      </c>
      <c r="I909" s="46">
        <v>21</v>
      </c>
      <c r="J909" s="47">
        <v>92.814814814814795</v>
      </c>
      <c r="K909" s="47"/>
      <c r="L909" s="48">
        <v>733</v>
      </c>
      <c r="M909" s="48">
        <v>21</v>
      </c>
      <c r="N909" s="48">
        <v>5</v>
      </c>
      <c r="O909" s="47">
        <v>97.214854111405799</v>
      </c>
      <c r="P909" s="49"/>
    </row>
    <row r="910" spans="1:16" ht="15" customHeight="1">
      <c r="A910" s="50">
        <v>904</v>
      </c>
      <c r="B910" s="51" t="s">
        <v>24</v>
      </c>
      <c r="C910" s="58" t="s">
        <v>265</v>
      </c>
      <c r="D910" s="58" t="s">
        <v>296</v>
      </c>
      <c r="E910" s="58" t="s">
        <v>298</v>
      </c>
      <c r="F910" s="59" t="s">
        <v>298</v>
      </c>
      <c r="G910" s="52">
        <v>66</v>
      </c>
      <c r="H910" s="52">
        <v>13</v>
      </c>
      <c r="I910" s="52">
        <v>4</v>
      </c>
      <c r="J910" s="53">
        <v>83.544303797468402</v>
      </c>
      <c r="K910" s="53">
        <f>G910+H910+I910</f>
        <v>83</v>
      </c>
      <c r="L910" s="54">
        <v>96</v>
      </c>
      <c r="M910" s="54">
        <v>5</v>
      </c>
      <c r="N910" s="54">
        <v>0</v>
      </c>
      <c r="O910" s="53">
        <v>95.049504950495006</v>
      </c>
      <c r="P910" s="55">
        <f>L910+M910+N910</f>
        <v>101</v>
      </c>
    </row>
    <row r="911" spans="1:16" ht="15" hidden="1" customHeight="1">
      <c r="A911" s="43">
        <v>905</v>
      </c>
      <c r="B911" s="44" t="s">
        <v>24</v>
      </c>
      <c r="C911" s="44" t="s">
        <v>265</v>
      </c>
      <c r="D911" s="44" t="s">
        <v>296</v>
      </c>
      <c r="E911" s="44" t="s">
        <v>298</v>
      </c>
      <c r="F911" s="45" t="s">
        <v>18</v>
      </c>
      <c r="G911" s="46"/>
      <c r="H911" s="46"/>
      <c r="I911" s="46"/>
      <c r="J911" s="47"/>
      <c r="K911" s="47"/>
      <c r="L911" s="48"/>
      <c r="M911" s="48"/>
      <c r="N911" s="48"/>
      <c r="O911" s="47"/>
      <c r="P911" s="49"/>
    </row>
    <row r="912" spans="1:16" ht="15" hidden="1" customHeight="1">
      <c r="A912" s="43">
        <v>906</v>
      </c>
      <c r="B912" s="44" t="s">
        <v>24</v>
      </c>
      <c r="C912" s="44" t="s">
        <v>265</v>
      </c>
      <c r="D912" s="44" t="s">
        <v>296</v>
      </c>
      <c r="E912" s="44" t="s">
        <v>298</v>
      </c>
      <c r="F912" s="45" t="s">
        <v>19</v>
      </c>
      <c r="G912" s="46">
        <v>66</v>
      </c>
      <c r="H912" s="46">
        <v>13</v>
      </c>
      <c r="I912" s="46">
        <v>4</v>
      </c>
      <c r="J912" s="47">
        <v>83.544303797468402</v>
      </c>
      <c r="K912" s="47"/>
      <c r="L912" s="48">
        <v>96</v>
      </c>
      <c r="M912" s="48">
        <v>5</v>
      </c>
      <c r="N912" s="48">
        <v>0</v>
      </c>
      <c r="O912" s="47">
        <v>95.049504950495006</v>
      </c>
      <c r="P912" s="49"/>
    </row>
    <row r="913" spans="1:16" ht="15" hidden="1" customHeight="1">
      <c r="A913" s="37">
        <v>907</v>
      </c>
      <c r="B913" s="38" t="s">
        <v>22</v>
      </c>
      <c r="C913" s="57" t="s">
        <v>265</v>
      </c>
      <c r="D913" s="57" t="s">
        <v>299</v>
      </c>
      <c r="E913" s="57"/>
      <c r="F913" s="38" t="s">
        <v>299</v>
      </c>
      <c r="G913" s="39">
        <v>767</v>
      </c>
      <c r="H913" s="39">
        <v>77</v>
      </c>
      <c r="I913" s="39">
        <v>30</v>
      </c>
      <c r="J913" s="40">
        <v>90.876777251184805</v>
      </c>
      <c r="K913" s="40"/>
      <c r="L913" s="41">
        <v>449</v>
      </c>
      <c r="M913" s="41">
        <v>30</v>
      </c>
      <c r="N913" s="41">
        <v>5</v>
      </c>
      <c r="O913" s="40">
        <v>93.736951983298496</v>
      </c>
      <c r="P913" s="42"/>
    </row>
    <row r="914" spans="1:16" ht="15" hidden="1" customHeight="1">
      <c r="A914" s="43">
        <v>908</v>
      </c>
      <c r="B914" s="44" t="s">
        <v>22</v>
      </c>
      <c r="C914" s="44" t="s">
        <v>265</v>
      </c>
      <c r="D914" s="44" t="s">
        <v>299</v>
      </c>
      <c r="E914" s="44"/>
      <c r="F914" s="45" t="s">
        <v>18</v>
      </c>
      <c r="G914" s="46"/>
      <c r="H914" s="46"/>
      <c r="I914" s="46"/>
      <c r="J914" s="47"/>
      <c r="K914" s="47"/>
      <c r="L914" s="48"/>
      <c r="M914" s="48"/>
      <c r="N914" s="48"/>
      <c r="O914" s="47"/>
      <c r="P914" s="49"/>
    </row>
    <row r="915" spans="1:16" ht="15" hidden="1" customHeight="1">
      <c r="A915" s="43">
        <v>909</v>
      </c>
      <c r="B915" s="44" t="s">
        <v>22</v>
      </c>
      <c r="C915" s="44" t="s">
        <v>265</v>
      </c>
      <c r="D915" s="44" t="s">
        <v>299</v>
      </c>
      <c r="E915" s="44"/>
      <c r="F915" s="45" t="s">
        <v>19</v>
      </c>
      <c r="G915" s="46">
        <v>767</v>
      </c>
      <c r="H915" s="46">
        <v>77</v>
      </c>
      <c r="I915" s="46">
        <v>30</v>
      </c>
      <c r="J915" s="47">
        <v>90.876777251184805</v>
      </c>
      <c r="K915" s="47"/>
      <c r="L915" s="48">
        <v>449</v>
      </c>
      <c r="M915" s="48">
        <v>30</v>
      </c>
      <c r="N915" s="48">
        <v>5</v>
      </c>
      <c r="O915" s="47">
        <v>93.736951983298496</v>
      </c>
      <c r="P915" s="49"/>
    </row>
    <row r="916" spans="1:16" ht="15" customHeight="1">
      <c r="A916" s="50">
        <v>910</v>
      </c>
      <c r="B916" s="51" t="s">
        <v>24</v>
      </c>
      <c r="C916" s="58" t="s">
        <v>265</v>
      </c>
      <c r="D916" s="58" t="s">
        <v>299</v>
      </c>
      <c r="E916" s="58" t="s">
        <v>300</v>
      </c>
      <c r="F916" s="59" t="s">
        <v>300</v>
      </c>
      <c r="G916" s="52">
        <v>396</v>
      </c>
      <c r="H916" s="52">
        <v>28</v>
      </c>
      <c r="I916" s="52">
        <v>15</v>
      </c>
      <c r="J916" s="53">
        <v>93.396226415094304</v>
      </c>
      <c r="K916" s="53">
        <f>G916+H916+I916</f>
        <v>439</v>
      </c>
      <c r="L916" s="54">
        <v>245</v>
      </c>
      <c r="M916" s="54">
        <v>5</v>
      </c>
      <c r="N916" s="54">
        <v>2</v>
      </c>
      <c r="O916" s="53">
        <v>98</v>
      </c>
      <c r="P916" s="55">
        <f>L916+M916+N916</f>
        <v>252</v>
      </c>
    </row>
    <row r="917" spans="1:16" ht="15" hidden="1" customHeight="1">
      <c r="A917" s="43">
        <v>911</v>
      </c>
      <c r="B917" s="44" t="s">
        <v>24</v>
      </c>
      <c r="C917" s="44" t="s">
        <v>265</v>
      </c>
      <c r="D917" s="44" t="s">
        <v>299</v>
      </c>
      <c r="E917" s="44" t="s">
        <v>300</v>
      </c>
      <c r="F917" s="45" t="s">
        <v>18</v>
      </c>
      <c r="G917" s="46"/>
      <c r="H917" s="46"/>
      <c r="I917" s="46"/>
      <c r="J917" s="47"/>
      <c r="K917" s="47"/>
      <c r="L917" s="48"/>
      <c r="M917" s="48"/>
      <c r="N917" s="48"/>
      <c r="O917" s="47"/>
      <c r="P917" s="49"/>
    </row>
    <row r="918" spans="1:16" ht="15" hidden="1" customHeight="1">
      <c r="A918" s="43">
        <v>912</v>
      </c>
      <c r="B918" s="44" t="s">
        <v>24</v>
      </c>
      <c r="C918" s="44" t="s">
        <v>265</v>
      </c>
      <c r="D918" s="44" t="s">
        <v>299</v>
      </c>
      <c r="E918" s="44" t="s">
        <v>300</v>
      </c>
      <c r="F918" s="45" t="s">
        <v>19</v>
      </c>
      <c r="G918" s="46">
        <v>396</v>
      </c>
      <c r="H918" s="46">
        <v>28</v>
      </c>
      <c r="I918" s="46">
        <v>15</v>
      </c>
      <c r="J918" s="47">
        <v>93.396226415094304</v>
      </c>
      <c r="K918" s="47"/>
      <c r="L918" s="48">
        <v>245</v>
      </c>
      <c r="M918" s="48">
        <v>5</v>
      </c>
      <c r="N918" s="48">
        <v>2</v>
      </c>
      <c r="O918" s="47">
        <v>98</v>
      </c>
      <c r="P918" s="49"/>
    </row>
    <row r="919" spans="1:16" ht="15" customHeight="1">
      <c r="A919" s="50">
        <v>913</v>
      </c>
      <c r="B919" s="51" t="s">
        <v>24</v>
      </c>
      <c r="C919" s="58" t="s">
        <v>265</v>
      </c>
      <c r="D919" s="58" t="s">
        <v>299</v>
      </c>
      <c r="E919" s="58" t="s">
        <v>301</v>
      </c>
      <c r="F919" s="59" t="s">
        <v>301</v>
      </c>
      <c r="G919" s="52">
        <v>127</v>
      </c>
      <c r="H919" s="52">
        <v>24</v>
      </c>
      <c r="I919" s="52">
        <v>5</v>
      </c>
      <c r="J919" s="53">
        <v>84.105960264900702</v>
      </c>
      <c r="K919" s="53">
        <f>G919+H919+I919</f>
        <v>156</v>
      </c>
      <c r="L919" s="54">
        <v>65</v>
      </c>
      <c r="M919" s="54">
        <v>11</v>
      </c>
      <c r="N919" s="54">
        <v>0</v>
      </c>
      <c r="O919" s="53">
        <v>85.526315789473699</v>
      </c>
      <c r="P919" s="55">
        <f>L919+M919+N919</f>
        <v>76</v>
      </c>
    </row>
    <row r="920" spans="1:16" ht="15" hidden="1" customHeight="1">
      <c r="A920" s="43">
        <v>914</v>
      </c>
      <c r="B920" s="44" t="s">
        <v>24</v>
      </c>
      <c r="C920" s="44" t="s">
        <v>265</v>
      </c>
      <c r="D920" s="44" t="s">
        <v>299</v>
      </c>
      <c r="E920" s="44" t="s">
        <v>301</v>
      </c>
      <c r="F920" s="45" t="s">
        <v>18</v>
      </c>
      <c r="G920" s="46"/>
      <c r="H920" s="46"/>
      <c r="I920" s="46"/>
      <c r="J920" s="47"/>
      <c r="K920" s="47"/>
      <c r="L920" s="48"/>
      <c r="M920" s="48"/>
      <c r="N920" s="48"/>
      <c r="O920" s="47"/>
      <c r="P920" s="49"/>
    </row>
    <row r="921" spans="1:16" ht="15" hidden="1" customHeight="1">
      <c r="A921" s="43">
        <v>915</v>
      </c>
      <c r="B921" s="44" t="s">
        <v>24</v>
      </c>
      <c r="C921" s="44" t="s">
        <v>265</v>
      </c>
      <c r="D921" s="44" t="s">
        <v>299</v>
      </c>
      <c r="E921" s="44" t="s">
        <v>301</v>
      </c>
      <c r="F921" s="45" t="s">
        <v>19</v>
      </c>
      <c r="G921" s="46">
        <v>127</v>
      </c>
      <c r="H921" s="46">
        <v>24</v>
      </c>
      <c r="I921" s="46">
        <v>5</v>
      </c>
      <c r="J921" s="47">
        <v>84.105960264900702</v>
      </c>
      <c r="K921" s="47"/>
      <c r="L921" s="48">
        <v>65</v>
      </c>
      <c r="M921" s="48">
        <v>11</v>
      </c>
      <c r="N921" s="48">
        <v>0</v>
      </c>
      <c r="O921" s="47">
        <v>85.526315789473699</v>
      </c>
      <c r="P921" s="49"/>
    </row>
    <row r="922" spans="1:16" ht="15" customHeight="1">
      <c r="A922" s="50">
        <v>916</v>
      </c>
      <c r="B922" s="51" t="s">
        <v>24</v>
      </c>
      <c r="C922" s="58" t="s">
        <v>265</v>
      </c>
      <c r="D922" s="58" t="s">
        <v>299</v>
      </c>
      <c r="E922" s="58" t="s">
        <v>302</v>
      </c>
      <c r="F922" s="59" t="s">
        <v>302</v>
      </c>
      <c r="G922" s="52">
        <v>244</v>
      </c>
      <c r="H922" s="52">
        <v>25</v>
      </c>
      <c r="I922" s="52">
        <v>10</v>
      </c>
      <c r="J922" s="53">
        <v>90.706319702602201</v>
      </c>
      <c r="K922" s="53">
        <f>G922+H922+I922</f>
        <v>279</v>
      </c>
      <c r="L922" s="54">
        <v>139</v>
      </c>
      <c r="M922" s="54">
        <v>14</v>
      </c>
      <c r="N922" s="54">
        <v>3</v>
      </c>
      <c r="O922" s="53">
        <v>90.849673202614397</v>
      </c>
      <c r="P922" s="55">
        <f>L922+M922+N922</f>
        <v>156</v>
      </c>
    </row>
    <row r="923" spans="1:16" ht="15" hidden="1" customHeight="1">
      <c r="A923" s="43">
        <v>917</v>
      </c>
      <c r="B923" s="44" t="s">
        <v>24</v>
      </c>
      <c r="C923" s="44" t="s">
        <v>265</v>
      </c>
      <c r="D923" s="44" t="s">
        <v>299</v>
      </c>
      <c r="E923" s="44" t="s">
        <v>302</v>
      </c>
      <c r="F923" s="45" t="s">
        <v>18</v>
      </c>
      <c r="G923" s="46"/>
      <c r="H923" s="46"/>
      <c r="I923" s="46"/>
      <c r="J923" s="47"/>
      <c r="K923" s="47"/>
      <c r="L923" s="48"/>
      <c r="M923" s="48"/>
      <c r="N923" s="48"/>
      <c r="O923" s="47"/>
      <c r="P923" s="49"/>
    </row>
    <row r="924" spans="1:16" ht="15" hidden="1" customHeight="1">
      <c r="A924" s="43">
        <v>918</v>
      </c>
      <c r="B924" s="44" t="s">
        <v>24</v>
      </c>
      <c r="C924" s="44" t="s">
        <v>265</v>
      </c>
      <c r="D924" s="44" t="s">
        <v>299</v>
      </c>
      <c r="E924" s="44" t="s">
        <v>302</v>
      </c>
      <c r="F924" s="45" t="s">
        <v>19</v>
      </c>
      <c r="G924" s="46">
        <v>244</v>
      </c>
      <c r="H924" s="46">
        <v>25</v>
      </c>
      <c r="I924" s="46">
        <v>10</v>
      </c>
      <c r="J924" s="47">
        <v>90.706319702602201</v>
      </c>
      <c r="K924" s="47"/>
      <c r="L924" s="48">
        <v>139</v>
      </c>
      <c r="M924" s="48">
        <v>14</v>
      </c>
      <c r="N924" s="48">
        <v>3</v>
      </c>
      <c r="O924" s="47">
        <v>90.849673202614397</v>
      </c>
      <c r="P924" s="49"/>
    </row>
    <row r="925" spans="1:16" ht="15" hidden="1" customHeight="1">
      <c r="A925" s="37">
        <v>919</v>
      </c>
      <c r="B925" s="38" t="s">
        <v>22</v>
      </c>
      <c r="C925" s="57" t="s">
        <v>265</v>
      </c>
      <c r="D925" s="57" t="s">
        <v>303</v>
      </c>
      <c r="E925" s="57"/>
      <c r="F925" s="38" t="s">
        <v>303</v>
      </c>
      <c r="G925" s="39">
        <v>4734</v>
      </c>
      <c r="H925" s="39">
        <v>593</v>
      </c>
      <c r="I925" s="39">
        <v>134</v>
      </c>
      <c r="J925" s="40">
        <v>88.868030786559004</v>
      </c>
      <c r="K925" s="40"/>
      <c r="L925" s="41">
        <v>3287</v>
      </c>
      <c r="M925" s="41">
        <v>130</v>
      </c>
      <c r="N925" s="41">
        <v>27</v>
      </c>
      <c r="O925" s="40">
        <v>96.195493122622196</v>
      </c>
      <c r="P925" s="42"/>
    </row>
    <row r="926" spans="1:16" ht="15" hidden="1" customHeight="1">
      <c r="A926" s="43">
        <v>920</v>
      </c>
      <c r="B926" s="44" t="s">
        <v>22</v>
      </c>
      <c r="C926" s="44" t="s">
        <v>265</v>
      </c>
      <c r="D926" s="44" t="s">
        <v>303</v>
      </c>
      <c r="E926" s="44"/>
      <c r="F926" s="45" t="s">
        <v>18</v>
      </c>
      <c r="G926" s="46">
        <v>286</v>
      </c>
      <c r="H926" s="46">
        <v>29</v>
      </c>
      <c r="I926" s="46">
        <v>7</v>
      </c>
      <c r="J926" s="47">
        <v>90.793650793650798</v>
      </c>
      <c r="K926" s="47"/>
      <c r="L926" s="48">
        <v>355</v>
      </c>
      <c r="M926" s="48">
        <v>17</v>
      </c>
      <c r="N926" s="48">
        <v>5</v>
      </c>
      <c r="O926" s="47">
        <v>95.430107526881699</v>
      </c>
      <c r="P926" s="49"/>
    </row>
    <row r="927" spans="1:16" ht="15" hidden="1" customHeight="1">
      <c r="A927" s="43">
        <v>921</v>
      </c>
      <c r="B927" s="44" t="s">
        <v>22</v>
      </c>
      <c r="C927" s="44" t="s">
        <v>265</v>
      </c>
      <c r="D927" s="44" t="s">
        <v>303</v>
      </c>
      <c r="E927" s="44"/>
      <c r="F927" s="45" t="s">
        <v>19</v>
      </c>
      <c r="G927" s="46">
        <v>4448</v>
      </c>
      <c r="H927" s="46">
        <v>564</v>
      </c>
      <c r="I927" s="46">
        <v>127</v>
      </c>
      <c r="J927" s="47">
        <v>88.747007182761394</v>
      </c>
      <c r="K927" s="47"/>
      <c r="L927" s="48">
        <v>2932</v>
      </c>
      <c r="M927" s="48">
        <v>113</v>
      </c>
      <c r="N927" s="48">
        <v>22</v>
      </c>
      <c r="O927" s="47">
        <v>96.288998357963905</v>
      </c>
      <c r="P927" s="49"/>
    </row>
    <row r="928" spans="1:16" ht="15" customHeight="1">
      <c r="A928" s="50">
        <v>922</v>
      </c>
      <c r="B928" s="51" t="s">
        <v>24</v>
      </c>
      <c r="C928" s="58" t="s">
        <v>265</v>
      </c>
      <c r="D928" s="58" t="s">
        <v>303</v>
      </c>
      <c r="E928" s="58" t="s">
        <v>304</v>
      </c>
      <c r="F928" s="59" t="s">
        <v>304</v>
      </c>
      <c r="G928" s="52">
        <v>1963</v>
      </c>
      <c r="H928" s="52">
        <v>203</v>
      </c>
      <c r="I928" s="52">
        <v>60</v>
      </c>
      <c r="J928" s="53">
        <v>90.627885503231795</v>
      </c>
      <c r="K928" s="53">
        <f>G928+H928+I928</f>
        <v>2226</v>
      </c>
      <c r="L928" s="54">
        <v>991</v>
      </c>
      <c r="M928" s="54">
        <v>42</v>
      </c>
      <c r="N928" s="54">
        <v>9</v>
      </c>
      <c r="O928" s="53">
        <v>95.934172313649597</v>
      </c>
      <c r="P928" s="55">
        <f>L928+M928+N928</f>
        <v>1042</v>
      </c>
    </row>
    <row r="929" spans="1:16" ht="15" hidden="1" customHeight="1">
      <c r="A929" s="43">
        <v>923</v>
      </c>
      <c r="B929" s="44" t="s">
        <v>24</v>
      </c>
      <c r="C929" s="44" t="s">
        <v>265</v>
      </c>
      <c r="D929" s="44" t="s">
        <v>303</v>
      </c>
      <c r="E929" s="44" t="s">
        <v>304</v>
      </c>
      <c r="F929" s="45" t="s">
        <v>18</v>
      </c>
      <c r="G929" s="46"/>
      <c r="H929" s="46"/>
      <c r="I929" s="46"/>
      <c r="J929" s="47"/>
      <c r="K929" s="47"/>
      <c r="L929" s="48"/>
      <c r="M929" s="48"/>
      <c r="N929" s="48"/>
      <c r="O929" s="47"/>
      <c r="P929" s="49"/>
    </row>
    <row r="930" spans="1:16" ht="15" hidden="1" customHeight="1">
      <c r="A930" s="43">
        <v>924</v>
      </c>
      <c r="B930" s="44" t="s">
        <v>24</v>
      </c>
      <c r="C930" s="44" t="s">
        <v>265</v>
      </c>
      <c r="D930" s="44" t="s">
        <v>303</v>
      </c>
      <c r="E930" s="44" t="s">
        <v>304</v>
      </c>
      <c r="F930" s="45" t="s">
        <v>19</v>
      </c>
      <c r="G930" s="46">
        <v>1963</v>
      </c>
      <c r="H930" s="46">
        <v>203</v>
      </c>
      <c r="I930" s="46">
        <v>60</v>
      </c>
      <c r="J930" s="47">
        <v>90.627885503231795</v>
      </c>
      <c r="K930" s="47"/>
      <c r="L930" s="48">
        <v>991</v>
      </c>
      <c r="M930" s="48">
        <v>42</v>
      </c>
      <c r="N930" s="48">
        <v>9</v>
      </c>
      <c r="O930" s="47">
        <v>95.934172313649597</v>
      </c>
      <c r="P930" s="49"/>
    </row>
    <row r="931" spans="1:16" ht="15" customHeight="1">
      <c r="A931" s="50">
        <v>925</v>
      </c>
      <c r="B931" s="51" t="s">
        <v>24</v>
      </c>
      <c r="C931" s="58" t="s">
        <v>265</v>
      </c>
      <c r="D931" s="58" t="s">
        <v>303</v>
      </c>
      <c r="E931" s="58" t="s">
        <v>305</v>
      </c>
      <c r="F931" s="59" t="s">
        <v>305</v>
      </c>
      <c r="G931" s="52">
        <v>1036</v>
      </c>
      <c r="H931" s="52">
        <v>94</v>
      </c>
      <c r="I931" s="52">
        <v>19</v>
      </c>
      <c r="J931" s="53">
        <v>91.681415929203496</v>
      </c>
      <c r="K931" s="53">
        <f>G931+H931+I931</f>
        <v>1149</v>
      </c>
      <c r="L931" s="54">
        <v>988</v>
      </c>
      <c r="M931" s="54">
        <v>44</v>
      </c>
      <c r="N931" s="54">
        <v>9</v>
      </c>
      <c r="O931" s="53">
        <v>95.736434108527106</v>
      </c>
      <c r="P931" s="55">
        <f>L931+M931+N931</f>
        <v>1041</v>
      </c>
    </row>
    <row r="932" spans="1:16" ht="15" hidden="1" customHeight="1">
      <c r="A932" s="43">
        <v>926</v>
      </c>
      <c r="B932" s="44" t="s">
        <v>24</v>
      </c>
      <c r="C932" s="44" t="s">
        <v>265</v>
      </c>
      <c r="D932" s="44" t="s">
        <v>303</v>
      </c>
      <c r="E932" s="44" t="s">
        <v>305</v>
      </c>
      <c r="F932" s="45" t="s">
        <v>18</v>
      </c>
      <c r="G932" s="46">
        <v>286</v>
      </c>
      <c r="H932" s="46">
        <v>29</v>
      </c>
      <c r="I932" s="46">
        <v>7</v>
      </c>
      <c r="J932" s="47">
        <v>90.793650793650798</v>
      </c>
      <c r="K932" s="47"/>
      <c r="L932" s="48">
        <v>355</v>
      </c>
      <c r="M932" s="48">
        <v>17</v>
      </c>
      <c r="N932" s="48">
        <v>5</v>
      </c>
      <c r="O932" s="47">
        <v>95.430107526881699</v>
      </c>
      <c r="P932" s="49"/>
    </row>
    <row r="933" spans="1:16" ht="15" hidden="1" customHeight="1">
      <c r="A933" s="43">
        <v>927</v>
      </c>
      <c r="B933" s="44" t="s">
        <v>24</v>
      </c>
      <c r="C933" s="44" t="s">
        <v>265</v>
      </c>
      <c r="D933" s="44" t="s">
        <v>303</v>
      </c>
      <c r="E933" s="44" t="s">
        <v>305</v>
      </c>
      <c r="F933" s="45" t="s">
        <v>19</v>
      </c>
      <c r="G933" s="46">
        <v>750</v>
      </c>
      <c r="H933" s="46">
        <v>65</v>
      </c>
      <c r="I933" s="46">
        <v>12</v>
      </c>
      <c r="J933" s="47">
        <v>92.024539877300597</v>
      </c>
      <c r="K933" s="47"/>
      <c r="L933" s="48">
        <v>633</v>
      </c>
      <c r="M933" s="48">
        <v>27</v>
      </c>
      <c r="N933" s="48">
        <v>4</v>
      </c>
      <c r="O933" s="47">
        <v>95.909090909090907</v>
      </c>
      <c r="P933" s="49"/>
    </row>
    <row r="934" spans="1:16" ht="15" customHeight="1">
      <c r="A934" s="50">
        <v>928</v>
      </c>
      <c r="B934" s="51" t="s">
        <v>24</v>
      </c>
      <c r="C934" s="58" t="s">
        <v>265</v>
      </c>
      <c r="D934" s="58" t="s">
        <v>303</v>
      </c>
      <c r="E934" s="58" t="s">
        <v>306</v>
      </c>
      <c r="F934" s="59" t="s">
        <v>306</v>
      </c>
      <c r="G934" s="52">
        <v>1735</v>
      </c>
      <c r="H934" s="52">
        <v>296</v>
      </c>
      <c r="I934" s="52">
        <v>55</v>
      </c>
      <c r="J934" s="53">
        <v>85.425898572131999</v>
      </c>
      <c r="K934" s="53">
        <f>G934+H934+I934</f>
        <v>2086</v>
      </c>
      <c r="L934" s="54">
        <v>1308</v>
      </c>
      <c r="M934" s="54">
        <v>44</v>
      </c>
      <c r="N934" s="54">
        <v>9</v>
      </c>
      <c r="O934" s="53">
        <v>96.745562130177504</v>
      </c>
      <c r="P934" s="55">
        <f>L934+M934+N934</f>
        <v>1361</v>
      </c>
    </row>
    <row r="935" spans="1:16" ht="15" hidden="1" customHeight="1">
      <c r="A935" s="43">
        <v>929</v>
      </c>
      <c r="B935" s="44" t="s">
        <v>24</v>
      </c>
      <c r="C935" s="44" t="s">
        <v>265</v>
      </c>
      <c r="D935" s="44" t="s">
        <v>303</v>
      </c>
      <c r="E935" s="44" t="s">
        <v>306</v>
      </c>
      <c r="F935" s="45" t="s">
        <v>18</v>
      </c>
      <c r="G935" s="46"/>
      <c r="H935" s="46"/>
      <c r="I935" s="46"/>
      <c r="J935" s="47"/>
      <c r="K935" s="47"/>
      <c r="L935" s="48"/>
      <c r="M935" s="48"/>
      <c r="N935" s="48"/>
      <c r="O935" s="47"/>
      <c r="P935" s="49"/>
    </row>
    <row r="936" spans="1:16" ht="15" hidden="1" customHeight="1">
      <c r="A936" s="43">
        <v>930</v>
      </c>
      <c r="B936" s="44" t="s">
        <v>24</v>
      </c>
      <c r="C936" s="44" t="s">
        <v>265</v>
      </c>
      <c r="D936" s="44" t="s">
        <v>303</v>
      </c>
      <c r="E936" s="44" t="s">
        <v>306</v>
      </c>
      <c r="F936" s="45" t="s">
        <v>19</v>
      </c>
      <c r="G936" s="46">
        <v>1735</v>
      </c>
      <c r="H936" s="46">
        <v>296</v>
      </c>
      <c r="I936" s="46">
        <v>55</v>
      </c>
      <c r="J936" s="47">
        <v>85.425898572131999</v>
      </c>
      <c r="K936" s="47"/>
      <c r="L936" s="48">
        <v>1308</v>
      </c>
      <c r="M936" s="48">
        <v>44</v>
      </c>
      <c r="N936" s="48">
        <v>9</v>
      </c>
      <c r="O936" s="47">
        <v>96.745562130177504</v>
      </c>
      <c r="P936" s="49"/>
    </row>
    <row r="937" spans="1:16" ht="15" hidden="1" customHeight="1">
      <c r="A937" s="37">
        <v>931</v>
      </c>
      <c r="B937" s="38" t="s">
        <v>22</v>
      </c>
      <c r="C937" s="57" t="s">
        <v>265</v>
      </c>
      <c r="D937" s="57" t="s">
        <v>307</v>
      </c>
      <c r="E937" s="57"/>
      <c r="F937" s="38" t="s">
        <v>307</v>
      </c>
      <c r="G937" s="39">
        <v>6164</v>
      </c>
      <c r="H937" s="39">
        <v>582</v>
      </c>
      <c r="I937" s="39">
        <v>207</v>
      </c>
      <c r="J937" s="40">
        <v>91.372665283130701</v>
      </c>
      <c r="K937" s="40"/>
      <c r="L937" s="41">
        <v>4986</v>
      </c>
      <c r="M937" s="41">
        <v>87</v>
      </c>
      <c r="N937" s="41">
        <v>19</v>
      </c>
      <c r="O937" s="40">
        <v>98.285038438793606</v>
      </c>
      <c r="P937" s="42"/>
    </row>
    <row r="938" spans="1:16" ht="15" hidden="1" customHeight="1">
      <c r="A938" s="43">
        <v>932</v>
      </c>
      <c r="B938" s="44" t="s">
        <v>22</v>
      </c>
      <c r="C938" s="44" t="s">
        <v>265</v>
      </c>
      <c r="D938" s="44" t="s">
        <v>307</v>
      </c>
      <c r="E938" s="44"/>
      <c r="F938" s="45" t="s">
        <v>18</v>
      </c>
      <c r="G938" s="46">
        <v>3178</v>
      </c>
      <c r="H938" s="46">
        <v>284</v>
      </c>
      <c r="I938" s="46">
        <v>88</v>
      </c>
      <c r="J938" s="47">
        <v>91.796649335644105</v>
      </c>
      <c r="K938" s="47"/>
      <c r="L938" s="48">
        <v>3070</v>
      </c>
      <c r="M938" s="48">
        <v>51</v>
      </c>
      <c r="N938" s="48">
        <v>10</v>
      </c>
      <c r="O938" s="47">
        <v>98.365908362704303</v>
      </c>
      <c r="P938" s="49"/>
    </row>
    <row r="939" spans="1:16" ht="15" hidden="1" customHeight="1">
      <c r="A939" s="43">
        <v>933</v>
      </c>
      <c r="B939" s="44" t="s">
        <v>22</v>
      </c>
      <c r="C939" s="44" t="s">
        <v>265</v>
      </c>
      <c r="D939" s="44" t="s">
        <v>307</v>
      </c>
      <c r="E939" s="44"/>
      <c r="F939" s="45" t="s">
        <v>19</v>
      </c>
      <c r="G939" s="46">
        <v>2986</v>
      </c>
      <c r="H939" s="46">
        <v>298</v>
      </c>
      <c r="I939" s="46">
        <v>119</v>
      </c>
      <c r="J939" s="47">
        <v>90.925700365408005</v>
      </c>
      <c r="K939" s="47"/>
      <c r="L939" s="48">
        <v>1916</v>
      </c>
      <c r="M939" s="48">
        <v>36</v>
      </c>
      <c r="N939" s="48">
        <v>9</v>
      </c>
      <c r="O939" s="47">
        <v>98.155737704917996</v>
      </c>
      <c r="P939" s="49"/>
    </row>
    <row r="940" spans="1:16" ht="15" customHeight="1">
      <c r="A940" s="50">
        <v>934</v>
      </c>
      <c r="B940" s="51" t="s">
        <v>24</v>
      </c>
      <c r="C940" s="58" t="s">
        <v>265</v>
      </c>
      <c r="D940" s="58" t="s">
        <v>307</v>
      </c>
      <c r="E940" s="58" t="s">
        <v>308</v>
      </c>
      <c r="F940" s="59" t="s">
        <v>308</v>
      </c>
      <c r="G940" s="52">
        <v>3255</v>
      </c>
      <c r="H940" s="52">
        <v>250</v>
      </c>
      <c r="I940" s="52">
        <v>113</v>
      </c>
      <c r="J940" s="53">
        <v>92.867332382311005</v>
      </c>
      <c r="K940" s="53">
        <f>G940+H940+I940</f>
        <v>3618</v>
      </c>
      <c r="L940" s="54">
        <v>2636</v>
      </c>
      <c r="M940" s="54">
        <v>51</v>
      </c>
      <c r="N940" s="54">
        <v>10</v>
      </c>
      <c r="O940" s="53">
        <v>98.101972459992595</v>
      </c>
      <c r="P940" s="55">
        <f>L940+M940+N940</f>
        <v>2697</v>
      </c>
    </row>
    <row r="941" spans="1:16" ht="15" hidden="1" customHeight="1">
      <c r="A941" s="43">
        <v>935</v>
      </c>
      <c r="B941" s="44" t="s">
        <v>24</v>
      </c>
      <c r="C941" s="44" t="s">
        <v>265</v>
      </c>
      <c r="D941" s="44" t="s">
        <v>307</v>
      </c>
      <c r="E941" s="44" t="s">
        <v>308</v>
      </c>
      <c r="F941" s="45" t="s">
        <v>18</v>
      </c>
      <c r="G941" s="46">
        <v>2029</v>
      </c>
      <c r="H941" s="46">
        <v>116</v>
      </c>
      <c r="I941" s="46">
        <v>69</v>
      </c>
      <c r="J941" s="47">
        <v>94.592074592074596</v>
      </c>
      <c r="K941" s="47"/>
      <c r="L941" s="48">
        <v>1892</v>
      </c>
      <c r="M941" s="48">
        <v>39</v>
      </c>
      <c r="N941" s="48">
        <v>5</v>
      </c>
      <c r="O941" s="47">
        <v>97.980321077162102</v>
      </c>
      <c r="P941" s="49"/>
    </row>
    <row r="942" spans="1:16" ht="15" hidden="1" customHeight="1">
      <c r="A942" s="43">
        <v>936</v>
      </c>
      <c r="B942" s="44" t="s">
        <v>24</v>
      </c>
      <c r="C942" s="44" t="s">
        <v>265</v>
      </c>
      <c r="D942" s="44" t="s">
        <v>307</v>
      </c>
      <c r="E942" s="44" t="s">
        <v>308</v>
      </c>
      <c r="F942" s="45" t="s">
        <v>19</v>
      </c>
      <c r="G942" s="46">
        <v>1226</v>
      </c>
      <c r="H942" s="46">
        <v>134</v>
      </c>
      <c r="I942" s="46">
        <v>44</v>
      </c>
      <c r="J942" s="47">
        <v>90.147058823529406</v>
      </c>
      <c r="K942" s="47"/>
      <c r="L942" s="48">
        <v>744</v>
      </c>
      <c r="M942" s="48">
        <v>12</v>
      </c>
      <c r="N942" s="48">
        <v>5</v>
      </c>
      <c r="O942" s="47">
        <v>98.412698412698404</v>
      </c>
      <c r="P942" s="49"/>
    </row>
    <row r="943" spans="1:16" ht="15" customHeight="1">
      <c r="A943" s="50">
        <v>937</v>
      </c>
      <c r="B943" s="51" t="s">
        <v>24</v>
      </c>
      <c r="C943" s="58" t="s">
        <v>265</v>
      </c>
      <c r="D943" s="58" t="s">
        <v>307</v>
      </c>
      <c r="E943" s="58" t="s">
        <v>309</v>
      </c>
      <c r="F943" s="59" t="s">
        <v>309</v>
      </c>
      <c r="G943" s="52">
        <v>854</v>
      </c>
      <c r="H943" s="52">
        <v>66</v>
      </c>
      <c r="I943" s="52">
        <v>38</v>
      </c>
      <c r="J943" s="53">
        <v>92.826086956521706</v>
      </c>
      <c r="K943" s="53">
        <f>G943+H943+I943</f>
        <v>958</v>
      </c>
      <c r="L943" s="54">
        <v>542</v>
      </c>
      <c r="M943" s="54">
        <v>11</v>
      </c>
      <c r="N943" s="54">
        <v>1</v>
      </c>
      <c r="O943" s="53">
        <v>98.010849909584095</v>
      </c>
      <c r="P943" s="55">
        <f>L943+M943+N943</f>
        <v>554</v>
      </c>
    </row>
    <row r="944" spans="1:16" ht="15" hidden="1" customHeight="1">
      <c r="A944" s="43">
        <v>938</v>
      </c>
      <c r="B944" s="44" t="s">
        <v>24</v>
      </c>
      <c r="C944" s="44" t="s">
        <v>265</v>
      </c>
      <c r="D944" s="44" t="s">
        <v>307</v>
      </c>
      <c r="E944" s="44" t="s">
        <v>309</v>
      </c>
      <c r="F944" s="45" t="s">
        <v>18</v>
      </c>
      <c r="G944" s="46"/>
      <c r="H944" s="46"/>
      <c r="I944" s="46"/>
      <c r="J944" s="47"/>
      <c r="K944" s="47"/>
      <c r="L944" s="48"/>
      <c r="M944" s="48"/>
      <c r="N944" s="48"/>
      <c r="O944" s="47"/>
      <c r="P944" s="49"/>
    </row>
    <row r="945" spans="1:16" ht="15" hidden="1" customHeight="1">
      <c r="A945" s="43">
        <v>939</v>
      </c>
      <c r="B945" s="44" t="s">
        <v>24</v>
      </c>
      <c r="C945" s="44" t="s">
        <v>265</v>
      </c>
      <c r="D945" s="44" t="s">
        <v>307</v>
      </c>
      <c r="E945" s="44" t="s">
        <v>309</v>
      </c>
      <c r="F945" s="45" t="s">
        <v>19</v>
      </c>
      <c r="G945" s="46">
        <v>854</v>
      </c>
      <c r="H945" s="46">
        <v>66</v>
      </c>
      <c r="I945" s="46">
        <v>38</v>
      </c>
      <c r="J945" s="47">
        <v>92.826086956521706</v>
      </c>
      <c r="K945" s="47"/>
      <c r="L945" s="48">
        <v>542</v>
      </c>
      <c r="M945" s="48">
        <v>11</v>
      </c>
      <c r="N945" s="48">
        <v>1</v>
      </c>
      <c r="O945" s="47">
        <v>98.010849909584095</v>
      </c>
      <c r="P945" s="49"/>
    </row>
    <row r="946" spans="1:16" ht="15" customHeight="1">
      <c r="A946" s="50">
        <v>940</v>
      </c>
      <c r="B946" s="51" t="s">
        <v>24</v>
      </c>
      <c r="C946" s="58" t="s">
        <v>265</v>
      </c>
      <c r="D946" s="58" t="s">
        <v>307</v>
      </c>
      <c r="E946" s="58" t="s">
        <v>310</v>
      </c>
      <c r="F946" s="59" t="s">
        <v>310</v>
      </c>
      <c r="G946" s="52">
        <v>1413</v>
      </c>
      <c r="H946" s="52">
        <v>200</v>
      </c>
      <c r="I946" s="52">
        <v>40</v>
      </c>
      <c r="J946" s="53">
        <v>87.600743955362702</v>
      </c>
      <c r="K946" s="53">
        <f>G946+H946+I946</f>
        <v>1653</v>
      </c>
      <c r="L946" s="54">
        <v>1398</v>
      </c>
      <c r="M946" s="54">
        <v>14</v>
      </c>
      <c r="N946" s="54">
        <v>5</v>
      </c>
      <c r="O946" s="53">
        <v>99.008498583569406</v>
      </c>
      <c r="P946" s="55">
        <f>L946+M946+N946</f>
        <v>1417</v>
      </c>
    </row>
    <row r="947" spans="1:16" ht="15" hidden="1" customHeight="1">
      <c r="A947" s="43">
        <v>941</v>
      </c>
      <c r="B947" s="44" t="s">
        <v>24</v>
      </c>
      <c r="C947" s="44" t="s">
        <v>265</v>
      </c>
      <c r="D947" s="44" t="s">
        <v>307</v>
      </c>
      <c r="E947" s="44" t="s">
        <v>310</v>
      </c>
      <c r="F947" s="45" t="s">
        <v>18</v>
      </c>
      <c r="G947" s="46">
        <v>1149</v>
      </c>
      <c r="H947" s="46">
        <v>168</v>
      </c>
      <c r="I947" s="46">
        <v>19</v>
      </c>
      <c r="J947" s="47">
        <v>87.243735763097902</v>
      </c>
      <c r="K947" s="47"/>
      <c r="L947" s="48">
        <v>1178</v>
      </c>
      <c r="M947" s="48">
        <v>12</v>
      </c>
      <c r="N947" s="48">
        <v>5</v>
      </c>
      <c r="O947" s="47">
        <v>98.991596638655494</v>
      </c>
      <c r="P947" s="49"/>
    </row>
    <row r="948" spans="1:16" ht="15" hidden="1" customHeight="1">
      <c r="A948" s="43">
        <v>942</v>
      </c>
      <c r="B948" s="44" t="s">
        <v>24</v>
      </c>
      <c r="C948" s="44" t="s">
        <v>265</v>
      </c>
      <c r="D948" s="44" t="s">
        <v>307</v>
      </c>
      <c r="E948" s="44" t="s">
        <v>310</v>
      </c>
      <c r="F948" s="45" t="s">
        <v>19</v>
      </c>
      <c r="G948" s="46">
        <v>264</v>
      </c>
      <c r="H948" s="46">
        <v>32</v>
      </c>
      <c r="I948" s="46">
        <v>21</v>
      </c>
      <c r="J948" s="47">
        <v>89.189189189189193</v>
      </c>
      <c r="K948" s="47"/>
      <c r="L948" s="48">
        <v>220</v>
      </c>
      <c r="M948" s="48">
        <v>2</v>
      </c>
      <c r="N948" s="48">
        <v>0</v>
      </c>
      <c r="O948" s="47">
        <v>99.099099099099107</v>
      </c>
      <c r="P948" s="49"/>
    </row>
    <row r="949" spans="1:16" ht="15" customHeight="1">
      <c r="A949" s="50">
        <v>943</v>
      </c>
      <c r="B949" s="51" t="s">
        <v>24</v>
      </c>
      <c r="C949" s="58" t="s">
        <v>265</v>
      </c>
      <c r="D949" s="58" t="s">
        <v>307</v>
      </c>
      <c r="E949" s="58" t="s">
        <v>311</v>
      </c>
      <c r="F949" s="59" t="s">
        <v>311</v>
      </c>
      <c r="G949" s="52">
        <v>642</v>
      </c>
      <c r="H949" s="52">
        <v>66</v>
      </c>
      <c r="I949" s="52">
        <v>16</v>
      </c>
      <c r="J949" s="53">
        <v>90.677966101694906</v>
      </c>
      <c r="K949" s="53">
        <f>G949+H949+I949</f>
        <v>724</v>
      </c>
      <c r="L949" s="54">
        <v>410</v>
      </c>
      <c r="M949" s="54">
        <v>11</v>
      </c>
      <c r="N949" s="54">
        <v>3</v>
      </c>
      <c r="O949" s="53">
        <v>97.387173396674598</v>
      </c>
      <c r="P949" s="55">
        <f>L949+M949+N949</f>
        <v>424</v>
      </c>
    </row>
    <row r="950" spans="1:16" ht="15" hidden="1" customHeight="1">
      <c r="A950" s="43">
        <v>944</v>
      </c>
      <c r="B950" s="44" t="s">
        <v>24</v>
      </c>
      <c r="C950" s="44" t="s">
        <v>265</v>
      </c>
      <c r="D950" s="44" t="s">
        <v>307</v>
      </c>
      <c r="E950" s="44" t="s">
        <v>311</v>
      </c>
      <c r="F950" s="45" t="s">
        <v>18</v>
      </c>
      <c r="G950" s="46"/>
      <c r="H950" s="46"/>
      <c r="I950" s="46"/>
      <c r="J950" s="47"/>
      <c r="K950" s="47"/>
      <c r="L950" s="48"/>
      <c r="M950" s="48"/>
      <c r="N950" s="48"/>
      <c r="O950" s="47"/>
      <c r="P950" s="49"/>
    </row>
    <row r="951" spans="1:16" ht="15" hidden="1" customHeight="1">
      <c r="A951" s="43">
        <v>945</v>
      </c>
      <c r="B951" s="44" t="s">
        <v>24</v>
      </c>
      <c r="C951" s="44" t="s">
        <v>265</v>
      </c>
      <c r="D951" s="44" t="s">
        <v>307</v>
      </c>
      <c r="E951" s="44" t="s">
        <v>311</v>
      </c>
      <c r="F951" s="45" t="s">
        <v>19</v>
      </c>
      <c r="G951" s="46">
        <v>642</v>
      </c>
      <c r="H951" s="46">
        <v>66</v>
      </c>
      <c r="I951" s="46">
        <v>16</v>
      </c>
      <c r="J951" s="47">
        <v>90.677966101694906</v>
      </c>
      <c r="K951" s="47"/>
      <c r="L951" s="48">
        <v>410</v>
      </c>
      <c r="M951" s="48">
        <v>11</v>
      </c>
      <c r="N951" s="48">
        <v>3</v>
      </c>
      <c r="O951" s="47">
        <v>97.387173396674598</v>
      </c>
      <c r="P951" s="49"/>
    </row>
    <row r="952" spans="1:16" ht="15" hidden="1" customHeight="1">
      <c r="A952" s="37">
        <v>946</v>
      </c>
      <c r="B952" s="38" t="s">
        <v>22</v>
      </c>
      <c r="C952" s="57" t="s">
        <v>265</v>
      </c>
      <c r="D952" s="57" t="s">
        <v>312</v>
      </c>
      <c r="E952" s="57"/>
      <c r="F952" s="38" t="s">
        <v>312</v>
      </c>
      <c r="G952" s="39">
        <v>1184</v>
      </c>
      <c r="H952" s="39">
        <v>116</v>
      </c>
      <c r="I952" s="39">
        <v>38</v>
      </c>
      <c r="J952" s="40">
        <v>91.076923076923094</v>
      </c>
      <c r="K952" s="40"/>
      <c r="L952" s="41">
        <v>598</v>
      </c>
      <c r="M952" s="41">
        <v>14</v>
      </c>
      <c r="N952" s="41">
        <v>15</v>
      </c>
      <c r="O952" s="40">
        <v>97.712418300653596</v>
      </c>
      <c r="P952" s="42"/>
    </row>
    <row r="953" spans="1:16" ht="15" hidden="1" customHeight="1">
      <c r="A953" s="43">
        <v>947</v>
      </c>
      <c r="B953" s="44" t="s">
        <v>22</v>
      </c>
      <c r="C953" s="44" t="s">
        <v>265</v>
      </c>
      <c r="D953" s="44" t="s">
        <v>312</v>
      </c>
      <c r="E953" s="44"/>
      <c r="F953" s="45" t="s">
        <v>18</v>
      </c>
      <c r="G953" s="46"/>
      <c r="H953" s="46"/>
      <c r="I953" s="46"/>
      <c r="J953" s="47"/>
      <c r="K953" s="47"/>
      <c r="L953" s="48"/>
      <c r="M953" s="48"/>
      <c r="N953" s="48"/>
      <c r="O953" s="47"/>
      <c r="P953" s="49"/>
    </row>
    <row r="954" spans="1:16" ht="15" hidden="1" customHeight="1">
      <c r="A954" s="43">
        <v>948</v>
      </c>
      <c r="B954" s="44" t="s">
        <v>22</v>
      </c>
      <c r="C954" s="44" t="s">
        <v>265</v>
      </c>
      <c r="D954" s="44" t="s">
        <v>312</v>
      </c>
      <c r="E954" s="44"/>
      <c r="F954" s="45" t="s">
        <v>19</v>
      </c>
      <c r="G954" s="46">
        <v>1184</v>
      </c>
      <c r="H954" s="46">
        <v>116</v>
      </c>
      <c r="I954" s="46">
        <v>38</v>
      </c>
      <c r="J954" s="47">
        <v>91.076923076923094</v>
      </c>
      <c r="K954" s="47"/>
      <c r="L954" s="48">
        <v>598</v>
      </c>
      <c r="M954" s="48">
        <v>14</v>
      </c>
      <c r="N954" s="48">
        <v>15</v>
      </c>
      <c r="O954" s="47">
        <v>97.712418300653596</v>
      </c>
      <c r="P954" s="49"/>
    </row>
    <row r="955" spans="1:16" ht="15" customHeight="1">
      <c r="A955" s="50">
        <v>949</v>
      </c>
      <c r="B955" s="51" t="s">
        <v>24</v>
      </c>
      <c r="C955" s="58" t="s">
        <v>265</v>
      </c>
      <c r="D955" s="58" t="s">
        <v>312</v>
      </c>
      <c r="E955" s="58" t="s">
        <v>313</v>
      </c>
      <c r="F955" s="59" t="s">
        <v>313</v>
      </c>
      <c r="G955" s="52">
        <v>499</v>
      </c>
      <c r="H955" s="52">
        <v>48</v>
      </c>
      <c r="I955" s="52">
        <v>24</v>
      </c>
      <c r="J955" s="53">
        <v>91.224862888482605</v>
      </c>
      <c r="K955" s="53">
        <f>G955+H955+I955</f>
        <v>571</v>
      </c>
      <c r="L955" s="54">
        <v>310</v>
      </c>
      <c r="M955" s="54">
        <v>8</v>
      </c>
      <c r="N955" s="54">
        <v>9</v>
      </c>
      <c r="O955" s="53">
        <v>97.484276729559795</v>
      </c>
      <c r="P955" s="55">
        <f>L955+M955+N955</f>
        <v>327</v>
      </c>
    </row>
    <row r="956" spans="1:16" ht="15" hidden="1" customHeight="1">
      <c r="A956" s="43">
        <v>950</v>
      </c>
      <c r="B956" s="44" t="s">
        <v>24</v>
      </c>
      <c r="C956" s="44" t="s">
        <v>265</v>
      </c>
      <c r="D956" s="44" t="s">
        <v>312</v>
      </c>
      <c r="E956" s="44" t="s">
        <v>313</v>
      </c>
      <c r="F956" s="45" t="s">
        <v>18</v>
      </c>
      <c r="G956" s="46"/>
      <c r="H956" s="46"/>
      <c r="I956" s="46"/>
      <c r="J956" s="47"/>
      <c r="K956" s="47"/>
      <c r="L956" s="48"/>
      <c r="M956" s="48"/>
      <c r="N956" s="48"/>
      <c r="O956" s="47"/>
      <c r="P956" s="49"/>
    </row>
    <row r="957" spans="1:16" ht="15" hidden="1" customHeight="1">
      <c r="A957" s="43">
        <v>951</v>
      </c>
      <c r="B957" s="44" t="s">
        <v>24</v>
      </c>
      <c r="C957" s="44" t="s">
        <v>265</v>
      </c>
      <c r="D957" s="44" t="s">
        <v>312</v>
      </c>
      <c r="E957" s="44" t="s">
        <v>313</v>
      </c>
      <c r="F957" s="45" t="s">
        <v>19</v>
      </c>
      <c r="G957" s="46">
        <v>499</v>
      </c>
      <c r="H957" s="46">
        <v>48</v>
      </c>
      <c r="I957" s="46">
        <v>24</v>
      </c>
      <c r="J957" s="47">
        <v>91.224862888482605</v>
      </c>
      <c r="K957" s="47"/>
      <c r="L957" s="48">
        <v>310</v>
      </c>
      <c r="M957" s="48">
        <v>8</v>
      </c>
      <c r="N957" s="48">
        <v>9</v>
      </c>
      <c r="O957" s="47">
        <v>97.484276729559795</v>
      </c>
      <c r="P957" s="49"/>
    </row>
    <row r="958" spans="1:16" ht="15" customHeight="1">
      <c r="A958" s="50">
        <v>952</v>
      </c>
      <c r="B958" s="51" t="s">
        <v>24</v>
      </c>
      <c r="C958" s="58" t="s">
        <v>265</v>
      </c>
      <c r="D958" s="58" t="s">
        <v>312</v>
      </c>
      <c r="E958" s="58" t="s">
        <v>314</v>
      </c>
      <c r="F958" s="59" t="s">
        <v>314</v>
      </c>
      <c r="G958" s="52">
        <v>685</v>
      </c>
      <c r="H958" s="52">
        <v>68</v>
      </c>
      <c r="I958" s="52">
        <v>14</v>
      </c>
      <c r="J958" s="53">
        <v>90.969455511288203</v>
      </c>
      <c r="K958" s="53">
        <f>G958+H958+I958</f>
        <v>767</v>
      </c>
      <c r="L958" s="54">
        <v>288</v>
      </c>
      <c r="M958" s="54">
        <v>6</v>
      </c>
      <c r="N958" s="54">
        <v>6</v>
      </c>
      <c r="O958" s="53">
        <v>97.959183673469397</v>
      </c>
      <c r="P958" s="55">
        <f>L958+M958+N958</f>
        <v>300</v>
      </c>
    </row>
    <row r="959" spans="1:16" ht="15" hidden="1" customHeight="1">
      <c r="A959" s="43">
        <v>953</v>
      </c>
      <c r="B959" s="44" t="s">
        <v>24</v>
      </c>
      <c r="C959" s="44" t="s">
        <v>265</v>
      </c>
      <c r="D959" s="44" t="s">
        <v>312</v>
      </c>
      <c r="E959" s="44" t="s">
        <v>314</v>
      </c>
      <c r="F959" s="45" t="s">
        <v>18</v>
      </c>
      <c r="G959" s="46"/>
      <c r="H959" s="46"/>
      <c r="I959" s="46"/>
      <c r="J959" s="47"/>
      <c r="K959" s="47"/>
      <c r="L959" s="48"/>
      <c r="M959" s="48"/>
      <c r="N959" s="48"/>
      <c r="O959" s="47"/>
      <c r="P959" s="49"/>
    </row>
    <row r="960" spans="1:16" ht="15" hidden="1" customHeight="1">
      <c r="A960" s="43">
        <v>954</v>
      </c>
      <c r="B960" s="44" t="s">
        <v>24</v>
      </c>
      <c r="C960" s="44" t="s">
        <v>265</v>
      </c>
      <c r="D960" s="44" t="s">
        <v>312</v>
      </c>
      <c r="E960" s="44" t="s">
        <v>314</v>
      </c>
      <c r="F960" s="45" t="s">
        <v>19</v>
      </c>
      <c r="G960" s="46">
        <v>685</v>
      </c>
      <c r="H960" s="46">
        <v>68</v>
      </c>
      <c r="I960" s="46">
        <v>14</v>
      </c>
      <c r="J960" s="47">
        <v>90.969455511288203</v>
      </c>
      <c r="K960" s="47"/>
      <c r="L960" s="48">
        <v>288</v>
      </c>
      <c r="M960" s="48">
        <v>6</v>
      </c>
      <c r="N960" s="48">
        <v>6</v>
      </c>
      <c r="O960" s="47">
        <v>97.959183673469397</v>
      </c>
      <c r="P960" s="49"/>
    </row>
    <row r="961" spans="1:16" ht="15" hidden="1" customHeight="1">
      <c r="A961" s="37">
        <v>955</v>
      </c>
      <c r="B961" s="38" t="s">
        <v>22</v>
      </c>
      <c r="C961" s="57" t="s">
        <v>265</v>
      </c>
      <c r="D961" s="57" t="s">
        <v>315</v>
      </c>
      <c r="E961" s="57"/>
      <c r="F961" s="38" t="s">
        <v>315</v>
      </c>
      <c r="G961" s="39">
        <v>546</v>
      </c>
      <c r="H961" s="39">
        <v>39</v>
      </c>
      <c r="I961" s="39">
        <v>22</v>
      </c>
      <c r="J961" s="40">
        <v>93.3333333333333</v>
      </c>
      <c r="K961" s="40"/>
      <c r="L961" s="41">
        <v>350</v>
      </c>
      <c r="M961" s="41">
        <v>20</v>
      </c>
      <c r="N961" s="41">
        <v>0</v>
      </c>
      <c r="O961" s="40">
        <v>94.594594594594597</v>
      </c>
      <c r="P961" s="42"/>
    </row>
    <row r="962" spans="1:16" ht="15" hidden="1" customHeight="1">
      <c r="A962" s="43">
        <v>956</v>
      </c>
      <c r="B962" s="44" t="s">
        <v>22</v>
      </c>
      <c r="C962" s="44" t="s">
        <v>265</v>
      </c>
      <c r="D962" s="44" t="s">
        <v>315</v>
      </c>
      <c r="E962" s="44"/>
      <c r="F962" s="45" t="s">
        <v>18</v>
      </c>
      <c r="G962" s="46"/>
      <c r="H962" s="46"/>
      <c r="I962" s="46"/>
      <c r="J962" s="47"/>
      <c r="K962" s="47"/>
      <c r="L962" s="48"/>
      <c r="M962" s="48"/>
      <c r="N962" s="48"/>
      <c r="O962" s="47"/>
      <c r="P962" s="49"/>
    </row>
    <row r="963" spans="1:16" ht="15" hidden="1" customHeight="1">
      <c r="A963" s="43">
        <v>957</v>
      </c>
      <c r="B963" s="44" t="s">
        <v>22</v>
      </c>
      <c r="C963" s="44" t="s">
        <v>265</v>
      </c>
      <c r="D963" s="44" t="s">
        <v>315</v>
      </c>
      <c r="E963" s="44"/>
      <c r="F963" s="45" t="s">
        <v>19</v>
      </c>
      <c r="G963" s="46">
        <v>546</v>
      </c>
      <c r="H963" s="46">
        <v>39</v>
      </c>
      <c r="I963" s="46">
        <v>22</v>
      </c>
      <c r="J963" s="47">
        <v>93.3333333333333</v>
      </c>
      <c r="K963" s="47"/>
      <c r="L963" s="48">
        <v>350</v>
      </c>
      <c r="M963" s="48">
        <v>20</v>
      </c>
      <c r="N963" s="48">
        <v>0</v>
      </c>
      <c r="O963" s="47">
        <v>94.594594594594597</v>
      </c>
      <c r="P963" s="49"/>
    </row>
    <row r="964" spans="1:16" ht="15" customHeight="1">
      <c r="A964" s="50">
        <v>958</v>
      </c>
      <c r="B964" s="51" t="s">
        <v>24</v>
      </c>
      <c r="C964" s="58" t="s">
        <v>265</v>
      </c>
      <c r="D964" s="58" t="s">
        <v>315</v>
      </c>
      <c r="E964" s="58" t="s">
        <v>316</v>
      </c>
      <c r="F964" s="59" t="s">
        <v>316</v>
      </c>
      <c r="G964" s="52">
        <v>388</v>
      </c>
      <c r="H964" s="52">
        <v>27</v>
      </c>
      <c r="I964" s="52">
        <v>13</v>
      </c>
      <c r="J964" s="53">
        <v>93.493975903614498</v>
      </c>
      <c r="K964" s="53">
        <f>G964+H964+I964</f>
        <v>428</v>
      </c>
      <c r="L964" s="54">
        <v>265</v>
      </c>
      <c r="M964" s="54">
        <v>17</v>
      </c>
      <c r="N964" s="54">
        <v>0</v>
      </c>
      <c r="O964" s="53">
        <v>93.971631205673802</v>
      </c>
      <c r="P964" s="55">
        <f>L964+M964+N964</f>
        <v>282</v>
      </c>
    </row>
    <row r="965" spans="1:16" ht="15" hidden="1" customHeight="1">
      <c r="A965" s="43">
        <v>959</v>
      </c>
      <c r="B965" s="44" t="s">
        <v>24</v>
      </c>
      <c r="C965" s="44" t="s">
        <v>265</v>
      </c>
      <c r="D965" s="44" t="s">
        <v>315</v>
      </c>
      <c r="E965" s="44" t="s">
        <v>316</v>
      </c>
      <c r="F965" s="45" t="s">
        <v>18</v>
      </c>
      <c r="G965" s="46"/>
      <c r="H965" s="46"/>
      <c r="I965" s="46"/>
      <c r="J965" s="47"/>
      <c r="K965" s="47"/>
      <c r="L965" s="48"/>
      <c r="M965" s="48"/>
      <c r="N965" s="48"/>
      <c r="O965" s="47"/>
      <c r="P965" s="49"/>
    </row>
    <row r="966" spans="1:16" ht="15" hidden="1" customHeight="1">
      <c r="A966" s="43">
        <v>960</v>
      </c>
      <c r="B966" s="44" t="s">
        <v>24</v>
      </c>
      <c r="C966" s="44" t="s">
        <v>265</v>
      </c>
      <c r="D966" s="44" t="s">
        <v>315</v>
      </c>
      <c r="E966" s="44" t="s">
        <v>316</v>
      </c>
      <c r="F966" s="45" t="s">
        <v>19</v>
      </c>
      <c r="G966" s="46">
        <v>388</v>
      </c>
      <c r="H966" s="46">
        <v>27</v>
      </c>
      <c r="I966" s="46">
        <v>13</v>
      </c>
      <c r="J966" s="47">
        <v>93.493975903614498</v>
      </c>
      <c r="K966" s="47"/>
      <c r="L966" s="48">
        <v>265</v>
      </c>
      <c r="M966" s="48">
        <v>17</v>
      </c>
      <c r="N966" s="48">
        <v>0</v>
      </c>
      <c r="O966" s="47">
        <v>93.971631205673802</v>
      </c>
      <c r="P966" s="49"/>
    </row>
    <row r="967" spans="1:16" ht="15" customHeight="1">
      <c r="A967" s="50">
        <v>961</v>
      </c>
      <c r="B967" s="51" t="s">
        <v>24</v>
      </c>
      <c r="C967" s="58" t="s">
        <v>265</v>
      </c>
      <c r="D967" s="58" t="s">
        <v>315</v>
      </c>
      <c r="E967" s="58" t="s">
        <v>317</v>
      </c>
      <c r="F967" s="59" t="s">
        <v>317</v>
      </c>
      <c r="G967" s="52">
        <v>158</v>
      </c>
      <c r="H967" s="52">
        <v>12</v>
      </c>
      <c r="I967" s="52">
        <v>9</v>
      </c>
      <c r="J967" s="53">
        <v>92.941176470588204</v>
      </c>
      <c r="K967" s="53">
        <f>G967+H967+I967</f>
        <v>179</v>
      </c>
      <c r="L967" s="54">
        <v>85</v>
      </c>
      <c r="M967" s="54">
        <v>3</v>
      </c>
      <c r="N967" s="54">
        <v>0</v>
      </c>
      <c r="O967" s="53">
        <v>96.590909090909093</v>
      </c>
      <c r="P967" s="55">
        <f>L967+M967+N967</f>
        <v>88</v>
      </c>
    </row>
    <row r="968" spans="1:16" ht="15" hidden="1" customHeight="1">
      <c r="A968" s="43">
        <v>962</v>
      </c>
      <c r="B968" s="44" t="s">
        <v>24</v>
      </c>
      <c r="C968" s="44" t="s">
        <v>265</v>
      </c>
      <c r="D968" s="44" t="s">
        <v>315</v>
      </c>
      <c r="E968" s="44" t="s">
        <v>317</v>
      </c>
      <c r="F968" s="45" t="s">
        <v>18</v>
      </c>
      <c r="G968" s="46"/>
      <c r="H968" s="46"/>
      <c r="I968" s="46"/>
      <c r="J968" s="47"/>
      <c r="K968" s="47"/>
      <c r="L968" s="48"/>
      <c r="M968" s="48"/>
      <c r="N968" s="48"/>
      <c r="O968" s="47"/>
      <c r="P968" s="49"/>
    </row>
    <row r="969" spans="1:16" ht="15" hidden="1" customHeight="1">
      <c r="A969" s="43">
        <v>963</v>
      </c>
      <c r="B969" s="44" t="s">
        <v>24</v>
      </c>
      <c r="C969" s="44" t="s">
        <v>265</v>
      </c>
      <c r="D969" s="44" t="s">
        <v>315</v>
      </c>
      <c r="E969" s="44" t="s">
        <v>317</v>
      </c>
      <c r="F969" s="45" t="s">
        <v>19</v>
      </c>
      <c r="G969" s="46">
        <v>158</v>
      </c>
      <c r="H969" s="46">
        <v>12</v>
      </c>
      <c r="I969" s="46">
        <v>9</v>
      </c>
      <c r="J969" s="47">
        <v>92.941176470588204</v>
      </c>
      <c r="K969" s="47"/>
      <c r="L969" s="48">
        <v>85</v>
      </c>
      <c r="M969" s="48">
        <v>3</v>
      </c>
      <c r="N969" s="48">
        <v>0</v>
      </c>
      <c r="O969" s="47">
        <v>96.590909090909093</v>
      </c>
      <c r="P969" s="49"/>
    </row>
    <row r="970" spans="1:16" ht="15" hidden="1" customHeight="1">
      <c r="A970" s="37">
        <v>964</v>
      </c>
      <c r="B970" s="38" t="s">
        <v>22</v>
      </c>
      <c r="C970" s="57" t="s">
        <v>265</v>
      </c>
      <c r="D970" s="57" t="s">
        <v>318</v>
      </c>
      <c r="E970" s="57"/>
      <c r="F970" s="38" t="s">
        <v>318</v>
      </c>
      <c r="G970" s="39">
        <v>4184</v>
      </c>
      <c r="H970" s="39">
        <v>483</v>
      </c>
      <c r="I970" s="39">
        <v>154</v>
      </c>
      <c r="J970" s="40">
        <v>89.650739232911903</v>
      </c>
      <c r="K970" s="40"/>
      <c r="L970" s="41">
        <v>3446</v>
      </c>
      <c r="M970" s="41">
        <v>333</v>
      </c>
      <c r="N970" s="41">
        <v>28</v>
      </c>
      <c r="O970" s="40">
        <v>91.188145011907906</v>
      </c>
      <c r="P970" s="42"/>
    </row>
    <row r="971" spans="1:16" ht="15" hidden="1" customHeight="1">
      <c r="A971" s="43">
        <v>965</v>
      </c>
      <c r="B971" s="44" t="s">
        <v>22</v>
      </c>
      <c r="C971" s="44" t="s">
        <v>265</v>
      </c>
      <c r="D971" s="44" t="s">
        <v>318</v>
      </c>
      <c r="E971" s="44"/>
      <c r="F971" s="45" t="s">
        <v>18</v>
      </c>
      <c r="G971" s="46">
        <v>3390</v>
      </c>
      <c r="H971" s="46">
        <v>353</v>
      </c>
      <c r="I971" s="46">
        <v>114</v>
      </c>
      <c r="J971" s="47">
        <v>90.569062249532493</v>
      </c>
      <c r="K971" s="47"/>
      <c r="L971" s="48">
        <v>2992</v>
      </c>
      <c r="M971" s="48">
        <v>282</v>
      </c>
      <c r="N971" s="48">
        <v>23</v>
      </c>
      <c r="O971" s="47">
        <v>91.386682956627993</v>
      </c>
      <c r="P971" s="49"/>
    </row>
    <row r="972" spans="1:16" ht="15" hidden="1" customHeight="1">
      <c r="A972" s="43">
        <v>966</v>
      </c>
      <c r="B972" s="44" t="s">
        <v>22</v>
      </c>
      <c r="C972" s="44" t="s">
        <v>265</v>
      </c>
      <c r="D972" s="44" t="s">
        <v>318</v>
      </c>
      <c r="E972" s="44"/>
      <c r="F972" s="45" t="s">
        <v>19</v>
      </c>
      <c r="G972" s="46">
        <v>794</v>
      </c>
      <c r="H972" s="46">
        <v>130</v>
      </c>
      <c r="I972" s="46">
        <v>40</v>
      </c>
      <c r="J972" s="47">
        <v>85.930735930735906</v>
      </c>
      <c r="K972" s="47"/>
      <c r="L972" s="48">
        <v>454</v>
      </c>
      <c r="M972" s="48">
        <v>51</v>
      </c>
      <c r="N972" s="48">
        <v>5</v>
      </c>
      <c r="O972" s="47">
        <v>89.900990099009903</v>
      </c>
      <c r="P972" s="49"/>
    </row>
    <row r="973" spans="1:16" ht="15" customHeight="1">
      <c r="A973" s="50">
        <v>967</v>
      </c>
      <c r="B973" s="51" t="s">
        <v>24</v>
      </c>
      <c r="C973" s="58" t="s">
        <v>265</v>
      </c>
      <c r="D973" s="58" t="s">
        <v>318</v>
      </c>
      <c r="E973" s="58" t="s">
        <v>319</v>
      </c>
      <c r="F973" s="59" t="s">
        <v>319</v>
      </c>
      <c r="G973" s="52">
        <v>4184</v>
      </c>
      <c r="H973" s="52">
        <v>483</v>
      </c>
      <c r="I973" s="52">
        <v>154</v>
      </c>
      <c r="J973" s="53">
        <v>89.650739232911903</v>
      </c>
      <c r="K973" s="53">
        <f>G973+H973+I973</f>
        <v>4821</v>
      </c>
      <c r="L973" s="54">
        <v>3446</v>
      </c>
      <c r="M973" s="54">
        <v>333</v>
      </c>
      <c r="N973" s="54">
        <v>28</v>
      </c>
      <c r="O973" s="53">
        <v>91.188145011907906</v>
      </c>
      <c r="P973" s="55">
        <f>L973+M973+N973</f>
        <v>3807</v>
      </c>
    </row>
    <row r="974" spans="1:16" ht="15" hidden="1" customHeight="1">
      <c r="A974" s="43">
        <v>968</v>
      </c>
      <c r="B974" s="44" t="s">
        <v>24</v>
      </c>
      <c r="C974" s="44" t="s">
        <v>265</v>
      </c>
      <c r="D974" s="44" t="s">
        <v>318</v>
      </c>
      <c r="E974" s="44" t="s">
        <v>319</v>
      </c>
      <c r="F974" s="45" t="s">
        <v>18</v>
      </c>
      <c r="G974" s="46">
        <v>3390</v>
      </c>
      <c r="H974" s="46">
        <v>353</v>
      </c>
      <c r="I974" s="46">
        <v>114</v>
      </c>
      <c r="J974" s="47">
        <v>90.569062249532493</v>
      </c>
      <c r="K974" s="47"/>
      <c r="L974" s="48">
        <v>2992</v>
      </c>
      <c r="M974" s="48">
        <v>282</v>
      </c>
      <c r="N974" s="48">
        <v>23</v>
      </c>
      <c r="O974" s="47">
        <v>91.386682956627993</v>
      </c>
      <c r="P974" s="49"/>
    </row>
    <row r="975" spans="1:16" ht="15" hidden="1" customHeight="1">
      <c r="A975" s="43">
        <v>969</v>
      </c>
      <c r="B975" s="44" t="s">
        <v>24</v>
      </c>
      <c r="C975" s="44" t="s">
        <v>265</v>
      </c>
      <c r="D975" s="44" t="s">
        <v>318</v>
      </c>
      <c r="E975" s="44" t="s">
        <v>319</v>
      </c>
      <c r="F975" s="45" t="s">
        <v>19</v>
      </c>
      <c r="G975" s="46">
        <v>794</v>
      </c>
      <c r="H975" s="46">
        <v>130</v>
      </c>
      <c r="I975" s="46">
        <v>40</v>
      </c>
      <c r="J975" s="47">
        <v>85.930735930735906</v>
      </c>
      <c r="K975" s="47"/>
      <c r="L975" s="48">
        <v>454</v>
      </c>
      <c r="M975" s="48">
        <v>51</v>
      </c>
      <c r="N975" s="48">
        <v>5</v>
      </c>
      <c r="O975" s="47">
        <v>89.900990099009903</v>
      </c>
      <c r="P975" s="49"/>
    </row>
    <row r="976" spans="1:16" ht="15" hidden="1" customHeight="1">
      <c r="A976" s="37">
        <v>970</v>
      </c>
      <c r="B976" s="38" t="s">
        <v>22</v>
      </c>
      <c r="C976" s="57" t="s">
        <v>265</v>
      </c>
      <c r="D976" s="57" t="s">
        <v>320</v>
      </c>
      <c r="E976" s="57"/>
      <c r="F976" s="38" t="s">
        <v>320</v>
      </c>
      <c r="G976" s="39">
        <v>139</v>
      </c>
      <c r="H976" s="39">
        <v>15</v>
      </c>
      <c r="I976" s="39">
        <v>2</v>
      </c>
      <c r="J976" s="40">
        <v>90.259740259740298</v>
      </c>
      <c r="K976" s="40"/>
      <c r="L976" s="41">
        <v>143</v>
      </c>
      <c r="M976" s="41">
        <v>12</v>
      </c>
      <c r="N976" s="41">
        <v>0</v>
      </c>
      <c r="O976" s="40">
        <v>92.258064516128997</v>
      </c>
      <c r="P976" s="42"/>
    </row>
    <row r="977" spans="1:16" ht="15" hidden="1" customHeight="1">
      <c r="A977" s="43">
        <v>971</v>
      </c>
      <c r="B977" s="44" t="s">
        <v>22</v>
      </c>
      <c r="C977" s="44" t="s">
        <v>265</v>
      </c>
      <c r="D977" s="44" t="s">
        <v>320</v>
      </c>
      <c r="E977" s="44"/>
      <c r="F977" s="45" t="s">
        <v>18</v>
      </c>
      <c r="G977" s="46"/>
      <c r="H977" s="46"/>
      <c r="I977" s="46"/>
      <c r="J977" s="47"/>
      <c r="K977" s="47"/>
      <c r="L977" s="48"/>
      <c r="M977" s="48"/>
      <c r="N977" s="48"/>
      <c r="O977" s="47"/>
      <c r="P977" s="49"/>
    </row>
    <row r="978" spans="1:16" ht="15" hidden="1" customHeight="1">
      <c r="A978" s="43">
        <v>972</v>
      </c>
      <c r="B978" s="44" t="s">
        <v>22</v>
      </c>
      <c r="C978" s="44" t="s">
        <v>265</v>
      </c>
      <c r="D978" s="44" t="s">
        <v>320</v>
      </c>
      <c r="E978" s="44"/>
      <c r="F978" s="45" t="s">
        <v>19</v>
      </c>
      <c r="G978" s="46">
        <v>139</v>
      </c>
      <c r="H978" s="46">
        <v>15</v>
      </c>
      <c r="I978" s="46">
        <v>2</v>
      </c>
      <c r="J978" s="47">
        <v>90.259740259740298</v>
      </c>
      <c r="K978" s="47"/>
      <c r="L978" s="48">
        <v>143</v>
      </c>
      <c r="M978" s="48">
        <v>12</v>
      </c>
      <c r="N978" s="48">
        <v>0</v>
      </c>
      <c r="O978" s="47">
        <v>92.258064516128997</v>
      </c>
      <c r="P978" s="49"/>
    </row>
    <row r="979" spans="1:16" ht="15" customHeight="1">
      <c r="A979" s="50">
        <v>973</v>
      </c>
      <c r="B979" s="51" t="s">
        <v>24</v>
      </c>
      <c r="C979" s="58" t="s">
        <v>265</v>
      </c>
      <c r="D979" s="58" t="s">
        <v>320</v>
      </c>
      <c r="E979" s="58" t="s">
        <v>321</v>
      </c>
      <c r="F979" s="59" t="s">
        <v>321</v>
      </c>
      <c r="G979" s="52">
        <v>139</v>
      </c>
      <c r="H979" s="52">
        <v>15</v>
      </c>
      <c r="I979" s="52">
        <v>2</v>
      </c>
      <c r="J979" s="53">
        <v>90.259740259740298</v>
      </c>
      <c r="K979" s="53">
        <f>G979+H979+I979</f>
        <v>156</v>
      </c>
      <c r="L979" s="54">
        <v>143</v>
      </c>
      <c r="M979" s="54">
        <v>12</v>
      </c>
      <c r="N979" s="54">
        <v>0</v>
      </c>
      <c r="O979" s="53">
        <v>92.258064516128997</v>
      </c>
      <c r="P979" s="55">
        <f>L979+M979+N979</f>
        <v>155</v>
      </c>
    </row>
    <row r="980" spans="1:16" ht="15" hidden="1" customHeight="1">
      <c r="A980" s="43">
        <v>974</v>
      </c>
      <c r="B980" s="44" t="s">
        <v>24</v>
      </c>
      <c r="C980" s="44" t="s">
        <v>265</v>
      </c>
      <c r="D980" s="44" t="s">
        <v>320</v>
      </c>
      <c r="E980" s="44" t="s">
        <v>321</v>
      </c>
      <c r="F980" s="45" t="s">
        <v>18</v>
      </c>
      <c r="G980" s="46"/>
      <c r="H980" s="46"/>
      <c r="I980" s="46"/>
      <c r="J980" s="47"/>
      <c r="K980" s="47"/>
      <c r="L980" s="48"/>
      <c r="M980" s="48"/>
      <c r="N980" s="48"/>
      <c r="O980" s="47"/>
      <c r="P980" s="49"/>
    </row>
    <row r="981" spans="1:16" ht="15" hidden="1" customHeight="1">
      <c r="A981" s="43">
        <v>975</v>
      </c>
      <c r="B981" s="44" t="s">
        <v>24</v>
      </c>
      <c r="C981" s="44" t="s">
        <v>265</v>
      </c>
      <c r="D981" s="44" t="s">
        <v>320</v>
      </c>
      <c r="E981" s="44" t="s">
        <v>321</v>
      </c>
      <c r="F981" s="45" t="s">
        <v>19</v>
      </c>
      <c r="G981" s="46">
        <v>139</v>
      </c>
      <c r="H981" s="46">
        <v>15</v>
      </c>
      <c r="I981" s="46">
        <v>2</v>
      </c>
      <c r="J981" s="47">
        <v>90.259740259740298</v>
      </c>
      <c r="K981" s="47"/>
      <c r="L981" s="48">
        <v>143</v>
      </c>
      <c r="M981" s="48">
        <v>12</v>
      </c>
      <c r="N981" s="48">
        <v>0</v>
      </c>
      <c r="O981" s="47">
        <v>92.258064516128997</v>
      </c>
      <c r="P981" s="49"/>
    </row>
    <row r="982" spans="1:16" ht="15" hidden="1" customHeight="1">
      <c r="A982" s="25">
        <v>976</v>
      </c>
      <c r="B982" s="26" t="s">
        <v>20</v>
      </c>
      <c r="C982" s="26" t="s">
        <v>322</v>
      </c>
      <c r="D982" s="26"/>
      <c r="E982" s="26"/>
      <c r="F982" s="26" t="s">
        <v>322</v>
      </c>
      <c r="G982" s="27">
        <v>45619</v>
      </c>
      <c r="H982" s="27">
        <v>3700</v>
      </c>
      <c r="I982" s="27">
        <v>947</v>
      </c>
      <c r="J982" s="28">
        <v>92.497820312658405</v>
      </c>
      <c r="K982" s="28">
        <f>G982+H982+I982</f>
        <v>50266</v>
      </c>
      <c r="L982" s="29">
        <v>33848</v>
      </c>
      <c r="M982" s="29">
        <v>1044</v>
      </c>
      <c r="N982" s="29">
        <v>198</v>
      </c>
      <c r="O982" s="28">
        <v>97.0079101226642</v>
      </c>
      <c r="P982" s="30">
        <f>L982+M982+N982</f>
        <v>35090</v>
      </c>
    </row>
    <row r="983" spans="1:16" ht="15" hidden="1" customHeight="1">
      <c r="A983" s="31">
        <v>977</v>
      </c>
      <c r="B983" s="32" t="s">
        <v>20</v>
      </c>
      <c r="C983" s="56" t="s">
        <v>322</v>
      </c>
      <c r="D983" s="56"/>
      <c r="E983" s="56"/>
      <c r="F983" s="32" t="s">
        <v>18</v>
      </c>
      <c r="G983" s="33">
        <v>29070</v>
      </c>
      <c r="H983" s="33">
        <v>2058</v>
      </c>
      <c r="I983" s="33">
        <v>418</v>
      </c>
      <c r="J983" s="34">
        <v>93.388589051657704</v>
      </c>
      <c r="K983" s="34"/>
      <c r="L983" s="35">
        <v>22310</v>
      </c>
      <c r="M983" s="35">
        <v>633</v>
      </c>
      <c r="N983" s="35">
        <v>112</v>
      </c>
      <c r="O983" s="34">
        <v>97.240988536808601</v>
      </c>
      <c r="P983" s="36"/>
    </row>
    <row r="984" spans="1:16" ht="15" hidden="1" customHeight="1">
      <c r="A984" s="31">
        <v>978</v>
      </c>
      <c r="B984" s="32" t="s">
        <v>20</v>
      </c>
      <c r="C984" s="56" t="s">
        <v>322</v>
      </c>
      <c r="D984" s="56"/>
      <c r="E984" s="56"/>
      <c r="F984" s="32" t="s">
        <v>19</v>
      </c>
      <c r="G984" s="33">
        <v>16549</v>
      </c>
      <c r="H984" s="33">
        <v>1642</v>
      </c>
      <c r="I984" s="33">
        <v>529</v>
      </c>
      <c r="J984" s="34">
        <v>90.973558353031706</v>
      </c>
      <c r="K984" s="34"/>
      <c r="L984" s="35">
        <v>11538</v>
      </c>
      <c r="M984" s="35">
        <v>411</v>
      </c>
      <c r="N984" s="35">
        <v>86</v>
      </c>
      <c r="O984" s="34">
        <v>96.560381621893001</v>
      </c>
      <c r="P984" s="36"/>
    </row>
    <row r="985" spans="1:16" ht="15" hidden="1" customHeight="1">
      <c r="A985" s="37">
        <v>979</v>
      </c>
      <c r="B985" s="38" t="s">
        <v>22</v>
      </c>
      <c r="C985" s="57" t="s">
        <v>322</v>
      </c>
      <c r="D985" s="57" t="s">
        <v>166</v>
      </c>
      <c r="E985" s="57"/>
      <c r="F985" s="38" t="s">
        <v>166</v>
      </c>
      <c r="G985" s="39">
        <v>18802</v>
      </c>
      <c r="H985" s="39">
        <v>1098</v>
      </c>
      <c r="I985" s="39">
        <v>273</v>
      </c>
      <c r="J985" s="40">
        <v>94.482412060301499</v>
      </c>
      <c r="K985" s="40"/>
      <c r="L985" s="41">
        <v>13862</v>
      </c>
      <c r="M985" s="41">
        <v>282</v>
      </c>
      <c r="N985" s="41">
        <v>54</v>
      </c>
      <c r="O985" s="40">
        <v>98.006221719457002</v>
      </c>
      <c r="P985" s="42"/>
    </row>
    <row r="986" spans="1:16" ht="15" hidden="1" customHeight="1">
      <c r="A986" s="43">
        <v>980</v>
      </c>
      <c r="B986" s="44" t="s">
        <v>22</v>
      </c>
      <c r="C986" s="44" t="s">
        <v>322</v>
      </c>
      <c r="D986" s="44" t="s">
        <v>166</v>
      </c>
      <c r="E986" s="44"/>
      <c r="F986" s="45" t="s">
        <v>18</v>
      </c>
      <c r="G986" s="46">
        <v>16355</v>
      </c>
      <c r="H986" s="46">
        <v>912</v>
      </c>
      <c r="I986" s="46">
        <v>201</v>
      </c>
      <c r="J986" s="47">
        <v>94.718248682457897</v>
      </c>
      <c r="K986" s="47"/>
      <c r="L986" s="48">
        <v>12510</v>
      </c>
      <c r="M986" s="48">
        <v>232</v>
      </c>
      <c r="N986" s="48">
        <v>49</v>
      </c>
      <c r="O986" s="47">
        <v>98.179249725317803</v>
      </c>
      <c r="P986" s="49"/>
    </row>
    <row r="987" spans="1:16" ht="15" hidden="1" customHeight="1">
      <c r="A987" s="43">
        <v>981</v>
      </c>
      <c r="B987" s="44" t="s">
        <v>22</v>
      </c>
      <c r="C987" s="44" t="s">
        <v>322</v>
      </c>
      <c r="D987" s="44" t="s">
        <v>166</v>
      </c>
      <c r="E987" s="44"/>
      <c r="F987" s="45" t="s">
        <v>19</v>
      </c>
      <c r="G987" s="46">
        <v>2447</v>
      </c>
      <c r="H987" s="46">
        <v>186</v>
      </c>
      <c r="I987" s="46">
        <v>72</v>
      </c>
      <c r="J987" s="47">
        <v>92.935814660083594</v>
      </c>
      <c r="K987" s="47"/>
      <c r="L987" s="48">
        <v>1352</v>
      </c>
      <c r="M987" s="48">
        <v>50</v>
      </c>
      <c r="N987" s="48">
        <v>5</v>
      </c>
      <c r="O987" s="47">
        <v>96.433666191155496</v>
      </c>
      <c r="P987" s="49"/>
    </row>
    <row r="988" spans="1:16" ht="15" customHeight="1">
      <c r="A988" s="50">
        <v>982</v>
      </c>
      <c r="B988" s="51" t="s">
        <v>24</v>
      </c>
      <c r="C988" s="58" t="s">
        <v>322</v>
      </c>
      <c r="D988" s="58" t="s">
        <v>166</v>
      </c>
      <c r="E988" s="58" t="s">
        <v>322</v>
      </c>
      <c r="F988" s="59" t="s">
        <v>322</v>
      </c>
      <c r="G988" s="52">
        <v>18802</v>
      </c>
      <c r="H988" s="52">
        <v>1098</v>
      </c>
      <c r="I988" s="52">
        <v>273</v>
      </c>
      <c r="J988" s="53">
        <v>94.482412060301499</v>
      </c>
      <c r="K988" s="53">
        <f>G988+H988+I988</f>
        <v>20173</v>
      </c>
      <c r="L988" s="54">
        <v>13862</v>
      </c>
      <c r="M988" s="54">
        <v>282</v>
      </c>
      <c r="N988" s="54">
        <v>54</v>
      </c>
      <c r="O988" s="53">
        <v>98.006221719457002</v>
      </c>
      <c r="P988" s="55">
        <f>L988+M988+N988</f>
        <v>14198</v>
      </c>
    </row>
    <row r="989" spans="1:16" ht="15" hidden="1" customHeight="1">
      <c r="A989" s="43">
        <v>983</v>
      </c>
      <c r="B989" s="44" t="s">
        <v>24</v>
      </c>
      <c r="C989" s="44" t="s">
        <v>322</v>
      </c>
      <c r="D989" s="44" t="s">
        <v>166</v>
      </c>
      <c r="E989" s="44" t="s">
        <v>322</v>
      </c>
      <c r="F989" s="45" t="s">
        <v>18</v>
      </c>
      <c r="G989" s="46">
        <v>16355</v>
      </c>
      <c r="H989" s="46">
        <v>912</v>
      </c>
      <c r="I989" s="46">
        <v>201</v>
      </c>
      <c r="J989" s="47">
        <v>94.718248682457897</v>
      </c>
      <c r="K989" s="47"/>
      <c r="L989" s="48">
        <v>12510</v>
      </c>
      <c r="M989" s="48">
        <v>232</v>
      </c>
      <c r="N989" s="48">
        <v>49</v>
      </c>
      <c r="O989" s="47">
        <v>98.179249725317803</v>
      </c>
      <c r="P989" s="49"/>
    </row>
    <row r="990" spans="1:16" ht="15" hidden="1" customHeight="1">
      <c r="A990" s="43">
        <v>984</v>
      </c>
      <c r="B990" s="44" t="s">
        <v>24</v>
      </c>
      <c r="C990" s="44" t="s">
        <v>322</v>
      </c>
      <c r="D990" s="44" t="s">
        <v>166</v>
      </c>
      <c r="E990" s="44" t="s">
        <v>322</v>
      </c>
      <c r="F990" s="45" t="s">
        <v>19</v>
      </c>
      <c r="G990" s="46">
        <v>2447</v>
      </c>
      <c r="H990" s="46">
        <v>186</v>
      </c>
      <c r="I990" s="46">
        <v>72</v>
      </c>
      <c r="J990" s="47">
        <v>92.935814660083594</v>
      </c>
      <c r="K990" s="47"/>
      <c r="L990" s="48">
        <v>1352</v>
      </c>
      <c r="M990" s="48">
        <v>50</v>
      </c>
      <c r="N990" s="48">
        <v>5</v>
      </c>
      <c r="O990" s="47">
        <v>96.433666191155496</v>
      </c>
      <c r="P990" s="49"/>
    </row>
    <row r="991" spans="1:16" ht="15" hidden="1" customHeight="1">
      <c r="A991" s="37">
        <v>985</v>
      </c>
      <c r="B991" s="38" t="s">
        <v>22</v>
      </c>
      <c r="C991" s="57" t="s">
        <v>322</v>
      </c>
      <c r="D991" s="57" t="s">
        <v>323</v>
      </c>
      <c r="E991" s="57"/>
      <c r="F991" s="38" t="s">
        <v>323</v>
      </c>
      <c r="G991" s="39">
        <v>5013</v>
      </c>
      <c r="H991" s="39">
        <v>316</v>
      </c>
      <c r="I991" s="39">
        <v>102</v>
      </c>
      <c r="J991" s="40">
        <v>94.070182022893604</v>
      </c>
      <c r="K991" s="40"/>
      <c r="L991" s="41">
        <v>3368</v>
      </c>
      <c r="M991" s="41">
        <v>156</v>
      </c>
      <c r="N991" s="41">
        <v>11</v>
      </c>
      <c r="O991" s="40">
        <v>95.573212258796801</v>
      </c>
      <c r="P991" s="42"/>
    </row>
    <row r="992" spans="1:16" ht="15" hidden="1" customHeight="1">
      <c r="A992" s="43">
        <v>986</v>
      </c>
      <c r="B992" s="44" t="s">
        <v>22</v>
      </c>
      <c r="C992" s="44" t="s">
        <v>322</v>
      </c>
      <c r="D992" s="44" t="s">
        <v>323</v>
      </c>
      <c r="E992" s="44"/>
      <c r="F992" s="45" t="s">
        <v>18</v>
      </c>
      <c r="G992" s="46">
        <v>2720</v>
      </c>
      <c r="H992" s="46">
        <v>165</v>
      </c>
      <c r="I992" s="46">
        <v>32</v>
      </c>
      <c r="J992" s="47">
        <v>94.280762564991306</v>
      </c>
      <c r="K992" s="47"/>
      <c r="L992" s="48">
        <v>1995</v>
      </c>
      <c r="M992" s="48">
        <v>110</v>
      </c>
      <c r="N992" s="48">
        <v>11</v>
      </c>
      <c r="O992" s="47">
        <v>94.774346793349196</v>
      </c>
      <c r="P992" s="49"/>
    </row>
    <row r="993" spans="1:16" ht="15" hidden="1" customHeight="1">
      <c r="A993" s="43">
        <v>987</v>
      </c>
      <c r="B993" s="44" t="s">
        <v>22</v>
      </c>
      <c r="C993" s="44" t="s">
        <v>322</v>
      </c>
      <c r="D993" s="44" t="s">
        <v>323</v>
      </c>
      <c r="E993" s="44"/>
      <c r="F993" s="45" t="s">
        <v>19</v>
      </c>
      <c r="G993" s="46">
        <v>2293</v>
      </c>
      <c r="H993" s="46">
        <v>151</v>
      </c>
      <c r="I993" s="46">
        <v>70</v>
      </c>
      <c r="J993" s="47">
        <v>93.821603927986899</v>
      </c>
      <c r="K993" s="47"/>
      <c r="L993" s="48">
        <v>1373</v>
      </c>
      <c r="M993" s="48">
        <v>46</v>
      </c>
      <c r="N993" s="48">
        <v>0</v>
      </c>
      <c r="O993" s="47">
        <v>96.758280479210697</v>
      </c>
      <c r="P993" s="49"/>
    </row>
    <row r="994" spans="1:16" ht="15" customHeight="1">
      <c r="A994" s="50">
        <v>988</v>
      </c>
      <c r="B994" s="51" t="s">
        <v>24</v>
      </c>
      <c r="C994" s="58" t="s">
        <v>322</v>
      </c>
      <c r="D994" s="58" t="s">
        <v>323</v>
      </c>
      <c r="E994" s="58" t="s">
        <v>324</v>
      </c>
      <c r="F994" s="59" t="s">
        <v>324</v>
      </c>
      <c r="G994" s="52">
        <v>1760</v>
      </c>
      <c r="H994" s="52">
        <v>120</v>
      </c>
      <c r="I994" s="52">
        <v>64</v>
      </c>
      <c r="J994" s="53">
        <v>93.617021276595807</v>
      </c>
      <c r="K994" s="53">
        <f>G994+H994+I994</f>
        <v>1944</v>
      </c>
      <c r="L994" s="54">
        <v>1060</v>
      </c>
      <c r="M994" s="54">
        <v>36</v>
      </c>
      <c r="N994" s="54">
        <v>0</v>
      </c>
      <c r="O994" s="53">
        <v>96.715328467153299</v>
      </c>
      <c r="P994" s="55">
        <f>L994+M994+N994</f>
        <v>1096</v>
      </c>
    </row>
    <row r="995" spans="1:16" ht="15" hidden="1" customHeight="1">
      <c r="A995" s="43">
        <v>989</v>
      </c>
      <c r="B995" s="44" t="s">
        <v>24</v>
      </c>
      <c r="C995" s="44" t="s">
        <v>322</v>
      </c>
      <c r="D995" s="44" t="s">
        <v>323</v>
      </c>
      <c r="E995" s="44" t="s">
        <v>324</v>
      </c>
      <c r="F995" s="45" t="s">
        <v>18</v>
      </c>
      <c r="G995" s="46"/>
      <c r="H995" s="46"/>
      <c r="I995" s="46"/>
      <c r="J995" s="47"/>
      <c r="K995" s="47"/>
      <c r="L995" s="48"/>
      <c r="M995" s="48"/>
      <c r="N995" s="48"/>
      <c r="O995" s="47"/>
      <c r="P995" s="49"/>
    </row>
    <row r="996" spans="1:16" ht="15" hidden="1" customHeight="1">
      <c r="A996" s="43">
        <v>990</v>
      </c>
      <c r="B996" s="44" t="s">
        <v>24</v>
      </c>
      <c r="C996" s="44" t="s">
        <v>322</v>
      </c>
      <c r="D996" s="44" t="s">
        <v>323</v>
      </c>
      <c r="E996" s="44" t="s">
        <v>324</v>
      </c>
      <c r="F996" s="45" t="s">
        <v>19</v>
      </c>
      <c r="G996" s="46">
        <v>1760</v>
      </c>
      <c r="H996" s="46">
        <v>120</v>
      </c>
      <c r="I996" s="46">
        <v>64</v>
      </c>
      <c r="J996" s="47">
        <v>93.617021276595807</v>
      </c>
      <c r="K996" s="47"/>
      <c r="L996" s="48">
        <v>1060</v>
      </c>
      <c r="M996" s="48">
        <v>36</v>
      </c>
      <c r="N996" s="48">
        <v>0</v>
      </c>
      <c r="O996" s="47">
        <v>96.715328467153299</v>
      </c>
      <c r="P996" s="49"/>
    </row>
    <row r="997" spans="1:16" ht="15" customHeight="1">
      <c r="A997" s="50">
        <v>991</v>
      </c>
      <c r="B997" s="51" t="s">
        <v>24</v>
      </c>
      <c r="C997" s="58" t="s">
        <v>322</v>
      </c>
      <c r="D997" s="58" t="s">
        <v>323</v>
      </c>
      <c r="E997" s="58" t="s">
        <v>325</v>
      </c>
      <c r="F997" s="59" t="s">
        <v>325</v>
      </c>
      <c r="G997" s="52">
        <v>3253</v>
      </c>
      <c r="H997" s="52">
        <v>196</v>
      </c>
      <c r="I997" s="52">
        <v>38</v>
      </c>
      <c r="J997" s="53">
        <v>94.317193389388194</v>
      </c>
      <c r="K997" s="53">
        <f>G997+H997+I997</f>
        <v>3487</v>
      </c>
      <c r="L997" s="54">
        <v>2308</v>
      </c>
      <c r="M997" s="54">
        <v>120</v>
      </c>
      <c r="N997" s="54">
        <v>11</v>
      </c>
      <c r="O997" s="53">
        <v>95.057660626029602</v>
      </c>
      <c r="P997" s="55">
        <f>L997+M997+N997</f>
        <v>2439</v>
      </c>
    </row>
    <row r="998" spans="1:16" ht="15" hidden="1" customHeight="1">
      <c r="A998" s="43">
        <v>992</v>
      </c>
      <c r="B998" s="44" t="s">
        <v>24</v>
      </c>
      <c r="C998" s="44" t="s">
        <v>322</v>
      </c>
      <c r="D998" s="44" t="s">
        <v>323</v>
      </c>
      <c r="E998" s="44" t="s">
        <v>325</v>
      </c>
      <c r="F998" s="45" t="s">
        <v>18</v>
      </c>
      <c r="G998" s="46">
        <v>2720</v>
      </c>
      <c r="H998" s="46">
        <v>165</v>
      </c>
      <c r="I998" s="46">
        <v>32</v>
      </c>
      <c r="J998" s="47">
        <v>94.280762564991306</v>
      </c>
      <c r="K998" s="47"/>
      <c r="L998" s="48">
        <v>1995</v>
      </c>
      <c r="M998" s="48">
        <v>110</v>
      </c>
      <c r="N998" s="48">
        <v>11</v>
      </c>
      <c r="O998" s="47">
        <v>94.774346793349196</v>
      </c>
      <c r="P998" s="49"/>
    </row>
    <row r="999" spans="1:16" ht="15" hidden="1" customHeight="1">
      <c r="A999" s="43">
        <v>993</v>
      </c>
      <c r="B999" s="44" t="s">
        <v>24</v>
      </c>
      <c r="C999" s="44" t="s">
        <v>322</v>
      </c>
      <c r="D999" s="44" t="s">
        <v>323</v>
      </c>
      <c r="E999" s="44" t="s">
        <v>325</v>
      </c>
      <c r="F999" s="45" t="s">
        <v>19</v>
      </c>
      <c r="G999" s="46">
        <v>533</v>
      </c>
      <c r="H999" s="46">
        <v>31</v>
      </c>
      <c r="I999" s="46">
        <v>6</v>
      </c>
      <c r="J999" s="47">
        <v>94.503546099290801</v>
      </c>
      <c r="K999" s="47"/>
      <c r="L999" s="48">
        <v>313</v>
      </c>
      <c r="M999" s="48">
        <v>10</v>
      </c>
      <c r="N999" s="48">
        <v>0</v>
      </c>
      <c r="O999" s="47">
        <v>96.9040247678019</v>
      </c>
      <c r="P999" s="49"/>
    </row>
    <row r="1000" spans="1:16" ht="15" hidden="1" customHeight="1">
      <c r="A1000" s="37">
        <v>994</v>
      </c>
      <c r="B1000" s="38" t="s">
        <v>22</v>
      </c>
      <c r="C1000" s="57" t="s">
        <v>322</v>
      </c>
      <c r="D1000" s="57" t="s">
        <v>326</v>
      </c>
      <c r="E1000" s="57"/>
      <c r="F1000" s="38" t="s">
        <v>326</v>
      </c>
      <c r="G1000" s="39">
        <v>14255</v>
      </c>
      <c r="H1000" s="39">
        <v>1680</v>
      </c>
      <c r="I1000" s="39">
        <v>310</v>
      </c>
      <c r="J1000" s="40">
        <v>89.457169752118006</v>
      </c>
      <c r="K1000" s="40"/>
      <c r="L1000" s="41">
        <v>11294</v>
      </c>
      <c r="M1000" s="41">
        <v>477</v>
      </c>
      <c r="N1000" s="41">
        <v>102</v>
      </c>
      <c r="O1000" s="40">
        <v>95.947667997621295</v>
      </c>
      <c r="P1000" s="42"/>
    </row>
    <row r="1001" spans="1:16" ht="15" hidden="1" customHeight="1">
      <c r="A1001" s="43">
        <v>995</v>
      </c>
      <c r="B1001" s="44" t="s">
        <v>22</v>
      </c>
      <c r="C1001" s="44" t="s">
        <v>322</v>
      </c>
      <c r="D1001" s="44" t="s">
        <v>326</v>
      </c>
      <c r="E1001" s="44"/>
      <c r="F1001" s="45" t="s">
        <v>18</v>
      </c>
      <c r="G1001" s="46">
        <v>9251</v>
      </c>
      <c r="H1001" s="46">
        <v>937</v>
      </c>
      <c r="I1001" s="46">
        <v>166</v>
      </c>
      <c r="J1001" s="47">
        <v>90.802905378877099</v>
      </c>
      <c r="K1001" s="47"/>
      <c r="L1001" s="48">
        <v>7064</v>
      </c>
      <c r="M1001" s="48">
        <v>274</v>
      </c>
      <c r="N1001" s="48">
        <v>50</v>
      </c>
      <c r="O1001" s="47">
        <v>96.2660125374762</v>
      </c>
      <c r="P1001" s="49"/>
    </row>
    <row r="1002" spans="1:16" ht="15" hidden="1" customHeight="1">
      <c r="A1002" s="43">
        <v>996</v>
      </c>
      <c r="B1002" s="44" t="s">
        <v>22</v>
      </c>
      <c r="C1002" s="44" t="s">
        <v>322</v>
      </c>
      <c r="D1002" s="44" t="s">
        <v>326</v>
      </c>
      <c r="E1002" s="44"/>
      <c r="F1002" s="45" t="s">
        <v>19</v>
      </c>
      <c r="G1002" s="46">
        <v>5004</v>
      </c>
      <c r="H1002" s="46">
        <v>743</v>
      </c>
      <c r="I1002" s="46">
        <v>144</v>
      </c>
      <c r="J1002" s="47">
        <v>87.071515573342595</v>
      </c>
      <c r="K1002" s="47"/>
      <c r="L1002" s="48">
        <v>4230</v>
      </c>
      <c r="M1002" s="48">
        <v>203</v>
      </c>
      <c r="N1002" s="48">
        <v>52</v>
      </c>
      <c r="O1002" s="47">
        <v>95.420708323934093</v>
      </c>
      <c r="P1002" s="49"/>
    </row>
    <row r="1003" spans="1:16" ht="15" customHeight="1">
      <c r="A1003" s="50">
        <v>997</v>
      </c>
      <c r="B1003" s="51" t="s">
        <v>24</v>
      </c>
      <c r="C1003" s="58" t="s">
        <v>322</v>
      </c>
      <c r="D1003" s="58" t="s">
        <v>326</v>
      </c>
      <c r="E1003" s="58" t="s">
        <v>327</v>
      </c>
      <c r="F1003" s="59" t="s">
        <v>327</v>
      </c>
      <c r="G1003" s="52">
        <v>8755</v>
      </c>
      <c r="H1003" s="52">
        <v>1117</v>
      </c>
      <c r="I1003" s="52">
        <v>196</v>
      </c>
      <c r="J1003" s="53">
        <v>88.685170178281993</v>
      </c>
      <c r="K1003" s="53">
        <f>G1003+H1003+I1003</f>
        <v>10068</v>
      </c>
      <c r="L1003" s="54">
        <v>6779</v>
      </c>
      <c r="M1003" s="54">
        <v>327</v>
      </c>
      <c r="N1003" s="54">
        <v>63</v>
      </c>
      <c r="O1003" s="53">
        <v>95.398254995778203</v>
      </c>
      <c r="P1003" s="55">
        <f>L1003+M1003+N1003</f>
        <v>7169</v>
      </c>
    </row>
    <row r="1004" spans="1:16" ht="15" hidden="1" customHeight="1">
      <c r="A1004" s="43">
        <v>998</v>
      </c>
      <c r="B1004" s="44" t="s">
        <v>24</v>
      </c>
      <c r="C1004" s="44" t="s">
        <v>322</v>
      </c>
      <c r="D1004" s="44" t="s">
        <v>326</v>
      </c>
      <c r="E1004" s="44" t="s">
        <v>327</v>
      </c>
      <c r="F1004" s="45" t="s">
        <v>18</v>
      </c>
      <c r="G1004" s="46">
        <v>5763</v>
      </c>
      <c r="H1004" s="46">
        <v>603</v>
      </c>
      <c r="I1004" s="46">
        <v>93</v>
      </c>
      <c r="J1004" s="47">
        <v>90.527803958529702</v>
      </c>
      <c r="K1004" s="47"/>
      <c r="L1004" s="48">
        <v>4409</v>
      </c>
      <c r="M1004" s="48">
        <v>223</v>
      </c>
      <c r="N1004" s="48">
        <v>32</v>
      </c>
      <c r="O1004" s="47">
        <v>95.185664939550904</v>
      </c>
      <c r="P1004" s="49"/>
    </row>
    <row r="1005" spans="1:16" ht="15" hidden="1" customHeight="1">
      <c r="A1005" s="43">
        <v>999</v>
      </c>
      <c r="B1005" s="44" t="s">
        <v>24</v>
      </c>
      <c r="C1005" s="44" t="s">
        <v>322</v>
      </c>
      <c r="D1005" s="44" t="s">
        <v>326</v>
      </c>
      <c r="E1005" s="44" t="s">
        <v>327</v>
      </c>
      <c r="F1005" s="45" t="s">
        <v>19</v>
      </c>
      <c r="G1005" s="46">
        <v>2992</v>
      </c>
      <c r="H1005" s="46">
        <v>514</v>
      </c>
      <c r="I1005" s="46">
        <v>103</v>
      </c>
      <c r="J1005" s="47">
        <v>85.339418140330906</v>
      </c>
      <c r="K1005" s="47"/>
      <c r="L1005" s="48">
        <v>2370</v>
      </c>
      <c r="M1005" s="48">
        <v>104</v>
      </c>
      <c r="N1005" s="48">
        <v>31</v>
      </c>
      <c r="O1005" s="47">
        <v>95.7962813257882</v>
      </c>
      <c r="P1005" s="49"/>
    </row>
    <row r="1006" spans="1:16" ht="15" customHeight="1">
      <c r="A1006" s="50">
        <v>1000</v>
      </c>
      <c r="B1006" s="51" t="s">
        <v>24</v>
      </c>
      <c r="C1006" s="58" t="s">
        <v>322</v>
      </c>
      <c r="D1006" s="58" t="s">
        <v>326</v>
      </c>
      <c r="E1006" s="58" t="s">
        <v>328</v>
      </c>
      <c r="F1006" s="59" t="s">
        <v>328</v>
      </c>
      <c r="G1006" s="52">
        <v>1446</v>
      </c>
      <c r="H1006" s="52">
        <v>168</v>
      </c>
      <c r="I1006" s="52">
        <v>15</v>
      </c>
      <c r="J1006" s="53">
        <v>89.591078066914505</v>
      </c>
      <c r="K1006" s="53">
        <f>G1006+H1006+I1006</f>
        <v>1629</v>
      </c>
      <c r="L1006" s="54">
        <v>1175</v>
      </c>
      <c r="M1006" s="54">
        <v>35</v>
      </c>
      <c r="N1006" s="54">
        <v>8</v>
      </c>
      <c r="O1006" s="53">
        <v>97.107438016528903</v>
      </c>
      <c r="P1006" s="55">
        <f>L1006+M1006+N1006</f>
        <v>1218</v>
      </c>
    </row>
    <row r="1007" spans="1:16" ht="15" hidden="1" customHeight="1">
      <c r="A1007" s="43">
        <v>1001</v>
      </c>
      <c r="B1007" s="44" t="s">
        <v>24</v>
      </c>
      <c r="C1007" s="44" t="s">
        <v>322</v>
      </c>
      <c r="D1007" s="44" t="s">
        <v>326</v>
      </c>
      <c r="E1007" s="44" t="s">
        <v>328</v>
      </c>
      <c r="F1007" s="45" t="s">
        <v>18</v>
      </c>
      <c r="G1007" s="46">
        <v>372</v>
      </c>
      <c r="H1007" s="46">
        <v>33</v>
      </c>
      <c r="I1007" s="46">
        <v>0</v>
      </c>
      <c r="J1007" s="47">
        <v>91.851851851851805</v>
      </c>
      <c r="K1007" s="47"/>
      <c r="L1007" s="48">
        <v>328</v>
      </c>
      <c r="M1007" s="48">
        <v>2</v>
      </c>
      <c r="N1007" s="48">
        <v>6</v>
      </c>
      <c r="O1007" s="47">
        <v>99.393939393939405</v>
      </c>
      <c r="P1007" s="49"/>
    </row>
    <row r="1008" spans="1:16" ht="15" hidden="1" customHeight="1">
      <c r="A1008" s="43">
        <v>1002</v>
      </c>
      <c r="B1008" s="44" t="s">
        <v>24</v>
      </c>
      <c r="C1008" s="44" t="s">
        <v>322</v>
      </c>
      <c r="D1008" s="44" t="s">
        <v>326</v>
      </c>
      <c r="E1008" s="44" t="s">
        <v>328</v>
      </c>
      <c r="F1008" s="45" t="s">
        <v>19</v>
      </c>
      <c r="G1008" s="46">
        <v>1074</v>
      </c>
      <c r="H1008" s="46">
        <v>135</v>
      </c>
      <c r="I1008" s="46">
        <v>15</v>
      </c>
      <c r="J1008" s="47">
        <v>88.833746898263001</v>
      </c>
      <c r="K1008" s="47"/>
      <c r="L1008" s="48">
        <v>847</v>
      </c>
      <c r="M1008" s="48">
        <v>33</v>
      </c>
      <c r="N1008" s="48">
        <v>2</v>
      </c>
      <c r="O1008" s="47">
        <v>96.25</v>
      </c>
      <c r="P1008" s="49"/>
    </row>
    <row r="1009" spans="1:16" ht="15" customHeight="1">
      <c r="A1009" s="50">
        <v>1003</v>
      </c>
      <c r="B1009" s="51" t="s">
        <v>24</v>
      </c>
      <c r="C1009" s="58" t="s">
        <v>322</v>
      </c>
      <c r="D1009" s="58" t="s">
        <v>326</v>
      </c>
      <c r="E1009" s="58" t="s">
        <v>329</v>
      </c>
      <c r="F1009" s="59" t="s">
        <v>329</v>
      </c>
      <c r="G1009" s="52">
        <v>4054</v>
      </c>
      <c r="H1009" s="52">
        <v>395</v>
      </c>
      <c r="I1009" s="52">
        <v>99</v>
      </c>
      <c r="J1009" s="53">
        <v>91.121600359631401</v>
      </c>
      <c r="K1009" s="53">
        <f>G1009+H1009+I1009</f>
        <v>4548</v>
      </c>
      <c r="L1009" s="54">
        <v>3340</v>
      </c>
      <c r="M1009" s="54">
        <v>115</v>
      </c>
      <c r="N1009" s="54">
        <v>31</v>
      </c>
      <c r="O1009" s="53">
        <v>96.671490593342995</v>
      </c>
      <c r="P1009" s="55">
        <f>L1009+M1009+N1009</f>
        <v>3486</v>
      </c>
    </row>
    <row r="1010" spans="1:16" ht="15" hidden="1" customHeight="1">
      <c r="A1010" s="43">
        <v>1004</v>
      </c>
      <c r="B1010" s="44" t="s">
        <v>24</v>
      </c>
      <c r="C1010" s="44" t="s">
        <v>322</v>
      </c>
      <c r="D1010" s="44" t="s">
        <v>326</v>
      </c>
      <c r="E1010" s="44" t="s">
        <v>329</v>
      </c>
      <c r="F1010" s="45" t="s">
        <v>18</v>
      </c>
      <c r="G1010" s="46">
        <v>3116</v>
      </c>
      <c r="H1010" s="46">
        <v>301</v>
      </c>
      <c r="I1010" s="46">
        <v>73</v>
      </c>
      <c r="J1010" s="47">
        <v>91.191103306994407</v>
      </c>
      <c r="K1010" s="47"/>
      <c r="L1010" s="48">
        <v>2327</v>
      </c>
      <c r="M1010" s="48">
        <v>49</v>
      </c>
      <c r="N1010" s="48">
        <v>12</v>
      </c>
      <c r="O1010" s="47">
        <v>97.937710437710393</v>
      </c>
      <c r="P1010" s="49"/>
    </row>
    <row r="1011" spans="1:16" ht="15" hidden="1" customHeight="1">
      <c r="A1011" s="43">
        <v>1005</v>
      </c>
      <c r="B1011" s="44" t="s">
        <v>24</v>
      </c>
      <c r="C1011" s="44" t="s">
        <v>322</v>
      </c>
      <c r="D1011" s="44" t="s">
        <v>326</v>
      </c>
      <c r="E1011" s="44" t="s">
        <v>329</v>
      </c>
      <c r="F1011" s="45" t="s">
        <v>19</v>
      </c>
      <c r="G1011" s="46">
        <v>938</v>
      </c>
      <c r="H1011" s="46">
        <v>94</v>
      </c>
      <c r="I1011" s="46">
        <v>26</v>
      </c>
      <c r="J1011" s="47">
        <v>90.891472868217093</v>
      </c>
      <c r="K1011" s="47"/>
      <c r="L1011" s="48">
        <v>1013</v>
      </c>
      <c r="M1011" s="48">
        <v>66</v>
      </c>
      <c r="N1011" s="48">
        <v>19</v>
      </c>
      <c r="O1011" s="47">
        <v>93.883225208526397</v>
      </c>
      <c r="P1011" s="49"/>
    </row>
    <row r="1012" spans="1:16" ht="15" hidden="1" customHeight="1">
      <c r="A1012" s="37">
        <v>1006</v>
      </c>
      <c r="B1012" s="38" t="s">
        <v>22</v>
      </c>
      <c r="C1012" s="57" t="s">
        <v>322</v>
      </c>
      <c r="D1012" s="57" t="s">
        <v>330</v>
      </c>
      <c r="E1012" s="57"/>
      <c r="F1012" s="38" t="s">
        <v>330</v>
      </c>
      <c r="G1012" s="39">
        <v>1887</v>
      </c>
      <c r="H1012" s="39">
        <v>169</v>
      </c>
      <c r="I1012" s="39">
        <v>24</v>
      </c>
      <c r="J1012" s="40">
        <v>91.780155642023303</v>
      </c>
      <c r="K1012" s="40"/>
      <c r="L1012" s="41">
        <v>1386</v>
      </c>
      <c r="M1012" s="41">
        <v>35</v>
      </c>
      <c r="N1012" s="41">
        <v>8</v>
      </c>
      <c r="O1012" s="40">
        <v>97.5369458128079</v>
      </c>
      <c r="P1012" s="42"/>
    </row>
    <row r="1013" spans="1:16" ht="15" hidden="1" customHeight="1">
      <c r="A1013" s="43">
        <v>1007</v>
      </c>
      <c r="B1013" s="44" t="s">
        <v>22</v>
      </c>
      <c r="C1013" s="44" t="s">
        <v>322</v>
      </c>
      <c r="D1013" s="44" t="s">
        <v>330</v>
      </c>
      <c r="E1013" s="44"/>
      <c r="F1013" s="45" t="s">
        <v>18</v>
      </c>
      <c r="G1013" s="46"/>
      <c r="H1013" s="46"/>
      <c r="I1013" s="46"/>
      <c r="J1013" s="47"/>
      <c r="K1013" s="47"/>
      <c r="L1013" s="48">
        <v>156</v>
      </c>
      <c r="M1013" s="48">
        <v>3</v>
      </c>
      <c r="N1013" s="48">
        <v>0</v>
      </c>
      <c r="O1013" s="47">
        <v>98.113207547169793</v>
      </c>
      <c r="P1013" s="49"/>
    </row>
    <row r="1014" spans="1:16" ht="15" hidden="1" customHeight="1">
      <c r="A1014" s="43">
        <v>1008</v>
      </c>
      <c r="B1014" s="44" t="s">
        <v>22</v>
      </c>
      <c r="C1014" s="44" t="s">
        <v>322</v>
      </c>
      <c r="D1014" s="44" t="s">
        <v>330</v>
      </c>
      <c r="E1014" s="44"/>
      <c r="F1014" s="45" t="s">
        <v>19</v>
      </c>
      <c r="G1014" s="46">
        <v>1887</v>
      </c>
      <c r="H1014" s="46">
        <v>169</v>
      </c>
      <c r="I1014" s="46">
        <v>24</v>
      </c>
      <c r="J1014" s="47">
        <v>91.780155642023303</v>
      </c>
      <c r="K1014" s="47"/>
      <c r="L1014" s="48">
        <v>1230</v>
      </c>
      <c r="M1014" s="48">
        <v>32</v>
      </c>
      <c r="N1014" s="48">
        <v>8</v>
      </c>
      <c r="O1014" s="47">
        <v>97.464342313787597</v>
      </c>
      <c r="P1014" s="49"/>
    </row>
    <row r="1015" spans="1:16" ht="15" customHeight="1">
      <c r="A1015" s="50">
        <v>1009</v>
      </c>
      <c r="B1015" s="51" t="s">
        <v>24</v>
      </c>
      <c r="C1015" s="58" t="s">
        <v>322</v>
      </c>
      <c r="D1015" s="58" t="s">
        <v>330</v>
      </c>
      <c r="E1015" s="58" t="s">
        <v>331</v>
      </c>
      <c r="F1015" s="59" t="s">
        <v>331</v>
      </c>
      <c r="G1015" s="52">
        <v>1304</v>
      </c>
      <c r="H1015" s="52">
        <v>115</v>
      </c>
      <c r="I1015" s="52">
        <v>16</v>
      </c>
      <c r="J1015" s="53">
        <v>91.895701198026799</v>
      </c>
      <c r="K1015" s="53">
        <f>G1015+H1015+I1015</f>
        <v>1435</v>
      </c>
      <c r="L1015" s="54">
        <v>1032</v>
      </c>
      <c r="M1015" s="54">
        <v>26</v>
      </c>
      <c r="N1015" s="54">
        <v>7</v>
      </c>
      <c r="O1015" s="53">
        <v>97.542533081285399</v>
      </c>
      <c r="P1015" s="55">
        <f>L1015+M1015+N1015</f>
        <v>1065</v>
      </c>
    </row>
    <row r="1016" spans="1:16" ht="15" hidden="1" customHeight="1">
      <c r="A1016" s="43">
        <v>1010</v>
      </c>
      <c r="B1016" s="44" t="s">
        <v>24</v>
      </c>
      <c r="C1016" s="44" t="s">
        <v>322</v>
      </c>
      <c r="D1016" s="44" t="s">
        <v>330</v>
      </c>
      <c r="E1016" s="44" t="s">
        <v>331</v>
      </c>
      <c r="F1016" s="45" t="s">
        <v>18</v>
      </c>
      <c r="G1016" s="46"/>
      <c r="H1016" s="46"/>
      <c r="I1016" s="46"/>
      <c r="J1016" s="47"/>
      <c r="K1016" s="47"/>
      <c r="L1016" s="48">
        <v>156</v>
      </c>
      <c r="M1016" s="48">
        <v>3</v>
      </c>
      <c r="N1016" s="48">
        <v>0</v>
      </c>
      <c r="O1016" s="47">
        <v>98.113207547169793</v>
      </c>
      <c r="P1016" s="49"/>
    </row>
    <row r="1017" spans="1:16" ht="15" hidden="1" customHeight="1">
      <c r="A1017" s="43">
        <v>1011</v>
      </c>
      <c r="B1017" s="44" t="s">
        <v>24</v>
      </c>
      <c r="C1017" s="44" t="s">
        <v>322</v>
      </c>
      <c r="D1017" s="44" t="s">
        <v>330</v>
      </c>
      <c r="E1017" s="44" t="s">
        <v>331</v>
      </c>
      <c r="F1017" s="45" t="s">
        <v>19</v>
      </c>
      <c r="G1017" s="46">
        <v>1304</v>
      </c>
      <c r="H1017" s="46">
        <v>115</v>
      </c>
      <c r="I1017" s="46">
        <v>16</v>
      </c>
      <c r="J1017" s="47">
        <v>91.895701198026799</v>
      </c>
      <c r="K1017" s="47"/>
      <c r="L1017" s="48">
        <v>876</v>
      </c>
      <c r="M1017" s="48">
        <v>23</v>
      </c>
      <c r="N1017" s="48">
        <v>7</v>
      </c>
      <c r="O1017" s="47">
        <v>97.441601779755302</v>
      </c>
      <c r="P1017" s="49"/>
    </row>
    <row r="1018" spans="1:16" ht="15" customHeight="1">
      <c r="A1018" s="50">
        <v>1012</v>
      </c>
      <c r="B1018" s="51" t="s">
        <v>24</v>
      </c>
      <c r="C1018" s="58" t="s">
        <v>322</v>
      </c>
      <c r="D1018" s="58" t="s">
        <v>330</v>
      </c>
      <c r="E1018" s="58" t="s">
        <v>332</v>
      </c>
      <c r="F1018" s="59" t="s">
        <v>332</v>
      </c>
      <c r="G1018" s="52">
        <v>583</v>
      </c>
      <c r="H1018" s="52">
        <v>54</v>
      </c>
      <c r="I1018" s="52">
        <v>8</v>
      </c>
      <c r="J1018" s="53">
        <v>91.5227629513344</v>
      </c>
      <c r="K1018" s="53">
        <f>G1018+H1018+I1018</f>
        <v>645</v>
      </c>
      <c r="L1018" s="54">
        <v>354</v>
      </c>
      <c r="M1018" s="54">
        <v>9</v>
      </c>
      <c r="N1018" s="54">
        <v>1</v>
      </c>
      <c r="O1018" s="53">
        <v>97.520661157024804</v>
      </c>
      <c r="P1018" s="55">
        <f>L1018+M1018+N1018</f>
        <v>364</v>
      </c>
    </row>
    <row r="1019" spans="1:16" ht="15" hidden="1" customHeight="1">
      <c r="A1019" s="43">
        <v>1013</v>
      </c>
      <c r="B1019" s="44" t="s">
        <v>24</v>
      </c>
      <c r="C1019" s="44" t="s">
        <v>322</v>
      </c>
      <c r="D1019" s="44" t="s">
        <v>330</v>
      </c>
      <c r="E1019" s="44" t="s">
        <v>332</v>
      </c>
      <c r="F1019" s="45" t="s">
        <v>18</v>
      </c>
      <c r="G1019" s="46"/>
      <c r="H1019" s="46"/>
      <c r="I1019" s="46"/>
      <c r="J1019" s="47"/>
      <c r="K1019" s="47"/>
      <c r="L1019" s="48"/>
      <c r="M1019" s="48"/>
      <c r="N1019" s="48"/>
      <c r="O1019" s="47"/>
      <c r="P1019" s="49"/>
    </row>
    <row r="1020" spans="1:16" ht="15" hidden="1" customHeight="1">
      <c r="A1020" s="43">
        <v>1014</v>
      </c>
      <c r="B1020" s="44" t="s">
        <v>24</v>
      </c>
      <c r="C1020" s="44" t="s">
        <v>322</v>
      </c>
      <c r="D1020" s="44" t="s">
        <v>330</v>
      </c>
      <c r="E1020" s="44" t="s">
        <v>332</v>
      </c>
      <c r="F1020" s="45" t="s">
        <v>19</v>
      </c>
      <c r="G1020" s="46">
        <v>583</v>
      </c>
      <c r="H1020" s="46">
        <v>54</v>
      </c>
      <c r="I1020" s="46">
        <v>8</v>
      </c>
      <c r="J1020" s="47">
        <v>91.5227629513344</v>
      </c>
      <c r="K1020" s="47"/>
      <c r="L1020" s="48">
        <v>354</v>
      </c>
      <c r="M1020" s="48">
        <v>9</v>
      </c>
      <c r="N1020" s="48">
        <v>1</v>
      </c>
      <c r="O1020" s="47">
        <v>97.520661157024804</v>
      </c>
      <c r="P1020" s="49"/>
    </row>
    <row r="1021" spans="1:16" ht="15" hidden="1" customHeight="1">
      <c r="A1021" s="37">
        <v>1015</v>
      </c>
      <c r="B1021" s="38" t="s">
        <v>22</v>
      </c>
      <c r="C1021" s="57" t="s">
        <v>322</v>
      </c>
      <c r="D1021" s="57" t="s">
        <v>333</v>
      </c>
      <c r="E1021" s="57"/>
      <c r="F1021" s="38" t="s">
        <v>333</v>
      </c>
      <c r="G1021" s="39">
        <v>3366</v>
      </c>
      <c r="H1021" s="39">
        <v>233</v>
      </c>
      <c r="I1021" s="39">
        <v>108</v>
      </c>
      <c r="J1021" s="40">
        <v>93.525979438733003</v>
      </c>
      <c r="K1021" s="40"/>
      <c r="L1021" s="41">
        <v>2464</v>
      </c>
      <c r="M1021" s="41">
        <v>60</v>
      </c>
      <c r="N1021" s="41">
        <v>14</v>
      </c>
      <c r="O1021" s="40">
        <v>97.622820919175894</v>
      </c>
      <c r="P1021" s="42"/>
    </row>
    <row r="1022" spans="1:16" ht="15" hidden="1" customHeight="1">
      <c r="A1022" s="43">
        <v>1016</v>
      </c>
      <c r="B1022" s="44" t="s">
        <v>22</v>
      </c>
      <c r="C1022" s="44" t="s">
        <v>322</v>
      </c>
      <c r="D1022" s="44" t="s">
        <v>333</v>
      </c>
      <c r="E1022" s="44"/>
      <c r="F1022" s="45" t="s">
        <v>18</v>
      </c>
      <c r="G1022" s="46">
        <v>293</v>
      </c>
      <c r="H1022" s="46">
        <v>18</v>
      </c>
      <c r="I1022" s="46">
        <v>4</v>
      </c>
      <c r="J1022" s="47">
        <v>94.212218649517695</v>
      </c>
      <c r="K1022" s="47"/>
      <c r="L1022" s="48">
        <v>319</v>
      </c>
      <c r="M1022" s="48">
        <v>7</v>
      </c>
      <c r="N1022" s="48">
        <v>2</v>
      </c>
      <c r="O1022" s="47">
        <v>97.852760736196302</v>
      </c>
      <c r="P1022" s="49"/>
    </row>
    <row r="1023" spans="1:16" ht="15" hidden="1" customHeight="1">
      <c r="A1023" s="43">
        <v>1017</v>
      </c>
      <c r="B1023" s="44" t="s">
        <v>22</v>
      </c>
      <c r="C1023" s="44" t="s">
        <v>322</v>
      </c>
      <c r="D1023" s="44" t="s">
        <v>333</v>
      </c>
      <c r="E1023" s="44"/>
      <c r="F1023" s="45" t="s">
        <v>19</v>
      </c>
      <c r="G1023" s="46">
        <v>3073</v>
      </c>
      <c r="H1023" s="46">
        <v>215</v>
      </c>
      <c r="I1023" s="46">
        <v>104</v>
      </c>
      <c r="J1023" s="47">
        <v>93.461070559610704</v>
      </c>
      <c r="K1023" s="47"/>
      <c r="L1023" s="48">
        <v>2145</v>
      </c>
      <c r="M1023" s="48">
        <v>53</v>
      </c>
      <c r="N1023" s="48">
        <v>12</v>
      </c>
      <c r="O1023" s="47">
        <v>97.588717015468603</v>
      </c>
      <c r="P1023" s="49"/>
    </row>
    <row r="1024" spans="1:16" ht="15" customHeight="1">
      <c r="A1024" s="50">
        <v>1018</v>
      </c>
      <c r="B1024" s="51" t="s">
        <v>24</v>
      </c>
      <c r="C1024" s="58" t="s">
        <v>322</v>
      </c>
      <c r="D1024" s="58" t="s">
        <v>333</v>
      </c>
      <c r="E1024" s="58" t="s">
        <v>334</v>
      </c>
      <c r="F1024" s="59" t="s">
        <v>334</v>
      </c>
      <c r="G1024" s="52">
        <v>2240</v>
      </c>
      <c r="H1024" s="52">
        <v>171</v>
      </c>
      <c r="I1024" s="52">
        <v>80</v>
      </c>
      <c r="J1024" s="53">
        <v>92.907507258398994</v>
      </c>
      <c r="K1024" s="53">
        <f>G1024+H1024+I1024</f>
        <v>2491</v>
      </c>
      <c r="L1024" s="54">
        <v>1873</v>
      </c>
      <c r="M1024" s="54">
        <v>49</v>
      </c>
      <c r="N1024" s="54">
        <v>11</v>
      </c>
      <c r="O1024" s="53">
        <v>97.450572320499504</v>
      </c>
      <c r="P1024" s="55">
        <f>L1024+M1024+N1024</f>
        <v>1933</v>
      </c>
    </row>
    <row r="1025" spans="1:16" ht="15" hidden="1" customHeight="1">
      <c r="A1025" s="43">
        <v>1019</v>
      </c>
      <c r="B1025" s="44" t="s">
        <v>24</v>
      </c>
      <c r="C1025" s="44" t="s">
        <v>322</v>
      </c>
      <c r="D1025" s="44" t="s">
        <v>333</v>
      </c>
      <c r="E1025" s="44" t="s">
        <v>334</v>
      </c>
      <c r="F1025" s="45" t="s">
        <v>18</v>
      </c>
      <c r="G1025" s="46">
        <v>293</v>
      </c>
      <c r="H1025" s="46">
        <v>18</v>
      </c>
      <c r="I1025" s="46">
        <v>4</v>
      </c>
      <c r="J1025" s="47">
        <v>94.212218649517695</v>
      </c>
      <c r="K1025" s="47"/>
      <c r="L1025" s="48">
        <v>319</v>
      </c>
      <c r="M1025" s="48">
        <v>7</v>
      </c>
      <c r="N1025" s="48">
        <v>2</v>
      </c>
      <c r="O1025" s="47">
        <v>97.852760736196302</v>
      </c>
      <c r="P1025" s="49"/>
    </row>
    <row r="1026" spans="1:16" ht="15" hidden="1" customHeight="1">
      <c r="A1026" s="43">
        <v>1020</v>
      </c>
      <c r="B1026" s="44" t="s">
        <v>24</v>
      </c>
      <c r="C1026" s="44" t="s">
        <v>322</v>
      </c>
      <c r="D1026" s="44" t="s">
        <v>333</v>
      </c>
      <c r="E1026" s="44" t="s">
        <v>334</v>
      </c>
      <c r="F1026" s="45" t="s">
        <v>19</v>
      </c>
      <c r="G1026" s="46">
        <v>1947</v>
      </c>
      <c r="H1026" s="46">
        <v>153</v>
      </c>
      <c r="I1026" s="46">
        <v>76</v>
      </c>
      <c r="J1026" s="47">
        <v>92.714285714285694</v>
      </c>
      <c r="K1026" s="47"/>
      <c r="L1026" s="48">
        <v>1554</v>
      </c>
      <c r="M1026" s="48">
        <v>42</v>
      </c>
      <c r="N1026" s="48">
        <v>9</v>
      </c>
      <c r="O1026" s="47">
        <v>97.368421052631604</v>
      </c>
      <c r="P1026" s="49"/>
    </row>
    <row r="1027" spans="1:16" ht="15" customHeight="1">
      <c r="A1027" s="50">
        <v>1021</v>
      </c>
      <c r="B1027" s="51" t="s">
        <v>24</v>
      </c>
      <c r="C1027" s="58" t="s">
        <v>322</v>
      </c>
      <c r="D1027" s="58" t="s">
        <v>333</v>
      </c>
      <c r="E1027" s="58" t="s">
        <v>335</v>
      </c>
      <c r="F1027" s="59" t="s">
        <v>335</v>
      </c>
      <c r="G1027" s="52">
        <v>1126</v>
      </c>
      <c r="H1027" s="52">
        <v>62</v>
      </c>
      <c r="I1027" s="52">
        <v>28</v>
      </c>
      <c r="J1027" s="53">
        <v>94.781144781144803</v>
      </c>
      <c r="K1027" s="53">
        <f>G1027+H1027+I1027</f>
        <v>1216</v>
      </c>
      <c r="L1027" s="54">
        <v>591</v>
      </c>
      <c r="M1027" s="54">
        <v>11</v>
      </c>
      <c r="N1027" s="54">
        <v>3</v>
      </c>
      <c r="O1027" s="53">
        <v>98.172757475083102</v>
      </c>
      <c r="P1027" s="55">
        <f>L1027+M1027+N1027</f>
        <v>605</v>
      </c>
    </row>
    <row r="1028" spans="1:16" ht="15" hidden="1" customHeight="1">
      <c r="A1028" s="43">
        <v>1022</v>
      </c>
      <c r="B1028" s="44" t="s">
        <v>24</v>
      </c>
      <c r="C1028" s="44" t="s">
        <v>322</v>
      </c>
      <c r="D1028" s="44" t="s">
        <v>333</v>
      </c>
      <c r="E1028" s="44" t="s">
        <v>335</v>
      </c>
      <c r="F1028" s="45" t="s">
        <v>18</v>
      </c>
      <c r="G1028" s="46"/>
      <c r="H1028" s="46"/>
      <c r="I1028" s="46"/>
      <c r="J1028" s="47"/>
      <c r="K1028" s="47"/>
      <c r="L1028" s="48"/>
      <c r="M1028" s="48"/>
      <c r="N1028" s="48"/>
      <c r="O1028" s="47"/>
      <c r="P1028" s="49"/>
    </row>
    <row r="1029" spans="1:16" ht="15" hidden="1" customHeight="1">
      <c r="A1029" s="43">
        <v>1023</v>
      </c>
      <c r="B1029" s="44" t="s">
        <v>24</v>
      </c>
      <c r="C1029" s="44" t="s">
        <v>322</v>
      </c>
      <c r="D1029" s="44" t="s">
        <v>333</v>
      </c>
      <c r="E1029" s="44" t="s">
        <v>335</v>
      </c>
      <c r="F1029" s="45" t="s">
        <v>19</v>
      </c>
      <c r="G1029" s="46">
        <v>1126</v>
      </c>
      <c r="H1029" s="46">
        <v>62</v>
      </c>
      <c r="I1029" s="46">
        <v>28</v>
      </c>
      <c r="J1029" s="47">
        <v>94.781144781144803</v>
      </c>
      <c r="K1029" s="47"/>
      <c r="L1029" s="48">
        <v>591</v>
      </c>
      <c r="M1029" s="48">
        <v>11</v>
      </c>
      <c r="N1029" s="48">
        <v>3</v>
      </c>
      <c r="O1029" s="47">
        <v>98.172757475083102</v>
      </c>
      <c r="P1029" s="49"/>
    </row>
    <row r="1030" spans="1:16" ht="15" hidden="1" customHeight="1">
      <c r="A1030" s="37">
        <v>1024</v>
      </c>
      <c r="B1030" s="38" t="s">
        <v>22</v>
      </c>
      <c r="C1030" s="57" t="s">
        <v>322</v>
      </c>
      <c r="D1030" s="57" t="s">
        <v>336</v>
      </c>
      <c r="E1030" s="57"/>
      <c r="F1030" s="38" t="s">
        <v>336</v>
      </c>
      <c r="G1030" s="39">
        <v>2296</v>
      </c>
      <c r="H1030" s="39">
        <v>204</v>
      </c>
      <c r="I1030" s="39">
        <v>130</v>
      </c>
      <c r="J1030" s="40">
        <v>91.84</v>
      </c>
      <c r="K1030" s="40"/>
      <c r="L1030" s="41">
        <v>1474</v>
      </c>
      <c r="M1030" s="41">
        <v>34</v>
      </c>
      <c r="N1030" s="41">
        <v>9</v>
      </c>
      <c r="O1030" s="40">
        <v>97.745358090185704</v>
      </c>
      <c r="P1030" s="42"/>
    </row>
    <row r="1031" spans="1:16" ht="15" hidden="1" customHeight="1">
      <c r="A1031" s="43">
        <v>1025</v>
      </c>
      <c r="B1031" s="44" t="s">
        <v>22</v>
      </c>
      <c r="C1031" s="44" t="s">
        <v>322</v>
      </c>
      <c r="D1031" s="44" t="s">
        <v>336</v>
      </c>
      <c r="E1031" s="44"/>
      <c r="F1031" s="45" t="s">
        <v>18</v>
      </c>
      <c r="G1031" s="46">
        <v>451</v>
      </c>
      <c r="H1031" s="46">
        <v>26</v>
      </c>
      <c r="I1031" s="46">
        <v>15</v>
      </c>
      <c r="J1031" s="47">
        <v>94.549266247379506</v>
      </c>
      <c r="K1031" s="47"/>
      <c r="L1031" s="48">
        <v>266</v>
      </c>
      <c r="M1031" s="48">
        <v>7</v>
      </c>
      <c r="N1031" s="48">
        <v>0</v>
      </c>
      <c r="O1031" s="47">
        <v>97.435897435897402</v>
      </c>
      <c r="P1031" s="49"/>
    </row>
    <row r="1032" spans="1:16" ht="15" hidden="1" customHeight="1">
      <c r="A1032" s="43">
        <v>1026</v>
      </c>
      <c r="B1032" s="44" t="s">
        <v>22</v>
      </c>
      <c r="C1032" s="44" t="s">
        <v>322</v>
      </c>
      <c r="D1032" s="44" t="s">
        <v>336</v>
      </c>
      <c r="E1032" s="44"/>
      <c r="F1032" s="45" t="s">
        <v>19</v>
      </c>
      <c r="G1032" s="46">
        <v>1845</v>
      </c>
      <c r="H1032" s="46">
        <v>178</v>
      </c>
      <c r="I1032" s="46">
        <v>115</v>
      </c>
      <c r="J1032" s="47">
        <v>91.201186356895704</v>
      </c>
      <c r="K1032" s="47"/>
      <c r="L1032" s="48">
        <v>1208</v>
      </c>
      <c r="M1032" s="48">
        <v>27</v>
      </c>
      <c r="N1032" s="48">
        <v>9</v>
      </c>
      <c r="O1032" s="47">
        <v>97.813765182186202</v>
      </c>
      <c r="P1032" s="49"/>
    </row>
    <row r="1033" spans="1:16" ht="15" customHeight="1">
      <c r="A1033" s="50">
        <v>1027</v>
      </c>
      <c r="B1033" s="51" t="s">
        <v>24</v>
      </c>
      <c r="C1033" s="58" t="s">
        <v>322</v>
      </c>
      <c r="D1033" s="58" t="s">
        <v>336</v>
      </c>
      <c r="E1033" s="58" t="s">
        <v>206</v>
      </c>
      <c r="F1033" s="59" t="s">
        <v>206</v>
      </c>
      <c r="G1033" s="52">
        <v>2296</v>
      </c>
      <c r="H1033" s="52">
        <v>204</v>
      </c>
      <c r="I1033" s="52">
        <v>130</v>
      </c>
      <c r="J1033" s="53">
        <v>91.84</v>
      </c>
      <c r="K1033" s="53">
        <f>G1033+H1033+I1033</f>
        <v>2630</v>
      </c>
      <c r="L1033" s="54">
        <v>1474</v>
      </c>
      <c r="M1033" s="54">
        <v>34</v>
      </c>
      <c r="N1033" s="54">
        <v>9</v>
      </c>
      <c r="O1033" s="53">
        <v>97.745358090185704</v>
      </c>
      <c r="P1033" s="55">
        <f>L1033+M1033+N1033</f>
        <v>1517</v>
      </c>
    </row>
    <row r="1034" spans="1:16" ht="15" hidden="1" customHeight="1">
      <c r="A1034" s="43">
        <v>1028</v>
      </c>
      <c r="B1034" s="44" t="s">
        <v>24</v>
      </c>
      <c r="C1034" s="44" t="s">
        <v>322</v>
      </c>
      <c r="D1034" s="44" t="s">
        <v>336</v>
      </c>
      <c r="E1034" s="44" t="s">
        <v>206</v>
      </c>
      <c r="F1034" s="45" t="s">
        <v>18</v>
      </c>
      <c r="G1034" s="46">
        <v>451</v>
      </c>
      <c r="H1034" s="46">
        <v>26</v>
      </c>
      <c r="I1034" s="46">
        <v>15</v>
      </c>
      <c r="J1034" s="47">
        <v>94.549266247379506</v>
      </c>
      <c r="K1034" s="47"/>
      <c r="L1034" s="48">
        <v>266</v>
      </c>
      <c r="M1034" s="48">
        <v>7</v>
      </c>
      <c r="N1034" s="48">
        <v>0</v>
      </c>
      <c r="O1034" s="47">
        <v>97.435897435897402</v>
      </c>
      <c r="P1034" s="49"/>
    </row>
    <row r="1035" spans="1:16" ht="15" hidden="1" customHeight="1">
      <c r="A1035" s="43">
        <v>1029</v>
      </c>
      <c r="B1035" s="44" t="s">
        <v>24</v>
      </c>
      <c r="C1035" s="44" t="s">
        <v>322</v>
      </c>
      <c r="D1035" s="44" t="s">
        <v>336</v>
      </c>
      <c r="E1035" s="44" t="s">
        <v>206</v>
      </c>
      <c r="F1035" s="45" t="s">
        <v>19</v>
      </c>
      <c r="G1035" s="46">
        <v>1845</v>
      </c>
      <c r="H1035" s="46">
        <v>178</v>
      </c>
      <c r="I1035" s="46">
        <v>115</v>
      </c>
      <c r="J1035" s="47">
        <v>91.201186356895704</v>
      </c>
      <c r="K1035" s="47"/>
      <c r="L1035" s="48">
        <v>1208</v>
      </c>
      <c r="M1035" s="48">
        <v>27</v>
      </c>
      <c r="N1035" s="48">
        <v>9</v>
      </c>
      <c r="O1035" s="47">
        <v>97.813765182186202</v>
      </c>
      <c r="P1035" s="49"/>
    </row>
    <row r="1036" spans="1:16" ht="15" hidden="1" customHeight="1">
      <c r="A1036" s="25">
        <v>1030</v>
      </c>
      <c r="B1036" s="26" t="s">
        <v>20</v>
      </c>
      <c r="C1036" s="26" t="s">
        <v>337</v>
      </c>
      <c r="D1036" s="26"/>
      <c r="E1036" s="26"/>
      <c r="F1036" s="26" t="s">
        <v>337</v>
      </c>
      <c r="G1036" s="27">
        <v>249052</v>
      </c>
      <c r="H1036" s="27">
        <v>47155</v>
      </c>
      <c r="I1036" s="27">
        <v>4308</v>
      </c>
      <c r="J1036" s="28">
        <v>84.080389727454104</v>
      </c>
      <c r="K1036" s="28">
        <f>G1036+H1036+I1036</f>
        <v>300515</v>
      </c>
      <c r="L1036" s="29">
        <v>234588</v>
      </c>
      <c r="M1036" s="29">
        <v>13885</v>
      </c>
      <c r="N1036" s="29">
        <v>2280</v>
      </c>
      <c r="O1036" s="28">
        <v>94.411867687837301</v>
      </c>
      <c r="P1036" s="30">
        <f>L1036+M1036+N1036</f>
        <v>250753</v>
      </c>
    </row>
    <row r="1037" spans="1:16" ht="15" hidden="1" customHeight="1">
      <c r="A1037" s="31">
        <v>1031</v>
      </c>
      <c r="B1037" s="32" t="s">
        <v>20</v>
      </c>
      <c r="C1037" s="56" t="s">
        <v>337</v>
      </c>
      <c r="D1037" s="56"/>
      <c r="E1037" s="56"/>
      <c r="F1037" s="32" t="s">
        <v>18</v>
      </c>
      <c r="G1037" s="33">
        <v>198188</v>
      </c>
      <c r="H1037" s="33">
        <v>34873</v>
      </c>
      <c r="I1037" s="33">
        <v>3216</v>
      </c>
      <c r="J1037" s="34">
        <v>85.036964571506999</v>
      </c>
      <c r="K1037" s="34"/>
      <c r="L1037" s="35">
        <v>188632</v>
      </c>
      <c r="M1037" s="35">
        <v>7537</v>
      </c>
      <c r="N1037" s="35">
        <v>1470</v>
      </c>
      <c r="O1037" s="34">
        <v>96.157904663835794</v>
      </c>
      <c r="P1037" s="36"/>
    </row>
    <row r="1038" spans="1:16" ht="15" hidden="1" customHeight="1">
      <c r="A1038" s="31">
        <v>1032</v>
      </c>
      <c r="B1038" s="32" t="s">
        <v>20</v>
      </c>
      <c r="C1038" s="56" t="s">
        <v>337</v>
      </c>
      <c r="D1038" s="56"/>
      <c r="E1038" s="56"/>
      <c r="F1038" s="32" t="s">
        <v>19</v>
      </c>
      <c r="G1038" s="33">
        <v>50864</v>
      </c>
      <c r="H1038" s="33">
        <v>12282</v>
      </c>
      <c r="I1038" s="33">
        <v>1092</v>
      </c>
      <c r="J1038" s="34">
        <v>80.549836885946902</v>
      </c>
      <c r="K1038" s="34"/>
      <c r="L1038" s="35">
        <v>45956</v>
      </c>
      <c r="M1038" s="35">
        <v>6348</v>
      </c>
      <c r="N1038" s="35">
        <v>810</v>
      </c>
      <c r="O1038" s="34">
        <v>87.863260936066098</v>
      </c>
      <c r="P1038" s="36"/>
    </row>
    <row r="1039" spans="1:16" ht="15" hidden="1" customHeight="1">
      <c r="A1039" s="37">
        <v>1033</v>
      </c>
      <c r="B1039" s="38" t="s">
        <v>22</v>
      </c>
      <c r="C1039" s="57" t="s">
        <v>337</v>
      </c>
      <c r="D1039" s="57" t="s">
        <v>338</v>
      </c>
      <c r="E1039" s="57"/>
      <c r="F1039" s="38" t="s">
        <v>338</v>
      </c>
      <c r="G1039" s="39">
        <v>147602</v>
      </c>
      <c r="H1039" s="39">
        <v>26899</v>
      </c>
      <c r="I1039" s="39">
        <v>2355</v>
      </c>
      <c r="J1039" s="40">
        <v>84.585188623560896</v>
      </c>
      <c r="K1039" s="40"/>
      <c r="L1039" s="41">
        <v>135603</v>
      </c>
      <c r="M1039" s="41">
        <v>5266</v>
      </c>
      <c r="N1039" s="41">
        <v>1010</v>
      </c>
      <c r="O1039" s="40">
        <v>96.261775124406398</v>
      </c>
      <c r="P1039" s="42"/>
    </row>
    <row r="1040" spans="1:16" ht="15" hidden="1" customHeight="1">
      <c r="A1040" s="43">
        <v>1034</v>
      </c>
      <c r="B1040" s="44" t="s">
        <v>22</v>
      </c>
      <c r="C1040" s="44" t="s">
        <v>337</v>
      </c>
      <c r="D1040" s="44" t="s">
        <v>338</v>
      </c>
      <c r="E1040" s="44"/>
      <c r="F1040" s="45" t="s">
        <v>18</v>
      </c>
      <c r="G1040" s="46">
        <v>140297</v>
      </c>
      <c r="H1040" s="46">
        <v>25164</v>
      </c>
      <c r="I1040" s="46">
        <v>2200</v>
      </c>
      <c r="J1040" s="47">
        <v>84.791582306404493</v>
      </c>
      <c r="K1040" s="47"/>
      <c r="L1040" s="48">
        <v>130726</v>
      </c>
      <c r="M1040" s="48">
        <v>4882</v>
      </c>
      <c r="N1040" s="48">
        <v>949</v>
      </c>
      <c r="O1040" s="47">
        <v>96.399917409002398</v>
      </c>
      <c r="P1040" s="49"/>
    </row>
    <row r="1041" spans="1:16" ht="15" hidden="1" customHeight="1">
      <c r="A1041" s="43">
        <v>1035</v>
      </c>
      <c r="B1041" s="44" t="s">
        <v>22</v>
      </c>
      <c r="C1041" s="44" t="s">
        <v>337</v>
      </c>
      <c r="D1041" s="44" t="s">
        <v>338</v>
      </c>
      <c r="E1041" s="44"/>
      <c r="F1041" s="45" t="s">
        <v>19</v>
      </c>
      <c r="G1041" s="46">
        <v>7305</v>
      </c>
      <c r="H1041" s="46">
        <v>1735</v>
      </c>
      <c r="I1041" s="46">
        <v>155</v>
      </c>
      <c r="J1041" s="47">
        <v>80.807522123893804</v>
      </c>
      <c r="K1041" s="47"/>
      <c r="L1041" s="48">
        <v>4877</v>
      </c>
      <c r="M1041" s="48">
        <v>384</v>
      </c>
      <c r="N1041" s="48">
        <v>61</v>
      </c>
      <c r="O1041" s="47">
        <v>92.701007413039306</v>
      </c>
      <c r="P1041" s="49"/>
    </row>
    <row r="1042" spans="1:16" ht="15" customHeight="1">
      <c r="A1042" s="50">
        <v>1036</v>
      </c>
      <c r="B1042" s="51" t="s">
        <v>24</v>
      </c>
      <c r="C1042" s="58" t="s">
        <v>337</v>
      </c>
      <c r="D1042" s="58" t="s">
        <v>338</v>
      </c>
      <c r="E1042" s="58" t="s">
        <v>339</v>
      </c>
      <c r="F1042" s="59" t="s">
        <v>339</v>
      </c>
      <c r="G1042" s="52">
        <v>126847</v>
      </c>
      <c r="H1042" s="52">
        <v>23072</v>
      </c>
      <c r="I1042" s="52">
        <v>2037</v>
      </c>
      <c r="J1042" s="53">
        <v>84.610356259046597</v>
      </c>
      <c r="K1042" s="53">
        <f>G1042+H1042+I1042</f>
        <v>151956</v>
      </c>
      <c r="L1042" s="54">
        <v>108758</v>
      </c>
      <c r="M1042" s="54">
        <v>4336</v>
      </c>
      <c r="N1042" s="54">
        <v>786</v>
      </c>
      <c r="O1042" s="53">
        <v>96.166021185916094</v>
      </c>
      <c r="P1042" s="55">
        <f>L1042+M1042+N1042</f>
        <v>113880</v>
      </c>
    </row>
    <row r="1043" spans="1:16" ht="15" hidden="1" customHeight="1">
      <c r="A1043" s="43">
        <v>1037</v>
      </c>
      <c r="B1043" s="44" t="s">
        <v>24</v>
      </c>
      <c r="C1043" s="44" t="s">
        <v>337</v>
      </c>
      <c r="D1043" s="44" t="s">
        <v>338</v>
      </c>
      <c r="E1043" s="44" t="s">
        <v>339</v>
      </c>
      <c r="F1043" s="45" t="s">
        <v>18</v>
      </c>
      <c r="G1043" s="46">
        <v>125680</v>
      </c>
      <c r="H1043" s="46">
        <v>22671</v>
      </c>
      <c r="I1043" s="46">
        <v>1999</v>
      </c>
      <c r="J1043" s="47">
        <v>84.717999878666106</v>
      </c>
      <c r="K1043" s="47"/>
      <c r="L1043" s="48">
        <v>107966</v>
      </c>
      <c r="M1043" s="48">
        <v>4112</v>
      </c>
      <c r="N1043" s="48">
        <v>767</v>
      </c>
      <c r="O1043" s="47">
        <v>96.331126536876098</v>
      </c>
      <c r="P1043" s="49"/>
    </row>
    <row r="1044" spans="1:16" ht="15" hidden="1" customHeight="1">
      <c r="A1044" s="43">
        <v>1038</v>
      </c>
      <c r="B1044" s="44" t="s">
        <v>24</v>
      </c>
      <c r="C1044" s="44" t="s">
        <v>337</v>
      </c>
      <c r="D1044" s="44" t="s">
        <v>338</v>
      </c>
      <c r="E1044" s="44" t="s">
        <v>339</v>
      </c>
      <c r="F1044" s="45" t="s">
        <v>19</v>
      </c>
      <c r="G1044" s="46">
        <v>1167</v>
      </c>
      <c r="H1044" s="46">
        <v>401</v>
      </c>
      <c r="I1044" s="46">
        <v>38</v>
      </c>
      <c r="J1044" s="47">
        <v>74.426020408163296</v>
      </c>
      <c r="K1044" s="47"/>
      <c r="L1044" s="48">
        <v>792</v>
      </c>
      <c r="M1044" s="48">
        <v>224</v>
      </c>
      <c r="N1044" s="48">
        <v>19</v>
      </c>
      <c r="O1044" s="47">
        <v>77.952755905511793</v>
      </c>
      <c r="P1044" s="49"/>
    </row>
    <row r="1045" spans="1:16" ht="15" customHeight="1">
      <c r="A1045" s="50">
        <v>1039</v>
      </c>
      <c r="B1045" s="51" t="s">
        <v>24</v>
      </c>
      <c r="C1045" s="58" t="s">
        <v>337</v>
      </c>
      <c r="D1045" s="58" t="s">
        <v>338</v>
      </c>
      <c r="E1045" s="58" t="s">
        <v>340</v>
      </c>
      <c r="F1045" s="59" t="s">
        <v>340</v>
      </c>
      <c r="G1045" s="52">
        <v>5686</v>
      </c>
      <c r="H1045" s="52">
        <v>1464</v>
      </c>
      <c r="I1045" s="52">
        <v>72</v>
      </c>
      <c r="J1045" s="53">
        <v>79.524475524475505</v>
      </c>
      <c r="K1045" s="53">
        <f>G1045+H1045+I1045</f>
        <v>7222</v>
      </c>
      <c r="L1045" s="54">
        <v>9308</v>
      </c>
      <c r="M1045" s="54">
        <v>423</v>
      </c>
      <c r="N1045" s="54">
        <v>89</v>
      </c>
      <c r="O1045" s="53">
        <v>95.653067516185402</v>
      </c>
      <c r="P1045" s="55">
        <f>L1045+M1045+N1045</f>
        <v>9820</v>
      </c>
    </row>
    <row r="1046" spans="1:16" ht="15" hidden="1" customHeight="1">
      <c r="A1046" s="43">
        <v>1040</v>
      </c>
      <c r="B1046" s="44" t="s">
        <v>24</v>
      </c>
      <c r="C1046" s="44" t="s">
        <v>337</v>
      </c>
      <c r="D1046" s="44" t="s">
        <v>338</v>
      </c>
      <c r="E1046" s="44" t="s">
        <v>340</v>
      </c>
      <c r="F1046" s="45" t="s">
        <v>18</v>
      </c>
      <c r="G1046" s="46">
        <v>3280</v>
      </c>
      <c r="H1046" s="46">
        <v>776</v>
      </c>
      <c r="I1046" s="46">
        <v>55</v>
      </c>
      <c r="J1046" s="47">
        <v>80.8678500986193</v>
      </c>
      <c r="K1046" s="47"/>
      <c r="L1046" s="48">
        <v>7790</v>
      </c>
      <c r="M1046" s="48">
        <v>353</v>
      </c>
      <c r="N1046" s="48">
        <v>77</v>
      </c>
      <c r="O1046" s="47">
        <v>95.664988333538005</v>
      </c>
      <c r="P1046" s="49"/>
    </row>
    <row r="1047" spans="1:16" ht="15" hidden="1" customHeight="1">
      <c r="A1047" s="43">
        <v>1041</v>
      </c>
      <c r="B1047" s="44" t="s">
        <v>24</v>
      </c>
      <c r="C1047" s="44" t="s">
        <v>337</v>
      </c>
      <c r="D1047" s="44" t="s">
        <v>338</v>
      </c>
      <c r="E1047" s="44" t="s">
        <v>340</v>
      </c>
      <c r="F1047" s="45" t="s">
        <v>19</v>
      </c>
      <c r="G1047" s="46">
        <v>2406</v>
      </c>
      <c r="H1047" s="46">
        <v>688</v>
      </c>
      <c r="I1047" s="46">
        <v>17</v>
      </c>
      <c r="J1047" s="47">
        <v>77.763413057530698</v>
      </c>
      <c r="K1047" s="47"/>
      <c r="L1047" s="48">
        <v>1518</v>
      </c>
      <c r="M1047" s="48">
        <v>70</v>
      </c>
      <c r="N1047" s="48">
        <v>12</v>
      </c>
      <c r="O1047" s="47">
        <v>95.591939546599505</v>
      </c>
      <c r="P1047" s="49"/>
    </row>
    <row r="1048" spans="1:16" ht="15" customHeight="1">
      <c r="A1048" s="50">
        <v>1042</v>
      </c>
      <c r="B1048" s="51" t="s">
        <v>24</v>
      </c>
      <c r="C1048" s="58" t="s">
        <v>337</v>
      </c>
      <c r="D1048" s="58" t="s">
        <v>338</v>
      </c>
      <c r="E1048" s="58" t="s">
        <v>341</v>
      </c>
      <c r="F1048" s="59" t="s">
        <v>341</v>
      </c>
      <c r="G1048" s="52">
        <v>1484</v>
      </c>
      <c r="H1048" s="52">
        <v>201</v>
      </c>
      <c r="I1048" s="52">
        <v>52</v>
      </c>
      <c r="J1048" s="53">
        <v>88.071216617210695</v>
      </c>
      <c r="K1048" s="53">
        <f>G1048+H1048+I1048</f>
        <v>1737</v>
      </c>
      <c r="L1048" s="54">
        <v>1529</v>
      </c>
      <c r="M1048" s="54">
        <v>48</v>
      </c>
      <c r="N1048" s="54">
        <v>19</v>
      </c>
      <c r="O1048" s="53">
        <v>96.956246036778694</v>
      </c>
      <c r="P1048" s="55">
        <f>L1048+M1048+N1048</f>
        <v>1596</v>
      </c>
    </row>
    <row r="1049" spans="1:16" ht="15" hidden="1" customHeight="1">
      <c r="A1049" s="43">
        <v>1043</v>
      </c>
      <c r="B1049" s="44" t="s">
        <v>24</v>
      </c>
      <c r="C1049" s="44" t="s">
        <v>337</v>
      </c>
      <c r="D1049" s="44" t="s">
        <v>338</v>
      </c>
      <c r="E1049" s="44" t="s">
        <v>341</v>
      </c>
      <c r="F1049" s="45" t="s">
        <v>18</v>
      </c>
      <c r="G1049" s="46">
        <v>417</v>
      </c>
      <c r="H1049" s="46">
        <v>25</v>
      </c>
      <c r="I1049" s="46">
        <v>1</v>
      </c>
      <c r="J1049" s="47">
        <v>94.343891402714902</v>
      </c>
      <c r="K1049" s="47"/>
      <c r="L1049" s="48">
        <v>664</v>
      </c>
      <c r="M1049" s="48">
        <v>24</v>
      </c>
      <c r="N1049" s="48">
        <v>2</v>
      </c>
      <c r="O1049" s="47">
        <v>96.511627906976798</v>
      </c>
      <c r="P1049" s="49"/>
    </row>
    <row r="1050" spans="1:16" ht="15" hidden="1" customHeight="1">
      <c r="A1050" s="43">
        <v>1044</v>
      </c>
      <c r="B1050" s="44" t="s">
        <v>24</v>
      </c>
      <c r="C1050" s="44" t="s">
        <v>337</v>
      </c>
      <c r="D1050" s="44" t="s">
        <v>338</v>
      </c>
      <c r="E1050" s="44" t="s">
        <v>341</v>
      </c>
      <c r="F1050" s="45" t="s">
        <v>19</v>
      </c>
      <c r="G1050" s="46">
        <v>1067</v>
      </c>
      <c r="H1050" s="46">
        <v>176</v>
      </c>
      <c r="I1050" s="46">
        <v>51</v>
      </c>
      <c r="J1050" s="47">
        <v>85.840707964601805</v>
      </c>
      <c r="K1050" s="47"/>
      <c r="L1050" s="48">
        <v>865</v>
      </c>
      <c r="M1050" s="48">
        <v>24</v>
      </c>
      <c r="N1050" s="48">
        <v>17</v>
      </c>
      <c r="O1050" s="47">
        <v>97.300337457817804</v>
      </c>
      <c r="P1050" s="49"/>
    </row>
    <row r="1051" spans="1:16" ht="15" customHeight="1">
      <c r="A1051" s="50">
        <v>1045</v>
      </c>
      <c r="B1051" s="51" t="s">
        <v>24</v>
      </c>
      <c r="C1051" s="58" t="s">
        <v>337</v>
      </c>
      <c r="D1051" s="58" t="s">
        <v>338</v>
      </c>
      <c r="E1051" s="58" t="s">
        <v>342</v>
      </c>
      <c r="F1051" s="59" t="s">
        <v>342</v>
      </c>
      <c r="G1051" s="52">
        <v>8734</v>
      </c>
      <c r="H1051" s="52">
        <v>1484</v>
      </c>
      <c r="I1051" s="52">
        <v>125</v>
      </c>
      <c r="J1051" s="53">
        <v>85.476609904090793</v>
      </c>
      <c r="K1051" s="53">
        <f>G1051+H1051+I1051</f>
        <v>10343</v>
      </c>
      <c r="L1051" s="54">
        <v>11762</v>
      </c>
      <c r="M1051" s="54">
        <v>362</v>
      </c>
      <c r="N1051" s="54">
        <v>82</v>
      </c>
      <c r="O1051" s="53">
        <v>97.014186737050494</v>
      </c>
      <c r="P1051" s="55">
        <f>L1051+M1051+N1051</f>
        <v>12206</v>
      </c>
    </row>
    <row r="1052" spans="1:16" ht="15" hidden="1" customHeight="1">
      <c r="A1052" s="43">
        <v>1046</v>
      </c>
      <c r="B1052" s="44" t="s">
        <v>24</v>
      </c>
      <c r="C1052" s="44" t="s">
        <v>337</v>
      </c>
      <c r="D1052" s="44" t="s">
        <v>338</v>
      </c>
      <c r="E1052" s="44" t="s">
        <v>342</v>
      </c>
      <c r="F1052" s="45" t="s">
        <v>18</v>
      </c>
      <c r="G1052" s="46">
        <v>7724</v>
      </c>
      <c r="H1052" s="46">
        <v>1268</v>
      </c>
      <c r="I1052" s="46">
        <v>100</v>
      </c>
      <c r="J1052" s="47">
        <v>85.898576512455506</v>
      </c>
      <c r="K1052" s="47"/>
      <c r="L1052" s="48">
        <v>11150</v>
      </c>
      <c r="M1052" s="48">
        <v>325</v>
      </c>
      <c r="N1052" s="48">
        <v>79</v>
      </c>
      <c r="O1052" s="47">
        <v>97.167755991285404</v>
      </c>
      <c r="P1052" s="49"/>
    </row>
    <row r="1053" spans="1:16" ht="15" hidden="1" customHeight="1">
      <c r="A1053" s="43">
        <v>1047</v>
      </c>
      <c r="B1053" s="44" t="s">
        <v>24</v>
      </c>
      <c r="C1053" s="44" t="s">
        <v>337</v>
      </c>
      <c r="D1053" s="44" t="s">
        <v>338</v>
      </c>
      <c r="E1053" s="44" t="s">
        <v>342</v>
      </c>
      <c r="F1053" s="45" t="s">
        <v>19</v>
      </c>
      <c r="G1053" s="46">
        <v>1010</v>
      </c>
      <c r="H1053" s="46">
        <v>216</v>
      </c>
      <c r="I1053" s="46">
        <v>25</v>
      </c>
      <c r="J1053" s="47">
        <v>82.381729200652501</v>
      </c>
      <c r="K1053" s="47"/>
      <c r="L1053" s="48">
        <v>612</v>
      </c>
      <c r="M1053" s="48">
        <v>37</v>
      </c>
      <c r="N1053" s="48">
        <v>3</v>
      </c>
      <c r="O1053" s="47">
        <v>94.298921417565495</v>
      </c>
      <c r="P1053" s="49"/>
    </row>
    <row r="1054" spans="1:16" ht="15" customHeight="1">
      <c r="A1054" s="50">
        <v>1048</v>
      </c>
      <c r="B1054" s="51" t="s">
        <v>24</v>
      </c>
      <c r="C1054" s="58" t="s">
        <v>337</v>
      </c>
      <c r="D1054" s="58" t="s">
        <v>338</v>
      </c>
      <c r="E1054" s="58" t="s">
        <v>343</v>
      </c>
      <c r="F1054" s="59" t="s">
        <v>343</v>
      </c>
      <c r="G1054" s="52">
        <v>4851</v>
      </c>
      <c r="H1054" s="52">
        <v>678</v>
      </c>
      <c r="I1054" s="52">
        <v>69</v>
      </c>
      <c r="J1054" s="53">
        <v>87.737384698860595</v>
      </c>
      <c r="K1054" s="53">
        <f>G1054+H1054+I1054</f>
        <v>5598</v>
      </c>
      <c r="L1054" s="54">
        <v>4246</v>
      </c>
      <c r="M1054" s="54">
        <v>97</v>
      </c>
      <c r="N1054" s="54">
        <v>34</v>
      </c>
      <c r="O1054" s="53">
        <v>97.766520838130305</v>
      </c>
      <c r="P1054" s="55">
        <f>L1054+M1054+N1054</f>
        <v>4377</v>
      </c>
    </row>
    <row r="1055" spans="1:16" ht="15" hidden="1" customHeight="1">
      <c r="A1055" s="43">
        <v>1049</v>
      </c>
      <c r="B1055" s="44" t="s">
        <v>24</v>
      </c>
      <c r="C1055" s="44" t="s">
        <v>337</v>
      </c>
      <c r="D1055" s="44" t="s">
        <v>338</v>
      </c>
      <c r="E1055" s="44" t="s">
        <v>343</v>
      </c>
      <c r="F1055" s="45" t="s">
        <v>18</v>
      </c>
      <c r="G1055" s="46">
        <v>3196</v>
      </c>
      <c r="H1055" s="46">
        <v>424</v>
      </c>
      <c r="I1055" s="46">
        <v>45</v>
      </c>
      <c r="J1055" s="47">
        <v>88.287292817679599</v>
      </c>
      <c r="K1055" s="47"/>
      <c r="L1055" s="48">
        <v>3156</v>
      </c>
      <c r="M1055" s="48">
        <v>68</v>
      </c>
      <c r="N1055" s="48">
        <v>24</v>
      </c>
      <c r="O1055" s="47">
        <v>97.890818858560806</v>
      </c>
      <c r="P1055" s="49"/>
    </row>
    <row r="1056" spans="1:16" ht="15" hidden="1" customHeight="1">
      <c r="A1056" s="43">
        <v>1050</v>
      </c>
      <c r="B1056" s="44" t="s">
        <v>24</v>
      </c>
      <c r="C1056" s="44" t="s">
        <v>337</v>
      </c>
      <c r="D1056" s="44" t="s">
        <v>338</v>
      </c>
      <c r="E1056" s="44" t="s">
        <v>343</v>
      </c>
      <c r="F1056" s="45" t="s">
        <v>19</v>
      </c>
      <c r="G1056" s="46">
        <v>1655</v>
      </c>
      <c r="H1056" s="46">
        <v>254</v>
      </c>
      <c r="I1056" s="46">
        <v>24</v>
      </c>
      <c r="J1056" s="47">
        <v>86.694604504976397</v>
      </c>
      <c r="K1056" s="47"/>
      <c r="L1056" s="48">
        <v>1090</v>
      </c>
      <c r="M1056" s="48">
        <v>29</v>
      </c>
      <c r="N1056" s="48">
        <v>10</v>
      </c>
      <c r="O1056" s="47">
        <v>97.408400357462</v>
      </c>
      <c r="P1056" s="49"/>
    </row>
    <row r="1057" spans="1:16" ht="15" hidden="1" customHeight="1">
      <c r="A1057" s="37">
        <v>1051</v>
      </c>
      <c r="B1057" s="38" t="s">
        <v>22</v>
      </c>
      <c r="C1057" s="57" t="s">
        <v>337</v>
      </c>
      <c r="D1057" s="57" t="s">
        <v>344</v>
      </c>
      <c r="E1057" s="57"/>
      <c r="F1057" s="38" t="s">
        <v>344</v>
      </c>
      <c r="G1057" s="39">
        <v>11192</v>
      </c>
      <c r="H1057" s="39">
        <v>2293</v>
      </c>
      <c r="I1057" s="39">
        <v>214</v>
      </c>
      <c r="J1057" s="40">
        <v>82.995921394141604</v>
      </c>
      <c r="K1057" s="40"/>
      <c r="L1057" s="41">
        <v>13206</v>
      </c>
      <c r="M1057" s="41">
        <v>604</v>
      </c>
      <c r="N1057" s="41">
        <v>125</v>
      </c>
      <c r="O1057" s="40">
        <v>95.626357711802996</v>
      </c>
      <c r="P1057" s="42"/>
    </row>
    <row r="1058" spans="1:16" ht="15" hidden="1" customHeight="1">
      <c r="A1058" s="43">
        <v>1052</v>
      </c>
      <c r="B1058" s="44" t="s">
        <v>22</v>
      </c>
      <c r="C1058" s="44" t="s">
        <v>337</v>
      </c>
      <c r="D1058" s="44" t="s">
        <v>344</v>
      </c>
      <c r="E1058" s="44"/>
      <c r="F1058" s="45" t="s">
        <v>18</v>
      </c>
      <c r="G1058" s="46">
        <v>9217</v>
      </c>
      <c r="H1058" s="46">
        <v>1636</v>
      </c>
      <c r="I1058" s="46">
        <v>160</v>
      </c>
      <c r="J1058" s="47">
        <v>84.925826960287495</v>
      </c>
      <c r="K1058" s="47"/>
      <c r="L1058" s="48">
        <v>11447</v>
      </c>
      <c r="M1058" s="48">
        <v>465</v>
      </c>
      <c r="N1058" s="48">
        <v>93</v>
      </c>
      <c r="O1058" s="47">
        <v>96.096373404969796</v>
      </c>
      <c r="P1058" s="49"/>
    </row>
    <row r="1059" spans="1:16" ht="15" hidden="1" customHeight="1">
      <c r="A1059" s="43">
        <v>1053</v>
      </c>
      <c r="B1059" s="44" t="s">
        <v>22</v>
      </c>
      <c r="C1059" s="44" t="s">
        <v>337</v>
      </c>
      <c r="D1059" s="44" t="s">
        <v>344</v>
      </c>
      <c r="E1059" s="44"/>
      <c r="F1059" s="45" t="s">
        <v>19</v>
      </c>
      <c r="G1059" s="46">
        <v>1975</v>
      </c>
      <c r="H1059" s="46">
        <v>657</v>
      </c>
      <c r="I1059" s="46">
        <v>54</v>
      </c>
      <c r="J1059" s="47">
        <v>75.037993920972596</v>
      </c>
      <c r="K1059" s="47"/>
      <c r="L1059" s="48">
        <v>1759</v>
      </c>
      <c r="M1059" s="48">
        <v>139</v>
      </c>
      <c r="N1059" s="48">
        <v>32</v>
      </c>
      <c r="O1059" s="47">
        <v>92.676501580611202</v>
      </c>
      <c r="P1059" s="49"/>
    </row>
    <row r="1060" spans="1:16" ht="15" customHeight="1">
      <c r="A1060" s="50">
        <v>1054</v>
      </c>
      <c r="B1060" s="51" t="s">
        <v>24</v>
      </c>
      <c r="C1060" s="58" t="s">
        <v>337</v>
      </c>
      <c r="D1060" s="58" t="s">
        <v>344</v>
      </c>
      <c r="E1060" s="58" t="s">
        <v>344</v>
      </c>
      <c r="F1060" s="59" t="s">
        <v>344</v>
      </c>
      <c r="G1060" s="52">
        <v>9809</v>
      </c>
      <c r="H1060" s="52">
        <v>2105</v>
      </c>
      <c r="I1060" s="52">
        <v>171</v>
      </c>
      <c r="J1060" s="53">
        <v>82.331710592580194</v>
      </c>
      <c r="K1060" s="53">
        <f>G1060+H1060+I1060</f>
        <v>12085</v>
      </c>
      <c r="L1060" s="54">
        <v>12320</v>
      </c>
      <c r="M1060" s="54">
        <v>548</v>
      </c>
      <c r="N1060" s="54">
        <v>115</v>
      </c>
      <c r="O1060" s="53">
        <v>95.741373950885901</v>
      </c>
      <c r="P1060" s="55">
        <f>L1060+M1060+N1060</f>
        <v>12983</v>
      </c>
    </row>
    <row r="1061" spans="1:16" ht="15" hidden="1" customHeight="1">
      <c r="A1061" s="43">
        <v>1055</v>
      </c>
      <c r="B1061" s="44" t="s">
        <v>24</v>
      </c>
      <c r="C1061" s="44" t="s">
        <v>337</v>
      </c>
      <c r="D1061" s="44" t="s">
        <v>344</v>
      </c>
      <c r="E1061" s="44" t="s">
        <v>344</v>
      </c>
      <c r="F1061" s="45" t="s">
        <v>18</v>
      </c>
      <c r="G1061" s="46">
        <v>8450</v>
      </c>
      <c r="H1061" s="46">
        <v>1570</v>
      </c>
      <c r="I1061" s="46">
        <v>137</v>
      </c>
      <c r="J1061" s="47">
        <v>84.331337325349295</v>
      </c>
      <c r="K1061" s="47"/>
      <c r="L1061" s="48">
        <v>10984</v>
      </c>
      <c r="M1061" s="48">
        <v>442</v>
      </c>
      <c r="N1061" s="48">
        <v>90</v>
      </c>
      <c r="O1061" s="47">
        <v>96.131629616663702</v>
      </c>
      <c r="P1061" s="49"/>
    </row>
    <row r="1062" spans="1:16" ht="15" hidden="1" customHeight="1">
      <c r="A1062" s="43">
        <v>1056</v>
      </c>
      <c r="B1062" s="44" t="s">
        <v>24</v>
      </c>
      <c r="C1062" s="44" t="s">
        <v>337</v>
      </c>
      <c r="D1062" s="44" t="s">
        <v>344</v>
      </c>
      <c r="E1062" s="44" t="s">
        <v>344</v>
      </c>
      <c r="F1062" s="45" t="s">
        <v>19</v>
      </c>
      <c r="G1062" s="46">
        <v>1359</v>
      </c>
      <c r="H1062" s="46">
        <v>535</v>
      </c>
      <c r="I1062" s="46">
        <v>34</v>
      </c>
      <c r="J1062" s="47">
        <v>71.752903907074995</v>
      </c>
      <c r="K1062" s="47"/>
      <c r="L1062" s="48">
        <v>1336</v>
      </c>
      <c r="M1062" s="48">
        <v>106</v>
      </c>
      <c r="N1062" s="48">
        <v>25</v>
      </c>
      <c r="O1062" s="47">
        <v>92.649098474341201</v>
      </c>
      <c r="P1062" s="49"/>
    </row>
    <row r="1063" spans="1:16" ht="15" customHeight="1">
      <c r="A1063" s="50">
        <v>1057</v>
      </c>
      <c r="B1063" s="51" t="s">
        <v>24</v>
      </c>
      <c r="C1063" s="58" t="s">
        <v>337</v>
      </c>
      <c r="D1063" s="58" t="s">
        <v>344</v>
      </c>
      <c r="E1063" s="58" t="s">
        <v>345</v>
      </c>
      <c r="F1063" s="59" t="s">
        <v>345</v>
      </c>
      <c r="G1063" s="52">
        <v>1383</v>
      </c>
      <c r="H1063" s="52">
        <v>188</v>
      </c>
      <c r="I1063" s="52">
        <v>43</v>
      </c>
      <c r="J1063" s="53">
        <v>88.033099936346304</v>
      </c>
      <c r="K1063" s="53">
        <f>G1063+H1063+I1063</f>
        <v>1614</v>
      </c>
      <c r="L1063" s="54">
        <v>886</v>
      </c>
      <c r="M1063" s="54">
        <v>56</v>
      </c>
      <c r="N1063" s="54">
        <v>10</v>
      </c>
      <c r="O1063" s="53">
        <v>94.055201698513798</v>
      </c>
      <c r="P1063" s="55">
        <f>L1063+M1063+N1063</f>
        <v>952</v>
      </c>
    </row>
    <row r="1064" spans="1:16" ht="15" hidden="1" customHeight="1">
      <c r="A1064" s="43">
        <v>1058</v>
      </c>
      <c r="B1064" s="44" t="s">
        <v>24</v>
      </c>
      <c r="C1064" s="44" t="s">
        <v>337</v>
      </c>
      <c r="D1064" s="44" t="s">
        <v>344</v>
      </c>
      <c r="E1064" s="44" t="s">
        <v>345</v>
      </c>
      <c r="F1064" s="45" t="s">
        <v>18</v>
      </c>
      <c r="G1064" s="46">
        <v>767</v>
      </c>
      <c r="H1064" s="46">
        <v>66</v>
      </c>
      <c r="I1064" s="46">
        <v>23</v>
      </c>
      <c r="J1064" s="47">
        <v>92.076830732292905</v>
      </c>
      <c r="K1064" s="47"/>
      <c r="L1064" s="48">
        <v>463</v>
      </c>
      <c r="M1064" s="48">
        <v>23</v>
      </c>
      <c r="N1064" s="48">
        <v>3</v>
      </c>
      <c r="O1064" s="47">
        <v>95.267489711934203</v>
      </c>
      <c r="P1064" s="49"/>
    </row>
    <row r="1065" spans="1:16" ht="15" hidden="1" customHeight="1">
      <c r="A1065" s="43">
        <v>1059</v>
      </c>
      <c r="B1065" s="44" t="s">
        <v>24</v>
      </c>
      <c r="C1065" s="44" t="s">
        <v>337</v>
      </c>
      <c r="D1065" s="44" t="s">
        <v>344</v>
      </c>
      <c r="E1065" s="44" t="s">
        <v>345</v>
      </c>
      <c r="F1065" s="45" t="s">
        <v>19</v>
      </c>
      <c r="G1065" s="46">
        <v>616</v>
      </c>
      <c r="H1065" s="46">
        <v>122</v>
      </c>
      <c r="I1065" s="46">
        <v>20</v>
      </c>
      <c r="J1065" s="47">
        <v>83.468834688346902</v>
      </c>
      <c r="K1065" s="47"/>
      <c r="L1065" s="48">
        <v>423</v>
      </c>
      <c r="M1065" s="48">
        <v>33</v>
      </c>
      <c r="N1065" s="48">
        <v>7</v>
      </c>
      <c r="O1065" s="47">
        <v>92.763157894736807</v>
      </c>
      <c r="P1065" s="49"/>
    </row>
    <row r="1066" spans="1:16" ht="15" hidden="1" customHeight="1">
      <c r="A1066" s="37">
        <v>1060</v>
      </c>
      <c r="B1066" s="38" t="s">
        <v>22</v>
      </c>
      <c r="C1066" s="57" t="s">
        <v>337</v>
      </c>
      <c r="D1066" s="57" t="s">
        <v>346</v>
      </c>
      <c r="E1066" s="57"/>
      <c r="F1066" s="38" t="s">
        <v>346</v>
      </c>
      <c r="G1066" s="39">
        <v>7421</v>
      </c>
      <c r="H1066" s="39">
        <v>1831</v>
      </c>
      <c r="I1066" s="39">
        <v>171</v>
      </c>
      <c r="J1066" s="40">
        <v>80.209684392563801</v>
      </c>
      <c r="K1066" s="40"/>
      <c r="L1066" s="41">
        <v>8393</v>
      </c>
      <c r="M1066" s="41">
        <v>1163</v>
      </c>
      <c r="N1066" s="41">
        <v>139</v>
      </c>
      <c r="O1066" s="40">
        <v>87.829635830891604</v>
      </c>
      <c r="P1066" s="42"/>
    </row>
    <row r="1067" spans="1:16" ht="15" hidden="1" customHeight="1">
      <c r="A1067" s="43">
        <v>1061</v>
      </c>
      <c r="B1067" s="44" t="s">
        <v>22</v>
      </c>
      <c r="C1067" s="44" t="s">
        <v>337</v>
      </c>
      <c r="D1067" s="44" t="s">
        <v>346</v>
      </c>
      <c r="E1067" s="44"/>
      <c r="F1067" s="45" t="s">
        <v>18</v>
      </c>
      <c r="G1067" s="46">
        <v>3233</v>
      </c>
      <c r="H1067" s="46">
        <v>640</v>
      </c>
      <c r="I1067" s="46">
        <v>67</v>
      </c>
      <c r="J1067" s="47">
        <v>83.475342112057803</v>
      </c>
      <c r="K1067" s="47"/>
      <c r="L1067" s="48">
        <v>3634</v>
      </c>
      <c r="M1067" s="48">
        <v>230</v>
      </c>
      <c r="N1067" s="48">
        <v>47</v>
      </c>
      <c r="O1067" s="47">
        <v>94.047619047619094</v>
      </c>
      <c r="P1067" s="49"/>
    </row>
    <row r="1068" spans="1:16" ht="15" hidden="1" customHeight="1">
      <c r="A1068" s="43">
        <v>1062</v>
      </c>
      <c r="B1068" s="44" t="s">
        <v>22</v>
      </c>
      <c r="C1068" s="44" t="s">
        <v>337</v>
      </c>
      <c r="D1068" s="44" t="s">
        <v>346</v>
      </c>
      <c r="E1068" s="44"/>
      <c r="F1068" s="45" t="s">
        <v>19</v>
      </c>
      <c r="G1068" s="46">
        <v>4188</v>
      </c>
      <c r="H1068" s="46">
        <v>1191</v>
      </c>
      <c r="I1068" s="46">
        <v>104</v>
      </c>
      <c r="J1068" s="47">
        <v>77.858337981037394</v>
      </c>
      <c r="K1068" s="47"/>
      <c r="L1068" s="48">
        <v>4759</v>
      </c>
      <c r="M1068" s="48">
        <v>933</v>
      </c>
      <c r="N1068" s="48">
        <v>92</v>
      </c>
      <c r="O1068" s="47">
        <v>83.608573436401997</v>
      </c>
      <c r="P1068" s="49"/>
    </row>
    <row r="1069" spans="1:16" ht="15" customHeight="1">
      <c r="A1069" s="50">
        <v>1063</v>
      </c>
      <c r="B1069" s="51" t="s">
        <v>24</v>
      </c>
      <c r="C1069" s="58" t="s">
        <v>337</v>
      </c>
      <c r="D1069" s="58" t="s">
        <v>346</v>
      </c>
      <c r="E1069" s="58" t="s">
        <v>347</v>
      </c>
      <c r="F1069" s="59" t="s">
        <v>347</v>
      </c>
      <c r="G1069" s="52">
        <v>5482</v>
      </c>
      <c r="H1069" s="52">
        <v>1505</v>
      </c>
      <c r="I1069" s="52">
        <v>131</v>
      </c>
      <c r="J1069" s="53">
        <v>78.459997137541194</v>
      </c>
      <c r="K1069" s="53">
        <f>G1069+H1069+I1069</f>
        <v>7118</v>
      </c>
      <c r="L1069" s="54">
        <v>6464</v>
      </c>
      <c r="M1069" s="54">
        <v>791</v>
      </c>
      <c r="N1069" s="54">
        <v>85</v>
      </c>
      <c r="O1069" s="53">
        <v>89.097174362508596</v>
      </c>
      <c r="P1069" s="55">
        <f>L1069+M1069+N1069</f>
        <v>7340</v>
      </c>
    </row>
    <row r="1070" spans="1:16" ht="15" hidden="1" customHeight="1">
      <c r="A1070" s="43">
        <v>1064</v>
      </c>
      <c r="B1070" s="44" t="s">
        <v>24</v>
      </c>
      <c r="C1070" s="44" t="s">
        <v>337</v>
      </c>
      <c r="D1070" s="44" t="s">
        <v>346</v>
      </c>
      <c r="E1070" s="44" t="s">
        <v>347</v>
      </c>
      <c r="F1070" s="45" t="s">
        <v>18</v>
      </c>
      <c r="G1070" s="46">
        <v>2316</v>
      </c>
      <c r="H1070" s="46">
        <v>491</v>
      </c>
      <c r="I1070" s="46">
        <v>44</v>
      </c>
      <c r="J1070" s="47">
        <v>82.508015675097994</v>
      </c>
      <c r="K1070" s="47"/>
      <c r="L1070" s="48">
        <v>2907</v>
      </c>
      <c r="M1070" s="48">
        <v>198</v>
      </c>
      <c r="N1070" s="48">
        <v>32</v>
      </c>
      <c r="O1070" s="47">
        <v>93.623188405797094</v>
      </c>
      <c r="P1070" s="49"/>
    </row>
    <row r="1071" spans="1:16" ht="15" hidden="1" customHeight="1">
      <c r="A1071" s="43">
        <v>1065</v>
      </c>
      <c r="B1071" s="44" t="s">
        <v>24</v>
      </c>
      <c r="C1071" s="44" t="s">
        <v>337</v>
      </c>
      <c r="D1071" s="44" t="s">
        <v>346</v>
      </c>
      <c r="E1071" s="44" t="s">
        <v>347</v>
      </c>
      <c r="F1071" s="45" t="s">
        <v>19</v>
      </c>
      <c r="G1071" s="46">
        <v>3166</v>
      </c>
      <c r="H1071" s="46">
        <v>1014</v>
      </c>
      <c r="I1071" s="46">
        <v>87</v>
      </c>
      <c r="J1071" s="47">
        <v>75.741626794258394</v>
      </c>
      <c r="K1071" s="47"/>
      <c r="L1071" s="48">
        <v>3557</v>
      </c>
      <c r="M1071" s="48">
        <v>593</v>
      </c>
      <c r="N1071" s="48">
        <v>53</v>
      </c>
      <c r="O1071" s="47">
        <v>85.710843373494001</v>
      </c>
      <c r="P1071" s="49"/>
    </row>
    <row r="1072" spans="1:16" ht="15" customHeight="1">
      <c r="A1072" s="50">
        <v>1066</v>
      </c>
      <c r="B1072" s="51" t="s">
        <v>24</v>
      </c>
      <c r="C1072" s="58" t="s">
        <v>337</v>
      </c>
      <c r="D1072" s="58" t="s">
        <v>346</v>
      </c>
      <c r="E1072" s="58" t="s">
        <v>348</v>
      </c>
      <c r="F1072" s="59" t="s">
        <v>348</v>
      </c>
      <c r="G1072" s="52">
        <v>1249</v>
      </c>
      <c r="H1072" s="52">
        <v>152</v>
      </c>
      <c r="I1072" s="52">
        <v>24</v>
      </c>
      <c r="J1072" s="53">
        <v>89.150606709493204</v>
      </c>
      <c r="K1072" s="53">
        <f>G1072+H1072+I1072</f>
        <v>1425</v>
      </c>
      <c r="L1072" s="54">
        <v>1221</v>
      </c>
      <c r="M1072" s="54">
        <v>253</v>
      </c>
      <c r="N1072" s="54">
        <v>34</v>
      </c>
      <c r="O1072" s="53">
        <v>82.835820895522403</v>
      </c>
      <c r="P1072" s="55">
        <f>L1072+M1072+N1072</f>
        <v>1508</v>
      </c>
    </row>
    <row r="1073" spans="1:16" ht="15" hidden="1" customHeight="1">
      <c r="A1073" s="43">
        <v>1067</v>
      </c>
      <c r="B1073" s="44" t="s">
        <v>24</v>
      </c>
      <c r="C1073" s="44" t="s">
        <v>337</v>
      </c>
      <c r="D1073" s="44" t="s">
        <v>346</v>
      </c>
      <c r="E1073" s="44" t="s">
        <v>348</v>
      </c>
      <c r="F1073" s="45" t="s">
        <v>18</v>
      </c>
      <c r="G1073" s="46">
        <v>518</v>
      </c>
      <c r="H1073" s="46">
        <v>53</v>
      </c>
      <c r="I1073" s="46">
        <v>12</v>
      </c>
      <c r="J1073" s="47">
        <v>90.718038528896699</v>
      </c>
      <c r="K1073" s="47"/>
      <c r="L1073" s="48">
        <v>488</v>
      </c>
      <c r="M1073" s="48">
        <v>14</v>
      </c>
      <c r="N1073" s="48">
        <v>7</v>
      </c>
      <c r="O1073" s="47">
        <v>97.211155378486097</v>
      </c>
      <c r="P1073" s="49"/>
    </row>
    <row r="1074" spans="1:16" ht="15" hidden="1" customHeight="1">
      <c r="A1074" s="43">
        <v>1068</v>
      </c>
      <c r="B1074" s="44" t="s">
        <v>24</v>
      </c>
      <c r="C1074" s="44" t="s">
        <v>337</v>
      </c>
      <c r="D1074" s="44" t="s">
        <v>346</v>
      </c>
      <c r="E1074" s="44" t="s">
        <v>348</v>
      </c>
      <c r="F1074" s="45" t="s">
        <v>19</v>
      </c>
      <c r="G1074" s="46">
        <v>731</v>
      </c>
      <c r="H1074" s="46">
        <v>99</v>
      </c>
      <c r="I1074" s="46">
        <v>12</v>
      </c>
      <c r="J1074" s="47">
        <v>88.072289156626496</v>
      </c>
      <c r="K1074" s="47"/>
      <c r="L1074" s="48">
        <v>733</v>
      </c>
      <c r="M1074" s="48">
        <v>239</v>
      </c>
      <c r="N1074" s="48">
        <v>27</v>
      </c>
      <c r="O1074" s="47">
        <v>75.411522633744895</v>
      </c>
      <c r="P1074" s="49"/>
    </row>
    <row r="1075" spans="1:16" ht="15" customHeight="1">
      <c r="A1075" s="50">
        <v>1069</v>
      </c>
      <c r="B1075" s="51" t="s">
        <v>24</v>
      </c>
      <c r="C1075" s="58" t="s">
        <v>337</v>
      </c>
      <c r="D1075" s="58" t="s">
        <v>346</v>
      </c>
      <c r="E1075" s="58" t="s">
        <v>349</v>
      </c>
      <c r="F1075" s="59" t="s">
        <v>349</v>
      </c>
      <c r="G1075" s="52">
        <v>690</v>
      </c>
      <c r="H1075" s="52">
        <v>174</v>
      </c>
      <c r="I1075" s="52">
        <v>16</v>
      </c>
      <c r="J1075" s="53">
        <v>79.8611111111111</v>
      </c>
      <c r="K1075" s="53">
        <f>G1075+H1075+I1075</f>
        <v>880</v>
      </c>
      <c r="L1075" s="54">
        <v>708</v>
      </c>
      <c r="M1075" s="54">
        <v>119</v>
      </c>
      <c r="N1075" s="54">
        <v>20</v>
      </c>
      <c r="O1075" s="53">
        <v>85.610640870616706</v>
      </c>
      <c r="P1075" s="55">
        <f>L1075+M1075+N1075</f>
        <v>847</v>
      </c>
    </row>
    <row r="1076" spans="1:16" ht="15" hidden="1" customHeight="1">
      <c r="A1076" s="43">
        <v>1070</v>
      </c>
      <c r="B1076" s="44" t="s">
        <v>24</v>
      </c>
      <c r="C1076" s="44" t="s">
        <v>337</v>
      </c>
      <c r="D1076" s="44" t="s">
        <v>346</v>
      </c>
      <c r="E1076" s="44" t="s">
        <v>349</v>
      </c>
      <c r="F1076" s="45" t="s">
        <v>18</v>
      </c>
      <c r="G1076" s="46">
        <v>399</v>
      </c>
      <c r="H1076" s="46">
        <v>96</v>
      </c>
      <c r="I1076" s="46">
        <v>11</v>
      </c>
      <c r="J1076" s="47">
        <v>80.606060606060595</v>
      </c>
      <c r="K1076" s="47"/>
      <c r="L1076" s="48">
        <v>239</v>
      </c>
      <c r="M1076" s="48">
        <v>18</v>
      </c>
      <c r="N1076" s="48">
        <v>8</v>
      </c>
      <c r="O1076" s="47">
        <v>92.996108949416296</v>
      </c>
      <c r="P1076" s="49"/>
    </row>
    <row r="1077" spans="1:16" ht="15" hidden="1" customHeight="1">
      <c r="A1077" s="43">
        <v>1071</v>
      </c>
      <c r="B1077" s="44" t="s">
        <v>24</v>
      </c>
      <c r="C1077" s="44" t="s">
        <v>337</v>
      </c>
      <c r="D1077" s="44" t="s">
        <v>346</v>
      </c>
      <c r="E1077" s="44" t="s">
        <v>349</v>
      </c>
      <c r="F1077" s="45" t="s">
        <v>19</v>
      </c>
      <c r="G1077" s="46">
        <v>291</v>
      </c>
      <c r="H1077" s="46">
        <v>78</v>
      </c>
      <c r="I1077" s="46">
        <v>5</v>
      </c>
      <c r="J1077" s="47">
        <v>78.861788617886205</v>
      </c>
      <c r="K1077" s="47"/>
      <c r="L1077" s="48">
        <v>469</v>
      </c>
      <c r="M1077" s="48">
        <v>101</v>
      </c>
      <c r="N1077" s="48">
        <v>12</v>
      </c>
      <c r="O1077" s="47">
        <v>82.280701754386001</v>
      </c>
      <c r="P1077" s="49"/>
    </row>
    <row r="1078" spans="1:16" ht="15" hidden="1" customHeight="1">
      <c r="A1078" s="37">
        <v>1072</v>
      </c>
      <c r="B1078" s="38" t="s">
        <v>22</v>
      </c>
      <c r="C1078" s="57" t="s">
        <v>337</v>
      </c>
      <c r="D1078" s="57" t="s">
        <v>350</v>
      </c>
      <c r="E1078" s="57"/>
      <c r="F1078" s="38" t="s">
        <v>350</v>
      </c>
      <c r="G1078" s="39">
        <v>9186</v>
      </c>
      <c r="H1078" s="39">
        <v>1589</v>
      </c>
      <c r="I1078" s="39">
        <v>209</v>
      </c>
      <c r="J1078" s="40">
        <v>85.252900232018604</v>
      </c>
      <c r="K1078" s="40"/>
      <c r="L1078" s="41">
        <v>7772</v>
      </c>
      <c r="M1078" s="41">
        <v>319</v>
      </c>
      <c r="N1078" s="41">
        <v>55</v>
      </c>
      <c r="O1078" s="40">
        <v>96.057347670250905</v>
      </c>
      <c r="P1078" s="42"/>
    </row>
    <row r="1079" spans="1:16" ht="15" hidden="1" customHeight="1">
      <c r="A1079" s="43">
        <v>1073</v>
      </c>
      <c r="B1079" s="44" t="s">
        <v>22</v>
      </c>
      <c r="C1079" s="44" t="s">
        <v>337</v>
      </c>
      <c r="D1079" s="44" t="s">
        <v>350</v>
      </c>
      <c r="E1079" s="44"/>
      <c r="F1079" s="45" t="s">
        <v>18</v>
      </c>
      <c r="G1079" s="46">
        <v>5891</v>
      </c>
      <c r="H1079" s="46">
        <v>925</v>
      </c>
      <c r="I1079" s="46">
        <v>118</v>
      </c>
      <c r="J1079" s="47">
        <v>86.428990610328597</v>
      </c>
      <c r="K1079" s="47"/>
      <c r="L1079" s="48">
        <v>5037</v>
      </c>
      <c r="M1079" s="48">
        <v>191</v>
      </c>
      <c r="N1079" s="48">
        <v>31</v>
      </c>
      <c r="O1079" s="47">
        <v>96.346595256312199</v>
      </c>
      <c r="P1079" s="49"/>
    </row>
    <row r="1080" spans="1:16" ht="15" hidden="1" customHeight="1">
      <c r="A1080" s="43">
        <v>1074</v>
      </c>
      <c r="B1080" s="44" t="s">
        <v>22</v>
      </c>
      <c r="C1080" s="44" t="s">
        <v>337</v>
      </c>
      <c r="D1080" s="44" t="s">
        <v>350</v>
      </c>
      <c r="E1080" s="44"/>
      <c r="F1080" s="45" t="s">
        <v>19</v>
      </c>
      <c r="G1080" s="46">
        <v>3295</v>
      </c>
      <c r="H1080" s="46">
        <v>664</v>
      </c>
      <c r="I1080" s="46">
        <v>91</v>
      </c>
      <c r="J1080" s="47">
        <v>83.228087900985102</v>
      </c>
      <c r="K1080" s="47"/>
      <c r="L1080" s="48">
        <v>2735</v>
      </c>
      <c r="M1080" s="48">
        <v>128</v>
      </c>
      <c r="N1080" s="48">
        <v>24</v>
      </c>
      <c r="O1080" s="47">
        <v>95.529165211316794</v>
      </c>
      <c r="P1080" s="49"/>
    </row>
    <row r="1081" spans="1:16" ht="15" customHeight="1">
      <c r="A1081" s="50">
        <v>1075</v>
      </c>
      <c r="B1081" s="51" t="s">
        <v>24</v>
      </c>
      <c r="C1081" s="58" t="s">
        <v>337</v>
      </c>
      <c r="D1081" s="58" t="s">
        <v>350</v>
      </c>
      <c r="E1081" s="58" t="s">
        <v>351</v>
      </c>
      <c r="F1081" s="59" t="s">
        <v>351</v>
      </c>
      <c r="G1081" s="52">
        <v>1199</v>
      </c>
      <c r="H1081" s="52">
        <v>259</v>
      </c>
      <c r="I1081" s="52">
        <v>20</v>
      </c>
      <c r="J1081" s="53">
        <v>82.235939643347095</v>
      </c>
      <c r="K1081" s="53">
        <f>G1081+H1081+I1081</f>
        <v>1478</v>
      </c>
      <c r="L1081" s="54">
        <v>1054</v>
      </c>
      <c r="M1081" s="54">
        <v>48</v>
      </c>
      <c r="N1081" s="54">
        <v>8</v>
      </c>
      <c r="O1081" s="53">
        <v>95.644283121597098</v>
      </c>
      <c r="P1081" s="55">
        <f>L1081+M1081+N1081</f>
        <v>1110</v>
      </c>
    </row>
    <row r="1082" spans="1:16" ht="15" hidden="1" customHeight="1">
      <c r="A1082" s="43">
        <v>1076</v>
      </c>
      <c r="B1082" s="44" t="s">
        <v>24</v>
      </c>
      <c r="C1082" s="44" t="s">
        <v>337</v>
      </c>
      <c r="D1082" s="44" t="s">
        <v>350</v>
      </c>
      <c r="E1082" s="44" t="s">
        <v>351</v>
      </c>
      <c r="F1082" s="45" t="s">
        <v>18</v>
      </c>
      <c r="G1082" s="46">
        <v>387</v>
      </c>
      <c r="H1082" s="46">
        <v>68</v>
      </c>
      <c r="I1082" s="46">
        <v>6</v>
      </c>
      <c r="J1082" s="47">
        <v>85.054945054945094</v>
      </c>
      <c r="K1082" s="47"/>
      <c r="L1082" s="48">
        <v>422</v>
      </c>
      <c r="M1082" s="48">
        <v>20</v>
      </c>
      <c r="N1082" s="48">
        <v>1</v>
      </c>
      <c r="O1082" s="47">
        <v>95.475113122171905</v>
      </c>
      <c r="P1082" s="49"/>
    </row>
    <row r="1083" spans="1:16" ht="15" hidden="1" customHeight="1">
      <c r="A1083" s="43">
        <v>1077</v>
      </c>
      <c r="B1083" s="44" t="s">
        <v>24</v>
      </c>
      <c r="C1083" s="44" t="s">
        <v>337</v>
      </c>
      <c r="D1083" s="44" t="s">
        <v>350</v>
      </c>
      <c r="E1083" s="44" t="s">
        <v>351</v>
      </c>
      <c r="F1083" s="45" t="s">
        <v>19</v>
      </c>
      <c r="G1083" s="46">
        <v>812</v>
      </c>
      <c r="H1083" s="46">
        <v>191</v>
      </c>
      <c r="I1083" s="46">
        <v>14</v>
      </c>
      <c r="J1083" s="47">
        <v>80.957128614157497</v>
      </c>
      <c r="K1083" s="47"/>
      <c r="L1083" s="48">
        <v>632</v>
      </c>
      <c r="M1083" s="48">
        <v>28</v>
      </c>
      <c r="N1083" s="48">
        <v>7</v>
      </c>
      <c r="O1083" s="47">
        <v>95.757575757575793</v>
      </c>
      <c r="P1083" s="49"/>
    </row>
    <row r="1084" spans="1:16" ht="15" customHeight="1">
      <c r="A1084" s="50">
        <v>1078</v>
      </c>
      <c r="B1084" s="51" t="s">
        <v>24</v>
      </c>
      <c r="C1084" s="58" t="s">
        <v>337</v>
      </c>
      <c r="D1084" s="58" t="s">
        <v>350</v>
      </c>
      <c r="E1084" s="58" t="s">
        <v>352</v>
      </c>
      <c r="F1084" s="59" t="s">
        <v>352</v>
      </c>
      <c r="G1084" s="52">
        <v>2092</v>
      </c>
      <c r="H1084" s="52">
        <v>263</v>
      </c>
      <c r="I1084" s="52">
        <v>80</v>
      </c>
      <c r="J1084" s="53">
        <v>88.832271762208094</v>
      </c>
      <c r="K1084" s="53">
        <f>G1084+H1084+I1084</f>
        <v>2435</v>
      </c>
      <c r="L1084" s="54">
        <v>1464</v>
      </c>
      <c r="M1084" s="54">
        <v>65</v>
      </c>
      <c r="N1084" s="54">
        <v>10</v>
      </c>
      <c r="O1084" s="53">
        <v>95.748855461085697</v>
      </c>
      <c r="P1084" s="55">
        <f>L1084+M1084+N1084</f>
        <v>1539</v>
      </c>
    </row>
    <row r="1085" spans="1:16" ht="15" hidden="1" customHeight="1">
      <c r="A1085" s="43">
        <v>1079</v>
      </c>
      <c r="B1085" s="44" t="s">
        <v>24</v>
      </c>
      <c r="C1085" s="44" t="s">
        <v>337</v>
      </c>
      <c r="D1085" s="44" t="s">
        <v>350</v>
      </c>
      <c r="E1085" s="44" t="s">
        <v>352</v>
      </c>
      <c r="F1085" s="45" t="s">
        <v>18</v>
      </c>
      <c r="G1085" s="46">
        <v>1369</v>
      </c>
      <c r="H1085" s="46">
        <v>187</v>
      </c>
      <c r="I1085" s="46">
        <v>36</v>
      </c>
      <c r="J1085" s="47">
        <v>87.9820051413882</v>
      </c>
      <c r="K1085" s="47"/>
      <c r="L1085" s="48">
        <v>1040</v>
      </c>
      <c r="M1085" s="48">
        <v>35</v>
      </c>
      <c r="N1085" s="48">
        <v>6</v>
      </c>
      <c r="O1085" s="47">
        <v>96.744186046511601</v>
      </c>
      <c r="P1085" s="49"/>
    </row>
    <row r="1086" spans="1:16" ht="15" hidden="1" customHeight="1">
      <c r="A1086" s="43">
        <v>1080</v>
      </c>
      <c r="B1086" s="44" t="s">
        <v>24</v>
      </c>
      <c r="C1086" s="44" t="s">
        <v>337</v>
      </c>
      <c r="D1086" s="44" t="s">
        <v>350</v>
      </c>
      <c r="E1086" s="44" t="s">
        <v>352</v>
      </c>
      <c r="F1086" s="45" t="s">
        <v>19</v>
      </c>
      <c r="G1086" s="46">
        <v>723</v>
      </c>
      <c r="H1086" s="46">
        <v>76</v>
      </c>
      <c r="I1086" s="46">
        <v>44</v>
      </c>
      <c r="J1086" s="47">
        <v>90.488110137672095</v>
      </c>
      <c r="K1086" s="47"/>
      <c r="L1086" s="48">
        <v>424</v>
      </c>
      <c r="M1086" s="48">
        <v>30</v>
      </c>
      <c r="N1086" s="48">
        <v>4</v>
      </c>
      <c r="O1086" s="47">
        <v>93.392070484581495</v>
      </c>
      <c r="P1086" s="49"/>
    </row>
    <row r="1087" spans="1:16" ht="15" customHeight="1">
      <c r="A1087" s="50">
        <v>1081</v>
      </c>
      <c r="B1087" s="51" t="s">
        <v>24</v>
      </c>
      <c r="C1087" s="58" t="s">
        <v>337</v>
      </c>
      <c r="D1087" s="58" t="s">
        <v>350</v>
      </c>
      <c r="E1087" s="58" t="s">
        <v>353</v>
      </c>
      <c r="F1087" s="59" t="s">
        <v>353</v>
      </c>
      <c r="G1087" s="52">
        <v>4918</v>
      </c>
      <c r="H1087" s="52">
        <v>951</v>
      </c>
      <c r="I1087" s="52">
        <v>94</v>
      </c>
      <c r="J1087" s="53">
        <v>83.796217413528694</v>
      </c>
      <c r="K1087" s="53">
        <f>G1087+H1087+I1087</f>
        <v>5963</v>
      </c>
      <c r="L1087" s="54">
        <v>4421</v>
      </c>
      <c r="M1087" s="54">
        <v>176</v>
      </c>
      <c r="N1087" s="54">
        <v>32</v>
      </c>
      <c r="O1087" s="53">
        <v>96.171416140961497</v>
      </c>
      <c r="P1087" s="55">
        <f>L1087+M1087+N1087</f>
        <v>4629</v>
      </c>
    </row>
    <row r="1088" spans="1:16" ht="15" hidden="1" customHeight="1">
      <c r="A1088" s="43">
        <v>1082</v>
      </c>
      <c r="B1088" s="44" t="s">
        <v>24</v>
      </c>
      <c r="C1088" s="44" t="s">
        <v>337</v>
      </c>
      <c r="D1088" s="44" t="s">
        <v>350</v>
      </c>
      <c r="E1088" s="44" t="s">
        <v>353</v>
      </c>
      <c r="F1088" s="45" t="s">
        <v>18</v>
      </c>
      <c r="G1088" s="46">
        <v>3536</v>
      </c>
      <c r="H1088" s="46">
        <v>605</v>
      </c>
      <c r="I1088" s="46">
        <v>68</v>
      </c>
      <c r="J1088" s="47">
        <v>85.390002414875596</v>
      </c>
      <c r="K1088" s="47"/>
      <c r="L1088" s="48">
        <v>3039</v>
      </c>
      <c r="M1088" s="48">
        <v>120</v>
      </c>
      <c r="N1088" s="48">
        <v>22</v>
      </c>
      <c r="O1088" s="47">
        <v>96.201329534662904</v>
      </c>
      <c r="P1088" s="49"/>
    </row>
    <row r="1089" spans="1:16" ht="15" hidden="1" customHeight="1">
      <c r="A1089" s="43">
        <v>1083</v>
      </c>
      <c r="B1089" s="44" t="s">
        <v>24</v>
      </c>
      <c r="C1089" s="44" t="s">
        <v>337</v>
      </c>
      <c r="D1089" s="44" t="s">
        <v>350</v>
      </c>
      <c r="E1089" s="44" t="s">
        <v>353</v>
      </c>
      <c r="F1089" s="45" t="s">
        <v>19</v>
      </c>
      <c r="G1089" s="46">
        <v>1382</v>
      </c>
      <c r="H1089" s="46">
        <v>346</v>
      </c>
      <c r="I1089" s="46">
        <v>26</v>
      </c>
      <c r="J1089" s="47">
        <v>79.976851851851805</v>
      </c>
      <c r="K1089" s="47"/>
      <c r="L1089" s="48">
        <v>1382</v>
      </c>
      <c r="M1089" s="48">
        <v>56</v>
      </c>
      <c r="N1089" s="48">
        <v>10</v>
      </c>
      <c r="O1089" s="47">
        <v>96.105702364395</v>
      </c>
      <c r="P1089" s="49"/>
    </row>
    <row r="1090" spans="1:16" ht="15" customHeight="1">
      <c r="A1090" s="50">
        <v>1084</v>
      </c>
      <c r="B1090" s="51" t="s">
        <v>24</v>
      </c>
      <c r="C1090" s="58" t="s">
        <v>337</v>
      </c>
      <c r="D1090" s="58" t="s">
        <v>350</v>
      </c>
      <c r="E1090" s="58" t="s">
        <v>354</v>
      </c>
      <c r="F1090" s="59" t="s">
        <v>354</v>
      </c>
      <c r="G1090" s="52">
        <v>977</v>
      </c>
      <c r="H1090" s="52">
        <v>116</v>
      </c>
      <c r="I1090" s="52">
        <v>15</v>
      </c>
      <c r="J1090" s="53">
        <v>89.387008234217703</v>
      </c>
      <c r="K1090" s="53">
        <f>G1090+H1090+I1090</f>
        <v>1108</v>
      </c>
      <c r="L1090" s="54">
        <v>833</v>
      </c>
      <c r="M1090" s="54">
        <v>30</v>
      </c>
      <c r="N1090" s="54">
        <v>5</v>
      </c>
      <c r="O1090" s="53">
        <v>96.523754345307097</v>
      </c>
      <c r="P1090" s="55">
        <f>L1090+M1090+N1090</f>
        <v>868</v>
      </c>
    </row>
    <row r="1091" spans="1:16" ht="15" hidden="1" customHeight="1">
      <c r="A1091" s="43">
        <v>1085</v>
      </c>
      <c r="B1091" s="44" t="s">
        <v>24</v>
      </c>
      <c r="C1091" s="44" t="s">
        <v>337</v>
      </c>
      <c r="D1091" s="44" t="s">
        <v>350</v>
      </c>
      <c r="E1091" s="44" t="s">
        <v>354</v>
      </c>
      <c r="F1091" s="45" t="s">
        <v>18</v>
      </c>
      <c r="G1091" s="46">
        <v>599</v>
      </c>
      <c r="H1091" s="46">
        <v>65</v>
      </c>
      <c r="I1091" s="46">
        <v>8</v>
      </c>
      <c r="J1091" s="47">
        <v>90.210843373494001</v>
      </c>
      <c r="K1091" s="47"/>
      <c r="L1091" s="48">
        <v>536</v>
      </c>
      <c r="M1091" s="48">
        <v>16</v>
      </c>
      <c r="N1091" s="48">
        <v>2</v>
      </c>
      <c r="O1091" s="47">
        <v>97.101449275362299</v>
      </c>
      <c r="P1091" s="49"/>
    </row>
    <row r="1092" spans="1:16" ht="15" hidden="1" customHeight="1">
      <c r="A1092" s="43">
        <v>1086</v>
      </c>
      <c r="B1092" s="44" t="s">
        <v>24</v>
      </c>
      <c r="C1092" s="44" t="s">
        <v>337</v>
      </c>
      <c r="D1092" s="44" t="s">
        <v>350</v>
      </c>
      <c r="E1092" s="44" t="s">
        <v>354</v>
      </c>
      <c r="F1092" s="45" t="s">
        <v>19</v>
      </c>
      <c r="G1092" s="46">
        <v>378</v>
      </c>
      <c r="H1092" s="46">
        <v>51</v>
      </c>
      <c r="I1092" s="46">
        <v>7</v>
      </c>
      <c r="J1092" s="47">
        <v>88.111888111888106</v>
      </c>
      <c r="K1092" s="47"/>
      <c r="L1092" s="48">
        <v>297</v>
      </c>
      <c r="M1092" s="48">
        <v>14</v>
      </c>
      <c r="N1092" s="48">
        <v>3</v>
      </c>
      <c r="O1092" s="47">
        <v>95.498392282958207</v>
      </c>
      <c r="P1092" s="49"/>
    </row>
    <row r="1093" spans="1:16" ht="15" hidden="1" customHeight="1">
      <c r="A1093" s="37">
        <v>1087</v>
      </c>
      <c r="B1093" s="38" t="s">
        <v>22</v>
      </c>
      <c r="C1093" s="57" t="s">
        <v>337</v>
      </c>
      <c r="D1093" s="57" t="s">
        <v>355</v>
      </c>
      <c r="E1093" s="57"/>
      <c r="F1093" s="38" t="s">
        <v>355</v>
      </c>
      <c r="G1093" s="39">
        <v>9367</v>
      </c>
      <c r="H1093" s="39">
        <v>1867</v>
      </c>
      <c r="I1093" s="39">
        <v>136</v>
      </c>
      <c r="J1093" s="40">
        <v>83.380808260637394</v>
      </c>
      <c r="K1093" s="40"/>
      <c r="L1093" s="41">
        <v>11215</v>
      </c>
      <c r="M1093" s="41">
        <v>2378</v>
      </c>
      <c r="N1093" s="41">
        <v>185</v>
      </c>
      <c r="O1093" s="40">
        <v>82.5057014639888</v>
      </c>
      <c r="P1093" s="42"/>
    </row>
    <row r="1094" spans="1:16" ht="15" hidden="1" customHeight="1">
      <c r="A1094" s="43">
        <v>1088</v>
      </c>
      <c r="B1094" s="44" t="s">
        <v>22</v>
      </c>
      <c r="C1094" s="44" t="s">
        <v>337</v>
      </c>
      <c r="D1094" s="44" t="s">
        <v>355</v>
      </c>
      <c r="E1094" s="44"/>
      <c r="F1094" s="45" t="s">
        <v>18</v>
      </c>
      <c r="G1094" s="46">
        <v>3129</v>
      </c>
      <c r="H1094" s="46">
        <v>612</v>
      </c>
      <c r="I1094" s="46">
        <v>31</v>
      </c>
      <c r="J1094" s="47">
        <v>83.640737770649594</v>
      </c>
      <c r="K1094" s="47"/>
      <c r="L1094" s="48">
        <v>3696</v>
      </c>
      <c r="M1094" s="48">
        <v>195</v>
      </c>
      <c r="N1094" s="48">
        <v>35</v>
      </c>
      <c r="O1094" s="47">
        <v>94.988434849653004</v>
      </c>
      <c r="P1094" s="49"/>
    </row>
    <row r="1095" spans="1:16" ht="15" hidden="1" customHeight="1">
      <c r="A1095" s="43">
        <v>1089</v>
      </c>
      <c r="B1095" s="44" t="s">
        <v>22</v>
      </c>
      <c r="C1095" s="44" t="s">
        <v>337</v>
      </c>
      <c r="D1095" s="44" t="s">
        <v>355</v>
      </c>
      <c r="E1095" s="44"/>
      <c r="F1095" s="45" t="s">
        <v>19</v>
      </c>
      <c r="G1095" s="46">
        <v>6238</v>
      </c>
      <c r="H1095" s="46">
        <v>1255</v>
      </c>
      <c r="I1095" s="46">
        <v>105</v>
      </c>
      <c r="J1095" s="47">
        <v>83.251034298678803</v>
      </c>
      <c r="K1095" s="47"/>
      <c r="L1095" s="48">
        <v>7519</v>
      </c>
      <c r="M1095" s="48">
        <v>2183</v>
      </c>
      <c r="N1095" s="48">
        <v>150</v>
      </c>
      <c r="O1095" s="47">
        <v>77.499484642341798</v>
      </c>
      <c r="P1095" s="49"/>
    </row>
    <row r="1096" spans="1:16" ht="15" customHeight="1">
      <c r="A1096" s="50">
        <v>1090</v>
      </c>
      <c r="B1096" s="51" t="s">
        <v>24</v>
      </c>
      <c r="C1096" s="58" t="s">
        <v>337</v>
      </c>
      <c r="D1096" s="58" t="s">
        <v>355</v>
      </c>
      <c r="E1096" s="58" t="s">
        <v>356</v>
      </c>
      <c r="F1096" s="59" t="s">
        <v>356</v>
      </c>
      <c r="G1096" s="52">
        <v>3256</v>
      </c>
      <c r="H1096" s="52">
        <v>589</v>
      </c>
      <c r="I1096" s="52">
        <v>38</v>
      </c>
      <c r="J1096" s="53">
        <v>84.681404421326405</v>
      </c>
      <c r="K1096" s="53">
        <f>G1096+H1096+I1096</f>
        <v>3883</v>
      </c>
      <c r="L1096" s="54">
        <v>3614</v>
      </c>
      <c r="M1096" s="54">
        <v>1173</v>
      </c>
      <c r="N1096" s="54">
        <v>71</v>
      </c>
      <c r="O1096" s="53">
        <v>75.496135366617906</v>
      </c>
      <c r="P1096" s="55">
        <f>L1096+M1096+N1096</f>
        <v>4858</v>
      </c>
    </row>
    <row r="1097" spans="1:16" ht="15" hidden="1" customHeight="1">
      <c r="A1097" s="43">
        <v>1091</v>
      </c>
      <c r="B1097" s="44" t="s">
        <v>24</v>
      </c>
      <c r="C1097" s="44" t="s">
        <v>337</v>
      </c>
      <c r="D1097" s="44" t="s">
        <v>355</v>
      </c>
      <c r="E1097" s="44" t="s">
        <v>356</v>
      </c>
      <c r="F1097" s="45" t="s">
        <v>18</v>
      </c>
      <c r="G1097" s="46">
        <v>1250</v>
      </c>
      <c r="H1097" s="46">
        <v>185</v>
      </c>
      <c r="I1097" s="46">
        <v>13</v>
      </c>
      <c r="J1097" s="47">
        <v>87.108013937282195</v>
      </c>
      <c r="K1097" s="47"/>
      <c r="L1097" s="48">
        <v>1090</v>
      </c>
      <c r="M1097" s="48">
        <v>73</v>
      </c>
      <c r="N1097" s="48">
        <v>12</v>
      </c>
      <c r="O1097" s="47">
        <v>93.723129836629397</v>
      </c>
      <c r="P1097" s="49"/>
    </row>
    <row r="1098" spans="1:16" ht="15" hidden="1" customHeight="1">
      <c r="A1098" s="43">
        <v>1092</v>
      </c>
      <c r="B1098" s="44" t="s">
        <v>24</v>
      </c>
      <c r="C1098" s="44" t="s">
        <v>337</v>
      </c>
      <c r="D1098" s="44" t="s">
        <v>355</v>
      </c>
      <c r="E1098" s="44" t="s">
        <v>356</v>
      </c>
      <c r="F1098" s="45" t="s">
        <v>19</v>
      </c>
      <c r="G1098" s="46">
        <v>2006</v>
      </c>
      <c r="H1098" s="46">
        <v>404</v>
      </c>
      <c r="I1098" s="46">
        <v>25</v>
      </c>
      <c r="J1098" s="47">
        <v>83.236514522821594</v>
      </c>
      <c r="K1098" s="47"/>
      <c r="L1098" s="48">
        <v>2524</v>
      </c>
      <c r="M1098" s="48">
        <v>1100</v>
      </c>
      <c r="N1098" s="48">
        <v>59</v>
      </c>
      <c r="O1098" s="47">
        <v>69.646799116997798</v>
      </c>
      <c r="P1098" s="49"/>
    </row>
    <row r="1099" spans="1:16" ht="15" customHeight="1">
      <c r="A1099" s="50">
        <v>1093</v>
      </c>
      <c r="B1099" s="51" t="s">
        <v>24</v>
      </c>
      <c r="C1099" s="58" t="s">
        <v>337</v>
      </c>
      <c r="D1099" s="58" t="s">
        <v>355</v>
      </c>
      <c r="E1099" s="58" t="s">
        <v>357</v>
      </c>
      <c r="F1099" s="59" t="s">
        <v>357</v>
      </c>
      <c r="G1099" s="52">
        <v>4753</v>
      </c>
      <c r="H1099" s="52">
        <v>1108</v>
      </c>
      <c r="I1099" s="52">
        <v>87</v>
      </c>
      <c r="J1099" s="53">
        <v>81.095376215662895</v>
      </c>
      <c r="K1099" s="53">
        <f>G1099+H1099+I1099</f>
        <v>5948</v>
      </c>
      <c r="L1099" s="54">
        <v>6130</v>
      </c>
      <c r="M1099" s="54">
        <v>1040</v>
      </c>
      <c r="N1099" s="54">
        <v>105</v>
      </c>
      <c r="O1099" s="53">
        <v>85.495118549511801</v>
      </c>
      <c r="P1099" s="55">
        <f>L1099+M1099+N1099</f>
        <v>7275</v>
      </c>
    </row>
    <row r="1100" spans="1:16" ht="15" hidden="1" customHeight="1">
      <c r="A1100" s="43">
        <v>1094</v>
      </c>
      <c r="B1100" s="44" t="s">
        <v>24</v>
      </c>
      <c r="C1100" s="44" t="s">
        <v>337</v>
      </c>
      <c r="D1100" s="44" t="s">
        <v>355</v>
      </c>
      <c r="E1100" s="44" t="s">
        <v>357</v>
      </c>
      <c r="F1100" s="45" t="s">
        <v>18</v>
      </c>
      <c r="G1100" s="46">
        <v>917</v>
      </c>
      <c r="H1100" s="46">
        <v>315</v>
      </c>
      <c r="I1100" s="46">
        <v>12</v>
      </c>
      <c r="J1100" s="47">
        <v>74.431818181818201</v>
      </c>
      <c r="K1100" s="47"/>
      <c r="L1100" s="48">
        <v>1649</v>
      </c>
      <c r="M1100" s="48">
        <v>87</v>
      </c>
      <c r="N1100" s="48">
        <v>16</v>
      </c>
      <c r="O1100" s="47">
        <v>94.988479262672797</v>
      </c>
      <c r="P1100" s="49"/>
    </row>
    <row r="1101" spans="1:16" ht="15" hidden="1" customHeight="1">
      <c r="A1101" s="43">
        <v>1095</v>
      </c>
      <c r="B1101" s="44" t="s">
        <v>24</v>
      </c>
      <c r="C1101" s="44" t="s">
        <v>337</v>
      </c>
      <c r="D1101" s="44" t="s">
        <v>355</v>
      </c>
      <c r="E1101" s="44" t="s">
        <v>357</v>
      </c>
      <c r="F1101" s="45" t="s">
        <v>19</v>
      </c>
      <c r="G1101" s="46">
        <v>3836</v>
      </c>
      <c r="H1101" s="46">
        <v>793</v>
      </c>
      <c r="I1101" s="46">
        <v>75</v>
      </c>
      <c r="J1101" s="47">
        <v>82.868870166342603</v>
      </c>
      <c r="K1101" s="47"/>
      <c r="L1101" s="48">
        <v>4481</v>
      </c>
      <c r="M1101" s="48">
        <v>953</v>
      </c>
      <c r="N1101" s="48">
        <v>89</v>
      </c>
      <c r="O1101" s="47">
        <v>82.462274567537705</v>
      </c>
      <c r="P1101" s="49"/>
    </row>
    <row r="1102" spans="1:16" ht="15" customHeight="1">
      <c r="A1102" s="50">
        <v>1096</v>
      </c>
      <c r="B1102" s="51" t="s">
        <v>24</v>
      </c>
      <c r="C1102" s="58" t="s">
        <v>337</v>
      </c>
      <c r="D1102" s="58" t="s">
        <v>355</v>
      </c>
      <c r="E1102" s="58" t="s">
        <v>358</v>
      </c>
      <c r="F1102" s="59" t="s">
        <v>358</v>
      </c>
      <c r="G1102" s="52">
        <v>1358</v>
      </c>
      <c r="H1102" s="52">
        <v>170</v>
      </c>
      <c r="I1102" s="52">
        <v>11</v>
      </c>
      <c r="J1102" s="53">
        <v>88.874345549738194</v>
      </c>
      <c r="K1102" s="53">
        <f>G1102+H1102+I1102</f>
        <v>1539</v>
      </c>
      <c r="L1102" s="54">
        <v>1471</v>
      </c>
      <c r="M1102" s="54">
        <v>165</v>
      </c>
      <c r="N1102" s="54">
        <v>9</v>
      </c>
      <c r="O1102" s="53">
        <v>89.914425427872899</v>
      </c>
      <c r="P1102" s="55">
        <f>L1102+M1102+N1102</f>
        <v>1645</v>
      </c>
    </row>
    <row r="1103" spans="1:16" ht="15" hidden="1" customHeight="1">
      <c r="A1103" s="43">
        <v>1097</v>
      </c>
      <c r="B1103" s="44" t="s">
        <v>24</v>
      </c>
      <c r="C1103" s="44" t="s">
        <v>337</v>
      </c>
      <c r="D1103" s="44" t="s">
        <v>355</v>
      </c>
      <c r="E1103" s="44" t="s">
        <v>358</v>
      </c>
      <c r="F1103" s="45" t="s">
        <v>18</v>
      </c>
      <c r="G1103" s="46">
        <v>962</v>
      </c>
      <c r="H1103" s="46">
        <v>112</v>
      </c>
      <c r="I1103" s="46">
        <v>6</v>
      </c>
      <c r="J1103" s="47">
        <v>89.571694599627605</v>
      </c>
      <c r="K1103" s="47"/>
      <c r="L1103" s="48">
        <v>957</v>
      </c>
      <c r="M1103" s="48">
        <v>35</v>
      </c>
      <c r="N1103" s="48">
        <v>7</v>
      </c>
      <c r="O1103" s="47">
        <v>96.471774193548399</v>
      </c>
      <c r="P1103" s="49"/>
    </row>
    <row r="1104" spans="1:16" ht="15" hidden="1" customHeight="1">
      <c r="A1104" s="43">
        <v>1098</v>
      </c>
      <c r="B1104" s="44" t="s">
        <v>24</v>
      </c>
      <c r="C1104" s="44" t="s">
        <v>337</v>
      </c>
      <c r="D1104" s="44" t="s">
        <v>355</v>
      </c>
      <c r="E1104" s="44" t="s">
        <v>358</v>
      </c>
      <c r="F1104" s="45" t="s">
        <v>19</v>
      </c>
      <c r="G1104" s="46">
        <v>396</v>
      </c>
      <c r="H1104" s="46">
        <v>58</v>
      </c>
      <c r="I1104" s="46">
        <v>5</v>
      </c>
      <c r="J1104" s="47">
        <v>87.224669603524205</v>
      </c>
      <c r="K1104" s="47"/>
      <c r="L1104" s="48">
        <v>514</v>
      </c>
      <c r="M1104" s="48">
        <v>130</v>
      </c>
      <c r="N1104" s="48">
        <v>2</v>
      </c>
      <c r="O1104" s="47">
        <v>79.813664596273298</v>
      </c>
      <c r="P1104" s="49"/>
    </row>
    <row r="1105" spans="1:16" ht="15" hidden="1" customHeight="1">
      <c r="A1105" s="37">
        <v>1099</v>
      </c>
      <c r="B1105" s="38" t="s">
        <v>22</v>
      </c>
      <c r="C1105" s="57" t="s">
        <v>337</v>
      </c>
      <c r="D1105" s="57" t="s">
        <v>359</v>
      </c>
      <c r="E1105" s="57"/>
      <c r="F1105" s="38" t="s">
        <v>359</v>
      </c>
      <c r="G1105" s="39">
        <v>4412</v>
      </c>
      <c r="H1105" s="39">
        <v>777</v>
      </c>
      <c r="I1105" s="39">
        <v>78</v>
      </c>
      <c r="J1105" s="40">
        <v>85.026016573520906</v>
      </c>
      <c r="K1105" s="40"/>
      <c r="L1105" s="41">
        <v>3396</v>
      </c>
      <c r="M1105" s="41">
        <v>154</v>
      </c>
      <c r="N1105" s="41">
        <v>30</v>
      </c>
      <c r="O1105" s="40">
        <v>95.661971830985905</v>
      </c>
      <c r="P1105" s="42"/>
    </row>
    <row r="1106" spans="1:16" ht="15" hidden="1" customHeight="1">
      <c r="A1106" s="43">
        <v>1100</v>
      </c>
      <c r="B1106" s="44" t="s">
        <v>22</v>
      </c>
      <c r="C1106" s="44" t="s">
        <v>337</v>
      </c>
      <c r="D1106" s="44" t="s">
        <v>359</v>
      </c>
      <c r="E1106" s="44"/>
      <c r="F1106" s="45" t="s">
        <v>18</v>
      </c>
      <c r="G1106" s="46">
        <v>2523</v>
      </c>
      <c r="H1106" s="46">
        <v>344</v>
      </c>
      <c r="I1106" s="46">
        <v>45</v>
      </c>
      <c r="J1106" s="47">
        <v>88.001395186606203</v>
      </c>
      <c r="K1106" s="47"/>
      <c r="L1106" s="48">
        <v>2051</v>
      </c>
      <c r="M1106" s="48">
        <v>77</v>
      </c>
      <c r="N1106" s="48">
        <v>20</v>
      </c>
      <c r="O1106" s="47">
        <v>96.381578947368396</v>
      </c>
      <c r="P1106" s="49"/>
    </row>
    <row r="1107" spans="1:16" ht="15" hidden="1" customHeight="1">
      <c r="A1107" s="43">
        <v>1101</v>
      </c>
      <c r="B1107" s="44" t="s">
        <v>22</v>
      </c>
      <c r="C1107" s="44" t="s">
        <v>337</v>
      </c>
      <c r="D1107" s="44" t="s">
        <v>359</v>
      </c>
      <c r="E1107" s="44"/>
      <c r="F1107" s="45" t="s">
        <v>19</v>
      </c>
      <c r="G1107" s="46">
        <v>1889</v>
      </c>
      <c r="H1107" s="46">
        <v>433</v>
      </c>
      <c r="I1107" s="46">
        <v>33</v>
      </c>
      <c r="J1107" s="47">
        <v>81.352282515073199</v>
      </c>
      <c r="K1107" s="47"/>
      <c r="L1107" s="48">
        <v>1345</v>
      </c>
      <c r="M1107" s="48">
        <v>77</v>
      </c>
      <c r="N1107" s="48">
        <v>10</v>
      </c>
      <c r="O1107" s="47">
        <v>94.585091420534496</v>
      </c>
      <c r="P1107" s="49"/>
    </row>
    <row r="1108" spans="1:16" ht="15" customHeight="1">
      <c r="A1108" s="50">
        <v>1102</v>
      </c>
      <c r="B1108" s="51" t="s">
        <v>24</v>
      </c>
      <c r="C1108" s="58" t="s">
        <v>337</v>
      </c>
      <c r="D1108" s="58" t="s">
        <v>359</v>
      </c>
      <c r="E1108" s="58" t="s">
        <v>360</v>
      </c>
      <c r="F1108" s="59" t="s">
        <v>360</v>
      </c>
      <c r="G1108" s="52">
        <v>1813</v>
      </c>
      <c r="H1108" s="52">
        <v>295</v>
      </c>
      <c r="I1108" s="52">
        <v>34</v>
      </c>
      <c r="J1108" s="53">
        <v>86.005692599620502</v>
      </c>
      <c r="K1108" s="53">
        <f>G1108+H1108+I1108</f>
        <v>2142</v>
      </c>
      <c r="L1108" s="54">
        <v>1633</v>
      </c>
      <c r="M1108" s="54">
        <v>73</v>
      </c>
      <c r="N1108" s="54">
        <v>17</v>
      </c>
      <c r="O1108" s="53">
        <v>95.720984759671794</v>
      </c>
      <c r="P1108" s="55">
        <f>L1108+M1108+N1108</f>
        <v>1723</v>
      </c>
    </row>
    <row r="1109" spans="1:16" ht="15" hidden="1" customHeight="1">
      <c r="A1109" s="43">
        <v>1103</v>
      </c>
      <c r="B1109" s="44" t="s">
        <v>24</v>
      </c>
      <c r="C1109" s="44" t="s">
        <v>337</v>
      </c>
      <c r="D1109" s="44" t="s">
        <v>359</v>
      </c>
      <c r="E1109" s="44" t="s">
        <v>360</v>
      </c>
      <c r="F1109" s="45" t="s">
        <v>18</v>
      </c>
      <c r="G1109" s="46">
        <v>1464</v>
      </c>
      <c r="H1109" s="46">
        <v>198</v>
      </c>
      <c r="I1109" s="46">
        <v>30</v>
      </c>
      <c r="J1109" s="47">
        <v>88.086642599277994</v>
      </c>
      <c r="K1109" s="47"/>
      <c r="L1109" s="48">
        <v>1319</v>
      </c>
      <c r="M1109" s="48">
        <v>50</v>
      </c>
      <c r="N1109" s="48">
        <v>12</v>
      </c>
      <c r="O1109" s="47">
        <v>96.3476990504018</v>
      </c>
      <c r="P1109" s="49"/>
    </row>
    <row r="1110" spans="1:16" ht="15" hidden="1" customHeight="1">
      <c r="A1110" s="43">
        <v>1104</v>
      </c>
      <c r="B1110" s="44" t="s">
        <v>24</v>
      </c>
      <c r="C1110" s="44" t="s">
        <v>337</v>
      </c>
      <c r="D1110" s="44" t="s">
        <v>359</v>
      </c>
      <c r="E1110" s="44" t="s">
        <v>360</v>
      </c>
      <c r="F1110" s="45" t="s">
        <v>19</v>
      </c>
      <c r="G1110" s="46">
        <v>349</v>
      </c>
      <c r="H1110" s="46">
        <v>97</v>
      </c>
      <c r="I1110" s="46">
        <v>4</v>
      </c>
      <c r="J1110" s="47">
        <v>78.251121076233204</v>
      </c>
      <c r="K1110" s="47"/>
      <c r="L1110" s="48">
        <v>314</v>
      </c>
      <c r="M1110" s="48">
        <v>23</v>
      </c>
      <c r="N1110" s="48">
        <v>5</v>
      </c>
      <c r="O1110" s="47">
        <v>93.175074183976307</v>
      </c>
      <c r="P1110" s="49"/>
    </row>
    <row r="1111" spans="1:16" ht="15" customHeight="1">
      <c r="A1111" s="50">
        <v>1105</v>
      </c>
      <c r="B1111" s="51" t="s">
        <v>24</v>
      </c>
      <c r="C1111" s="58" t="s">
        <v>337</v>
      </c>
      <c r="D1111" s="58" t="s">
        <v>359</v>
      </c>
      <c r="E1111" s="58" t="s">
        <v>361</v>
      </c>
      <c r="F1111" s="59" t="s">
        <v>361</v>
      </c>
      <c r="G1111" s="52">
        <v>1866</v>
      </c>
      <c r="H1111" s="52">
        <v>410</v>
      </c>
      <c r="I1111" s="52">
        <v>37</v>
      </c>
      <c r="J1111" s="53">
        <v>81.985940246045701</v>
      </c>
      <c r="K1111" s="53">
        <f>G1111+H1111+I1111</f>
        <v>2313</v>
      </c>
      <c r="L1111" s="54">
        <v>1319</v>
      </c>
      <c r="M1111" s="54">
        <v>51</v>
      </c>
      <c r="N1111" s="54">
        <v>6</v>
      </c>
      <c r="O1111" s="53">
        <v>96.277372262773696</v>
      </c>
      <c r="P1111" s="55">
        <f>L1111+M1111+N1111</f>
        <v>1376</v>
      </c>
    </row>
    <row r="1112" spans="1:16" ht="15" hidden="1" customHeight="1">
      <c r="A1112" s="43">
        <v>1106</v>
      </c>
      <c r="B1112" s="44" t="s">
        <v>24</v>
      </c>
      <c r="C1112" s="44" t="s">
        <v>337</v>
      </c>
      <c r="D1112" s="44" t="s">
        <v>359</v>
      </c>
      <c r="E1112" s="44" t="s">
        <v>361</v>
      </c>
      <c r="F1112" s="45" t="s">
        <v>18</v>
      </c>
      <c r="G1112" s="46">
        <v>521</v>
      </c>
      <c r="H1112" s="46">
        <v>106</v>
      </c>
      <c r="I1112" s="46">
        <v>12</v>
      </c>
      <c r="J1112" s="47">
        <v>83.094098883572599</v>
      </c>
      <c r="K1112" s="47"/>
      <c r="L1112" s="48">
        <v>360</v>
      </c>
      <c r="M1112" s="48">
        <v>9</v>
      </c>
      <c r="N1112" s="48">
        <v>2</v>
      </c>
      <c r="O1112" s="47">
        <v>97.560975609756099</v>
      </c>
      <c r="P1112" s="49"/>
    </row>
    <row r="1113" spans="1:16" ht="15" hidden="1" customHeight="1">
      <c r="A1113" s="43">
        <v>1107</v>
      </c>
      <c r="B1113" s="44" t="s">
        <v>24</v>
      </c>
      <c r="C1113" s="44" t="s">
        <v>337</v>
      </c>
      <c r="D1113" s="44" t="s">
        <v>359</v>
      </c>
      <c r="E1113" s="44" t="s">
        <v>361</v>
      </c>
      <c r="F1113" s="45" t="s">
        <v>19</v>
      </c>
      <c r="G1113" s="46">
        <v>1345</v>
      </c>
      <c r="H1113" s="46">
        <v>304</v>
      </c>
      <c r="I1113" s="46">
        <v>25</v>
      </c>
      <c r="J1113" s="47">
        <v>81.564584596725297</v>
      </c>
      <c r="K1113" s="47"/>
      <c r="L1113" s="48">
        <v>959</v>
      </c>
      <c r="M1113" s="48">
        <v>42</v>
      </c>
      <c r="N1113" s="48">
        <v>4</v>
      </c>
      <c r="O1113" s="47">
        <v>95.8041958041958</v>
      </c>
      <c r="P1113" s="49"/>
    </row>
    <row r="1114" spans="1:16" ht="15" customHeight="1">
      <c r="A1114" s="50">
        <v>1108</v>
      </c>
      <c r="B1114" s="51" t="s">
        <v>24</v>
      </c>
      <c r="C1114" s="58" t="s">
        <v>337</v>
      </c>
      <c r="D1114" s="58" t="s">
        <v>359</v>
      </c>
      <c r="E1114" s="58" t="s">
        <v>362</v>
      </c>
      <c r="F1114" s="59" t="s">
        <v>362</v>
      </c>
      <c r="G1114" s="52">
        <v>733</v>
      </c>
      <c r="H1114" s="52">
        <v>72</v>
      </c>
      <c r="I1114" s="52">
        <v>7</v>
      </c>
      <c r="J1114" s="53">
        <v>91.055900621117999</v>
      </c>
      <c r="K1114" s="53">
        <f>G1114+H1114+I1114</f>
        <v>812</v>
      </c>
      <c r="L1114" s="54">
        <v>444</v>
      </c>
      <c r="M1114" s="54">
        <v>30</v>
      </c>
      <c r="N1114" s="54">
        <v>7</v>
      </c>
      <c r="O1114" s="53">
        <v>93.670886075949397</v>
      </c>
      <c r="P1114" s="55">
        <f>L1114+M1114+N1114</f>
        <v>481</v>
      </c>
    </row>
    <row r="1115" spans="1:16" ht="15" hidden="1" customHeight="1">
      <c r="A1115" s="43">
        <v>1109</v>
      </c>
      <c r="B1115" s="44" t="s">
        <v>24</v>
      </c>
      <c r="C1115" s="44" t="s">
        <v>337</v>
      </c>
      <c r="D1115" s="44" t="s">
        <v>359</v>
      </c>
      <c r="E1115" s="44" t="s">
        <v>362</v>
      </c>
      <c r="F1115" s="45" t="s">
        <v>18</v>
      </c>
      <c r="G1115" s="46">
        <v>538</v>
      </c>
      <c r="H1115" s="46">
        <v>40</v>
      </c>
      <c r="I1115" s="46">
        <v>3</v>
      </c>
      <c r="J1115" s="47">
        <v>93.079584775086502</v>
      </c>
      <c r="K1115" s="47"/>
      <c r="L1115" s="48">
        <v>372</v>
      </c>
      <c r="M1115" s="48">
        <v>18</v>
      </c>
      <c r="N1115" s="48">
        <v>6</v>
      </c>
      <c r="O1115" s="47">
        <v>95.384615384615401</v>
      </c>
      <c r="P1115" s="49"/>
    </row>
    <row r="1116" spans="1:16" ht="15" hidden="1" customHeight="1">
      <c r="A1116" s="43">
        <v>1110</v>
      </c>
      <c r="B1116" s="44" t="s">
        <v>24</v>
      </c>
      <c r="C1116" s="44" t="s">
        <v>337</v>
      </c>
      <c r="D1116" s="44" t="s">
        <v>359</v>
      </c>
      <c r="E1116" s="44" t="s">
        <v>362</v>
      </c>
      <c r="F1116" s="45" t="s">
        <v>19</v>
      </c>
      <c r="G1116" s="46">
        <v>195</v>
      </c>
      <c r="H1116" s="46">
        <v>32</v>
      </c>
      <c r="I1116" s="46">
        <v>4</v>
      </c>
      <c r="J1116" s="47">
        <v>85.903083700440504</v>
      </c>
      <c r="K1116" s="47"/>
      <c r="L1116" s="48">
        <v>72</v>
      </c>
      <c r="M1116" s="48">
        <v>12</v>
      </c>
      <c r="N1116" s="48">
        <v>1</v>
      </c>
      <c r="O1116" s="47">
        <v>85.714285714285694</v>
      </c>
      <c r="P1116" s="49"/>
    </row>
    <row r="1117" spans="1:16" ht="15" hidden="1" customHeight="1">
      <c r="A1117" s="37">
        <v>1111</v>
      </c>
      <c r="B1117" s="38" t="s">
        <v>22</v>
      </c>
      <c r="C1117" s="57" t="s">
        <v>337</v>
      </c>
      <c r="D1117" s="57" t="s">
        <v>363</v>
      </c>
      <c r="E1117" s="57"/>
      <c r="F1117" s="38" t="s">
        <v>363</v>
      </c>
      <c r="G1117" s="39">
        <v>12227</v>
      </c>
      <c r="H1117" s="39">
        <v>2883</v>
      </c>
      <c r="I1117" s="39">
        <v>214</v>
      </c>
      <c r="J1117" s="40">
        <v>80.919920582395804</v>
      </c>
      <c r="K1117" s="40"/>
      <c r="L1117" s="41">
        <v>11814</v>
      </c>
      <c r="M1117" s="41">
        <v>1198</v>
      </c>
      <c r="N1117" s="41">
        <v>236</v>
      </c>
      <c r="O1117" s="40">
        <v>90.793114048570601</v>
      </c>
      <c r="P1117" s="42"/>
    </row>
    <row r="1118" spans="1:16" ht="15" hidden="1" customHeight="1">
      <c r="A1118" s="43">
        <v>1112</v>
      </c>
      <c r="B1118" s="44" t="s">
        <v>22</v>
      </c>
      <c r="C1118" s="44" t="s">
        <v>337</v>
      </c>
      <c r="D1118" s="44" t="s">
        <v>363</v>
      </c>
      <c r="E1118" s="44"/>
      <c r="F1118" s="45" t="s">
        <v>18</v>
      </c>
      <c r="G1118" s="46">
        <v>3847</v>
      </c>
      <c r="H1118" s="46">
        <v>510</v>
      </c>
      <c r="I1118" s="46">
        <v>41</v>
      </c>
      <c r="J1118" s="47">
        <v>88.294698186825798</v>
      </c>
      <c r="K1118" s="47"/>
      <c r="L1118" s="48">
        <v>3303</v>
      </c>
      <c r="M1118" s="48">
        <v>94</v>
      </c>
      <c r="N1118" s="48">
        <v>16</v>
      </c>
      <c r="O1118" s="47">
        <v>97.232852516926698</v>
      </c>
      <c r="P1118" s="49"/>
    </row>
    <row r="1119" spans="1:16" ht="15" hidden="1" customHeight="1">
      <c r="A1119" s="43">
        <v>1113</v>
      </c>
      <c r="B1119" s="44" t="s">
        <v>22</v>
      </c>
      <c r="C1119" s="44" t="s">
        <v>337</v>
      </c>
      <c r="D1119" s="44" t="s">
        <v>363</v>
      </c>
      <c r="E1119" s="44"/>
      <c r="F1119" s="45" t="s">
        <v>19</v>
      </c>
      <c r="G1119" s="46">
        <v>8380</v>
      </c>
      <c r="H1119" s="46">
        <v>2373</v>
      </c>
      <c r="I1119" s="46">
        <v>173</v>
      </c>
      <c r="J1119" s="47">
        <v>77.931739979540595</v>
      </c>
      <c r="K1119" s="47"/>
      <c r="L1119" s="48">
        <v>8511</v>
      </c>
      <c r="M1119" s="48">
        <v>1104</v>
      </c>
      <c r="N1119" s="48">
        <v>220</v>
      </c>
      <c r="O1119" s="47">
        <v>88.517940717628704</v>
      </c>
      <c r="P1119" s="49"/>
    </row>
    <row r="1120" spans="1:16" ht="15" customHeight="1">
      <c r="A1120" s="50">
        <v>1114</v>
      </c>
      <c r="B1120" s="51" t="s">
        <v>24</v>
      </c>
      <c r="C1120" s="58" t="s">
        <v>337</v>
      </c>
      <c r="D1120" s="58" t="s">
        <v>363</v>
      </c>
      <c r="E1120" s="58" t="s">
        <v>364</v>
      </c>
      <c r="F1120" s="59" t="s">
        <v>364</v>
      </c>
      <c r="G1120" s="52">
        <v>483</v>
      </c>
      <c r="H1120" s="52">
        <v>148</v>
      </c>
      <c r="I1120" s="52">
        <v>9</v>
      </c>
      <c r="J1120" s="53">
        <v>76.545166402535699</v>
      </c>
      <c r="K1120" s="53">
        <f>G1120+H1120+I1120</f>
        <v>640</v>
      </c>
      <c r="L1120" s="54">
        <v>543</v>
      </c>
      <c r="M1120" s="54">
        <v>17</v>
      </c>
      <c r="N1120" s="54">
        <v>7</v>
      </c>
      <c r="O1120" s="53">
        <v>96.964285714285694</v>
      </c>
      <c r="P1120" s="55">
        <f>L1120+M1120+N1120</f>
        <v>567</v>
      </c>
    </row>
    <row r="1121" spans="1:16" ht="15" hidden="1" customHeight="1">
      <c r="A1121" s="43">
        <v>1115</v>
      </c>
      <c r="B1121" s="44" t="s">
        <v>24</v>
      </c>
      <c r="C1121" s="44" t="s">
        <v>337</v>
      </c>
      <c r="D1121" s="44" t="s">
        <v>363</v>
      </c>
      <c r="E1121" s="44" t="s">
        <v>364</v>
      </c>
      <c r="F1121" s="45" t="s">
        <v>18</v>
      </c>
      <c r="G1121" s="46"/>
      <c r="H1121" s="46"/>
      <c r="I1121" s="46"/>
      <c r="J1121" s="47"/>
      <c r="K1121" s="47"/>
      <c r="L1121" s="48"/>
      <c r="M1121" s="48"/>
      <c r="N1121" s="48"/>
      <c r="O1121" s="47"/>
      <c r="P1121" s="49"/>
    </row>
    <row r="1122" spans="1:16" ht="15" hidden="1" customHeight="1">
      <c r="A1122" s="43">
        <v>1116</v>
      </c>
      <c r="B1122" s="44" t="s">
        <v>24</v>
      </c>
      <c r="C1122" s="44" t="s">
        <v>337</v>
      </c>
      <c r="D1122" s="44" t="s">
        <v>363</v>
      </c>
      <c r="E1122" s="44" t="s">
        <v>364</v>
      </c>
      <c r="F1122" s="45" t="s">
        <v>19</v>
      </c>
      <c r="G1122" s="46">
        <v>483</v>
      </c>
      <c r="H1122" s="46">
        <v>148</v>
      </c>
      <c r="I1122" s="46">
        <v>9</v>
      </c>
      <c r="J1122" s="47">
        <v>76.545166402535699</v>
      </c>
      <c r="K1122" s="47"/>
      <c r="L1122" s="48">
        <v>543</v>
      </c>
      <c r="M1122" s="48">
        <v>17</v>
      </c>
      <c r="N1122" s="48">
        <v>7</v>
      </c>
      <c r="O1122" s="47">
        <v>96.964285714285694</v>
      </c>
      <c r="P1122" s="49"/>
    </row>
    <row r="1123" spans="1:16" ht="15" customHeight="1">
      <c r="A1123" s="50">
        <v>1117</v>
      </c>
      <c r="B1123" s="51" t="s">
        <v>24</v>
      </c>
      <c r="C1123" s="58" t="s">
        <v>337</v>
      </c>
      <c r="D1123" s="58" t="s">
        <v>363</v>
      </c>
      <c r="E1123" s="58" t="s">
        <v>365</v>
      </c>
      <c r="F1123" s="59" t="s">
        <v>365</v>
      </c>
      <c r="G1123" s="52">
        <v>3550</v>
      </c>
      <c r="H1123" s="52">
        <v>1130</v>
      </c>
      <c r="I1123" s="52">
        <v>82</v>
      </c>
      <c r="J1123" s="53">
        <v>75.854700854700894</v>
      </c>
      <c r="K1123" s="53">
        <f>G1123+H1123+I1123</f>
        <v>4762</v>
      </c>
      <c r="L1123" s="54">
        <v>3719</v>
      </c>
      <c r="M1123" s="54">
        <v>509</v>
      </c>
      <c r="N1123" s="54">
        <v>113</v>
      </c>
      <c r="O1123" s="53">
        <v>87.961210974455994</v>
      </c>
      <c r="P1123" s="55">
        <f>L1123+M1123+N1123</f>
        <v>4341</v>
      </c>
    </row>
    <row r="1124" spans="1:16" ht="15" hidden="1" customHeight="1">
      <c r="A1124" s="43">
        <v>1118</v>
      </c>
      <c r="B1124" s="44" t="s">
        <v>24</v>
      </c>
      <c r="C1124" s="44" t="s">
        <v>337</v>
      </c>
      <c r="D1124" s="44" t="s">
        <v>363</v>
      </c>
      <c r="E1124" s="44" t="s">
        <v>365</v>
      </c>
      <c r="F1124" s="45" t="s">
        <v>18</v>
      </c>
      <c r="G1124" s="46">
        <v>381</v>
      </c>
      <c r="H1124" s="46">
        <v>55</v>
      </c>
      <c r="I1124" s="46">
        <v>6</v>
      </c>
      <c r="J1124" s="47">
        <v>87.385321100917395</v>
      </c>
      <c r="K1124" s="47"/>
      <c r="L1124" s="48">
        <v>472</v>
      </c>
      <c r="M1124" s="48">
        <v>24</v>
      </c>
      <c r="N1124" s="48">
        <v>1</v>
      </c>
      <c r="O1124" s="47">
        <v>95.161290322580697</v>
      </c>
      <c r="P1124" s="49"/>
    </row>
    <row r="1125" spans="1:16" ht="15" hidden="1" customHeight="1">
      <c r="A1125" s="43">
        <v>1119</v>
      </c>
      <c r="B1125" s="44" t="s">
        <v>24</v>
      </c>
      <c r="C1125" s="44" t="s">
        <v>337</v>
      </c>
      <c r="D1125" s="44" t="s">
        <v>363</v>
      </c>
      <c r="E1125" s="44" t="s">
        <v>365</v>
      </c>
      <c r="F1125" s="45" t="s">
        <v>19</v>
      </c>
      <c r="G1125" s="46">
        <v>3169</v>
      </c>
      <c r="H1125" s="46">
        <v>1075</v>
      </c>
      <c r="I1125" s="46">
        <v>76</v>
      </c>
      <c r="J1125" s="47">
        <v>74.670122525918899</v>
      </c>
      <c r="K1125" s="47"/>
      <c r="L1125" s="48">
        <v>3247</v>
      </c>
      <c r="M1125" s="48">
        <v>485</v>
      </c>
      <c r="N1125" s="48">
        <v>112</v>
      </c>
      <c r="O1125" s="47">
        <v>87.0042872454448</v>
      </c>
      <c r="P1125" s="49"/>
    </row>
    <row r="1126" spans="1:16" ht="15" customHeight="1">
      <c r="A1126" s="50">
        <v>1120</v>
      </c>
      <c r="B1126" s="51" t="s">
        <v>24</v>
      </c>
      <c r="C1126" s="58" t="s">
        <v>337</v>
      </c>
      <c r="D1126" s="58" t="s">
        <v>363</v>
      </c>
      <c r="E1126" s="58" t="s">
        <v>366</v>
      </c>
      <c r="F1126" s="59" t="s">
        <v>366</v>
      </c>
      <c r="G1126" s="52">
        <v>2877</v>
      </c>
      <c r="H1126" s="52">
        <v>698</v>
      </c>
      <c r="I1126" s="52">
        <v>54</v>
      </c>
      <c r="J1126" s="53">
        <v>80.475524475524495</v>
      </c>
      <c r="K1126" s="53">
        <f>G1126+H1126+I1126</f>
        <v>3629</v>
      </c>
      <c r="L1126" s="54">
        <v>3059</v>
      </c>
      <c r="M1126" s="54">
        <v>436</v>
      </c>
      <c r="N1126" s="54">
        <v>51</v>
      </c>
      <c r="O1126" s="53">
        <v>87.525035765379101</v>
      </c>
      <c r="P1126" s="55">
        <f>L1126+M1126+N1126</f>
        <v>3546</v>
      </c>
    </row>
    <row r="1127" spans="1:16" ht="15" hidden="1" customHeight="1">
      <c r="A1127" s="43">
        <v>1121</v>
      </c>
      <c r="B1127" s="44" t="s">
        <v>24</v>
      </c>
      <c r="C1127" s="44" t="s">
        <v>337</v>
      </c>
      <c r="D1127" s="44" t="s">
        <v>363</v>
      </c>
      <c r="E1127" s="44" t="s">
        <v>366</v>
      </c>
      <c r="F1127" s="45" t="s">
        <v>18</v>
      </c>
      <c r="G1127" s="46">
        <v>417</v>
      </c>
      <c r="H1127" s="46">
        <v>133</v>
      </c>
      <c r="I1127" s="46">
        <v>5</v>
      </c>
      <c r="J1127" s="47">
        <v>75.818181818181799</v>
      </c>
      <c r="K1127" s="47"/>
      <c r="L1127" s="48">
        <v>737</v>
      </c>
      <c r="M1127" s="48">
        <v>35</v>
      </c>
      <c r="N1127" s="48">
        <v>4</v>
      </c>
      <c r="O1127" s="47">
        <v>95.466321243523296</v>
      </c>
      <c r="P1127" s="49"/>
    </row>
    <row r="1128" spans="1:16" ht="15" hidden="1" customHeight="1">
      <c r="A1128" s="43">
        <v>1122</v>
      </c>
      <c r="B1128" s="44" t="s">
        <v>24</v>
      </c>
      <c r="C1128" s="44" t="s">
        <v>337</v>
      </c>
      <c r="D1128" s="44" t="s">
        <v>363</v>
      </c>
      <c r="E1128" s="44" t="s">
        <v>366</v>
      </c>
      <c r="F1128" s="45" t="s">
        <v>19</v>
      </c>
      <c r="G1128" s="46">
        <v>2460</v>
      </c>
      <c r="H1128" s="46">
        <v>565</v>
      </c>
      <c r="I1128" s="46">
        <v>49</v>
      </c>
      <c r="J1128" s="47">
        <v>81.322314049586794</v>
      </c>
      <c r="K1128" s="47"/>
      <c r="L1128" s="48">
        <v>2322</v>
      </c>
      <c r="M1128" s="48">
        <v>401</v>
      </c>
      <c r="N1128" s="48">
        <v>47</v>
      </c>
      <c r="O1128" s="47">
        <v>85.273595299302201</v>
      </c>
      <c r="P1128" s="49"/>
    </row>
    <row r="1129" spans="1:16" ht="15" customHeight="1">
      <c r="A1129" s="50">
        <v>1123</v>
      </c>
      <c r="B1129" s="51" t="s">
        <v>24</v>
      </c>
      <c r="C1129" s="58" t="s">
        <v>337</v>
      </c>
      <c r="D1129" s="58" t="s">
        <v>363</v>
      </c>
      <c r="E1129" s="58" t="s">
        <v>367</v>
      </c>
      <c r="F1129" s="59" t="s">
        <v>367</v>
      </c>
      <c r="G1129" s="52">
        <v>530</v>
      </c>
      <c r="H1129" s="52">
        <v>97</v>
      </c>
      <c r="I1129" s="52">
        <v>14</v>
      </c>
      <c r="J1129" s="53">
        <v>84.529505582137205</v>
      </c>
      <c r="K1129" s="53">
        <f>G1129+H1129+I1129</f>
        <v>641</v>
      </c>
      <c r="L1129" s="54">
        <v>362</v>
      </c>
      <c r="M1129" s="54">
        <v>7</v>
      </c>
      <c r="N1129" s="54">
        <v>10</v>
      </c>
      <c r="O1129" s="53">
        <v>98.102981029810294</v>
      </c>
      <c r="P1129" s="55">
        <f>L1129+M1129+N1129</f>
        <v>379</v>
      </c>
    </row>
    <row r="1130" spans="1:16" ht="15" hidden="1" customHeight="1">
      <c r="A1130" s="43">
        <v>1124</v>
      </c>
      <c r="B1130" s="44" t="s">
        <v>24</v>
      </c>
      <c r="C1130" s="44" t="s">
        <v>337</v>
      </c>
      <c r="D1130" s="44" t="s">
        <v>363</v>
      </c>
      <c r="E1130" s="44" t="s">
        <v>367</v>
      </c>
      <c r="F1130" s="45" t="s">
        <v>18</v>
      </c>
      <c r="G1130" s="46">
        <v>275</v>
      </c>
      <c r="H1130" s="46">
        <v>33</v>
      </c>
      <c r="I1130" s="46">
        <v>6</v>
      </c>
      <c r="J1130" s="47">
        <v>89.285714285714306</v>
      </c>
      <c r="K1130" s="47"/>
      <c r="L1130" s="48">
        <v>178</v>
      </c>
      <c r="M1130" s="48">
        <v>2</v>
      </c>
      <c r="N1130" s="48">
        <v>0</v>
      </c>
      <c r="O1130" s="47">
        <v>98.8888888888889</v>
      </c>
      <c r="P1130" s="49"/>
    </row>
    <row r="1131" spans="1:16" ht="15" hidden="1" customHeight="1">
      <c r="A1131" s="43">
        <v>1125</v>
      </c>
      <c r="B1131" s="44" t="s">
        <v>24</v>
      </c>
      <c r="C1131" s="44" t="s">
        <v>337</v>
      </c>
      <c r="D1131" s="44" t="s">
        <v>363</v>
      </c>
      <c r="E1131" s="44" t="s">
        <v>367</v>
      </c>
      <c r="F1131" s="45" t="s">
        <v>19</v>
      </c>
      <c r="G1131" s="46">
        <v>255</v>
      </c>
      <c r="H1131" s="46">
        <v>64</v>
      </c>
      <c r="I1131" s="46">
        <v>8</v>
      </c>
      <c r="J1131" s="47">
        <v>79.937304075235105</v>
      </c>
      <c r="K1131" s="47"/>
      <c r="L1131" s="48">
        <v>184</v>
      </c>
      <c r="M1131" s="48">
        <v>5</v>
      </c>
      <c r="N1131" s="48">
        <v>10</v>
      </c>
      <c r="O1131" s="47">
        <v>97.354497354497397</v>
      </c>
      <c r="P1131" s="49"/>
    </row>
    <row r="1132" spans="1:16" ht="15" customHeight="1">
      <c r="A1132" s="50">
        <v>1126</v>
      </c>
      <c r="B1132" s="51" t="s">
        <v>24</v>
      </c>
      <c r="C1132" s="58" t="s">
        <v>337</v>
      </c>
      <c r="D1132" s="58" t="s">
        <v>363</v>
      </c>
      <c r="E1132" s="58" t="s">
        <v>368</v>
      </c>
      <c r="F1132" s="59" t="s">
        <v>368</v>
      </c>
      <c r="G1132" s="52">
        <v>1403</v>
      </c>
      <c r="H1132" s="52">
        <v>309</v>
      </c>
      <c r="I1132" s="52">
        <v>21</v>
      </c>
      <c r="J1132" s="53">
        <v>81.950934579439206</v>
      </c>
      <c r="K1132" s="53">
        <f>G1132+H1132+I1132</f>
        <v>1733</v>
      </c>
      <c r="L1132" s="54">
        <v>1486</v>
      </c>
      <c r="M1132" s="54">
        <v>85</v>
      </c>
      <c r="N1132" s="54">
        <v>31</v>
      </c>
      <c r="O1132" s="53">
        <v>94.589433481858705</v>
      </c>
      <c r="P1132" s="55">
        <f>L1132+M1132+N1132</f>
        <v>1602</v>
      </c>
    </row>
    <row r="1133" spans="1:16" ht="15" hidden="1" customHeight="1">
      <c r="A1133" s="43">
        <v>1127</v>
      </c>
      <c r="B1133" s="44" t="s">
        <v>24</v>
      </c>
      <c r="C1133" s="44" t="s">
        <v>337</v>
      </c>
      <c r="D1133" s="44" t="s">
        <v>363</v>
      </c>
      <c r="E1133" s="44" t="s">
        <v>368</v>
      </c>
      <c r="F1133" s="45" t="s">
        <v>18</v>
      </c>
      <c r="G1133" s="46"/>
      <c r="H1133" s="46"/>
      <c r="I1133" s="46"/>
      <c r="J1133" s="47"/>
      <c r="K1133" s="47"/>
      <c r="L1133" s="48"/>
      <c r="M1133" s="48"/>
      <c r="N1133" s="48"/>
      <c r="O1133" s="47"/>
      <c r="P1133" s="49"/>
    </row>
    <row r="1134" spans="1:16" ht="15" hidden="1" customHeight="1">
      <c r="A1134" s="43">
        <v>1128</v>
      </c>
      <c r="B1134" s="44" t="s">
        <v>24</v>
      </c>
      <c r="C1134" s="44" t="s">
        <v>337</v>
      </c>
      <c r="D1134" s="44" t="s">
        <v>363</v>
      </c>
      <c r="E1134" s="44" t="s">
        <v>368</v>
      </c>
      <c r="F1134" s="45" t="s">
        <v>19</v>
      </c>
      <c r="G1134" s="46">
        <v>1403</v>
      </c>
      <c r="H1134" s="46">
        <v>309</v>
      </c>
      <c r="I1134" s="46">
        <v>21</v>
      </c>
      <c r="J1134" s="47">
        <v>81.950934579439206</v>
      </c>
      <c r="K1134" s="47"/>
      <c r="L1134" s="48">
        <v>1486</v>
      </c>
      <c r="M1134" s="48">
        <v>85</v>
      </c>
      <c r="N1134" s="48">
        <v>31</v>
      </c>
      <c r="O1134" s="47">
        <v>94.589433481858705</v>
      </c>
      <c r="P1134" s="49"/>
    </row>
    <row r="1135" spans="1:16" ht="15" customHeight="1">
      <c r="A1135" s="50">
        <v>1129</v>
      </c>
      <c r="B1135" s="51" t="s">
        <v>24</v>
      </c>
      <c r="C1135" s="58" t="s">
        <v>337</v>
      </c>
      <c r="D1135" s="58" t="s">
        <v>363</v>
      </c>
      <c r="E1135" s="58" t="s">
        <v>369</v>
      </c>
      <c r="F1135" s="59" t="s">
        <v>369</v>
      </c>
      <c r="G1135" s="52">
        <v>2962</v>
      </c>
      <c r="H1135" s="52">
        <v>387</v>
      </c>
      <c r="I1135" s="52">
        <v>31</v>
      </c>
      <c r="J1135" s="53">
        <v>88.444311734846195</v>
      </c>
      <c r="K1135" s="53">
        <f>G1135+H1135+I1135</f>
        <v>3380</v>
      </c>
      <c r="L1135" s="54">
        <v>2171</v>
      </c>
      <c r="M1135" s="54">
        <v>39</v>
      </c>
      <c r="N1135" s="54">
        <v>12</v>
      </c>
      <c r="O1135" s="53">
        <v>98.235294117647101</v>
      </c>
      <c r="P1135" s="55">
        <f>L1135+M1135+N1135</f>
        <v>2222</v>
      </c>
    </row>
    <row r="1136" spans="1:16" ht="15" hidden="1" customHeight="1">
      <c r="A1136" s="43">
        <v>1130</v>
      </c>
      <c r="B1136" s="44" t="s">
        <v>24</v>
      </c>
      <c r="C1136" s="44" t="s">
        <v>337</v>
      </c>
      <c r="D1136" s="44" t="s">
        <v>363</v>
      </c>
      <c r="E1136" s="44" t="s">
        <v>369</v>
      </c>
      <c r="F1136" s="45" t="s">
        <v>18</v>
      </c>
      <c r="G1136" s="46">
        <v>2508</v>
      </c>
      <c r="H1136" s="46">
        <v>235</v>
      </c>
      <c r="I1136" s="46">
        <v>23</v>
      </c>
      <c r="J1136" s="47">
        <v>91.4327378782355</v>
      </c>
      <c r="K1136" s="47"/>
      <c r="L1136" s="48">
        <v>1621</v>
      </c>
      <c r="M1136" s="48">
        <v>23</v>
      </c>
      <c r="N1136" s="48">
        <v>10</v>
      </c>
      <c r="O1136" s="47">
        <v>98.600973236009693</v>
      </c>
      <c r="P1136" s="49"/>
    </row>
    <row r="1137" spans="1:16" ht="15" hidden="1" customHeight="1">
      <c r="A1137" s="43">
        <v>1131</v>
      </c>
      <c r="B1137" s="44" t="s">
        <v>24</v>
      </c>
      <c r="C1137" s="44" t="s">
        <v>337</v>
      </c>
      <c r="D1137" s="44" t="s">
        <v>363</v>
      </c>
      <c r="E1137" s="44" t="s">
        <v>369</v>
      </c>
      <c r="F1137" s="45" t="s">
        <v>19</v>
      </c>
      <c r="G1137" s="46">
        <v>454</v>
      </c>
      <c r="H1137" s="46">
        <v>152</v>
      </c>
      <c r="I1137" s="46">
        <v>8</v>
      </c>
      <c r="J1137" s="47">
        <v>74.9174917491749</v>
      </c>
      <c r="K1137" s="47"/>
      <c r="L1137" s="48">
        <v>550</v>
      </c>
      <c r="M1137" s="48">
        <v>16</v>
      </c>
      <c r="N1137" s="48">
        <v>2</v>
      </c>
      <c r="O1137" s="47">
        <v>97.173144876325097</v>
      </c>
      <c r="P1137" s="49"/>
    </row>
    <row r="1138" spans="1:16" ht="15" customHeight="1">
      <c r="A1138" s="50">
        <v>1132</v>
      </c>
      <c r="B1138" s="51" t="s">
        <v>24</v>
      </c>
      <c r="C1138" s="58" t="s">
        <v>337</v>
      </c>
      <c r="D1138" s="58" t="s">
        <v>363</v>
      </c>
      <c r="E1138" s="58" t="s">
        <v>370</v>
      </c>
      <c r="F1138" s="59" t="s">
        <v>370</v>
      </c>
      <c r="G1138" s="52">
        <v>422</v>
      </c>
      <c r="H1138" s="52">
        <v>114</v>
      </c>
      <c r="I1138" s="52">
        <v>3</v>
      </c>
      <c r="J1138" s="53">
        <v>78.731343283582106</v>
      </c>
      <c r="K1138" s="53">
        <f>G1138+H1138+I1138</f>
        <v>539</v>
      </c>
      <c r="L1138" s="54">
        <v>474</v>
      </c>
      <c r="M1138" s="54">
        <v>105</v>
      </c>
      <c r="N1138" s="54">
        <v>12</v>
      </c>
      <c r="O1138" s="53">
        <v>81.865284974093299</v>
      </c>
      <c r="P1138" s="55">
        <f>L1138+M1138+N1138</f>
        <v>591</v>
      </c>
    </row>
    <row r="1139" spans="1:16" ht="15" hidden="1" customHeight="1">
      <c r="A1139" s="43">
        <v>1133</v>
      </c>
      <c r="B1139" s="44" t="s">
        <v>24</v>
      </c>
      <c r="C1139" s="44" t="s">
        <v>337</v>
      </c>
      <c r="D1139" s="44" t="s">
        <v>363</v>
      </c>
      <c r="E1139" s="44" t="s">
        <v>370</v>
      </c>
      <c r="F1139" s="45" t="s">
        <v>18</v>
      </c>
      <c r="G1139" s="46">
        <v>266</v>
      </c>
      <c r="H1139" s="46">
        <v>54</v>
      </c>
      <c r="I1139" s="46">
        <v>1</v>
      </c>
      <c r="J1139" s="47">
        <v>83.125</v>
      </c>
      <c r="K1139" s="47"/>
      <c r="L1139" s="48">
        <v>295</v>
      </c>
      <c r="M1139" s="48">
        <v>10</v>
      </c>
      <c r="N1139" s="48">
        <v>1</v>
      </c>
      <c r="O1139" s="47">
        <v>96.721311475409806</v>
      </c>
      <c r="P1139" s="49"/>
    </row>
    <row r="1140" spans="1:16" ht="15" hidden="1" customHeight="1">
      <c r="A1140" s="43">
        <v>1134</v>
      </c>
      <c r="B1140" s="44" t="s">
        <v>24</v>
      </c>
      <c r="C1140" s="44" t="s">
        <v>337</v>
      </c>
      <c r="D1140" s="44" t="s">
        <v>363</v>
      </c>
      <c r="E1140" s="44" t="s">
        <v>370</v>
      </c>
      <c r="F1140" s="45" t="s">
        <v>19</v>
      </c>
      <c r="G1140" s="46">
        <v>156</v>
      </c>
      <c r="H1140" s="46">
        <v>60</v>
      </c>
      <c r="I1140" s="46">
        <v>2</v>
      </c>
      <c r="J1140" s="47">
        <v>72.2222222222222</v>
      </c>
      <c r="K1140" s="47"/>
      <c r="L1140" s="48">
        <v>179</v>
      </c>
      <c r="M1140" s="48">
        <v>95</v>
      </c>
      <c r="N1140" s="48">
        <v>11</v>
      </c>
      <c r="O1140" s="47">
        <v>65.328467153284706</v>
      </c>
      <c r="P1140" s="49"/>
    </row>
    <row r="1141" spans="1:16" ht="15" hidden="1" customHeight="1">
      <c r="A1141" s="37">
        <v>1135</v>
      </c>
      <c r="B1141" s="38" t="s">
        <v>22</v>
      </c>
      <c r="C1141" s="57" t="s">
        <v>337</v>
      </c>
      <c r="D1141" s="57" t="s">
        <v>371</v>
      </c>
      <c r="E1141" s="57"/>
      <c r="F1141" s="38" t="s">
        <v>371</v>
      </c>
      <c r="G1141" s="39">
        <v>2381</v>
      </c>
      <c r="H1141" s="39">
        <v>259</v>
      </c>
      <c r="I1141" s="39">
        <v>56</v>
      </c>
      <c r="J1141" s="40">
        <v>90.189393939393895</v>
      </c>
      <c r="K1141" s="40"/>
      <c r="L1141" s="41">
        <v>1618</v>
      </c>
      <c r="M1141" s="41">
        <v>21</v>
      </c>
      <c r="N1141" s="41">
        <v>12</v>
      </c>
      <c r="O1141" s="40">
        <v>98.718730933496005</v>
      </c>
      <c r="P1141" s="42"/>
    </row>
    <row r="1142" spans="1:16" ht="15" hidden="1" customHeight="1">
      <c r="A1142" s="43">
        <v>1136</v>
      </c>
      <c r="B1142" s="44" t="s">
        <v>22</v>
      </c>
      <c r="C1142" s="44" t="s">
        <v>337</v>
      </c>
      <c r="D1142" s="44" t="s">
        <v>371</v>
      </c>
      <c r="E1142" s="44"/>
      <c r="F1142" s="45" t="s">
        <v>18</v>
      </c>
      <c r="G1142" s="46">
        <v>1031</v>
      </c>
      <c r="H1142" s="46">
        <v>67</v>
      </c>
      <c r="I1142" s="46">
        <v>32</v>
      </c>
      <c r="J1142" s="47">
        <v>93.897996357012701</v>
      </c>
      <c r="K1142" s="47"/>
      <c r="L1142" s="48">
        <v>713</v>
      </c>
      <c r="M1142" s="48">
        <v>7</v>
      </c>
      <c r="N1142" s="48">
        <v>3</v>
      </c>
      <c r="O1142" s="47">
        <v>99.0277777777778</v>
      </c>
      <c r="P1142" s="49"/>
    </row>
    <row r="1143" spans="1:16" ht="15" hidden="1" customHeight="1">
      <c r="A1143" s="43">
        <v>1137</v>
      </c>
      <c r="B1143" s="44" t="s">
        <v>22</v>
      </c>
      <c r="C1143" s="44" t="s">
        <v>337</v>
      </c>
      <c r="D1143" s="44" t="s">
        <v>371</v>
      </c>
      <c r="E1143" s="44"/>
      <c r="F1143" s="45" t="s">
        <v>19</v>
      </c>
      <c r="G1143" s="46">
        <v>1350</v>
      </c>
      <c r="H1143" s="46">
        <v>192</v>
      </c>
      <c r="I1143" s="46">
        <v>24</v>
      </c>
      <c r="J1143" s="47">
        <v>87.548638132295693</v>
      </c>
      <c r="K1143" s="47"/>
      <c r="L1143" s="48">
        <v>905</v>
      </c>
      <c r="M1143" s="48">
        <v>14</v>
      </c>
      <c r="N1143" s="48">
        <v>9</v>
      </c>
      <c r="O1143" s="47">
        <v>98.476605005440703</v>
      </c>
      <c r="P1143" s="49"/>
    </row>
    <row r="1144" spans="1:16" ht="15" customHeight="1">
      <c r="A1144" s="50">
        <v>1138</v>
      </c>
      <c r="B1144" s="51" t="s">
        <v>24</v>
      </c>
      <c r="C1144" s="58" t="s">
        <v>337</v>
      </c>
      <c r="D1144" s="58" t="s">
        <v>371</v>
      </c>
      <c r="E1144" s="58" t="s">
        <v>372</v>
      </c>
      <c r="F1144" s="59" t="s">
        <v>372</v>
      </c>
      <c r="G1144" s="52">
        <v>1533</v>
      </c>
      <c r="H1144" s="52">
        <v>143</v>
      </c>
      <c r="I1144" s="52">
        <v>45</v>
      </c>
      <c r="J1144" s="53">
        <v>91.467780429594299</v>
      </c>
      <c r="K1144" s="53">
        <f>G1144+H1144+I1144</f>
        <v>1721</v>
      </c>
      <c r="L1144" s="54">
        <v>1064</v>
      </c>
      <c r="M1144" s="54">
        <v>10</v>
      </c>
      <c r="N1144" s="54">
        <v>7</v>
      </c>
      <c r="O1144" s="53">
        <v>99.068901303538198</v>
      </c>
      <c r="P1144" s="55">
        <f>L1144+M1144+N1144</f>
        <v>1081</v>
      </c>
    </row>
    <row r="1145" spans="1:16" ht="15" hidden="1" customHeight="1">
      <c r="A1145" s="43">
        <v>1139</v>
      </c>
      <c r="B1145" s="44" t="s">
        <v>24</v>
      </c>
      <c r="C1145" s="44" t="s">
        <v>337</v>
      </c>
      <c r="D1145" s="44" t="s">
        <v>371</v>
      </c>
      <c r="E1145" s="44" t="s">
        <v>372</v>
      </c>
      <c r="F1145" s="45" t="s">
        <v>18</v>
      </c>
      <c r="G1145" s="46">
        <v>1031</v>
      </c>
      <c r="H1145" s="46">
        <v>67</v>
      </c>
      <c r="I1145" s="46">
        <v>32</v>
      </c>
      <c r="J1145" s="47">
        <v>93.897996357012701</v>
      </c>
      <c r="K1145" s="47"/>
      <c r="L1145" s="48">
        <v>713</v>
      </c>
      <c r="M1145" s="48">
        <v>7</v>
      </c>
      <c r="N1145" s="48">
        <v>3</v>
      </c>
      <c r="O1145" s="47">
        <v>99.0277777777778</v>
      </c>
      <c r="P1145" s="49"/>
    </row>
    <row r="1146" spans="1:16" ht="15" hidden="1" customHeight="1">
      <c r="A1146" s="43">
        <v>1140</v>
      </c>
      <c r="B1146" s="44" t="s">
        <v>24</v>
      </c>
      <c r="C1146" s="44" t="s">
        <v>337</v>
      </c>
      <c r="D1146" s="44" t="s">
        <v>371</v>
      </c>
      <c r="E1146" s="44" t="s">
        <v>372</v>
      </c>
      <c r="F1146" s="45" t="s">
        <v>19</v>
      </c>
      <c r="G1146" s="46">
        <v>502</v>
      </c>
      <c r="H1146" s="46">
        <v>76</v>
      </c>
      <c r="I1146" s="46">
        <v>13</v>
      </c>
      <c r="J1146" s="47">
        <v>86.851211072664398</v>
      </c>
      <c r="K1146" s="47"/>
      <c r="L1146" s="48">
        <v>351</v>
      </c>
      <c r="M1146" s="48">
        <v>3</v>
      </c>
      <c r="N1146" s="48">
        <v>4</v>
      </c>
      <c r="O1146" s="47">
        <v>99.152542372881399</v>
      </c>
      <c r="P1146" s="49"/>
    </row>
    <row r="1147" spans="1:16" ht="15" customHeight="1">
      <c r="A1147" s="50">
        <v>1141</v>
      </c>
      <c r="B1147" s="51" t="s">
        <v>24</v>
      </c>
      <c r="C1147" s="58" t="s">
        <v>337</v>
      </c>
      <c r="D1147" s="58" t="s">
        <v>371</v>
      </c>
      <c r="E1147" s="58" t="s">
        <v>373</v>
      </c>
      <c r="F1147" s="59" t="s">
        <v>373</v>
      </c>
      <c r="G1147" s="52">
        <v>200</v>
      </c>
      <c r="H1147" s="52">
        <v>38</v>
      </c>
      <c r="I1147" s="52">
        <v>2</v>
      </c>
      <c r="J1147" s="53">
        <v>84.033613445378194</v>
      </c>
      <c r="K1147" s="53">
        <f>G1147+H1147+I1147</f>
        <v>240</v>
      </c>
      <c r="L1147" s="54">
        <v>135</v>
      </c>
      <c r="M1147" s="54">
        <v>4</v>
      </c>
      <c r="N1147" s="54">
        <v>3</v>
      </c>
      <c r="O1147" s="53">
        <v>97.122302158273399</v>
      </c>
      <c r="P1147" s="55">
        <f>L1147+M1147+N1147</f>
        <v>142</v>
      </c>
    </row>
    <row r="1148" spans="1:16" ht="15" hidden="1" customHeight="1">
      <c r="A1148" s="43">
        <v>1142</v>
      </c>
      <c r="B1148" s="44" t="s">
        <v>24</v>
      </c>
      <c r="C1148" s="44" t="s">
        <v>337</v>
      </c>
      <c r="D1148" s="44" t="s">
        <v>371</v>
      </c>
      <c r="E1148" s="44" t="s">
        <v>373</v>
      </c>
      <c r="F1148" s="45" t="s">
        <v>18</v>
      </c>
      <c r="G1148" s="46"/>
      <c r="H1148" s="46"/>
      <c r="I1148" s="46"/>
      <c r="J1148" s="47"/>
      <c r="K1148" s="47"/>
      <c r="L1148" s="48"/>
      <c r="M1148" s="48"/>
      <c r="N1148" s="48"/>
      <c r="O1148" s="47"/>
      <c r="P1148" s="49"/>
    </row>
    <row r="1149" spans="1:16" ht="15" hidden="1" customHeight="1">
      <c r="A1149" s="43">
        <v>1143</v>
      </c>
      <c r="B1149" s="44" t="s">
        <v>24</v>
      </c>
      <c r="C1149" s="44" t="s">
        <v>337</v>
      </c>
      <c r="D1149" s="44" t="s">
        <v>371</v>
      </c>
      <c r="E1149" s="44" t="s">
        <v>373</v>
      </c>
      <c r="F1149" s="45" t="s">
        <v>19</v>
      </c>
      <c r="G1149" s="46">
        <v>200</v>
      </c>
      <c r="H1149" s="46">
        <v>38</v>
      </c>
      <c r="I1149" s="46">
        <v>2</v>
      </c>
      <c r="J1149" s="47">
        <v>84.033613445378194</v>
      </c>
      <c r="K1149" s="47"/>
      <c r="L1149" s="48">
        <v>135</v>
      </c>
      <c r="M1149" s="48">
        <v>4</v>
      </c>
      <c r="N1149" s="48">
        <v>3</v>
      </c>
      <c r="O1149" s="47">
        <v>97.122302158273399</v>
      </c>
      <c r="P1149" s="49"/>
    </row>
    <row r="1150" spans="1:16" ht="15" customHeight="1">
      <c r="A1150" s="50">
        <v>1144</v>
      </c>
      <c r="B1150" s="51" t="s">
        <v>24</v>
      </c>
      <c r="C1150" s="58" t="s">
        <v>337</v>
      </c>
      <c r="D1150" s="58" t="s">
        <v>371</v>
      </c>
      <c r="E1150" s="58" t="s">
        <v>374</v>
      </c>
      <c r="F1150" s="59" t="s">
        <v>374</v>
      </c>
      <c r="G1150" s="52">
        <v>245</v>
      </c>
      <c r="H1150" s="52">
        <v>17</v>
      </c>
      <c r="I1150" s="52">
        <v>2</v>
      </c>
      <c r="J1150" s="53">
        <v>93.511450381679396</v>
      </c>
      <c r="K1150" s="53">
        <f>G1150+H1150+I1150</f>
        <v>264</v>
      </c>
      <c r="L1150" s="54">
        <v>174</v>
      </c>
      <c r="M1150" s="54">
        <v>1</v>
      </c>
      <c r="N1150" s="54">
        <v>1</v>
      </c>
      <c r="O1150" s="53">
        <v>99.428571428571402</v>
      </c>
      <c r="P1150" s="55">
        <f>L1150+M1150+N1150</f>
        <v>176</v>
      </c>
    </row>
    <row r="1151" spans="1:16" ht="15" hidden="1" customHeight="1">
      <c r="A1151" s="43">
        <v>1145</v>
      </c>
      <c r="B1151" s="44" t="s">
        <v>24</v>
      </c>
      <c r="C1151" s="44" t="s">
        <v>337</v>
      </c>
      <c r="D1151" s="44" t="s">
        <v>371</v>
      </c>
      <c r="E1151" s="44" t="s">
        <v>374</v>
      </c>
      <c r="F1151" s="45" t="s">
        <v>18</v>
      </c>
      <c r="G1151" s="46"/>
      <c r="H1151" s="46"/>
      <c r="I1151" s="46"/>
      <c r="J1151" s="47"/>
      <c r="K1151" s="47"/>
      <c r="L1151" s="48"/>
      <c r="M1151" s="48"/>
      <c r="N1151" s="48"/>
      <c r="O1151" s="47"/>
      <c r="P1151" s="49"/>
    </row>
    <row r="1152" spans="1:16" ht="15" hidden="1" customHeight="1">
      <c r="A1152" s="43">
        <v>1146</v>
      </c>
      <c r="B1152" s="44" t="s">
        <v>24</v>
      </c>
      <c r="C1152" s="44" t="s">
        <v>337</v>
      </c>
      <c r="D1152" s="44" t="s">
        <v>371</v>
      </c>
      <c r="E1152" s="44" t="s">
        <v>374</v>
      </c>
      <c r="F1152" s="45" t="s">
        <v>19</v>
      </c>
      <c r="G1152" s="46">
        <v>245</v>
      </c>
      <c r="H1152" s="46">
        <v>17</v>
      </c>
      <c r="I1152" s="46">
        <v>2</v>
      </c>
      <c r="J1152" s="47">
        <v>93.511450381679396</v>
      </c>
      <c r="K1152" s="47"/>
      <c r="L1152" s="48">
        <v>174</v>
      </c>
      <c r="M1152" s="48">
        <v>1</v>
      </c>
      <c r="N1152" s="48">
        <v>1</v>
      </c>
      <c r="O1152" s="47">
        <v>99.428571428571402</v>
      </c>
      <c r="P1152" s="49"/>
    </row>
    <row r="1153" spans="1:16" ht="15" customHeight="1">
      <c r="A1153" s="50">
        <v>1147</v>
      </c>
      <c r="B1153" s="51" t="s">
        <v>24</v>
      </c>
      <c r="C1153" s="58" t="s">
        <v>337</v>
      </c>
      <c r="D1153" s="58" t="s">
        <v>371</v>
      </c>
      <c r="E1153" s="58" t="s">
        <v>375</v>
      </c>
      <c r="F1153" s="59" t="s">
        <v>375</v>
      </c>
      <c r="G1153" s="52">
        <v>210</v>
      </c>
      <c r="H1153" s="52">
        <v>43</v>
      </c>
      <c r="I1153" s="52">
        <v>6</v>
      </c>
      <c r="J1153" s="53">
        <v>83.003952569169996</v>
      </c>
      <c r="K1153" s="53">
        <f>G1153+H1153+I1153</f>
        <v>259</v>
      </c>
      <c r="L1153" s="54">
        <v>105</v>
      </c>
      <c r="M1153" s="54">
        <v>5</v>
      </c>
      <c r="N1153" s="54">
        <v>1</v>
      </c>
      <c r="O1153" s="53">
        <v>95.454545454545496</v>
      </c>
      <c r="P1153" s="55">
        <f>L1153+M1153+N1153</f>
        <v>111</v>
      </c>
    </row>
    <row r="1154" spans="1:16" ht="15" hidden="1" customHeight="1">
      <c r="A1154" s="43">
        <v>1148</v>
      </c>
      <c r="B1154" s="44" t="s">
        <v>24</v>
      </c>
      <c r="C1154" s="44" t="s">
        <v>337</v>
      </c>
      <c r="D1154" s="44" t="s">
        <v>371</v>
      </c>
      <c r="E1154" s="44" t="s">
        <v>375</v>
      </c>
      <c r="F1154" s="45" t="s">
        <v>18</v>
      </c>
      <c r="G1154" s="46"/>
      <c r="H1154" s="46"/>
      <c r="I1154" s="46"/>
      <c r="J1154" s="47"/>
      <c r="K1154" s="47"/>
      <c r="L1154" s="48"/>
      <c r="M1154" s="48"/>
      <c r="N1154" s="48"/>
      <c r="O1154" s="47"/>
      <c r="P1154" s="49"/>
    </row>
    <row r="1155" spans="1:16" ht="15" hidden="1" customHeight="1">
      <c r="A1155" s="43">
        <v>1149</v>
      </c>
      <c r="B1155" s="44" t="s">
        <v>24</v>
      </c>
      <c r="C1155" s="44" t="s">
        <v>337</v>
      </c>
      <c r="D1155" s="44" t="s">
        <v>371</v>
      </c>
      <c r="E1155" s="44" t="s">
        <v>375</v>
      </c>
      <c r="F1155" s="45" t="s">
        <v>19</v>
      </c>
      <c r="G1155" s="46">
        <v>210</v>
      </c>
      <c r="H1155" s="46">
        <v>43</v>
      </c>
      <c r="I1155" s="46">
        <v>6</v>
      </c>
      <c r="J1155" s="47">
        <v>83.003952569169996</v>
      </c>
      <c r="K1155" s="47"/>
      <c r="L1155" s="48">
        <v>105</v>
      </c>
      <c r="M1155" s="48">
        <v>5</v>
      </c>
      <c r="N1155" s="48">
        <v>1</v>
      </c>
      <c r="O1155" s="47">
        <v>95.454545454545496</v>
      </c>
      <c r="P1155" s="49"/>
    </row>
    <row r="1156" spans="1:16" ht="15" customHeight="1">
      <c r="A1156" s="50">
        <v>1150</v>
      </c>
      <c r="B1156" s="51" t="s">
        <v>24</v>
      </c>
      <c r="C1156" s="58" t="s">
        <v>337</v>
      </c>
      <c r="D1156" s="58" t="s">
        <v>371</v>
      </c>
      <c r="E1156" s="58" t="s">
        <v>376</v>
      </c>
      <c r="F1156" s="59" t="s">
        <v>376</v>
      </c>
      <c r="G1156" s="52">
        <v>193</v>
      </c>
      <c r="H1156" s="52">
        <v>18</v>
      </c>
      <c r="I1156" s="52">
        <v>1</v>
      </c>
      <c r="J1156" s="53">
        <v>91.469194312796205</v>
      </c>
      <c r="K1156" s="53">
        <f>G1156+H1156+I1156</f>
        <v>212</v>
      </c>
      <c r="L1156" s="54">
        <v>140</v>
      </c>
      <c r="M1156" s="54">
        <v>1</v>
      </c>
      <c r="N1156" s="54">
        <v>0</v>
      </c>
      <c r="O1156" s="53">
        <v>99.290780141843996</v>
      </c>
      <c r="P1156" s="55">
        <f>L1156+M1156+N1156</f>
        <v>141</v>
      </c>
    </row>
    <row r="1157" spans="1:16" ht="15" hidden="1" customHeight="1">
      <c r="A1157" s="43">
        <v>1151</v>
      </c>
      <c r="B1157" s="44" t="s">
        <v>24</v>
      </c>
      <c r="C1157" s="44" t="s">
        <v>337</v>
      </c>
      <c r="D1157" s="44" t="s">
        <v>371</v>
      </c>
      <c r="E1157" s="44" t="s">
        <v>376</v>
      </c>
      <c r="F1157" s="45" t="s">
        <v>18</v>
      </c>
      <c r="G1157" s="46"/>
      <c r="H1157" s="46"/>
      <c r="I1157" s="46"/>
      <c r="J1157" s="47"/>
      <c r="K1157" s="47"/>
      <c r="L1157" s="48"/>
      <c r="M1157" s="48"/>
      <c r="N1157" s="48"/>
      <c r="O1157" s="47"/>
      <c r="P1157" s="49"/>
    </row>
    <row r="1158" spans="1:16" ht="15" hidden="1" customHeight="1">
      <c r="A1158" s="43">
        <v>1152</v>
      </c>
      <c r="B1158" s="44" t="s">
        <v>24</v>
      </c>
      <c r="C1158" s="44" t="s">
        <v>337</v>
      </c>
      <c r="D1158" s="44" t="s">
        <v>371</v>
      </c>
      <c r="E1158" s="44" t="s">
        <v>376</v>
      </c>
      <c r="F1158" s="45" t="s">
        <v>19</v>
      </c>
      <c r="G1158" s="46">
        <v>193</v>
      </c>
      <c r="H1158" s="46">
        <v>18</v>
      </c>
      <c r="I1158" s="46">
        <v>1</v>
      </c>
      <c r="J1158" s="47">
        <v>91.469194312796205</v>
      </c>
      <c r="K1158" s="47"/>
      <c r="L1158" s="48">
        <v>140</v>
      </c>
      <c r="M1158" s="48">
        <v>1</v>
      </c>
      <c r="N1158" s="48">
        <v>0</v>
      </c>
      <c r="O1158" s="47">
        <v>99.290780141843996</v>
      </c>
      <c r="P1158" s="49"/>
    </row>
    <row r="1159" spans="1:16" ht="15" hidden="1" customHeight="1">
      <c r="A1159" s="37">
        <v>1153</v>
      </c>
      <c r="B1159" s="38" t="s">
        <v>22</v>
      </c>
      <c r="C1159" s="57" t="s">
        <v>337</v>
      </c>
      <c r="D1159" s="57" t="s">
        <v>377</v>
      </c>
      <c r="E1159" s="57"/>
      <c r="F1159" s="38" t="s">
        <v>377</v>
      </c>
      <c r="G1159" s="39">
        <v>3211</v>
      </c>
      <c r="H1159" s="39">
        <v>397</v>
      </c>
      <c r="I1159" s="39">
        <v>41</v>
      </c>
      <c r="J1159" s="40">
        <v>88.996674057649699</v>
      </c>
      <c r="K1159" s="40"/>
      <c r="L1159" s="41">
        <v>2893</v>
      </c>
      <c r="M1159" s="41">
        <v>111</v>
      </c>
      <c r="N1159" s="41">
        <v>29</v>
      </c>
      <c r="O1159" s="40">
        <v>96.304926764314203</v>
      </c>
      <c r="P1159" s="42"/>
    </row>
    <row r="1160" spans="1:16" ht="15" hidden="1" customHeight="1">
      <c r="A1160" s="43">
        <v>1154</v>
      </c>
      <c r="B1160" s="44" t="s">
        <v>22</v>
      </c>
      <c r="C1160" s="44" t="s">
        <v>337</v>
      </c>
      <c r="D1160" s="44" t="s">
        <v>377</v>
      </c>
      <c r="E1160" s="44"/>
      <c r="F1160" s="45" t="s">
        <v>18</v>
      </c>
      <c r="G1160" s="46">
        <v>1525</v>
      </c>
      <c r="H1160" s="46">
        <v>159</v>
      </c>
      <c r="I1160" s="46">
        <v>22</v>
      </c>
      <c r="J1160" s="47">
        <v>90.558194774346802</v>
      </c>
      <c r="K1160" s="47"/>
      <c r="L1160" s="48">
        <v>1365</v>
      </c>
      <c r="M1160" s="48">
        <v>49</v>
      </c>
      <c r="N1160" s="48">
        <v>7</v>
      </c>
      <c r="O1160" s="47">
        <v>96.534653465346494</v>
      </c>
      <c r="P1160" s="49"/>
    </row>
    <row r="1161" spans="1:16" ht="15" hidden="1" customHeight="1">
      <c r="A1161" s="43">
        <v>1155</v>
      </c>
      <c r="B1161" s="44" t="s">
        <v>22</v>
      </c>
      <c r="C1161" s="44" t="s">
        <v>337</v>
      </c>
      <c r="D1161" s="44" t="s">
        <v>377</v>
      </c>
      <c r="E1161" s="44"/>
      <c r="F1161" s="45" t="s">
        <v>19</v>
      </c>
      <c r="G1161" s="46">
        <v>1686</v>
      </c>
      <c r="H1161" s="46">
        <v>238</v>
      </c>
      <c r="I1161" s="46">
        <v>19</v>
      </c>
      <c r="J1161" s="47">
        <v>87.629937629937601</v>
      </c>
      <c r="K1161" s="47"/>
      <c r="L1161" s="48">
        <v>1528</v>
      </c>
      <c r="M1161" s="48">
        <v>62</v>
      </c>
      <c r="N1161" s="48">
        <v>22</v>
      </c>
      <c r="O1161" s="47">
        <v>96.100628930817606</v>
      </c>
      <c r="P1161" s="49"/>
    </row>
    <row r="1162" spans="1:16" ht="15" customHeight="1">
      <c r="A1162" s="50">
        <v>1156</v>
      </c>
      <c r="B1162" s="51" t="s">
        <v>24</v>
      </c>
      <c r="C1162" s="58" t="s">
        <v>337</v>
      </c>
      <c r="D1162" s="58" t="s">
        <v>377</v>
      </c>
      <c r="E1162" s="58" t="s">
        <v>378</v>
      </c>
      <c r="F1162" s="59" t="s">
        <v>378</v>
      </c>
      <c r="G1162" s="52">
        <v>988</v>
      </c>
      <c r="H1162" s="52">
        <v>106</v>
      </c>
      <c r="I1162" s="52">
        <v>17</v>
      </c>
      <c r="J1162" s="53">
        <v>90.310786106032893</v>
      </c>
      <c r="K1162" s="53">
        <f>G1162+H1162+I1162</f>
        <v>1111</v>
      </c>
      <c r="L1162" s="54">
        <v>800</v>
      </c>
      <c r="M1162" s="54">
        <v>34</v>
      </c>
      <c r="N1162" s="54">
        <v>15</v>
      </c>
      <c r="O1162" s="53">
        <v>95.923261390887305</v>
      </c>
      <c r="P1162" s="55">
        <f>L1162+M1162+N1162</f>
        <v>849</v>
      </c>
    </row>
    <row r="1163" spans="1:16" ht="15" hidden="1" customHeight="1">
      <c r="A1163" s="43">
        <v>1157</v>
      </c>
      <c r="B1163" s="44" t="s">
        <v>24</v>
      </c>
      <c r="C1163" s="44" t="s">
        <v>337</v>
      </c>
      <c r="D1163" s="44" t="s">
        <v>377</v>
      </c>
      <c r="E1163" s="44" t="s">
        <v>378</v>
      </c>
      <c r="F1163" s="45" t="s">
        <v>18</v>
      </c>
      <c r="G1163" s="46">
        <v>429</v>
      </c>
      <c r="H1163" s="46">
        <v>34</v>
      </c>
      <c r="I1163" s="46">
        <v>9</v>
      </c>
      <c r="J1163" s="47">
        <v>92.656587473002205</v>
      </c>
      <c r="K1163" s="47"/>
      <c r="L1163" s="48">
        <v>387</v>
      </c>
      <c r="M1163" s="48">
        <v>17</v>
      </c>
      <c r="N1163" s="48">
        <v>4</v>
      </c>
      <c r="O1163" s="47">
        <v>95.792079207920807</v>
      </c>
      <c r="P1163" s="49"/>
    </row>
    <row r="1164" spans="1:16" ht="15" hidden="1" customHeight="1">
      <c r="A1164" s="43">
        <v>1158</v>
      </c>
      <c r="B1164" s="44" t="s">
        <v>24</v>
      </c>
      <c r="C1164" s="44" t="s">
        <v>337</v>
      </c>
      <c r="D1164" s="44" t="s">
        <v>377</v>
      </c>
      <c r="E1164" s="44" t="s">
        <v>378</v>
      </c>
      <c r="F1164" s="45" t="s">
        <v>19</v>
      </c>
      <c r="G1164" s="46">
        <v>559</v>
      </c>
      <c r="H1164" s="46">
        <v>72</v>
      </c>
      <c r="I1164" s="46">
        <v>8</v>
      </c>
      <c r="J1164" s="47">
        <v>88.5895404120444</v>
      </c>
      <c r="K1164" s="47"/>
      <c r="L1164" s="48">
        <v>413</v>
      </c>
      <c r="M1164" s="48">
        <v>17</v>
      </c>
      <c r="N1164" s="48">
        <v>11</v>
      </c>
      <c r="O1164" s="47">
        <v>96.046511627906995</v>
      </c>
      <c r="P1164" s="49"/>
    </row>
    <row r="1165" spans="1:16" ht="15" customHeight="1">
      <c r="A1165" s="50">
        <v>1159</v>
      </c>
      <c r="B1165" s="51" t="s">
        <v>24</v>
      </c>
      <c r="C1165" s="58" t="s">
        <v>337</v>
      </c>
      <c r="D1165" s="58" t="s">
        <v>377</v>
      </c>
      <c r="E1165" s="58" t="s">
        <v>379</v>
      </c>
      <c r="F1165" s="59" t="s">
        <v>379</v>
      </c>
      <c r="G1165" s="52">
        <v>872</v>
      </c>
      <c r="H1165" s="52">
        <v>131</v>
      </c>
      <c r="I1165" s="52">
        <v>5</v>
      </c>
      <c r="J1165" s="53">
        <v>86.9391824526421</v>
      </c>
      <c r="K1165" s="53">
        <f>G1165+H1165+I1165</f>
        <v>1008</v>
      </c>
      <c r="L1165" s="54">
        <v>851</v>
      </c>
      <c r="M1165" s="54">
        <v>33</v>
      </c>
      <c r="N1165" s="54">
        <v>4</v>
      </c>
      <c r="O1165" s="53">
        <v>96.266968325791893</v>
      </c>
      <c r="P1165" s="55">
        <f>L1165+M1165+N1165</f>
        <v>888</v>
      </c>
    </row>
    <row r="1166" spans="1:16" ht="15" hidden="1" customHeight="1">
      <c r="A1166" s="43">
        <v>1160</v>
      </c>
      <c r="B1166" s="44" t="s">
        <v>24</v>
      </c>
      <c r="C1166" s="44" t="s">
        <v>337</v>
      </c>
      <c r="D1166" s="44" t="s">
        <v>377</v>
      </c>
      <c r="E1166" s="44" t="s">
        <v>379</v>
      </c>
      <c r="F1166" s="45" t="s">
        <v>18</v>
      </c>
      <c r="G1166" s="46">
        <v>379</v>
      </c>
      <c r="H1166" s="46">
        <v>45</v>
      </c>
      <c r="I1166" s="46">
        <v>2</v>
      </c>
      <c r="J1166" s="47">
        <v>89.386792452830207</v>
      </c>
      <c r="K1166" s="47"/>
      <c r="L1166" s="48">
        <v>358</v>
      </c>
      <c r="M1166" s="48">
        <v>11</v>
      </c>
      <c r="N1166" s="48">
        <v>0</v>
      </c>
      <c r="O1166" s="47">
        <v>97.018970189701903</v>
      </c>
      <c r="P1166" s="49"/>
    </row>
    <row r="1167" spans="1:16" ht="15" hidden="1" customHeight="1">
      <c r="A1167" s="43">
        <v>1161</v>
      </c>
      <c r="B1167" s="44" t="s">
        <v>24</v>
      </c>
      <c r="C1167" s="44" t="s">
        <v>337</v>
      </c>
      <c r="D1167" s="44" t="s">
        <v>377</v>
      </c>
      <c r="E1167" s="44" t="s">
        <v>379</v>
      </c>
      <c r="F1167" s="45" t="s">
        <v>19</v>
      </c>
      <c r="G1167" s="46">
        <v>493</v>
      </c>
      <c r="H1167" s="46">
        <v>86</v>
      </c>
      <c r="I1167" s="46">
        <v>3</v>
      </c>
      <c r="J1167" s="47">
        <v>85.146804835924002</v>
      </c>
      <c r="K1167" s="47"/>
      <c r="L1167" s="48">
        <v>493</v>
      </c>
      <c r="M1167" s="48">
        <v>22</v>
      </c>
      <c r="N1167" s="48">
        <v>4</v>
      </c>
      <c r="O1167" s="47">
        <v>95.728155339805795</v>
      </c>
      <c r="P1167" s="49"/>
    </row>
    <row r="1168" spans="1:16" ht="15" customHeight="1">
      <c r="A1168" s="50">
        <v>1162</v>
      </c>
      <c r="B1168" s="51" t="s">
        <v>24</v>
      </c>
      <c r="C1168" s="58" t="s">
        <v>337</v>
      </c>
      <c r="D1168" s="58" t="s">
        <v>377</v>
      </c>
      <c r="E1168" s="58" t="s">
        <v>380</v>
      </c>
      <c r="F1168" s="59" t="s">
        <v>380</v>
      </c>
      <c r="G1168" s="52">
        <v>1064</v>
      </c>
      <c r="H1168" s="52">
        <v>127</v>
      </c>
      <c r="I1168" s="52">
        <v>12</v>
      </c>
      <c r="J1168" s="53">
        <v>89.336691855583496</v>
      </c>
      <c r="K1168" s="53">
        <f>G1168+H1168+I1168</f>
        <v>1203</v>
      </c>
      <c r="L1168" s="54">
        <v>1061</v>
      </c>
      <c r="M1168" s="54">
        <v>32</v>
      </c>
      <c r="N1168" s="54">
        <v>9</v>
      </c>
      <c r="O1168" s="53">
        <v>97.072278133577299</v>
      </c>
      <c r="P1168" s="55">
        <f>L1168+M1168+N1168</f>
        <v>1102</v>
      </c>
    </row>
    <row r="1169" spans="1:16" ht="15" hidden="1" customHeight="1">
      <c r="A1169" s="43">
        <v>1163</v>
      </c>
      <c r="B1169" s="44" t="s">
        <v>24</v>
      </c>
      <c r="C1169" s="44" t="s">
        <v>337</v>
      </c>
      <c r="D1169" s="44" t="s">
        <v>377</v>
      </c>
      <c r="E1169" s="44" t="s">
        <v>380</v>
      </c>
      <c r="F1169" s="45" t="s">
        <v>18</v>
      </c>
      <c r="G1169" s="46">
        <v>717</v>
      </c>
      <c r="H1169" s="46">
        <v>80</v>
      </c>
      <c r="I1169" s="46">
        <v>11</v>
      </c>
      <c r="J1169" s="47">
        <v>89.962358845671304</v>
      </c>
      <c r="K1169" s="47"/>
      <c r="L1169" s="48">
        <v>620</v>
      </c>
      <c r="M1169" s="48">
        <v>21</v>
      </c>
      <c r="N1169" s="48">
        <v>3</v>
      </c>
      <c r="O1169" s="47">
        <v>96.723868954758203</v>
      </c>
      <c r="P1169" s="49"/>
    </row>
    <row r="1170" spans="1:16" ht="15" hidden="1" customHeight="1">
      <c r="A1170" s="43">
        <v>1164</v>
      </c>
      <c r="B1170" s="44" t="s">
        <v>24</v>
      </c>
      <c r="C1170" s="44" t="s">
        <v>337</v>
      </c>
      <c r="D1170" s="44" t="s">
        <v>377</v>
      </c>
      <c r="E1170" s="44" t="s">
        <v>380</v>
      </c>
      <c r="F1170" s="45" t="s">
        <v>19</v>
      </c>
      <c r="G1170" s="46">
        <v>347</v>
      </c>
      <c r="H1170" s="46">
        <v>47</v>
      </c>
      <c r="I1170" s="46">
        <v>1</v>
      </c>
      <c r="J1170" s="47">
        <v>88.071065989847696</v>
      </c>
      <c r="K1170" s="47"/>
      <c r="L1170" s="48">
        <v>441</v>
      </c>
      <c r="M1170" s="48">
        <v>11</v>
      </c>
      <c r="N1170" s="48">
        <v>6</v>
      </c>
      <c r="O1170" s="47">
        <v>97.566371681415902</v>
      </c>
      <c r="P1170" s="49"/>
    </row>
    <row r="1171" spans="1:16" ht="15" customHeight="1">
      <c r="A1171" s="50">
        <v>1165</v>
      </c>
      <c r="B1171" s="51" t="s">
        <v>24</v>
      </c>
      <c r="C1171" s="58" t="s">
        <v>337</v>
      </c>
      <c r="D1171" s="58" t="s">
        <v>377</v>
      </c>
      <c r="E1171" s="58" t="s">
        <v>381</v>
      </c>
      <c r="F1171" s="59" t="s">
        <v>381</v>
      </c>
      <c r="G1171" s="52">
        <v>287</v>
      </c>
      <c r="H1171" s="52">
        <v>33</v>
      </c>
      <c r="I1171" s="52">
        <v>7</v>
      </c>
      <c r="J1171" s="53">
        <v>89.6875</v>
      </c>
      <c r="K1171" s="53">
        <f>G1171+H1171+I1171</f>
        <v>327</v>
      </c>
      <c r="L1171" s="54">
        <v>181</v>
      </c>
      <c r="M1171" s="54">
        <v>12</v>
      </c>
      <c r="N1171" s="54">
        <v>1</v>
      </c>
      <c r="O1171" s="53">
        <v>93.782383419689097</v>
      </c>
      <c r="P1171" s="55">
        <f>L1171+M1171+N1171</f>
        <v>194</v>
      </c>
    </row>
    <row r="1172" spans="1:16" ht="15" hidden="1" customHeight="1">
      <c r="A1172" s="43">
        <v>1166</v>
      </c>
      <c r="B1172" s="44" t="s">
        <v>24</v>
      </c>
      <c r="C1172" s="44" t="s">
        <v>337</v>
      </c>
      <c r="D1172" s="44" t="s">
        <v>377</v>
      </c>
      <c r="E1172" s="44" t="s">
        <v>381</v>
      </c>
      <c r="F1172" s="45" t="s">
        <v>18</v>
      </c>
      <c r="G1172" s="46"/>
      <c r="H1172" s="46"/>
      <c r="I1172" s="46"/>
      <c r="J1172" s="47"/>
      <c r="K1172" s="47"/>
      <c r="L1172" s="48"/>
      <c r="M1172" s="48"/>
      <c r="N1172" s="48"/>
      <c r="O1172" s="47"/>
      <c r="P1172" s="49"/>
    </row>
    <row r="1173" spans="1:16" ht="15" hidden="1" customHeight="1">
      <c r="A1173" s="43">
        <v>1167</v>
      </c>
      <c r="B1173" s="44" t="s">
        <v>24</v>
      </c>
      <c r="C1173" s="44" t="s">
        <v>337</v>
      </c>
      <c r="D1173" s="44" t="s">
        <v>377</v>
      </c>
      <c r="E1173" s="44" t="s">
        <v>381</v>
      </c>
      <c r="F1173" s="45" t="s">
        <v>19</v>
      </c>
      <c r="G1173" s="46">
        <v>287</v>
      </c>
      <c r="H1173" s="46">
        <v>33</v>
      </c>
      <c r="I1173" s="46">
        <v>7</v>
      </c>
      <c r="J1173" s="47">
        <v>89.6875</v>
      </c>
      <c r="K1173" s="47"/>
      <c r="L1173" s="48">
        <v>181</v>
      </c>
      <c r="M1173" s="48">
        <v>12</v>
      </c>
      <c r="N1173" s="48">
        <v>1</v>
      </c>
      <c r="O1173" s="47">
        <v>93.782383419689097</v>
      </c>
      <c r="P1173" s="49"/>
    </row>
    <row r="1174" spans="1:16" ht="15" hidden="1" customHeight="1">
      <c r="A1174" s="37">
        <v>1168</v>
      </c>
      <c r="B1174" s="38" t="s">
        <v>22</v>
      </c>
      <c r="C1174" s="57" t="s">
        <v>337</v>
      </c>
      <c r="D1174" s="57" t="s">
        <v>382</v>
      </c>
      <c r="E1174" s="57"/>
      <c r="F1174" s="38" t="s">
        <v>382</v>
      </c>
      <c r="G1174" s="39">
        <v>17470</v>
      </c>
      <c r="H1174" s="39">
        <v>2911</v>
      </c>
      <c r="I1174" s="39">
        <v>253</v>
      </c>
      <c r="J1174" s="40">
        <v>85.717089446052697</v>
      </c>
      <c r="K1174" s="40"/>
      <c r="L1174" s="41">
        <v>15991</v>
      </c>
      <c r="M1174" s="41">
        <v>533</v>
      </c>
      <c r="N1174" s="41">
        <v>134</v>
      </c>
      <c r="O1174" s="40">
        <v>96.774388767852798</v>
      </c>
      <c r="P1174" s="42"/>
    </row>
    <row r="1175" spans="1:16" ht="15" hidden="1" customHeight="1">
      <c r="A1175" s="43">
        <v>1169</v>
      </c>
      <c r="B1175" s="44" t="s">
        <v>22</v>
      </c>
      <c r="C1175" s="44" t="s">
        <v>337</v>
      </c>
      <c r="D1175" s="44" t="s">
        <v>382</v>
      </c>
      <c r="E1175" s="44"/>
      <c r="F1175" s="45" t="s">
        <v>18</v>
      </c>
      <c r="G1175" s="46">
        <v>14255</v>
      </c>
      <c r="H1175" s="46">
        <v>2128</v>
      </c>
      <c r="I1175" s="46">
        <v>206</v>
      </c>
      <c r="J1175" s="47">
        <v>87.010925959836399</v>
      </c>
      <c r="K1175" s="47"/>
      <c r="L1175" s="48">
        <v>14115</v>
      </c>
      <c r="M1175" s="48">
        <v>424</v>
      </c>
      <c r="N1175" s="48">
        <v>112</v>
      </c>
      <c r="O1175" s="47">
        <v>97.083705894490706</v>
      </c>
      <c r="P1175" s="49"/>
    </row>
    <row r="1176" spans="1:16" ht="15" hidden="1" customHeight="1">
      <c r="A1176" s="43">
        <v>1170</v>
      </c>
      <c r="B1176" s="44" t="s">
        <v>22</v>
      </c>
      <c r="C1176" s="44" t="s">
        <v>337</v>
      </c>
      <c r="D1176" s="44" t="s">
        <v>382</v>
      </c>
      <c r="E1176" s="44"/>
      <c r="F1176" s="45" t="s">
        <v>19</v>
      </c>
      <c r="G1176" s="46">
        <v>3215</v>
      </c>
      <c r="H1176" s="46">
        <v>783</v>
      </c>
      <c r="I1176" s="46">
        <v>47</v>
      </c>
      <c r="J1176" s="47">
        <v>80.415207603801903</v>
      </c>
      <c r="K1176" s="47"/>
      <c r="L1176" s="48">
        <v>1876</v>
      </c>
      <c r="M1176" s="48">
        <v>109</v>
      </c>
      <c r="N1176" s="48">
        <v>22</v>
      </c>
      <c r="O1176" s="47">
        <v>94.508816120906801</v>
      </c>
      <c r="P1176" s="49"/>
    </row>
    <row r="1177" spans="1:16" ht="15" customHeight="1">
      <c r="A1177" s="50">
        <v>1171</v>
      </c>
      <c r="B1177" s="51" t="s">
        <v>24</v>
      </c>
      <c r="C1177" s="58" t="s">
        <v>337</v>
      </c>
      <c r="D1177" s="58" t="s">
        <v>382</v>
      </c>
      <c r="E1177" s="58" t="s">
        <v>383</v>
      </c>
      <c r="F1177" s="59" t="s">
        <v>383</v>
      </c>
      <c r="G1177" s="52">
        <v>10362</v>
      </c>
      <c r="H1177" s="52">
        <v>1523</v>
      </c>
      <c r="I1177" s="52">
        <v>135</v>
      </c>
      <c r="J1177" s="53">
        <v>87.185527976440895</v>
      </c>
      <c r="K1177" s="53">
        <f>G1177+H1177+I1177</f>
        <v>12020</v>
      </c>
      <c r="L1177" s="54">
        <v>10307</v>
      </c>
      <c r="M1177" s="54">
        <v>253</v>
      </c>
      <c r="N1177" s="54">
        <v>77</v>
      </c>
      <c r="O1177" s="53">
        <v>97.6041666666667</v>
      </c>
      <c r="P1177" s="55">
        <f>L1177+M1177+N1177</f>
        <v>10637</v>
      </c>
    </row>
    <row r="1178" spans="1:16" ht="15" hidden="1" customHeight="1">
      <c r="A1178" s="43">
        <v>1172</v>
      </c>
      <c r="B1178" s="44" t="s">
        <v>24</v>
      </c>
      <c r="C1178" s="44" t="s">
        <v>337</v>
      </c>
      <c r="D1178" s="44" t="s">
        <v>382</v>
      </c>
      <c r="E1178" s="44" t="s">
        <v>383</v>
      </c>
      <c r="F1178" s="45" t="s">
        <v>18</v>
      </c>
      <c r="G1178" s="46">
        <v>10137</v>
      </c>
      <c r="H1178" s="46">
        <v>1446</v>
      </c>
      <c r="I1178" s="46">
        <v>131</v>
      </c>
      <c r="J1178" s="47">
        <v>87.5161875161875</v>
      </c>
      <c r="K1178" s="47"/>
      <c r="L1178" s="48">
        <v>10244</v>
      </c>
      <c r="M1178" s="48">
        <v>251</v>
      </c>
      <c r="N1178" s="48">
        <v>77</v>
      </c>
      <c r="O1178" s="47">
        <v>97.608384945211995</v>
      </c>
      <c r="P1178" s="49"/>
    </row>
    <row r="1179" spans="1:16" ht="15" hidden="1" customHeight="1">
      <c r="A1179" s="43">
        <v>1173</v>
      </c>
      <c r="B1179" s="44" t="s">
        <v>24</v>
      </c>
      <c r="C1179" s="44" t="s">
        <v>337</v>
      </c>
      <c r="D1179" s="44" t="s">
        <v>382</v>
      </c>
      <c r="E1179" s="44" t="s">
        <v>383</v>
      </c>
      <c r="F1179" s="45" t="s">
        <v>19</v>
      </c>
      <c r="G1179" s="46">
        <v>225</v>
      </c>
      <c r="H1179" s="46">
        <v>77</v>
      </c>
      <c r="I1179" s="46">
        <v>4</v>
      </c>
      <c r="J1179" s="47">
        <v>74.503311258278103</v>
      </c>
      <c r="K1179" s="47"/>
      <c r="L1179" s="48">
        <v>63</v>
      </c>
      <c r="M1179" s="48">
        <v>2</v>
      </c>
      <c r="N1179" s="48">
        <v>0</v>
      </c>
      <c r="O1179" s="47">
        <v>96.923076923076906</v>
      </c>
      <c r="P1179" s="49"/>
    </row>
    <row r="1180" spans="1:16" ht="15" customHeight="1">
      <c r="A1180" s="50">
        <v>1174</v>
      </c>
      <c r="B1180" s="51" t="s">
        <v>24</v>
      </c>
      <c r="C1180" s="58" t="s">
        <v>337</v>
      </c>
      <c r="D1180" s="58" t="s">
        <v>382</v>
      </c>
      <c r="E1180" s="58" t="s">
        <v>384</v>
      </c>
      <c r="F1180" s="59" t="s">
        <v>384</v>
      </c>
      <c r="G1180" s="52">
        <v>1425</v>
      </c>
      <c r="H1180" s="52">
        <v>290</v>
      </c>
      <c r="I1180" s="52">
        <v>29</v>
      </c>
      <c r="J1180" s="53">
        <v>83.090379008746396</v>
      </c>
      <c r="K1180" s="53">
        <f>G1180+H1180+I1180</f>
        <v>1744</v>
      </c>
      <c r="L1180" s="54">
        <v>1427</v>
      </c>
      <c r="M1180" s="54">
        <v>89</v>
      </c>
      <c r="N1180" s="54">
        <v>24</v>
      </c>
      <c r="O1180" s="53">
        <v>94.1292875989446</v>
      </c>
      <c r="P1180" s="55">
        <f>L1180+M1180+N1180</f>
        <v>1540</v>
      </c>
    </row>
    <row r="1181" spans="1:16" ht="15" hidden="1" customHeight="1">
      <c r="A1181" s="43">
        <v>1175</v>
      </c>
      <c r="B1181" s="44" t="s">
        <v>24</v>
      </c>
      <c r="C1181" s="44" t="s">
        <v>337</v>
      </c>
      <c r="D1181" s="44" t="s">
        <v>382</v>
      </c>
      <c r="E1181" s="44" t="s">
        <v>384</v>
      </c>
      <c r="F1181" s="45" t="s">
        <v>18</v>
      </c>
      <c r="G1181" s="46">
        <v>500</v>
      </c>
      <c r="H1181" s="46">
        <v>65</v>
      </c>
      <c r="I1181" s="46">
        <v>10</v>
      </c>
      <c r="J1181" s="47">
        <v>88.495575221238894</v>
      </c>
      <c r="K1181" s="47"/>
      <c r="L1181" s="48">
        <v>685</v>
      </c>
      <c r="M1181" s="48">
        <v>30</v>
      </c>
      <c r="N1181" s="48">
        <v>9</v>
      </c>
      <c r="O1181" s="47">
        <v>95.8041958041958</v>
      </c>
      <c r="P1181" s="49"/>
    </row>
    <row r="1182" spans="1:16" ht="15" hidden="1" customHeight="1">
      <c r="A1182" s="43">
        <v>1176</v>
      </c>
      <c r="B1182" s="44" t="s">
        <v>24</v>
      </c>
      <c r="C1182" s="44" t="s">
        <v>337</v>
      </c>
      <c r="D1182" s="44" t="s">
        <v>382</v>
      </c>
      <c r="E1182" s="44" t="s">
        <v>384</v>
      </c>
      <c r="F1182" s="45" t="s">
        <v>19</v>
      </c>
      <c r="G1182" s="46">
        <v>925</v>
      </c>
      <c r="H1182" s="46">
        <v>225</v>
      </c>
      <c r="I1182" s="46">
        <v>19</v>
      </c>
      <c r="J1182" s="47">
        <v>80.434782608695699</v>
      </c>
      <c r="K1182" s="47"/>
      <c r="L1182" s="48">
        <v>742</v>
      </c>
      <c r="M1182" s="48">
        <v>59</v>
      </c>
      <c r="N1182" s="48">
        <v>15</v>
      </c>
      <c r="O1182" s="47">
        <v>92.634207240948797</v>
      </c>
      <c r="P1182" s="49"/>
    </row>
    <row r="1183" spans="1:16" ht="15" customHeight="1">
      <c r="A1183" s="50">
        <v>1177</v>
      </c>
      <c r="B1183" s="51" t="s">
        <v>24</v>
      </c>
      <c r="C1183" s="58" t="s">
        <v>337</v>
      </c>
      <c r="D1183" s="58" t="s">
        <v>382</v>
      </c>
      <c r="E1183" s="58" t="s">
        <v>385</v>
      </c>
      <c r="F1183" s="59" t="s">
        <v>385</v>
      </c>
      <c r="G1183" s="52">
        <v>2471</v>
      </c>
      <c r="H1183" s="52">
        <v>480</v>
      </c>
      <c r="I1183" s="52">
        <v>38</v>
      </c>
      <c r="J1183" s="53">
        <v>83.734327346662198</v>
      </c>
      <c r="K1183" s="53">
        <f>G1183+H1183+I1183</f>
        <v>2989</v>
      </c>
      <c r="L1183" s="54">
        <v>1987</v>
      </c>
      <c r="M1183" s="54">
        <v>96</v>
      </c>
      <c r="N1183" s="54">
        <v>14</v>
      </c>
      <c r="O1183" s="53">
        <v>95.391262602016297</v>
      </c>
      <c r="P1183" s="55">
        <f>L1183+M1183+N1183</f>
        <v>2097</v>
      </c>
    </row>
    <row r="1184" spans="1:16" ht="15" hidden="1" customHeight="1">
      <c r="A1184" s="43">
        <v>1178</v>
      </c>
      <c r="B1184" s="44" t="s">
        <v>24</v>
      </c>
      <c r="C1184" s="44" t="s">
        <v>337</v>
      </c>
      <c r="D1184" s="44" t="s">
        <v>382</v>
      </c>
      <c r="E1184" s="44" t="s">
        <v>385</v>
      </c>
      <c r="F1184" s="45" t="s">
        <v>18</v>
      </c>
      <c r="G1184" s="46">
        <v>1951</v>
      </c>
      <c r="H1184" s="46">
        <v>321</v>
      </c>
      <c r="I1184" s="46">
        <v>35</v>
      </c>
      <c r="J1184" s="47">
        <v>85.871478873239397</v>
      </c>
      <c r="K1184" s="47"/>
      <c r="L1184" s="48">
        <v>1595</v>
      </c>
      <c r="M1184" s="48">
        <v>79</v>
      </c>
      <c r="N1184" s="48">
        <v>10</v>
      </c>
      <c r="O1184" s="47">
        <v>95.280764635603305</v>
      </c>
      <c r="P1184" s="49"/>
    </row>
    <row r="1185" spans="1:16" ht="15" hidden="1" customHeight="1">
      <c r="A1185" s="43">
        <v>1179</v>
      </c>
      <c r="B1185" s="44" t="s">
        <v>24</v>
      </c>
      <c r="C1185" s="44" t="s">
        <v>337</v>
      </c>
      <c r="D1185" s="44" t="s">
        <v>382</v>
      </c>
      <c r="E1185" s="44" t="s">
        <v>385</v>
      </c>
      <c r="F1185" s="45" t="s">
        <v>19</v>
      </c>
      <c r="G1185" s="46">
        <v>520</v>
      </c>
      <c r="H1185" s="46">
        <v>159</v>
      </c>
      <c r="I1185" s="46">
        <v>3</v>
      </c>
      <c r="J1185" s="47">
        <v>76.583210603829201</v>
      </c>
      <c r="K1185" s="47"/>
      <c r="L1185" s="48">
        <v>392</v>
      </c>
      <c r="M1185" s="48">
        <v>17</v>
      </c>
      <c r="N1185" s="48">
        <v>4</v>
      </c>
      <c r="O1185" s="47">
        <v>95.843520782396098</v>
      </c>
      <c r="P1185" s="49"/>
    </row>
    <row r="1186" spans="1:16" ht="15" customHeight="1">
      <c r="A1186" s="50">
        <v>1180</v>
      </c>
      <c r="B1186" s="51" t="s">
        <v>24</v>
      </c>
      <c r="C1186" s="58" t="s">
        <v>337</v>
      </c>
      <c r="D1186" s="58" t="s">
        <v>382</v>
      </c>
      <c r="E1186" s="58" t="s">
        <v>386</v>
      </c>
      <c r="F1186" s="59" t="s">
        <v>386</v>
      </c>
      <c r="G1186" s="52">
        <v>1446</v>
      </c>
      <c r="H1186" s="52">
        <v>265</v>
      </c>
      <c r="I1186" s="52">
        <v>25</v>
      </c>
      <c r="J1186" s="53">
        <v>84.511981297486898</v>
      </c>
      <c r="K1186" s="53">
        <f>G1186+H1186+I1186</f>
        <v>1736</v>
      </c>
      <c r="L1186" s="54">
        <v>1095</v>
      </c>
      <c r="M1186" s="54">
        <v>43</v>
      </c>
      <c r="N1186" s="54">
        <v>11</v>
      </c>
      <c r="O1186" s="53">
        <v>96.221441124780299</v>
      </c>
      <c r="P1186" s="55">
        <f>L1186+M1186+N1186</f>
        <v>1149</v>
      </c>
    </row>
    <row r="1187" spans="1:16" ht="15" hidden="1" customHeight="1">
      <c r="A1187" s="43">
        <v>1181</v>
      </c>
      <c r="B1187" s="44" t="s">
        <v>24</v>
      </c>
      <c r="C1187" s="44" t="s">
        <v>337</v>
      </c>
      <c r="D1187" s="44" t="s">
        <v>382</v>
      </c>
      <c r="E1187" s="44" t="s">
        <v>386</v>
      </c>
      <c r="F1187" s="45" t="s">
        <v>18</v>
      </c>
      <c r="G1187" s="46">
        <v>952</v>
      </c>
      <c r="H1187" s="46">
        <v>142</v>
      </c>
      <c r="I1187" s="46">
        <v>19</v>
      </c>
      <c r="J1187" s="47">
        <v>87.020109689213896</v>
      </c>
      <c r="K1187" s="47"/>
      <c r="L1187" s="48">
        <v>892</v>
      </c>
      <c r="M1187" s="48">
        <v>38</v>
      </c>
      <c r="N1187" s="48">
        <v>10</v>
      </c>
      <c r="O1187" s="47">
        <v>95.913978494623606</v>
      </c>
      <c r="P1187" s="49"/>
    </row>
    <row r="1188" spans="1:16" ht="15" hidden="1" customHeight="1">
      <c r="A1188" s="43">
        <v>1182</v>
      </c>
      <c r="B1188" s="44" t="s">
        <v>24</v>
      </c>
      <c r="C1188" s="44" t="s">
        <v>337</v>
      </c>
      <c r="D1188" s="44" t="s">
        <v>382</v>
      </c>
      <c r="E1188" s="44" t="s">
        <v>386</v>
      </c>
      <c r="F1188" s="45" t="s">
        <v>19</v>
      </c>
      <c r="G1188" s="46">
        <v>494</v>
      </c>
      <c r="H1188" s="46">
        <v>123</v>
      </c>
      <c r="I1188" s="46">
        <v>6</v>
      </c>
      <c r="J1188" s="47">
        <v>80.064829821718007</v>
      </c>
      <c r="K1188" s="47"/>
      <c r="L1188" s="48">
        <v>203</v>
      </c>
      <c r="M1188" s="48">
        <v>5</v>
      </c>
      <c r="N1188" s="48">
        <v>1</v>
      </c>
      <c r="O1188" s="47">
        <v>97.596153846153797</v>
      </c>
      <c r="P1188" s="49"/>
    </row>
    <row r="1189" spans="1:16" ht="15" customHeight="1">
      <c r="A1189" s="50">
        <v>1183</v>
      </c>
      <c r="B1189" s="51" t="s">
        <v>24</v>
      </c>
      <c r="C1189" s="58" t="s">
        <v>337</v>
      </c>
      <c r="D1189" s="58" t="s">
        <v>382</v>
      </c>
      <c r="E1189" s="58" t="s">
        <v>285</v>
      </c>
      <c r="F1189" s="59" t="s">
        <v>285</v>
      </c>
      <c r="G1189" s="52">
        <v>1766</v>
      </c>
      <c r="H1189" s="52">
        <v>353</v>
      </c>
      <c r="I1189" s="52">
        <v>26</v>
      </c>
      <c r="J1189" s="53">
        <v>83.341198678622007</v>
      </c>
      <c r="K1189" s="53">
        <f>G1189+H1189+I1189</f>
        <v>2145</v>
      </c>
      <c r="L1189" s="54">
        <v>1175</v>
      </c>
      <c r="M1189" s="54">
        <v>52</v>
      </c>
      <c r="N1189" s="54">
        <v>8</v>
      </c>
      <c r="O1189" s="53">
        <v>95.762021189894099</v>
      </c>
      <c r="P1189" s="55">
        <f>L1189+M1189+N1189</f>
        <v>1235</v>
      </c>
    </row>
    <row r="1190" spans="1:16" ht="15" hidden="1" customHeight="1">
      <c r="A1190" s="43">
        <v>1184</v>
      </c>
      <c r="B1190" s="44" t="s">
        <v>24</v>
      </c>
      <c r="C1190" s="44" t="s">
        <v>337</v>
      </c>
      <c r="D1190" s="44" t="s">
        <v>382</v>
      </c>
      <c r="E1190" s="44" t="s">
        <v>285</v>
      </c>
      <c r="F1190" s="45" t="s">
        <v>18</v>
      </c>
      <c r="G1190" s="46">
        <v>715</v>
      </c>
      <c r="H1190" s="46">
        <v>154</v>
      </c>
      <c r="I1190" s="46">
        <v>11</v>
      </c>
      <c r="J1190" s="47">
        <v>82.278481012658204</v>
      </c>
      <c r="K1190" s="47"/>
      <c r="L1190" s="48">
        <v>699</v>
      </c>
      <c r="M1190" s="48">
        <v>26</v>
      </c>
      <c r="N1190" s="48">
        <v>6</v>
      </c>
      <c r="O1190" s="47">
        <v>96.413793103448299</v>
      </c>
      <c r="P1190" s="49"/>
    </row>
    <row r="1191" spans="1:16" ht="15" hidden="1" customHeight="1">
      <c r="A1191" s="43">
        <v>1185</v>
      </c>
      <c r="B1191" s="44" t="s">
        <v>24</v>
      </c>
      <c r="C1191" s="44" t="s">
        <v>337</v>
      </c>
      <c r="D1191" s="44" t="s">
        <v>382</v>
      </c>
      <c r="E1191" s="44" t="s">
        <v>285</v>
      </c>
      <c r="F1191" s="45" t="s">
        <v>19</v>
      </c>
      <c r="G1191" s="46">
        <v>1051</v>
      </c>
      <c r="H1191" s="46">
        <v>199</v>
      </c>
      <c r="I1191" s="46">
        <v>15</v>
      </c>
      <c r="J1191" s="47">
        <v>84.08</v>
      </c>
      <c r="K1191" s="47"/>
      <c r="L1191" s="48">
        <v>476</v>
      </c>
      <c r="M1191" s="48">
        <v>26</v>
      </c>
      <c r="N1191" s="48">
        <v>2</v>
      </c>
      <c r="O1191" s="47">
        <v>94.820717131474098</v>
      </c>
      <c r="P1191" s="49"/>
    </row>
    <row r="1192" spans="1:16" ht="15" hidden="1" customHeight="1">
      <c r="A1192" s="37">
        <v>1186</v>
      </c>
      <c r="B1192" s="38" t="s">
        <v>22</v>
      </c>
      <c r="C1192" s="57" t="s">
        <v>337</v>
      </c>
      <c r="D1192" s="57" t="s">
        <v>387</v>
      </c>
      <c r="E1192" s="57"/>
      <c r="F1192" s="38" t="s">
        <v>387</v>
      </c>
      <c r="G1192" s="39">
        <v>11868</v>
      </c>
      <c r="H1192" s="39">
        <v>2925</v>
      </c>
      <c r="I1192" s="39">
        <v>245</v>
      </c>
      <c r="J1192" s="40">
        <v>80.227134455485697</v>
      </c>
      <c r="K1192" s="40"/>
      <c r="L1192" s="41">
        <v>11761</v>
      </c>
      <c r="M1192" s="41">
        <v>1033</v>
      </c>
      <c r="N1192" s="41">
        <v>151</v>
      </c>
      <c r="O1192" s="40">
        <v>91.925902766921993</v>
      </c>
      <c r="P1192" s="42"/>
    </row>
    <row r="1193" spans="1:16" ht="15" hidden="1" customHeight="1">
      <c r="A1193" s="43">
        <v>1187</v>
      </c>
      <c r="B1193" s="44" t="s">
        <v>22</v>
      </c>
      <c r="C1193" s="44" t="s">
        <v>337</v>
      </c>
      <c r="D1193" s="44" t="s">
        <v>387</v>
      </c>
      <c r="E1193" s="44"/>
      <c r="F1193" s="45" t="s">
        <v>18</v>
      </c>
      <c r="G1193" s="46">
        <v>5118</v>
      </c>
      <c r="H1193" s="46">
        <v>1341</v>
      </c>
      <c r="I1193" s="46">
        <v>86</v>
      </c>
      <c r="J1193" s="47">
        <v>79.2382721783558</v>
      </c>
      <c r="K1193" s="47"/>
      <c r="L1193" s="48">
        <v>6140</v>
      </c>
      <c r="M1193" s="48">
        <v>364</v>
      </c>
      <c r="N1193" s="48">
        <v>58</v>
      </c>
      <c r="O1193" s="47">
        <v>94.403444034440298</v>
      </c>
      <c r="P1193" s="49"/>
    </row>
    <row r="1194" spans="1:16" ht="15" hidden="1" customHeight="1">
      <c r="A1194" s="43">
        <v>1188</v>
      </c>
      <c r="B1194" s="44" t="s">
        <v>22</v>
      </c>
      <c r="C1194" s="44" t="s">
        <v>337</v>
      </c>
      <c r="D1194" s="44" t="s">
        <v>387</v>
      </c>
      <c r="E1194" s="44"/>
      <c r="F1194" s="45" t="s">
        <v>19</v>
      </c>
      <c r="G1194" s="46">
        <v>6750</v>
      </c>
      <c r="H1194" s="46">
        <v>1584</v>
      </c>
      <c r="I1194" s="46">
        <v>159</v>
      </c>
      <c r="J1194" s="47">
        <v>80.993520518358494</v>
      </c>
      <c r="K1194" s="47"/>
      <c r="L1194" s="48">
        <v>5621</v>
      </c>
      <c r="M1194" s="48">
        <v>669</v>
      </c>
      <c r="N1194" s="48">
        <v>93</v>
      </c>
      <c r="O1194" s="47">
        <v>89.364069952305201</v>
      </c>
      <c r="P1194" s="49"/>
    </row>
    <row r="1195" spans="1:16" ht="15" customHeight="1">
      <c r="A1195" s="50">
        <v>1189</v>
      </c>
      <c r="B1195" s="51" t="s">
        <v>24</v>
      </c>
      <c r="C1195" s="58" t="s">
        <v>337</v>
      </c>
      <c r="D1195" s="58" t="s">
        <v>387</v>
      </c>
      <c r="E1195" s="58" t="s">
        <v>388</v>
      </c>
      <c r="F1195" s="59" t="s">
        <v>388</v>
      </c>
      <c r="G1195" s="52">
        <v>1858</v>
      </c>
      <c r="H1195" s="52">
        <v>569</v>
      </c>
      <c r="I1195" s="52">
        <v>20</v>
      </c>
      <c r="J1195" s="53">
        <v>76.555418211784101</v>
      </c>
      <c r="K1195" s="53">
        <f>G1195+H1195+I1195</f>
        <v>2447</v>
      </c>
      <c r="L1195" s="54">
        <v>2725</v>
      </c>
      <c r="M1195" s="54">
        <v>266</v>
      </c>
      <c r="N1195" s="54">
        <v>49</v>
      </c>
      <c r="O1195" s="53">
        <v>91.106653293213</v>
      </c>
      <c r="P1195" s="55">
        <f>L1195+M1195+N1195</f>
        <v>3040</v>
      </c>
    </row>
    <row r="1196" spans="1:16" ht="15" hidden="1" customHeight="1">
      <c r="A1196" s="43">
        <v>1190</v>
      </c>
      <c r="B1196" s="44" t="s">
        <v>24</v>
      </c>
      <c r="C1196" s="44" t="s">
        <v>337</v>
      </c>
      <c r="D1196" s="44" t="s">
        <v>387</v>
      </c>
      <c r="E1196" s="44" t="s">
        <v>388</v>
      </c>
      <c r="F1196" s="45" t="s">
        <v>18</v>
      </c>
      <c r="G1196" s="46">
        <v>972</v>
      </c>
      <c r="H1196" s="46">
        <v>281</v>
      </c>
      <c r="I1196" s="46">
        <v>12</v>
      </c>
      <c r="J1196" s="47">
        <v>77.573822825219494</v>
      </c>
      <c r="K1196" s="47"/>
      <c r="L1196" s="48">
        <v>1431</v>
      </c>
      <c r="M1196" s="48">
        <v>113</v>
      </c>
      <c r="N1196" s="48">
        <v>12</v>
      </c>
      <c r="O1196" s="47">
        <v>92.6813471502591</v>
      </c>
      <c r="P1196" s="49"/>
    </row>
    <row r="1197" spans="1:16" ht="15" hidden="1" customHeight="1">
      <c r="A1197" s="43">
        <v>1191</v>
      </c>
      <c r="B1197" s="44" t="s">
        <v>24</v>
      </c>
      <c r="C1197" s="44" t="s">
        <v>337</v>
      </c>
      <c r="D1197" s="44" t="s">
        <v>387</v>
      </c>
      <c r="E1197" s="44" t="s">
        <v>388</v>
      </c>
      <c r="F1197" s="45" t="s">
        <v>19</v>
      </c>
      <c r="G1197" s="46">
        <v>886</v>
      </c>
      <c r="H1197" s="46">
        <v>288</v>
      </c>
      <c r="I1197" s="46">
        <v>8</v>
      </c>
      <c r="J1197" s="47">
        <v>75.468483816013602</v>
      </c>
      <c r="K1197" s="47"/>
      <c r="L1197" s="48">
        <v>1294</v>
      </c>
      <c r="M1197" s="48">
        <v>153</v>
      </c>
      <c r="N1197" s="48">
        <v>37</v>
      </c>
      <c r="O1197" s="47">
        <v>89.426399447131999</v>
      </c>
      <c r="P1197" s="49"/>
    </row>
    <row r="1198" spans="1:16" ht="15" customHeight="1">
      <c r="A1198" s="50">
        <v>1192</v>
      </c>
      <c r="B1198" s="51" t="s">
        <v>24</v>
      </c>
      <c r="C1198" s="58" t="s">
        <v>337</v>
      </c>
      <c r="D1198" s="58" t="s">
        <v>387</v>
      </c>
      <c r="E1198" s="58" t="s">
        <v>389</v>
      </c>
      <c r="F1198" s="59" t="s">
        <v>389</v>
      </c>
      <c r="G1198" s="52">
        <v>1220</v>
      </c>
      <c r="H1198" s="52">
        <v>555</v>
      </c>
      <c r="I1198" s="52">
        <v>13</v>
      </c>
      <c r="J1198" s="53">
        <v>68.732394366197198</v>
      </c>
      <c r="K1198" s="53">
        <f>G1198+H1198+I1198</f>
        <v>1788</v>
      </c>
      <c r="L1198" s="54">
        <v>1397</v>
      </c>
      <c r="M1198" s="54">
        <v>139</v>
      </c>
      <c r="N1198" s="54">
        <v>21</v>
      </c>
      <c r="O1198" s="53">
        <v>90.9505208333333</v>
      </c>
      <c r="P1198" s="55">
        <f>L1198+M1198+N1198</f>
        <v>1557</v>
      </c>
    </row>
    <row r="1199" spans="1:16" ht="15" hidden="1" customHeight="1">
      <c r="A1199" s="43">
        <v>1193</v>
      </c>
      <c r="B1199" s="44" t="s">
        <v>24</v>
      </c>
      <c r="C1199" s="44" t="s">
        <v>337</v>
      </c>
      <c r="D1199" s="44" t="s">
        <v>387</v>
      </c>
      <c r="E1199" s="44" t="s">
        <v>389</v>
      </c>
      <c r="F1199" s="45" t="s">
        <v>18</v>
      </c>
      <c r="G1199" s="46">
        <v>616</v>
      </c>
      <c r="H1199" s="46">
        <v>255</v>
      </c>
      <c r="I1199" s="46">
        <v>5</v>
      </c>
      <c r="J1199" s="47">
        <v>70.723306544202103</v>
      </c>
      <c r="K1199" s="47"/>
      <c r="L1199" s="48">
        <v>783</v>
      </c>
      <c r="M1199" s="48">
        <v>78</v>
      </c>
      <c r="N1199" s="48">
        <v>11</v>
      </c>
      <c r="O1199" s="47">
        <v>90.940766550522596</v>
      </c>
      <c r="P1199" s="49"/>
    </row>
    <row r="1200" spans="1:16" ht="15" hidden="1" customHeight="1">
      <c r="A1200" s="43">
        <v>1194</v>
      </c>
      <c r="B1200" s="44" t="s">
        <v>24</v>
      </c>
      <c r="C1200" s="44" t="s">
        <v>337</v>
      </c>
      <c r="D1200" s="44" t="s">
        <v>387</v>
      </c>
      <c r="E1200" s="44" t="s">
        <v>389</v>
      </c>
      <c r="F1200" s="45" t="s">
        <v>19</v>
      </c>
      <c r="G1200" s="46">
        <v>604</v>
      </c>
      <c r="H1200" s="46">
        <v>300</v>
      </c>
      <c r="I1200" s="46">
        <v>8</v>
      </c>
      <c r="J1200" s="47">
        <v>66.814159292035399</v>
      </c>
      <c r="K1200" s="47"/>
      <c r="L1200" s="48">
        <v>614</v>
      </c>
      <c r="M1200" s="48">
        <v>61</v>
      </c>
      <c r="N1200" s="48">
        <v>10</v>
      </c>
      <c r="O1200" s="47">
        <v>90.962962962963005</v>
      </c>
      <c r="P1200" s="49"/>
    </row>
    <row r="1201" spans="1:16" ht="15" customHeight="1">
      <c r="A1201" s="50">
        <v>1195</v>
      </c>
      <c r="B1201" s="51" t="s">
        <v>24</v>
      </c>
      <c r="C1201" s="58" t="s">
        <v>337</v>
      </c>
      <c r="D1201" s="58" t="s">
        <v>387</v>
      </c>
      <c r="E1201" s="58" t="s">
        <v>390</v>
      </c>
      <c r="F1201" s="59" t="s">
        <v>390</v>
      </c>
      <c r="G1201" s="52">
        <v>4931</v>
      </c>
      <c r="H1201" s="52">
        <v>924</v>
      </c>
      <c r="I1201" s="52">
        <v>148</v>
      </c>
      <c r="J1201" s="53">
        <v>84.218616567036705</v>
      </c>
      <c r="K1201" s="53">
        <f>G1201+H1201+I1201</f>
        <v>6003</v>
      </c>
      <c r="L1201" s="54">
        <v>3887</v>
      </c>
      <c r="M1201" s="54">
        <v>174</v>
      </c>
      <c r="N1201" s="54">
        <v>26</v>
      </c>
      <c r="O1201" s="53">
        <v>95.715341049002703</v>
      </c>
      <c r="P1201" s="55">
        <f>L1201+M1201+N1201</f>
        <v>4087</v>
      </c>
    </row>
    <row r="1202" spans="1:16" ht="15" hidden="1" customHeight="1">
      <c r="A1202" s="43">
        <v>1196</v>
      </c>
      <c r="B1202" s="44" t="s">
        <v>24</v>
      </c>
      <c r="C1202" s="44" t="s">
        <v>337</v>
      </c>
      <c r="D1202" s="44" t="s">
        <v>387</v>
      </c>
      <c r="E1202" s="44" t="s">
        <v>390</v>
      </c>
      <c r="F1202" s="45" t="s">
        <v>18</v>
      </c>
      <c r="G1202" s="46">
        <v>2096</v>
      </c>
      <c r="H1202" s="46">
        <v>402</v>
      </c>
      <c r="I1202" s="46">
        <v>49</v>
      </c>
      <c r="J1202" s="47">
        <v>83.9071257005604</v>
      </c>
      <c r="K1202" s="47"/>
      <c r="L1202" s="48">
        <v>2260</v>
      </c>
      <c r="M1202" s="48">
        <v>79</v>
      </c>
      <c r="N1202" s="48">
        <v>12</v>
      </c>
      <c r="O1202" s="47">
        <v>96.622488242838799</v>
      </c>
      <c r="P1202" s="49"/>
    </row>
    <row r="1203" spans="1:16" ht="15" hidden="1" customHeight="1">
      <c r="A1203" s="43">
        <v>1197</v>
      </c>
      <c r="B1203" s="44" t="s">
        <v>24</v>
      </c>
      <c r="C1203" s="44" t="s">
        <v>337</v>
      </c>
      <c r="D1203" s="44" t="s">
        <v>387</v>
      </c>
      <c r="E1203" s="44" t="s">
        <v>390</v>
      </c>
      <c r="F1203" s="45" t="s">
        <v>19</v>
      </c>
      <c r="G1203" s="46">
        <v>2835</v>
      </c>
      <c r="H1203" s="46">
        <v>522</v>
      </c>
      <c r="I1203" s="46">
        <v>99</v>
      </c>
      <c r="J1203" s="47">
        <v>84.450402144772099</v>
      </c>
      <c r="K1203" s="47"/>
      <c r="L1203" s="48">
        <v>1627</v>
      </c>
      <c r="M1203" s="48">
        <v>95</v>
      </c>
      <c r="N1203" s="48">
        <v>14</v>
      </c>
      <c r="O1203" s="47">
        <v>94.483159117305505</v>
      </c>
      <c r="P1203" s="49"/>
    </row>
    <row r="1204" spans="1:16" ht="15" customHeight="1">
      <c r="A1204" s="50">
        <v>1198</v>
      </c>
      <c r="B1204" s="51" t="s">
        <v>24</v>
      </c>
      <c r="C1204" s="58" t="s">
        <v>337</v>
      </c>
      <c r="D1204" s="58" t="s">
        <v>387</v>
      </c>
      <c r="E1204" s="58" t="s">
        <v>391</v>
      </c>
      <c r="F1204" s="59" t="s">
        <v>391</v>
      </c>
      <c r="G1204" s="52">
        <v>689</v>
      </c>
      <c r="H1204" s="52">
        <v>120</v>
      </c>
      <c r="I1204" s="52">
        <v>7</v>
      </c>
      <c r="J1204" s="53">
        <v>85.166872682323898</v>
      </c>
      <c r="K1204" s="53">
        <f>G1204+H1204+I1204</f>
        <v>816</v>
      </c>
      <c r="L1204" s="54">
        <v>673</v>
      </c>
      <c r="M1204" s="54">
        <v>29</v>
      </c>
      <c r="N1204" s="54">
        <v>7</v>
      </c>
      <c r="O1204" s="53">
        <v>95.8689458689459</v>
      </c>
      <c r="P1204" s="55">
        <f>L1204+M1204+N1204</f>
        <v>709</v>
      </c>
    </row>
    <row r="1205" spans="1:16" ht="15" hidden="1" customHeight="1">
      <c r="A1205" s="43">
        <v>1199</v>
      </c>
      <c r="B1205" s="44" t="s">
        <v>24</v>
      </c>
      <c r="C1205" s="44" t="s">
        <v>337</v>
      </c>
      <c r="D1205" s="44" t="s">
        <v>387</v>
      </c>
      <c r="E1205" s="44" t="s">
        <v>391</v>
      </c>
      <c r="F1205" s="45" t="s">
        <v>18</v>
      </c>
      <c r="G1205" s="46"/>
      <c r="H1205" s="46"/>
      <c r="I1205" s="46"/>
      <c r="J1205" s="47"/>
      <c r="K1205" s="47"/>
      <c r="L1205" s="48"/>
      <c r="M1205" s="48"/>
      <c r="N1205" s="48"/>
      <c r="O1205" s="47"/>
      <c r="P1205" s="49"/>
    </row>
    <row r="1206" spans="1:16" ht="15" hidden="1" customHeight="1">
      <c r="A1206" s="43">
        <v>1200</v>
      </c>
      <c r="B1206" s="44" t="s">
        <v>24</v>
      </c>
      <c r="C1206" s="44" t="s">
        <v>337</v>
      </c>
      <c r="D1206" s="44" t="s">
        <v>387</v>
      </c>
      <c r="E1206" s="44" t="s">
        <v>391</v>
      </c>
      <c r="F1206" s="45" t="s">
        <v>19</v>
      </c>
      <c r="G1206" s="46">
        <v>689</v>
      </c>
      <c r="H1206" s="46">
        <v>120</v>
      </c>
      <c r="I1206" s="46">
        <v>7</v>
      </c>
      <c r="J1206" s="47">
        <v>85.166872682323898</v>
      </c>
      <c r="K1206" s="47"/>
      <c r="L1206" s="48">
        <v>673</v>
      </c>
      <c r="M1206" s="48">
        <v>29</v>
      </c>
      <c r="N1206" s="48">
        <v>7</v>
      </c>
      <c r="O1206" s="47">
        <v>95.8689458689459</v>
      </c>
      <c r="P1206" s="49"/>
    </row>
    <row r="1207" spans="1:16" ht="15" customHeight="1">
      <c r="A1207" s="50">
        <v>1201</v>
      </c>
      <c r="B1207" s="51" t="s">
        <v>24</v>
      </c>
      <c r="C1207" s="58" t="s">
        <v>337</v>
      </c>
      <c r="D1207" s="58" t="s">
        <v>387</v>
      </c>
      <c r="E1207" s="58" t="s">
        <v>392</v>
      </c>
      <c r="F1207" s="59" t="s">
        <v>392</v>
      </c>
      <c r="G1207" s="52">
        <v>653</v>
      </c>
      <c r="H1207" s="52">
        <v>243</v>
      </c>
      <c r="I1207" s="52">
        <v>17</v>
      </c>
      <c r="J1207" s="53">
        <v>72.879464285714306</v>
      </c>
      <c r="K1207" s="53">
        <f>G1207+H1207+I1207</f>
        <v>913</v>
      </c>
      <c r="L1207" s="54">
        <v>719</v>
      </c>
      <c r="M1207" s="54">
        <v>67</v>
      </c>
      <c r="N1207" s="54">
        <v>20</v>
      </c>
      <c r="O1207" s="53">
        <v>91.475826972010196</v>
      </c>
      <c r="P1207" s="55">
        <f>L1207+M1207+N1207</f>
        <v>806</v>
      </c>
    </row>
    <row r="1208" spans="1:16" ht="15" hidden="1" customHeight="1">
      <c r="A1208" s="43">
        <v>1202</v>
      </c>
      <c r="B1208" s="44" t="s">
        <v>24</v>
      </c>
      <c r="C1208" s="44" t="s">
        <v>337</v>
      </c>
      <c r="D1208" s="44" t="s">
        <v>387</v>
      </c>
      <c r="E1208" s="44" t="s">
        <v>392</v>
      </c>
      <c r="F1208" s="45" t="s">
        <v>18</v>
      </c>
      <c r="G1208" s="46">
        <v>592</v>
      </c>
      <c r="H1208" s="46">
        <v>204</v>
      </c>
      <c r="I1208" s="46">
        <v>12</v>
      </c>
      <c r="J1208" s="47">
        <v>74.371859296482398</v>
      </c>
      <c r="K1208" s="47"/>
      <c r="L1208" s="48">
        <v>642</v>
      </c>
      <c r="M1208" s="48">
        <v>56</v>
      </c>
      <c r="N1208" s="48">
        <v>16</v>
      </c>
      <c r="O1208" s="47">
        <v>91.977077363896896</v>
      </c>
      <c r="P1208" s="49"/>
    </row>
    <row r="1209" spans="1:16" ht="15" hidden="1" customHeight="1">
      <c r="A1209" s="43">
        <v>1203</v>
      </c>
      <c r="B1209" s="44" t="s">
        <v>24</v>
      </c>
      <c r="C1209" s="44" t="s">
        <v>337</v>
      </c>
      <c r="D1209" s="44" t="s">
        <v>387</v>
      </c>
      <c r="E1209" s="44" t="s">
        <v>392</v>
      </c>
      <c r="F1209" s="45" t="s">
        <v>19</v>
      </c>
      <c r="G1209" s="46">
        <v>61</v>
      </c>
      <c r="H1209" s="46">
        <v>39</v>
      </c>
      <c r="I1209" s="46">
        <v>5</v>
      </c>
      <c r="J1209" s="47">
        <v>61</v>
      </c>
      <c r="K1209" s="47"/>
      <c r="L1209" s="48">
        <v>77</v>
      </c>
      <c r="M1209" s="48">
        <v>11</v>
      </c>
      <c r="N1209" s="48">
        <v>4</v>
      </c>
      <c r="O1209" s="47">
        <v>87.5</v>
      </c>
      <c r="P1209" s="49"/>
    </row>
    <row r="1210" spans="1:16" ht="15" customHeight="1">
      <c r="A1210" s="50">
        <v>1204</v>
      </c>
      <c r="B1210" s="51" t="s">
        <v>24</v>
      </c>
      <c r="C1210" s="58" t="s">
        <v>337</v>
      </c>
      <c r="D1210" s="58" t="s">
        <v>387</v>
      </c>
      <c r="E1210" s="58" t="s">
        <v>393</v>
      </c>
      <c r="F1210" s="59" t="s">
        <v>393</v>
      </c>
      <c r="G1210" s="52">
        <v>2517</v>
      </c>
      <c r="H1210" s="52">
        <v>514</v>
      </c>
      <c r="I1210" s="52">
        <v>40</v>
      </c>
      <c r="J1210" s="53">
        <v>83.041900362916493</v>
      </c>
      <c r="K1210" s="53">
        <f>G1210+H1210+I1210</f>
        <v>3071</v>
      </c>
      <c r="L1210" s="54">
        <v>2360</v>
      </c>
      <c r="M1210" s="54">
        <v>358</v>
      </c>
      <c r="N1210" s="54">
        <v>28</v>
      </c>
      <c r="O1210" s="53">
        <v>86.828550404709304</v>
      </c>
      <c r="P1210" s="55">
        <f>L1210+M1210+N1210</f>
        <v>2746</v>
      </c>
    </row>
    <row r="1211" spans="1:16" ht="15" hidden="1" customHeight="1">
      <c r="A1211" s="43">
        <v>1205</v>
      </c>
      <c r="B1211" s="44" t="s">
        <v>24</v>
      </c>
      <c r="C1211" s="44" t="s">
        <v>337</v>
      </c>
      <c r="D1211" s="44" t="s">
        <v>387</v>
      </c>
      <c r="E1211" s="44" t="s">
        <v>393</v>
      </c>
      <c r="F1211" s="45" t="s">
        <v>18</v>
      </c>
      <c r="G1211" s="46">
        <v>842</v>
      </c>
      <c r="H1211" s="46">
        <v>199</v>
      </c>
      <c r="I1211" s="46">
        <v>8</v>
      </c>
      <c r="J1211" s="47">
        <v>80.883765609990405</v>
      </c>
      <c r="K1211" s="47"/>
      <c r="L1211" s="48">
        <v>1024</v>
      </c>
      <c r="M1211" s="48">
        <v>38</v>
      </c>
      <c r="N1211" s="48">
        <v>7</v>
      </c>
      <c r="O1211" s="47">
        <v>96.421845574387902</v>
      </c>
      <c r="P1211" s="49"/>
    </row>
    <row r="1212" spans="1:16" ht="15" hidden="1" customHeight="1">
      <c r="A1212" s="43">
        <v>1206</v>
      </c>
      <c r="B1212" s="44" t="s">
        <v>24</v>
      </c>
      <c r="C1212" s="44" t="s">
        <v>337</v>
      </c>
      <c r="D1212" s="44" t="s">
        <v>387</v>
      </c>
      <c r="E1212" s="44" t="s">
        <v>393</v>
      </c>
      <c r="F1212" s="45" t="s">
        <v>19</v>
      </c>
      <c r="G1212" s="46">
        <v>1675</v>
      </c>
      <c r="H1212" s="46">
        <v>315</v>
      </c>
      <c r="I1212" s="46">
        <v>32</v>
      </c>
      <c r="J1212" s="47">
        <v>84.170854271356802</v>
      </c>
      <c r="K1212" s="47"/>
      <c r="L1212" s="48">
        <v>1336</v>
      </c>
      <c r="M1212" s="48">
        <v>320</v>
      </c>
      <c r="N1212" s="48">
        <v>21</v>
      </c>
      <c r="O1212" s="47">
        <v>80.676328502415501</v>
      </c>
      <c r="P1212" s="49"/>
    </row>
    <row r="1213" spans="1:16" ht="15" hidden="1" customHeight="1">
      <c r="A1213" s="37">
        <v>1207</v>
      </c>
      <c r="B1213" s="38" t="s">
        <v>22</v>
      </c>
      <c r="C1213" s="57" t="s">
        <v>337</v>
      </c>
      <c r="D1213" s="57" t="s">
        <v>394</v>
      </c>
      <c r="E1213" s="57"/>
      <c r="F1213" s="38" t="s">
        <v>394</v>
      </c>
      <c r="G1213" s="39">
        <v>1114</v>
      </c>
      <c r="H1213" s="39">
        <v>541</v>
      </c>
      <c r="I1213" s="39">
        <v>38</v>
      </c>
      <c r="J1213" s="40">
        <v>67.311178247734105</v>
      </c>
      <c r="K1213" s="40"/>
      <c r="L1213" s="41">
        <v>1317</v>
      </c>
      <c r="M1213" s="41">
        <v>212</v>
      </c>
      <c r="N1213" s="41">
        <v>34</v>
      </c>
      <c r="O1213" s="40">
        <v>86.134728580771693</v>
      </c>
      <c r="P1213" s="42"/>
    </row>
    <row r="1214" spans="1:16" ht="15" hidden="1" customHeight="1">
      <c r="A1214" s="43">
        <v>1208</v>
      </c>
      <c r="B1214" s="44" t="s">
        <v>22</v>
      </c>
      <c r="C1214" s="44" t="s">
        <v>337</v>
      </c>
      <c r="D1214" s="44" t="s">
        <v>394</v>
      </c>
      <c r="E1214" s="44"/>
      <c r="F1214" s="45" t="s">
        <v>18</v>
      </c>
      <c r="G1214" s="46">
        <v>492</v>
      </c>
      <c r="H1214" s="46">
        <v>179</v>
      </c>
      <c r="I1214" s="46">
        <v>11</v>
      </c>
      <c r="J1214" s="47">
        <v>73.323397913561806</v>
      </c>
      <c r="K1214" s="47"/>
      <c r="L1214" s="48">
        <v>638</v>
      </c>
      <c r="M1214" s="48">
        <v>70</v>
      </c>
      <c r="N1214" s="48">
        <v>18</v>
      </c>
      <c r="O1214" s="47">
        <v>90.112994350282506</v>
      </c>
      <c r="P1214" s="49"/>
    </row>
    <row r="1215" spans="1:16" ht="15" hidden="1" customHeight="1">
      <c r="A1215" s="43">
        <v>1209</v>
      </c>
      <c r="B1215" s="44" t="s">
        <v>22</v>
      </c>
      <c r="C1215" s="44" t="s">
        <v>337</v>
      </c>
      <c r="D1215" s="44" t="s">
        <v>394</v>
      </c>
      <c r="E1215" s="44"/>
      <c r="F1215" s="45" t="s">
        <v>19</v>
      </c>
      <c r="G1215" s="46">
        <v>622</v>
      </c>
      <c r="H1215" s="46">
        <v>362</v>
      </c>
      <c r="I1215" s="46">
        <v>27</v>
      </c>
      <c r="J1215" s="47">
        <v>63.211382113821102</v>
      </c>
      <c r="K1215" s="47"/>
      <c r="L1215" s="48">
        <v>679</v>
      </c>
      <c r="M1215" s="48">
        <v>142</v>
      </c>
      <c r="N1215" s="48">
        <v>16</v>
      </c>
      <c r="O1215" s="47">
        <v>82.704019488428699</v>
      </c>
      <c r="P1215" s="49"/>
    </row>
    <row r="1216" spans="1:16" ht="15" customHeight="1">
      <c r="A1216" s="50">
        <v>1210</v>
      </c>
      <c r="B1216" s="51" t="s">
        <v>24</v>
      </c>
      <c r="C1216" s="58" t="s">
        <v>337</v>
      </c>
      <c r="D1216" s="58" t="s">
        <v>394</v>
      </c>
      <c r="E1216" s="58" t="s">
        <v>395</v>
      </c>
      <c r="F1216" s="59" t="s">
        <v>395</v>
      </c>
      <c r="G1216" s="52">
        <v>1114</v>
      </c>
      <c r="H1216" s="52">
        <v>541</v>
      </c>
      <c r="I1216" s="52">
        <v>38</v>
      </c>
      <c r="J1216" s="53">
        <v>67.311178247734105</v>
      </c>
      <c r="K1216" s="53">
        <f>G1216+H1216+I1216</f>
        <v>1693</v>
      </c>
      <c r="L1216" s="54">
        <v>1317</v>
      </c>
      <c r="M1216" s="54">
        <v>212</v>
      </c>
      <c r="N1216" s="54">
        <v>34</v>
      </c>
      <c r="O1216" s="53">
        <v>86.134728580771693</v>
      </c>
      <c r="P1216" s="55">
        <f>L1216+M1216+N1216</f>
        <v>1563</v>
      </c>
    </row>
    <row r="1217" spans="1:16" ht="15" hidden="1" customHeight="1">
      <c r="A1217" s="43">
        <v>1211</v>
      </c>
      <c r="B1217" s="44" t="s">
        <v>24</v>
      </c>
      <c r="C1217" s="44" t="s">
        <v>337</v>
      </c>
      <c r="D1217" s="44" t="s">
        <v>394</v>
      </c>
      <c r="E1217" s="44" t="s">
        <v>395</v>
      </c>
      <c r="F1217" s="45" t="s">
        <v>18</v>
      </c>
      <c r="G1217" s="46">
        <v>492</v>
      </c>
      <c r="H1217" s="46">
        <v>179</v>
      </c>
      <c r="I1217" s="46">
        <v>11</v>
      </c>
      <c r="J1217" s="47">
        <v>73.323397913561806</v>
      </c>
      <c r="K1217" s="47"/>
      <c r="L1217" s="48">
        <v>638</v>
      </c>
      <c r="M1217" s="48">
        <v>70</v>
      </c>
      <c r="N1217" s="48">
        <v>18</v>
      </c>
      <c r="O1217" s="47">
        <v>90.112994350282506</v>
      </c>
      <c r="P1217" s="49"/>
    </row>
    <row r="1218" spans="1:16" ht="15" hidden="1" customHeight="1">
      <c r="A1218" s="43">
        <v>1212</v>
      </c>
      <c r="B1218" s="44" t="s">
        <v>24</v>
      </c>
      <c r="C1218" s="44" t="s">
        <v>337</v>
      </c>
      <c r="D1218" s="44" t="s">
        <v>394</v>
      </c>
      <c r="E1218" s="44" t="s">
        <v>395</v>
      </c>
      <c r="F1218" s="45" t="s">
        <v>19</v>
      </c>
      <c r="G1218" s="46">
        <v>622</v>
      </c>
      <c r="H1218" s="46">
        <v>362</v>
      </c>
      <c r="I1218" s="46">
        <v>27</v>
      </c>
      <c r="J1218" s="47">
        <v>63.211382113821102</v>
      </c>
      <c r="K1218" s="47"/>
      <c r="L1218" s="48">
        <v>679</v>
      </c>
      <c r="M1218" s="48">
        <v>142</v>
      </c>
      <c r="N1218" s="48">
        <v>16</v>
      </c>
      <c r="O1218" s="47">
        <v>82.704019488428699</v>
      </c>
      <c r="P1218" s="49"/>
    </row>
    <row r="1219" spans="1:16" ht="15" hidden="1" customHeight="1">
      <c r="A1219" s="37">
        <v>1213</v>
      </c>
      <c r="B1219" s="38" t="s">
        <v>22</v>
      </c>
      <c r="C1219" s="57" t="s">
        <v>337</v>
      </c>
      <c r="D1219" s="57" t="s">
        <v>396</v>
      </c>
      <c r="E1219" s="57"/>
      <c r="F1219" s="38" t="s">
        <v>396</v>
      </c>
      <c r="G1219" s="39">
        <v>2642</v>
      </c>
      <c r="H1219" s="39">
        <v>230</v>
      </c>
      <c r="I1219" s="39">
        <v>67</v>
      </c>
      <c r="J1219" s="40">
        <v>91.991643454038993</v>
      </c>
      <c r="K1219" s="40"/>
      <c r="L1219" s="41">
        <v>1899</v>
      </c>
      <c r="M1219" s="41">
        <v>49</v>
      </c>
      <c r="N1219" s="41">
        <v>11</v>
      </c>
      <c r="O1219" s="40">
        <v>97.4845995893224</v>
      </c>
      <c r="P1219" s="42"/>
    </row>
    <row r="1220" spans="1:16" ht="15" hidden="1" customHeight="1">
      <c r="A1220" s="43">
        <v>1214</v>
      </c>
      <c r="B1220" s="44" t="s">
        <v>22</v>
      </c>
      <c r="C1220" s="44" t="s">
        <v>337</v>
      </c>
      <c r="D1220" s="44" t="s">
        <v>396</v>
      </c>
      <c r="E1220" s="44"/>
      <c r="F1220" s="45" t="s">
        <v>18</v>
      </c>
      <c r="G1220" s="46">
        <v>1078</v>
      </c>
      <c r="H1220" s="46">
        <v>68</v>
      </c>
      <c r="I1220" s="46">
        <v>32</v>
      </c>
      <c r="J1220" s="47">
        <v>94.066317626527095</v>
      </c>
      <c r="K1220" s="47"/>
      <c r="L1220" s="48">
        <v>811</v>
      </c>
      <c r="M1220" s="48">
        <v>22</v>
      </c>
      <c r="N1220" s="48">
        <v>4</v>
      </c>
      <c r="O1220" s="47">
        <v>97.358943577431006</v>
      </c>
      <c r="P1220" s="49"/>
    </row>
    <row r="1221" spans="1:16" ht="15" hidden="1" customHeight="1">
      <c r="A1221" s="43">
        <v>1215</v>
      </c>
      <c r="B1221" s="44" t="s">
        <v>22</v>
      </c>
      <c r="C1221" s="44" t="s">
        <v>337</v>
      </c>
      <c r="D1221" s="44" t="s">
        <v>396</v>
      </c>
      <c r="E1221" s="44"/>
      <c r="F1221" s="45" t="s">
        <v>19</v>
      </c>
      <c r="G1221" s="46">
        <v>1564</v>
      </c>
      <c r="H1221" s="46">
        <v>162</v>
      </c>
      <c r="I1221" s="46">
        <v>35</v>
      </c>
      <c r="J1221" s="47">
        <v>90.614136732329101</v>
      </c>
      <c r="K1221" s="47"/>
      <c r="L1221" s="48">
        <v>1088</v>
      </c>
      <c r="M1221" s="48">
        <v>27</v>
      </c>
      <c r="N1221" s="48">
        <v>7</v>
      </c>
      <c r="O1221" s="47">
        <v>97.578475336322896</v>
      </c>
      <c r="P1221" s="49"/>
    </row>
    <row r="1222" spans="1:16" ht="15" customHeight="1">
      <c r="A1222" s="50">
        <v>1216</v>
      </c>
      <c r="B1222" s="51" t="s">
        <v>24</v>
      </c>
      <c r="C1222" s="58" t="s">
        <v>337</v>
      </c>
      <c r="D1222" s="58" t="s">
        <v>396</v>
      </c>
      <c r="E1222" s="58" t="s">
        <v>397</v>
      </c>
      <c r="F1222" s="59" t="s">
        <v>397</v>
      </c>
      <c r="G1222" s="52">
        <v>1789</v>
      </c>
      <c r="H1222" s="52">
        <v>173</v>
      </c>
      <c r="I1222" s="52">
        <v>35</v>
      </c>
      <c r="J1222" s="53">
        <v>91.182466870540296</v>
      </c>
      <c r="K1222" s="53">
        <f>G1222+H1222+I1222</f>
        <v>1997</v>
      </c>
      <c r="L1222" s="54">
        <v>1421</v>
      </c>
      <c r="M1222" s="54">
        <v>36</v>
      </c>
      <c r="N1222" s="54">
        <v>11</v>
      </c>
      <c r="O1222" s="53">
        <v>97.529169526424198</v>
      </c>
      <c r="P1222" s="55">
        <f>L1222+M1222+N1222</f>
        <v>1468</v>
      </c>
    </row>
    <row r="1223" spans="1:16" ht="15" hidden="1" customHeight="1">
      <c r="A1223" s="43">
        <v>1217</v>
      </c>
      <c r="B1223" s="44" t="s">
        <v>24</v>
      </c>
      <c r="C1223" s="44" t="s">
        <v>337</v>
      </c>
      <c r="D1223" s="44" t="s">
        <v>396</v>
      </c>
      <c r="E1223" s="44" t="s">
        <v>397</v>
      </c>
      <c r="F1223" s="45" t="s">
        <v>18</v>
      </c>
      <c r="G1223" s="46">
        <v>594</v>
      </c>
      <c r="H1223" s="46">
        <v>41</v>
      </c>
      <c r="I1223" s="46">
        <v>13</v>
      </c>
      <c r="J1223" s="47">
        <v>93.543307086614206</v>
      </c>
      <c r="K1223" s="47"/>
      <c r="L1223" s="48">
        <v>515</v>
      </c>
      <c r="M1223" s="48">
        <v>11</v>
      </c>
      <c r="N1223" s="48">
        <v>4</v>
      </c>
      <c r="O1223" s="47">
        <v>97.908745247148303</v>
      </c>
      <c r="P1223" s="49"/>
    </row>
    <row r="1224" spans="1:16" ht="15" hidden="1" customHeight="1">
      <c r="A1224" s="43">
        <v>1218</v>
      </c>
      <c r="B1224" s="44" t="s">
        <v>24</v>
      </c>
      <c r="C1224" s="44" t="s">
        <v>337</v>
      </c>
      <c r="D1224" s="44" t="s">
        <v>396</v>
      </c>
      <c r="E1224" s="44" t="s">
        <v>397</v>
      </c>
      <c r="F1224" s="45" t="s">
        <v>19</v>
      </c>
      <c r="G1224" s="46">
        <v>1195</v>
      </c>
      <c r="H1224" s="46">
        <v>132</v>
      </c>
      <c r="I1224" s="46">
        <v>22</v>
      </c>
      <c r="J1224" s="47">
        <v>90.052750565184596</v>
      </c>
      <c r="K1224" s="47"/>
      <c r="L1224" s="48">
        <v>906</v>
      </c>
      <c r="M1224" s="48">
        <v>25</v>
      </c>
      <c r="N1224" s="48">
        <v>7</v>
      </c>
      <c r="O1224" s="47">
        <v>97.314715359828099</v>
      </c>
      <c r="P1224" s="49"/>
    </row>
    <row r="1225" spans="1:16" ht="15" customHeight="1">
      <c r="A1225" s="50">
        <v>1219</v>
      </c>
      <c r="B1225" s="51" t="s">
        <v>24</v>
      </c>
      <c r="C1225" s="58" t="s">
        <v>337</v>
      </c>
      <c r="D1225" s="58" t="s">
        <v>396</v>
      </c>
      <c r="E1225" s="58" t="s">
        <v>398</v>
      </c>
      <c r="F1225" s="59" t="s">
        <v>398</v>
      </c>
      <c r="G1225" s="52">
        <v>853</v>
      </c>
      <c r="H1225" s="52">
        <v>57</v>
      </c>
      <c r="I1225" s="52">
        <v>32</v>
      </c>
      <c r="J1225" s="53">
        <v>93.736263736263695</v>
      </c>
      <c r="K1225" s="53">
        <f>G1225+H1225+I1225</f>
        <v>942</v>
      </c>
      <c r="L1225" s="54">
        <v>478</v>
      </c>
      <c r="M1225" s="54">
        <v>13</v>
      </c>
      <c r="N1225" s="54">
        <v>0</v>
      </c>
      <c r="O1225" s="53">
        <v>97.3523421588595</v>
      </c>
      <c r="P1225" s="55">
        <f>L1225+M1225+N1225</f>
        <v>491</v>
      </c>
    </row>
    <row r="1226" spans="1:16" ht="15" hidden="1" customHeight="1">
      <c r="A1226" s="43">
        <v>1220</v>
      </c>
      <c r="B1226" s="44" t="s">
        <v>24</v>
      </c>
      <c r="C1226" s="44" t="s">
        <v>337</v>
      </c>
      <c r="D1226" s="44" t="s">
        <v>396</v>
      </c>
      <c r="E1226" s="44" t="s">
        <v>398</v>
      </c>
      <c r="F1226" s="45" t="s">
        <v>18</v>
      </c>
      <c r="G1226" s="46">
        <v>484</v>
      </c>
      <c r="H1226" s="46">
        <v>27</v>
      </c>
      <c r="I1226" s="46">
        <v>19</v>
      </c>
      <c r="J1226" s="47">
        <v>94.716242661448106</v>
      </c>
      <c r="K1226" s="47"/>
      <c r="L1226" s="48">
        <v>296</v>
      </c>
      <c r="M1226" s="48">
        <v>11</v>
      </c>
      <c r="N1226" s="48">
        <v>0</v>
      </c>
      <c r="O1226" s="47">
        <v>96.4169381107492</v>
      </c>
      <c r="P1226" s="49"/>
    </row>
    <row r="1227" spans="1:16" ht="15" hidden="1" customHeight="1">
      <c r="A1227" s="43">
        <v>1221</v>
      </c>
      <c r="B1227" s="44" t="s">
        <v>24</v>
      </c>
      <c r="C1227" s="44" t="s">
        <v>337</v>
      </c>
      <c r="D1227" s="44" t="s">
        <v>396</v>
      </c>
      <c r="E1227" s="44" t="s">
        <v>398</v>
      </c>
      <c r="F1227" s="45" t="s">
        <v>19</v>
      </c>
      <c r="G1227" s="46">
        <v>369</v>
      </c>
      <c r="H1227" s="46">
        <v>30</v>
      </c>
      <c r="I1227" s="46">
        <v>13</v>
      </c>
      <c r="J1227" s="47">
        <v>92.481203007518801</v>
      </c>
      <c r="K1227" s="47"/>
      <c r="L1227" s="48">
        <v>182</v>
      </c>
      <c r="M1227" s="48">
        <v>2</v>
      </c>
      <c r="N1227" s="48">
        <v>0</v>
      </c>
      <c r="O1227" s="47">
        <v>98.913043478260903</v>
      </c>
      <c r="P1227" s="49"/>
    </row>
    <row r="1228" spans="1:16" ht="15" hidden="1" customHeight="1">
      <c r="A1228" s="37">
        <v>1222</v>
      </c>
      <c r="B1228" s="38" t="s">
        <v>22</v>
      </c>
      <c r="C1228" s="57" t="s">
        <v>337</v>
      </c>
      <c r="D1228" s="57" t="s">
        <v>399</v>
      </c>
      <c r="E1228" s="57"/>
      <c r="F1228" s="38" t="s">
        <v>399</v>
      </c>
      <c r="G1228" s="39">
        <v>3971</v>
      </c>
      <c r="H1228" s="39">
        <v>532</v>
      </c>
      <c r="I1228" s="39">
        <v>60</v>
      </c>
      <c r="J1228" s="40">
        <v>88.185654008438803</v>
      </c>
      <c r="K1228" s="40"/>
      <c r="L1228" s="41">
        <v>3027</v>
      </c>
      <c r="M1228" s="41">
        <v>409</v>
      </c>
      <c r="N1228" s="41">
        <v>48</v>
      </c>
      <c r="O1228" s="40">
        <v>88.096623981373696</v>
      </c>
      <c r="P1228" s="42"/>
    </row>
    <row r="1229" spans="1:16" ht="15" hidden="1" customHeight="1">
      <c r="A1229" s="43">
        <v>1223</v>
      </c>
      <c r="B1229" s="44" t="s">
        <v>22</v>
      </c>
      <c r="C1229" s="44" t="s">
        <v>337</v>
      </c>
      <c r="D1229" s="44" t="s">
        <v>399</v>
      </c>
      <c r="E1229" s="44"/>
      <c r="F1229" s="45" t="s">
        <v>18</v>
      </c>
      <c r="G1229" s="46">
        <v>3336</v>
      </c>
      <c r="H1229" s="46">
        <v>393</v>
      </c>
      <c r="I1229" s="46">
        <v>46</v>
      </c>
      <c r="J1229" s="47">
        <v>89.460981496379702</v>
      </c>
      <c r="K1229" s="47"/>
      <c r="L1229" s="48">
        <v>2203</v>
      </c>
      <c r="M1229" s="48">
        <v>217</v>
      </c>
      <c r="N1229" s="48">
        <v>40</v>
      </c>
      <c r="O1229" s="47">
        <v>91.033057851239704</v>
      </c>
      <c r="P1229" s="49"/>
    </row>
    <row r="1230" spans="1:16" ht="15" hidden="1" customHeight="1">
      <c r="A1230" s="43">
        <v>1224</v>
      </c>
      <c r="B1230" s="44" t="s">
        <v>22</v>
      </c>
      <c r="C1230" s="44" t="s">
        <v>337</v>
      </c>
      <c r="D1230" s="44" t="s">
        <v>399</v>
      </c>
      <c r="E1230" s="44"/>
      <c r="F1230" s="45" t="s">
        <v>19</v>
      </c>
      <c r="G1230" s="46">
        <v>635</v>
      </c>
      <c r="H1230" s="46">
        <v>139</v>
      </c>
      <c r="I1230" s="46">
        <v>14</v>
      </c>
      <c r="J1230" s="47">
        <v>82.041343669250594</v>
      </c>
      <c r="K1230" s="47"/>
      <c r="L1230" s="48">
        <v>824</v>
      </c>
      <c r="M1230" s="48">
        <v>192</v>
      </c>
      <c r="N1230" s="48">
        <v>8</v>
      </c>
      <c r="O1230" s="47">
        <v>81.1023622047244</v>
      </c>
      <c r="P1230" s="49"/>
    </row>
    <row r="1231" spans="1:16" ht="15" customHeight="1">
      <c r="A1231" s="50">
        <v>1225</v>
      </c>
      <c r="B1231" s="51" t="s">
        <v>24</v>
      </c>
      <c r="C1231" s="58" t="s">
        <v>337</v>
      </c>
      <c r="D1231" s="58" t="s">
        <v>399</v>
      </c>
      <c r="E1231" s="58" t="s">
        <v>400</v>
      </c>
      <c r="F1231" s="59" t="s">
        <v>400</v>
      </c>
      <c r="G1231" s="52">
        <v>1751</v>
      </c>
      <c r="H1231" s="52">
        <v>198</v>
      </c>
      <c r="I1231" s="52">
        <v>23</v>
      </c>
      <c r="J1231" s="53">
        <v>89.840944073884003</v>
      </c>
      <c r="K1231" s="53">
        <f>G1231+H1231+I1231</f>
        <v>1972</v>
      </c>
      <c r="L1231" s="54">
        <v>1112</v>
      </c>
      <c r="M1231" s="54">
        <v>85</v>
      </c>
      <c r="N1231" s="54">
        <v>18</v>
      </c>
      <c r="O1231" s="53">
        <v>92.898913951545495</v>
      </c>
      <c r="P1231" s="55">
        <f>L1231+M1231+N1231</f>
        <v>1215</v>
      </c>
    </row>
    <row r="1232" spans="1:16" ht="15" hidden="1" customHeight="1">
      <c r="A1232" s="43">
        <v>1226</v>
      </c>
      <c r="B1232" s="44" t="s">
        <v>24</v>
      </c>
      <c r="C1232" s="44" t="s">
        <v>337</v>
      </c>
      <c r="D1232" s="44" t="s">
        <v>399</v>
      </c>
      <c r="E1232" s="44" t="s">
        <v>400</v>
      </c>
      <c r="F1232" s="45" t="s">
        <v>18</v>
      </c>
      <c r="G1232" s="46">
        <v>1442</v>
      </c>
      <c r="H1232" s="46">
        <v>148</v>
      </c>
      <c r="I1232" s="46">
        <v>19</v>
      </c>
      <c r="J1232" s="47">
        <v>90.691823899371101</v>
      </c>
      <c r="K1232" s="47"/>
      <c r="L1232" s="48">
        <v>752</v>
      </c>
      <c r="M1232" s="48">
        <v>51</v>
      </c>
      <c r="N1232" s="48">
        <v>14</v>
      </c>
      <c r="O1232" s="47">
        <v>93.648816936488203</v>
      </c>
      <c r="P1232" s="49"/>
    </row>
    <row r="1233" spans="1:16" ht="15" hidden="1" customHeight="1">
      <c r="A1233" s="43">
        <v>1227</v>
      </c>
      <c r="B1233" s="44" t="s">
        <v>24</v>
      </c>
      <c r="C1233" s="44" t="s">
        <v>337</v>
      </c>
      <c r="D1233" s="44" t="s">
        <v>399</v>
      </c>
      <c r="E1233" s="44" t="s">
        <v>400</v>
      </c>
      <c r="F1233" s="45" t="s">
        <v>19</v>
      </c>
      <c r="G1233" s="46">
        <v>309</v>
      </c>
      <c r="H1233" s="46">
        <v>50</v>
      </c>
      <c r="I1233" s="46">
        <v>4</v>
      </c>
      <c r="J1233" s="47">
        <v>86.072423398328695</v>
      </c>
      <c r="K1233" s="47"/>
      <c r="L1233" s="48">
        <v>360</v>
      </c>
      <c r="M1233" s="48">
        <v>34</v>
      </c>
      <c r="N1233" s="48">
        <v>4</v>
      </c>
      <c r="O1233" s="47">
        <v>91.370558375634502</v>
      </c>
      <c r="P1233" s="49"/>
    </row>
    <row r="1234" spans="1:16" ht="15" customHeight="1">
      <c r="A1234" s="50">
        <v>1228</v>
      </c>
      <c r="B1234" s="51" t="s">
        <v>24</v>
      </c>
      <c r="C1234" s="58" t="s">
        <v>337</v>
      </c>
      <c r="D1234" s="58" t="s">
        <v>399</v>
      </c>
      <c r="E1234" s="58" t="s">
        <v>401</v>
      </c>
      <c r="F1234" s="59" t="s">
        <v>401</v>
      </c>
      <c r="G1234" s="52">
        <v>1586</v>
      </c>
      <c r="H1234" s="52">
        <v>202</v>
      </c>
      <c r="I1234" s="52">
        <v>22</v>
      </c>
      <c r="J1234" s="53">
        <v>88.702460850111805</v>
      </c>
      <c r="K1234" s="53">
        <f>G1234+H1234+I1234</f>
        <v>1810</v>
      </c>
      <c r="L1234" s="54">
        <v>1139</v>
      </c>
      <c r="M1234" s="54">
        <v>149</v>
      </c>
      <c r="N1234" s="54">
        <v>24</v>
      </c>
      <c r="O1234" s="53">
        <v>88.431677018633494</v>
      </c>
      <c r="P1234" s="55">
        <f>L1234+M1234+N1234</f>
        <v>1312</v>
      </c>
    </row>
    <row r="1235" spans="1:16" ht="15" hidden="1" customHeight="1">
      <c r="A1235" s="43">
        <v>1229</v>
      </c>
      <c r="B1235" s="44" t="s">
        <v>24</v>
      </c>
      <c r="C1235" s="44" t="s">
        <v>337</v>
      </c>
      <c r="D1235" s="44" t="s">
        <v>399</v>
      </c>
      <c r="E1235" s="44" t="s">
        <v>401</v>
      </c>
      <c r="F1235" s="45" t="s">
        <v>18</v>
      </c>
      <c r="G1235" s="46">
        <v>1576</v>
      </c>
      <c r="H1235" s="46">
        <v>192</v>
      </c>
      <c r="I1235" s="46">
        <v>22</v>
      </c>
      <c r="J1235" s="47">
        <v>89.140271493212694</v>
      </c>
      <c r="K1235" s="47"/>
      <c r="L1235" s="48">
        <v>1123</v>
      </c>
      <c r="M1235" s="48">
        <v>144</v>
      </c>
      <c r="N1235" s="48">
        <v>23</v>
      </c>
      <c r="O1235" s="47">
        <v>88.634569850039497</v>
      </c>
      <c r="P1235" s="49"/>
    </row>
    <row r="1236" spans="1:16" ht="15" hidden="1" customHeight="1">
      <c r="A1236" s="43">
        <v>1230</v>
      </c>
      <c r="B1236" s="44" t="s">
        <v>24</v>
      </c>
      <c r="C1236" s="44" t="s">
        <v>337</v>
      </c>
      <c r="D1236" s="44" t="s">
        <v>399</v>
      </c>
      <c r="E1236" s="44" t="s">
        <v>401</v>
      </c>
      <c r="F1236" s="45" t="s">
        <v>19</v>
      </c>
      <c r="G1236" s="46">
        <v>10</v>
      </c>
      <c r="H1236" s="46">
        <v>10</v>
      </c>
      <c r="I1236" s="46">
        <v>0</v>
      </c>
      <c r="J1236" s="47">
        <v>50</v>
      </c>
      <c r="K1236" s="47"/>
      <c r="L1236" s="48">
        <v>16</v>
      </c>
      <c r="M1236" s="48">
        <v>5</v>
      </c>
      <c r="N1236" s="48">
        <v>1</v>
      </c>
      <c r="O1236" s="47">
        <v>76.190476190476204</v>
      </c>
      <c r="P1236" s="49"/>
    </row>
    <row r="1237" spans="1:16" ht="15" customHeight="1">
      <c r="A1237" s="50">
        <v>1231</v>
      </c>
      <c r="B1237" s="51" t="s">
        <v>24</v>
      </c>
      <c r="C1237" s="58" t="s">
        <v>337</v>
      </c>
      <c r="D1237" s="58" t="s">
        <v>399</v>
      </c>
      <c r="E1237" s="58" t="s">
        <v>402</v>
      </c>
      <c r="F1237" s="59" t="s">
        <v>402</v>
      </c>
      <c r="G1237" s="52">
        <v>634</v>
      </c>
      <c r="H1237" s="52">
        <v>132</v>
      </c>
      <c r="I1237" s="52">
        <v>15</v>
      </c>
      <c r="J1237" s="53">
        <v>82.767624020887695</v>
      </c>
      <c r="K1237" s="53">
        <f>G1237+H1237+I1237</f>
        <v>781</v>
      </c>
      <c r="L1237" s="54">
        <v>776</v>
      </c>
      <c r="M1237" s="54">
        <v>175</v>
      </c>
      <c r="N1237" s="54">
        <v>6</v>
      </c>
      <c r="O1237" s="53">
        <v>81.598317560462704</v>
      </c>
      <c r="P1237" s="55">
        <f>L1237+M1237+N1237</f>
        <v>957</v>
      </c>
    </row>
    <row r="1238" spans="1:16" ht="15" hidden="1" customHeight="1">
      <c r="A1238" s="43">
        <v>1232</v>
      </c>
      <c r="B1238" s="44" t="s">
        <v>24</v>
      </c>
      <c r="C1238" s="44" t="s">
        <v>337</v>
      </c>
      <c r="D1238" s="44" t="s">
        <v>399</v>
      </c>
      <c r="E1238" s="44" t="s">
        <v>402</v>
      </c>
      <c r="F1238" s="45" t="s">
        <v>18</v>
      </c>
      <c r="G1238" s="46">
        <v>318</v>
      </c>
      <c r="H1238" s="46">
        <v>53</v>
      </c>
      <c r="I1238" s="46">
        <v>5</v>
      </c>
      <c r="J1238" s="47">
        <v>85.714285714285694</v>
      </c>
      <c r="K1238" s="47"/>
      <c r="L1238" s="48">
        <v>328</v>
      </c>
      <c r="M1238" s="48">
        <v>22</v>
      </c>
      <c r="N1238" s="48">
        <v>3</v>
      </c>
      <c r="O1238" s="47">
        <v>93.714285714285694</v>
      </c>
      <c r="P1238" s="49"/>
    </row>
    <row r="1239" spans="1:16" ht="15" hidden="1" customHeight="1">
      <c r="A1239" s="43">
        <v>1233</v>
      </c>
      <c r="B1239" s="44" t="s">
        <v>24</v>
      </c>
      <c r="C1239" s="44" t="s">
        <v>337</v>
      </c>
      <c r="D1239" s="44" t="s">
        <v>399</v>
      </c>
      <c r="E1239" s="44" t="s">
        <v>402</v>
      </c>
      <c r="F1239" s="45" t="s">
        <v>19</v>
      </c>
      <c r="G1239" s="46">
        <v>316</v>
      </c>
      <c r="H1239" s="46">
        <v>79</v>
      </c>
      <c r="I1239" s="46">
        <v>10</v>
      </c>
      <c r="J1239" s="47">
        <v>80</v>
      </c>
      <c r="K1239" s="47"/>
      <c r="L1239" s="48">
        <v>448</v>
      </c>
      <c r="M1239" s="48">
        <v>153</v>
      </c>
      <c r="N1239" s="48">
        <v>3</v>
      </c>
      <c r="O1239" s="47">
        <v>74.542429284525795</v>
      </c>
      <c r="P1239" s="49"/>
    </row>
    <row r="1240" spans="1:16" ht="15" hidden="1" customHeight="1">
      <c r="A1240" s="37">
        <v>1234</v>
      </c>
      <c r="B1240" s="38" t="s">
        <v>22</v>
      </c>
      <c r="C1240" s="57" t="s">
        <v>337</v>
      </c>
      <c r="D1240" s="57" t="s">
        <v>403</v>
      </c>
      <c r="E1240" s="57"/>
      <c r="F1240" s="38" t="s">
        <v>403</v>
      </c>
      <c r="G1240" s="39">
        <v>4988</v>
      </c>
      <c r="H1240" s="39">
        <v>1221</v>
      </c>
      <c r="I1240" s="39">
        <v>171</v>
      </c>
      <c r="J1240" s="40">
        <v>80.334997584152006</v>
      </c>
      <c r="K1240" s="40"/>
      <c r="L1240" s="41">
        <v>4683</v>
      </c>
      <c r="M1240" s="41">
        <v>435</v>
      </c>
      <c r="N1240" s="41">
        <v>81</v>
      </c>
      <c r="O1240" s="40">
        <v>91.500586166471294</v>
      </c>
      <c r="P1240" s="42"/>
    </row>
    <row r="1241" spans="1:16" ht="15" hidden="1" customHeight="1">
      <c r="A1241" s="43">
        <v>1235</v>
      </c>
      <c r="B1241" s="44" t="s">
        <v>22</v>
      </c>
      <c r="C1241" s="44" t="s">
        <v>337</v>
      </c>
      <c r="D1241" s="44" t="s">
        <v>403</v>
      </c>
      <c r="E1241" s="44"/>
      <c r="F1241" s="45" t="s">
        <v>18</v>
      </c>
      <c r="G1241" s="46">
        <v>3216</v>
      </c>
      <c r="H1241" s="46">
        <v>707</v>
      </c>
      <c r="I1241" s="46">
        <v>119</v>
      </c>
      <c r="J1241" s="47">
        <v>81.978078001529397</v>
      </c>
      <c r="K1241" s="47"/>
      <c r="L1241" s="48">
        <v>2753</v>
      </c>
      <c r="M1241" s="48">
        <v>250</v>
      </c>
      <c r="N1241" s="48">
        <v>37</v>
      </c>
      <c r="O1241" s="47">
        <v>91.674991674991702</v>
      </c>
      <c r="P1241" s="49"/>
    </row>
    <row r="1242" spans="1:16" ht="15" hidden="1" customHeight="1">
      <c r="A1242" s="43">
        <v>1236</v>
      </c>
      <c r="B1242" s="44" t="s">
        <v>22</v>
      </c>
      <c r="C1242" s="44" t="s">
        <v>337</v>
      </c>
      <c r="D1242" s="44" t="s">
        <v>403</v>
      </c>
      <c r="E1242" s="44"/>
      <c r="F1242" s="45" t="s">
        <v>19</v>
      </c>
      <c r="G1242" s="46">
        <v>1772</v>
      </c>
      <c r="H1242" s="46">
        <v>514</v>
      </c>
      <c r="I1242" s="46">
        <v>52</v>
      </c>
      <c r="J1242" s="47">
        <v>77.515310586176696</v>
      </c>
      <c r="K1242" s="47"/>
      <c r="L1242" s="48">
        <v>1930</v>
      </c>
      <c r="M1242" s="48">
        <v>185</v>
      </c>
      <c r="N1242" s="48">
        <v>44</v>
      </c>
      <c r="O1242" s="47">
        <v>91.252955082742304</v>
      </c>
      <c r="P1242" s="49"/>
    </row>
    <row r="1243" spans="1:16" ht="15" customHeight="1">
      <c r="A1243" s="50">
        <v>1237</v>
      </c>
      <c r="B1243" s="51" t="s">
        <v>24</v>
      </c>
      <c r="C1243" s="58" t="s">
        <v>337</v>
      </c>
      <c r="D1243" s="58" t="s">
        <v>403</v>
      </c>
      <c r="E1243" s="58" t="s">
        <v>404</v>
      </c>
      <c r="F1243" s="59" t="s">
        <v>404</v>
      </c>
      <c r="G1243" s="52">
        <v>2740</v>
      </c>
      <c r="H1243" s="52">
        <v>712</v>
      </c>
      <c r="I1243" s="52">
        <v>112</v>
      </c>
      <c r="J1243" s="53">
        <v>79.374275782155294</v>
      </c>
      <c r="K1243" s="53">
        <f>G1243+H1243+I1243</f>
        <v>3564</v>
      </c>
      <c r="L1243" s="54">
        <v>2854</v>
      </c>
      <c r="M1243" s="54">
        <v>278</v>
      </c>
      <c r="N1243" s="54">
        <v>55</v>
      </c>
      <c r="O1243" s="53">
        <v>91.123882503192803</v>
      </c>
      <c r="P1243" s="55">
        <f>L1243+M1243+N1243</f>
        <v>3187</v>
      </c>
    </row>
    <row r="1244" spans="1:16" ht="15" hidden="1" customHeight="1">
      <c r="A1244" s="43">
        <v>1238</v>
      </c>
      <c r="B1244" s="44" t="s">
        <v>24</v>
      </c>
      <c r="C1244" s="44" t="s">
        <v>337</v>
      </c>
      <c r="D1244" s="44" t="s">
        <v>403</v>
      </c>
      <c r="E1244" s="44" t="s">
        <v>404</v>
      </c>
      <c r="F1244" s="45" t="s">
        <v>18</v>
      </c>
      <c r="G1244" s="46">
        <v>2023</v>
      </c>
      <c r="H1244" s="46">
        <v>505</v>
      </c>
      <c r="I1244" s="46">
        <v>82</v>
      </c>
      <c r="J1244" s="47">
        <v>80.023734177215204</v>
      </c>
      <c r="K1244" s="47"/>
      <c r="L1244" s="48">
        <v>2029</v>
      </c>
      <c r="M1244" s="48">
        <v>222</v>
      </c>
      <c r="N1244" s="48">
        <v>30</v>
      </c>
      <c r="O1244" s="47">
        <v>90.137716570413104</v>
      </c>
      <c r="P1244" s="49"/>
    </row>
    <row r="1245" spans="1:16" ht="15" hidden="1" customHeight="1">
      <c r="A1245" s="43">
        <v>1239</v>
      </c>
      <c r="B1245" s="44" t="s">
        <v>24</v>
      </c>
      <c r="C1245" s="44" t="s">
        <v>337</v>
      </c>
      <c r="D1245" s="44" t="s">
        <v>403</v>
      </c>
      <c r="E1245" s="44" t="s">
        <v>404</v>
      </c>
      <c r="F1245" s="45" t="s">
        <v>19</v>
      </c>
      <c r="G1245" s="46">
        <v>717</v>
      </c>
      <c r="H1245" s="46">
        <v>207</v>
      </c>
      <c r="I1245" s="46">
        <v>30</v>
      </c>
      <c r="J1245" s="47">
        <v>77.597402597402606</v>
      </c>
      <c r="K1245" s="47"/>
      <c r="L1245" s="48">
        <v>825</v>
      </c>
      <c r="M1245" s="48">
        <v>56</v>
      </c>
      <c r="N1245" s="48">
        <v>25</v>
      </c>
      <c r="O1245" s="47">
        <v>93.643586833144198</v>
      </c>
      <c r="P1245" s="49"/>
    </row>
    <row r="1246" spans="1:16" ht="15" customHeight="1">
      <c r="A1246" s="50">
        <v>1240</v>
      </c>
      <c r="B1246" s="51" t="s">
        <v>24</v>
      </c>
      <c r="C1246" s="58" t="s">
        <v>337</v>
      </c>
      <c r="D1246" s="58" t="s">
        <v>403</v>
      </c>
      <c r="E1246" s="58" t="s">
        <v>405</v>
      </c>
      <c r="F1246" s="59" t="s">
        <v>405</v>
      </c>
      <c r="G1246" s="52">
        <v>822</v>
      </c>
      <c r="H1246" s="52">
        <v>93</v>
      </c>
      <c r="I1246" s="52">
        <v>32</v>
      </c>
      <c r="J1246" s="53">
        <v>89.836065573770497</v>
      </c>
      <c r="K1246" s="53">
        <f>G1246+H1246+I1246</f>
        <v>947</v>
      </c>
      <c r="L1246" s="54">
        <v>585</v>
      </c>
      <c r="M1246" s="54">
        <v>24</v>
      </c>
      <c r="N1246" s="54">
        <v>6</v>
      </c>
      <c r="O1246" s="53">
        <v>96.059113300492598</v>
      </c>
      <c r="P1246" s="55">
        <f>L1246+M1246+N1246</f>
        <v>615</v>
      </c>
    </row>
    <row r="1247" spans="1:16" ht="15" hidden="1" customHeight="1">
      <c r="A1247" s="43">
        <v>1241</v>
      </c>
      <c r="B1247" s="44" t="s">
        <v>24</v>
      </c>
      <c r="C1247" s="44" t="s">
        <v>337</v>
      </c>
      <c r="D1247" s="44" t="s">
        <v>403</v>
      </c>
      <c r="E1247" s="44" t="s">
        <v>405</v>
      </c>
      <c r="F1247" s="45" t="s">
        <v>18</v>
      </c>
      <c r="G1247" s="46">
        <v>737</v>
      </c>
      <c r="H1247" s="46">
        <v>77</v>
      </c>
      <c r="I1247" s="46">
        <v>28</v>
      </c>
      <c r="J1247" s="47">
        <v>90.540540540540505</v>
      </c>
      <c r="K1247" s="47"/>
      <c r="L1247" s="48">
        <v>497</v>
      </c>
      <c r="M1247" s="48">
        <v>15</v>
      </c>
      <c r="N1247" s="48">
        <v>6</v>
      </c>
      <c r="O1247" s="47">
        <v>97.0703125</v>
      </c>
      <c r="P1247" s="49"/>
    </row>
    <row r="1248" spans="1:16" ht="15" hidden="1" customHeight="1">
      <c r="A1248" s="43">
        <v>1242</v>
      </c>
      <c r="B1248" s="44" t="s">
        <v>24</v>
      </c>
      <c r="C1248" s="44" t="s">
        <v>337</v>
      </c>
      <c r="D1248" s="44" t="s">
        <v>403</v>
      </c>
      <c r="E1248" s="44" t="s">
        <v>405</v>
      </c>
      <c r="F1248" s="45" t="s">
        <v>19</v>
      </c>
      <c r="G1248" s="46">
        <v>85</v>
      </c>
      <c r="H1248" s="46">
        <v>16</v>
      </c>
      <c r="I1248" s="46">
        <v>4</v>
      </c>
      <c r="J1248" s="47">
        <v>84.158415841584201</v>
      </c>
      <c r="K1248" s="47"/>
      <c r="L1248" s="48">
        <v>88</v>
      </c>
      <c r="M1248" s="48">
        <v>9</v>
      </c>
      <c r="N1248" s="48">
        <v>0</v>
      </c>
      <c r="O1248" s="47">
        <v>90.721649484536101</v>
      </c>
      <c r="P1248" s="49"/>
    </row>
    <row r="1249" spans="1:16" ht="15" customHeight="1">
      <c r="A1249" s="50">
        <v>1243</v>
      </c>
      <c r="B1249" s="51" t="s">
        <v>24</v>
      </c>
      <c r="C1249" s="58" t="s">
        <v>337</v>
      </c>
      <c r="D1249" s="58" t="s">
        <v>403</v>
      </c>
      <c r="E1249" s="58" t="s">
        <v>335</v>
      </c>
      <c r="F1249" s="59" t="s">
        <v>335</v>
      </c>
      <c r="G1249" s="52">
        <v>1426</v>
      </c>
      <c r="H1249" s="52">
        <v>416</v>
      </c>
      <c r="I1249" s="52">
        <v>27</v>
      </c>
      <c r="J1249" s="53">
        <v>77.4158523344191</v>
      </c>
      <c r="K1249" s="53">
        <f>G1249+H1249+I1249</f>
        <v>1869</v>
      </c>
      <c r="L1249" s="54">
        <v>1244</v>
      </c>
      <c r="M1249" s="54">
        <v>133</v>
      </c>
      <c r="N1249" s="54">
        <v>20</v>
      </c>
      <c r="O1249" s="53">
        <v>90.341321713870698</v>
      </c>
      <c r="P1249" s="55">
        <f>L1249+M1249+N1249</f>
        <v>1397</v>
      </c>
    </row>
    <row r="1250" spans="1:16" ht="15" hidden="1" customHeight="1">
      <c r="A1250" s="43">
        <v>1244</v>
      </c>
      <c r="B1250" s="44" t="s">
        <v>24</v>
      </c>
      <c r="C1250" s="44" t="s">
        <v>337</v>
      </c>
      <c r="D1250" s="44" t="s">
        <v>403</v>
      </c>
      <c r="E1250" s="44" t="s">
        <v>335</v>
      </c>
      <c r="F1250" s="45" t="s">
        <v>18</v>
      </c>
      <c r="G1250" s="46">
        <v>456</v>
      </c>
      <c r="H1250" s="46">
        <v>125</v>
      </c>
      <c r="I1250" s="46">
        <v>9</v>
      </c>
      <c r="J1250" s="47">
        <v>78.485370051635101</v>
      </c>
      <c r="K1250" s="47"/>
      <c r="L1250" s="48">
        <v>227</v>
      </c>
      <c r="M1250" s="48">
        <v>13</v>
      </c>
      <c r="N1250" s="48">
        <v>1</v>
      </c>
      <c r="O1250" s="47">
        <v>94.5833333333333</v>
      </c>
      <c r="P1250" s="49"/>
    </row>
    <row r="1251" spans="1:16" ht="15" hidden="1" customHeight="1">
      <c r="A1251" s="43">
        <v>1245</v>
      </c>
      <c r="B1251" s="44" t="s">
        <v>24</v>
      </c>
      <c r="C1251" s="44" t="s">
        <v>337</v>
      </c>
      <c r="D1251" s="44" t="s">
        <v>403</v>
      </c>
      <c r="E1251" s="44" t="s">
        <v>335</v>
      </c>
      <c r="F1251" s="45" t="s">
        <v>19</v>
      </c>
      <c r="G1251" s="46">
        <v>970</v>
      </c>
      <c r="H1251" s="46">
        <v>291</v>
      </c>
      <c r="I1251" s="46">
        <v>18</v>
      </c>
      <c r="J1251" s="47">
        <v>76.923076923076906</v>
      </c>
      <c r="K1251" s="47"/>
      <c r="L1251" s="48">
        <v>1017</v>
      </c>
      <c r="M1251" s="48">
        <v>120</v>
      </c>
      <c r="N1251" s="48">
        <v>19</v>
      </c>
      <c r="O1251" s="47">
        <v>89.445910290237507</v>
      </c>
      <c r="P1251" s="49"/>
    </row>
    <row r="1252" spans="1:16" ht="15" hidden="1" customHeight="1">
      <c r="A1252" s="25">
        <v>1246</v>
      </c>
      <c r="B1252" s="26" t="s">
        <v>20</v>
      </c>
      <c r="C1252" s="26" t="s">
        <v>406</v>
      </c>
      <c r="D1252" s="26"/>
      <c r="E1252" s="26"/>
      <c r="F1252" s="26" t="s">
        <v>406</v>
      </c>
      <c r="G1252" s="27">
        <v>45799</v>
      </c>
      <c r="H1252" s="27">
        <v>7775</v>
      </c>
      <c r="I1252" s="27">
        <v>878</v>
      </c>
      <c r="J1252" s="28">
        <v>85.487363273229604</v>
      </c>
      <c r="K1252" s="28">
        <f>G1252+H1252+I1252</f>
        <v>54452</v>
      </c>
      <c r="L1252" s="29">
        <v>43046</v>
      </c>
      <c r="M1252" s="29">
        <v>2228</v>
      </c>
      <c r="N1252" s="29">
        <v>530</v>
      </c>
      <c r="O1252" s="28">
        <v>95.078853204929999</v>
      </c>
      <c r="P1252" s="30">
        <f>L1252+M1252+N1252</f>
        <v>45804</v>
      </c>
    </row>
    <row r="1253" spans="1:16" ht="15" hidden="1" customHeight="1">
      <c r="A1253" s="31">
        <v>1247</v>
      </c>
      <c r="B1253" s="32" t="s">
        <v>20</v>
      </c>
      <c r="C1253" s="56" t="s">
        <v>406</v>
      </c>
      <c r="D1253" s="56"/>
      <c r="E1253" s="56"/>
      <c r="F1253" s="32" t="s">
        <v>18</v>
      </c>
      <c r="G1253" s="33">
        <v>33663</v>
      </c>
      <c r="H1253" s="33">
        <v>3748</v>
      </c>
      <c r="I1253" s="33">
        <v>555</v>
      </c>
      <c r="J1253" s="34">
        <v>89.981556226778196</v>
      </c>
      <c r="K1253" s="34"/>
      <c r="L1253" s="35">
        <v>29831</v>
      </c>
      <c r="M1253" s="35">
        <v>779</v>
      </c>
      <c r="N1253" s="35">
        <v>241</v>
      </c>
      <c r="O1253" s="34">
        <v>97.455080039202898</v>
      </c>
      <c r="P1253" s="36"/>
    </row>
    <row r="1254" spans="1:16" ht="15" hidden="1" customHeight="1">
      <c r="A1254" s="31">
        <v>1248</v>
      </c>
      <c r="B1254" s="32" t="s">
        <v>20</v>
      </c>
      <c r="C1254" s="56" t="s">
        <v>406</v>
      </c>
      <c r="D1254" s="56"/>
      <c r="E1254" s="56"/>
      <c r="F1254" s="32" t="s">
        <v>19</v>
      </c>
      <c r="G1254" s="33">
        <v>12136</v>
      </c>
      <c r="H1254" s="33">
        <v>4027</v>
      </c>
      <c r="I1254" s="33">
        <v>323</v>
      </c>
      <c r="J1254" s="34">
        <v>75.085070840809294</v>
      </c>
      <c r="K1254" s="34"/>
      <c r="L1254" s="35">
        <v>13215</v>
      </c>
      <c r="M1254" s="35">
        <v>1449</v>
      </c>
      <c r="N1254" s="35">
        <v>289</v>
      </c>
      <c r="O1254" s="34">
        <v>90.118657937806901</v>
      </c>
      <c r="P1254" s="36"/>
    </row>
    <row r="1255" spans="1:16" ht="15" hidden="1" customHeight="1">
      <c r="A1255" s="37">
        <v>1249</v>
      </c>
      <c r="B1255" s="38" t="s">
        <v>22</v>
      </c>
      <c r="C1255" s="57" t="s">
        <v>406</v>
      </c>
      <c r="D1255" s="57" t="s">
        <v>166</v>
      </c>
      <c r="E1255" s="57"/>
      <c r="F1255" s="38" t="s">
        <v>166</v>
      </c>
      <c r="G1255" s="39">
        <v>11404</v>
      </c>
      <c r="H1255" s="39">
        <v>1482</v>
      </c>
      <c r="I1255" s="39">
        <v>212</v>
      </c>
      <c r="J1255" s="40">
        <v>88.499146360391094</v>
      </c>
      <c r="K1255" s="40"/>
      <c r="L1255" s="41">
        <v>10540</v>
      </c>
      <c r="M1255" s="41">
        <v>309</v>
      </c>
      <c r="N1255" s="41">
        <v>84</v>
      </c>
      <c r="O1255" s="40">
        <v>97.151811226841204</v>
      </c>
      <c r="P1255" s="42"/>
    </row>
    <row r="1256" spans="1:16" ht="15" hidden="1" customHeight="1">
      <c r="A1256" s="43">
        <v>1250</v>
      </c>
      <c r="B1256" s="44" t="s">
        <v>22</v>
      </c>
      <c r="C1256" s="44" t="s">
        <v>406</v>
      </c>
      <c r="D1256" s="44" t="s">
        <v>166</v>
      </c>
      <c r="E1256" s="44"/>
      <c r="F1256" s="45" t="s">
        <v>18</v>
      </c>
      <c r="G1256" s="46">
        <v>10298</v>
      </c>
      <c r="H1256" s="46">
        <v>1242</v>
      </c>
      <c r="I1256" s="46">
        <v>187</v>
      </c>
      <c r="J1256" s="47">
        <v>89.2374350086655</v>
      </c>
      <c r="K1256" s="47"/>
      <c r="L1256" s="48">
        <v>9257</v>
      </c>
      <c r="M1256" s="48">
        <v>142</v>
      </c>
      <c r="N1256" s="48">
        <v>65</v>
      </c>
      <c r="O1256" s="47">
        <v>98.489200978827498</v>
      </c>
      <c r="P1256" s="49"/>
    </row>
    <row r="1257" spans="1:16" ht="15" hidden="1" customHeight="1">
      <c r="A1257" s="43">
        <v>1251</v>
      </c>
      <c r="B1257" s="44" t="s">
        <v>22</v>
      </c>
      <c r="C1257" s="44" t="s">
        <v>406</v>
      </c>
      <c r="D1257" s="44" t="s">
        <v>166</v>
      </c>
      <c r="E1257" s="44"/>
      <c r="F1257" s="45" t="s">
        <v>19</v>
      </c>
      <c r="G1257" s="46">
        <v>1106</v>
      </c>
      <c r="H1257" s="46">
        <v>240</v>
      </c>
      <c r="I1257" s="46">
        <v>25</v>
      </c>
      <c r="J1257" s="47">
        <v>82.169390787518594</v>
      </c>
      <c r="K1257" s="47"/>
      <c r="L1257" s="48">
        <v>1283</v>
      </c>
      <c r="M1257" s="48">
        <v>167</v>
      </c>
      <c r="N1257" s="48">
        <v>19</v>
      </c>
      <c r="O1257" s="47">
        <v>88.482758620689694</v>
      </c>
      <c r="P1257" s="49"/>
    </row>
    <row r="1258" spans="1:16" ht="15" customHeight="1">
      <c r="A1258" s="50">
        <v>1252</v>
      </c>
      <c r="B1258" s="51" t="s">
        <v>24</v>
      </c>
      <c r="C1258" s="58" t="s">
        <v>406</v>
      </c>
      <c r="D1258" s="58" t="s">
        <v>166</v>
      </c>
      <c r="E1258" s="58" t="s">
        <v>407</v>
      </c>
      <c r="F1258" s="59" t="s">
        <v>407</v>
      </c>
      <c r="G1258" s="52">
        <v>10781</v>
      </c>
      <c r="H1258" s="52">
        <v>1350</v>
      </c>
      <c r="I1258" s="52">
        <v>202</v>
      </c>
      <c r="J1258" s="53">
        <v>88.871486274833103</v>
      </c>
      <c r="K1258" s="53">
        <f>G1258+H1258+I1258</f>
        <v>12333</v>
      </c>
      <c r="L1258" s="54">
        <v>9820</v>
      </c>
      <c r="M1258" s="54">
        <v>150</v>
      </c>
      <c r="N1258" s="54">
        <v>72</v>
      </c>
      <c r="O1258" s="53">
        <v>98.4954864593781</v>
      </c>
      <c r="P1258" s="55">
        <f>L1258+M1258+N1258</f>
        <v>10042</v>
      </c>
    </row>
    <row r="1259" spans="1:16" ht="15" hidden="1" customHeight="1">
      <c r="A1259" s="43">
        <v>1253</v>
      </c>
      <c r="B1259" s="44" t="s">
        <v>24</v>
      </c>
      <c r="C1259" s="44" t="s">
        <v>406</v>
      </c>
      <c r="D1259" s="44" t="s">
        <v>166</v>
      </c>
      <c r="E1259" s="44" t="s">
        <v>407</v>
      </c>
      <c r="F1259" s="45" t="s">
        <v>18</v>
      </c>
      <c r="G1259" s="46">
        <v>10298</v>
      </c>
      <c r="H1259" s="46">
        <v>1242</v>
      </c>
      <c r="I1259" s="46">
        <v>187</v>
      </c>
      <c r="J1259" s="47">
        <v>89.2374350086655</v>
      </c>
      <c r="K1259" s="47"/>
      <c r="L1259" s="48">
        <v>9257</v>
      </c>
      <c r="M1259" s="48">
        <v>142</v>
      </c>
      <c r="N1259" s="48">
        <v>65</v>
      </c>
      <c r="O1259" s="47">
        <v>98.489200978827498</v>
      </c>
      <c r="P1259" s="49"/>
    </row>
    <row r="1260" spans="1:16" ht="15" hidden="1" customHeight="1">
      <c r="A1260" s="43">
        <v>1254</v>
      </c>
      <c r="B1260" s="44" t="s">
        <v>24</v>
      </c>
      <c r="C1260" s="44" t="s">
        <v>406</v>
      </c>
      <c r="D1260" s="44" t="s">
        <v>166</v>
      </c>
      <c r="E1260" s="44" t="s">
        <v>407</v>
      </c>
      <c r="F1260" s="45" t="s">
        <v>19</v>
      </c>
      <c r="G1260" s="46">
        <v>483</v>
      </c>
      <c r="H1260" s="46">
        <v>108</v>
      </c>
      <c r="I1260" s="46">
        <v>15</v>
      </c>
      <c r="J1260" s="47">
        <v>81.725888324873097</v>
      </c>
      <c r="K1260" s="47"/>
      <c r="L1260" s="48">
        <v>563</v>
      </c>
      <c r="M1260" s="48">
        <v>8</v>
      </c>
      <c r="N1260" s="48">
        <v>7</v>
      </c>
      <c r="O1260" s="47">
        <v>98.598949211908902</v>
      </c>
      <c r="P1260" s="49"/>
    </row>
    <row r="1261" spans="1:16" ht="15" customHeight="1">
      <c r="A1261" s="50">
        <v>1255</v>
      </c>
      <c r="B1261" s="51" t="s">
        <v>24</v>
      </c>
      <c r="C1261" s="58" t="s">
        <v>406</v>
      </c>
      <c r="D1261" s="58" t="s">
        <v>166</v>
      </c>
      <c r="E1261" s="58" t="s">
        <v>389</v>
      </c>
      <c r="F1261" s="59" t="s">
        <v>389</v>
      </c>
      <c r="G1261" s="52">
        <v>623</v>
      </c>
      <c r="H1261" s="52">
        <v>132</v>
      </c>
      <c r="I1261" s="52">
        <v>10</v>
      </c>
      <c r="J1261" s="53">
        <v>82.5165562913907</v>
      </c>
      <c r="K1261" s="53">
        <f>G1261+H1261+I1261</f>
        <v>765</v>
      </c>
      <c r="L1261" s="54">
        <v>720</v>
      </c>
      <c r="M1261" s="54">
        <v>159</v>
      </c>
      <c r="N1261" s="54">
        <v>12</v>
      </c>
      <c r="O1261" s="53">
        <v>81.911262798634795</v>
      </c>
      <c r="P1261" s="55">
        <f>L1261+M1261+N1261</f>
        <v>891</v>
      </c>
    </row>
    <row r="1262" spans="1:16" ht="15" hidden="1" customHeight="1">
      <c r="A1262" s="43">
        <v>1256</v>
      </c>
      <c r="B1262" s="44" t="s">
        <v>24</v>
      </c>
      <c r="C1262" s="44" t="s">
        <v>406</v>
      </c>
      <c r="D1262" s="44" t="s">
        <v>166</v>
      </c>
      <c r="E1262" s="44" t="s">
        <v>389</v>
      </c>
      <c r="F1262" s="45" t="s">
        <v>18</v>
      </c>
      <c r="G1262" s="46"/>
      <c r="H1262" s="46"/>
      <c r="I1262" s="46"/>
      <c r="J1262" s="47"/>
      <c r="K1262" s="47"/>
      <c r="L1262" s="48"/>
      <c r="M1262" s="48"/>
      <c r="N1262" s="48"/>
      <c r="O1262" s="47"/>
      <c r="P1262" s="49"/>
    </row>
    <row r="1263" spans="1:16" ht="15" hidden="1" customHeight="1">
      <c r="A1263" s="43">
        <v>1257</v>
      </c>
      <c r="B1263" s="44" t="s">
        <v>24</v>
      </c>
      <c r="C1263" s="44" t="s">
        <v>406</v>
      </c>
      <c r="D1263" s="44" t="s">
        <v>166</v>
      </c>
      <c r="E1263" s="44" t="s">
        <v>389</v>
      </c>
      <c r="F1263" s="45" t="s">
        <v>19</v>
      </c>
      <c r="G1263" s="46">
        <v>623</v>
      </c>
      <c r="H1263" s="46">
        <v>132</v>
      </c>
      <c r="I1263" s="46">
        <v>10</v>
      </c>
      <c r="J1263" s="47">
        <v>82.5165562913907</v>
      </c>
      <c r="K1263" s="47"/>
      <c r="L1263" s="48">
        <v>720</v>
      </c>
      <c r="M1263" s="48">
        <v>159</v>
      </c>
      <c r="N1263" s="48">
        <v>12</v>
      </c>
      <c r="O1263" s="47">
        <v>81.911262798634795</v>
      </c>
      <c r="P1263" s="49"/>
    </row>
    <row r="1264" spans="1:16" ht="15" hidden="1" customHeight="1">
      <c r="A1264" s="37">
        <v>1258</v>
      </c>
      <c r="B1264" s="38" t="s">
        <v>22</v>
      </c>
      <c r="C1264" s="57" t="s">
        <v>406</v>
      </c>
      <c r="D1264" s="57" t="s">
        <v>408</v>
      </c>
      <c r="E1264" s="57"/>
      <c r="F1264" s="38" t="s">
        <v>408</v>
      </c>
      <c r="G1264" s="39">
        <v>15237</v>
      </c>
      <c r="H1264" s="39">
        <v>1635</v>
      </c>
      <c r="I1264" s="39">
        <v>284</v>
      </c>
      <c r="J1264" s="40">
        <v>90.309388335704099</v>
      </c>
      <c r="K1264" s="40"/>
      <c r="L1264" s="41">
        <v>13211</v>
      </c>
      <c r="M1264" s="41">
        <v>351</v>
      </c>
      <c r="N1264" s="41">
        <v>154</v>
      </c>
      <c r="O1264" s="40">
        <v>97.411886152484897</v>
      </c>
      <c r="P1264" s="42"/>
    </row>
    <row r="1265" spans="1:16" ht="15" hidden="1" customHeight="1">
      <c r="A1265" s="43">
        <v>1259</v>
      </c>
      <c r="B1265" s="44" t="s">
        <v>22</v>
      </c>
      <c r="C1265" s="44" t="s">
        <v>406</v>
      </c>
      <c r="D1265" s="44" t="s">
        <v>408</v>
      </c>
      <c r="E1265" s="44"/>
      <c r="F1265" s="45" t="s">
        <v>18</v>
      </c>
      <c r="G1265" s="46">
        <v>13415</v>
      </c>
      <c r="H1265" s="46">
        <v>1211</v>
      </c>
      <c r="I1265" s="46">
        <v>223</v>
      </c>
      <c r="J1265" s="47">
        <v>91.720224258170404</v>
      </c>
      <c r="K1265" s="47"/>
      <c r="L1265" s="48">
        <v>11547</v>
      </c>
      <c r="M1265" s="48">
        <v>282</v>
      </c>
      <c r="N1265" s="48">
        <v>120</v>
      </c>
      <c r="O1265" s="47">
        <v>97.616028404767903</v>
      </c>
      <c r="P1265" s="49"/>
    </row>
    <row r="1266" spans="1:16" ht="15" hidden="1" customHeight="1">
      <c r="A1266" s="43">
        <v>1260</v>
      </c>
      <c r="B1266" s="44" t="s">
        <v>22</v>
      </c>
      <c r="C1266" s="44" t="s">
        <v>406</v>
      </c>
      <c r="D1266" s="44" t="s">
        <v>408</v>
      </c>
      <c r="E1266" s="44"/>
      <c r="F1266" s="45" t="s">
        <v>19</v>
      </c>
      <c r="G1266" s="46">
        <v>1822</v>
      </c>
      <c r="H1266" s="46">
        <v>424</v>
      </c>
      <c r="I1266" s="46">
        <v>61</v>
      </c>
      <c r="J1266" s="47">
        <v>81.121994657168301</v>
      </c>
      <c r="K1266" s="47"/>
      <c r="L1266" s="48">
        <v>1664</v>
      </c>
      <c r="M1266" s="48">
        <v>69</v>
      </c>
      <c r="N1266" s="48">
        <v>34</v>
      </c>
      <c r="O1266" s="47">
        <v>96.018465089440298</v>
      </c>
      <c r="P1266" s="49"/>
    </row>
    <row r="1267" spans="1:16" ht="15" customHeight="1">
      <c r="A1267" s="50">
        <v>1261</v>
      </c>
      <c r="B1267" s="51" t="s">
        <v>24</v>
      </c>
      <c r="C1267" s="58" t="s">
        <v>406</v>
      </c>
      <c r="D1267" s="58" t="s">
        <v>408</v>
      </c>
      <c r="E1267" s="58" t="s">
        <v>409</v>
      </c>
      <c r="F1267" s="59" t="s">
        <v>409</v>
      </c>
      <c r="G1267" s="52">
        <v>10954</v>
      </c>
      <c r="H1267" s="52">
        <v>964</v>
      </c>
      <c r="I1267" s="52">
        <v>170</v>
      </c>
      <c r="J1267" s="53">
        <v>91.911394529283399</v>
      </c>
      <c r="K1267" s="53">
        <f>G1267+H1267+I1267</f>
        <v>12088</v>
      </c>
      <c r="L1267" s="54">
        <v>9858</v>
      </c>
      <c r="M1267" s="54">
        <v>161</v>
      </c>
      <c r="N1267" s="54">
        <v>112</v>
      </c>
      <c r="O1267" s="53">
        <v>98.393053198922004</v>
      </c>
      <c r="P1267" s="55">
        <f>L1267+M1267+N1267</f>
        <v>10131</v>
      </c>
    </row>
    <row r="1268" spans="1:16" ht="15" hidden="1" customHeight="1">
      <c r="A1268" s="43">
        <v>1262</v>
      </c>
      <c r="B1268" s="44" t="s">
        <v>24</v>
      </c>
      <c r="C1268" s="44" t="s">
        <v>406</v>
      </c>
      <c r="D1268" s="44" t="s">
        <v>408</v>
      </c>
      <c r="E1268" s="44" t="s">
        <v>409</v>
      </c>
      <c r="F1268" s="45" t="s">
        <v>18</v>
      </c>
      <c r="G1268" s="46">
        <v>9723</v>
      </c>
      <c r="H1268" s="46">
        <v>708</v>
      </c>
      <c r="I1268" s="46">
        <v>145</v>
      </c>
      <c r="J1268" s="47">
        <v>93.212539545585301</v>
      </c>
      <c r="K1268" s="47"/>
      <c r="L1268" s="48">
        <v>8776</v>
      </c>
      <c r="M1268" s="48">
        <v>142</v>
      </c>
      <c r="N1268" s="48">
        <v>88</v>
      </c>
      <c r="O1268" s="47">
        <v>98.407714734245303</v>
      </c>
      <c r="P1268" s="49"/>
    </row>
    <row r="1269" spans="1:16" ht="15" hidden="1" customHeight="1">
      <c r="A1269" s="43">
        <v>1263</v>
      </c>
      <c r="B1269" s="44" t="s">
        <v>24</v>
      </c>
      <c r="C1269" s="44" t="s">
        <v>406</v>
      </c>
      <c r="D1269" s="44" t="s">
        <v>408</v>
      </c>
      <c r="E1269" s="44" t="s">
        <v>409</v>
      </c>
      <c r="F1269" s="45" t="s">
        <v>19</v>
      </c>
      <c r="G1269" s="46">
        <v>1231</v>
      </c>
      <c r="H1269" s="46">
        <v>256</v>
      </c>
      <c r="I1269" s="46">
        <v>25</v>
      </c>
      <c r="J1269" s="47">
        <v>82.784129119031604</v>
      </c>
      <c r="K1269" s="47"/>
      <c r="L1269" s="48">
        <v>1082</v>
      </c>
      <c r="M1269" s="48">
        <v>19</v>
      </c>
      <c r="N1269" s="48">
        <v>24</v>
      </c>
      <c r="O1269" s="47">
        <v>98.274296094459601</v>
      </c>
      <c r="P1269" s="49"/>
    </row>
    <row r="1270" spans="1:16" ht="15" customHeight="1">
      <c r="A1270" s="50">
        <v>1264</v>
      </c>
      <c r="B1270" s="51" t="s">
        <v>24</v>
      </c>
      <c r="C1270" s="58" t="s">
        <v>406</v>
      </c>
      <c r="D1270" s="58" t="s">
        <v>408</v>
      </c>
      <c r="E1270" s="58" t="s">
        <v>410</v>
      </c>
      <c r="F1270" s="59" t="s">
        <v>410</v>
      </c>
      <c r="G1270" s="52">
        <v>4283</v>
      </c>
      <c r="H1270" s="52">
        <v>671</v>
      </c>
      <c r="I1270" s="52">
        <v>114</v>
      </c>
      <c r="J1270" s="53">
        <v>86.455389584174398</v>
      </c>
      <c r="K1270" s="53">
        <f>G1270+H1270+I1270</f>
        <v>5068</v>
      </c>
      <c r="L1270" s="54">
        <v>3353</v>
      </c>
      <c r="M1270" s="54">
        <v>190</v>
      </c>
      <c r="N1270" s="54">
        <v>42</v>
      </c>
      <c r="O1270" s="53">
        <v>94.637313011572104</v>
      </c>
      <c r="P1270" s="55">
        <f>L1270+M1270+N1270</f>
        <v>3585</v>
      </c>
    </row>
    <row r="1271" spans="1:16" ht="15" hidden="1" customHeight="1">
      <c r="A1271" s="43">
        <v>1265</v>
      </c>
      <c r="B1271" s="44" t="s">
        <v>24</v>
      </c>
      <c r="C1271" s="44" t="s">
        <v>406</v>
      </c>
      <c r="D1271" s="44" t="s">
        <v>408</v>
      </c>
      <c r="E1271" s="44" t="s">
        <v>410</v>
      </c>
      <c r="F1271" s="45" t="s">
        <v>18</v>
      </c>
      <c r="G1271" s="46">
        <v>3692</v>
      </c>
      <c r="H1271" s="46">
        <v>503</v>
      </c>
      <c r="I1271" s="46">
        <v>78</v>
      </c>
      <c r="J1271" s="47">
        <v>88.009535160905799</v>
      </c>
      <c r="K1271" s="47"/>
      <c r="L1271" s="48">
        <v>2771</v>
      </c>
      <c r="M1271" s="48">
        <v>140</v>
      </c>
      <c r="N1271" s="48">
        <v>32</v>
      </c>
      <c r="O1271" s="47">
        <v>95.1906561319134</v>
      </c>
      <c r="P1271" s="49"/>
    </row>
    <row r="1272" spans="1:16" ht="15" hidden="1" customHeight="1">
      <c r="A1272" s="43">
        <v>1266</v>
      </c>
      <c r="B1272" s="44" t="s">
        <v>24</v>
      </c>
      <c r="C1272" s="44" t="s">
        <v>406</v>
      </c>
      <c r="D1272" s="44" t="s">
        <v>408</v>
      </c>
      <c r="E1272" s="44" t="s">
        <v>410</v>
      </c>
      <c r="F1272" s="45" t="s">
        <v>19</v>
      </c>
      <c r="G1272" s="46">
        <v>591</v>
      </c>
      <c r="H1272" s="46">
        <v>168</v>
      </c>
      <c r="I1272" s="46">
        <v>36</v>
      </c>
      <c r="J1272" s="47">
        <v>77.865612648221301</v>
      </c>
      <c r="K1272" s="47"/>
      <c r="L1272" s="48">
        <v>582</v>
      </c>
      <c r="M1272" s="48">
        <v>50</v>
      </c>
      <c r="N1272" s="48">
        <v>10</v>
      </c>
      <c r="O1272" s="47">
        <v>92.088607594936704</v>
      </c>
      <c r="P1272" s="49"/>
    </row>
    <row r="1273" spans="1:16" ht="15" hidden="1" customHeight="1">
      <c r="A1273" s="37">
        <v>1267</v>
      </c>
      <c r="B1273" s="38" t="s">
        <v>22</v>
      </c>
      <c r="C1273" s="57" t="s">
        <v>406</v>
      </c>
      <c r="D1273" s="57" t="s">
        <v>411</v>
      </c>
      <c r="E1273" s="57"/>
      <c r="F1273" s="38" t="s">
        <v>411</v>
      </c>
      <c r="G1273" s="39">
        <v>8578</v>
      </c>
      <c r="H1273" s="39">
        <v>2594</v>
      </c>
      <c r="I1273" s="39">
        <v>183</v>
      </c>
      <c r="J1273" s="40">
        <v>76.781238811313997</v>
      </c>
      <c r="K1273" s="40"/>
      <c r="L1273" s="41">
        <v>9091</v>
      </c>
      <c r="M1273" s="41">
        <v>723</v>
      </c>
      <c r="N1273" s="41">
        <v>158</v>
      </c>
      <c r="O1273" s="40">
        <v>92.632973303444103</v>
      </c>
      <c r="P1273" s="42"/>
    </row>
    <row r="1274" spans="1:16" ht="15" hidden="1" customHeight="1">
      <c r="A1274" s="43">
        <v>1268</v>
      </c>
      <c r="B1274" s="44" t="s">
        <v>22</v>
      </c>
      <c r="C1274" s="44" t="s">
        <v>406</v>
      </c>
      <c r="D1274" s="44" t="s">
        <v>411</v>
      </c>
      <c r="E1274" s="44"/>
      <c r="F1274" s="45" t="s">
        <v>18</v>
      </c>
      <c r="G1274" s="46">
        <v>4917</v>
      </c>
      <c r="H1274" s="46">
        <v>673</v>
      </c>
      <c r="I1274" s="46">
        <v>71</v>
      </c>
      <c r="J1274" s="47">
        <v>87.960644007155594</v>
      </c>
      <c r="K1274" s="47"/>
      <c r="L1274" s="48">
        <v>4315</v>
      </c>
      <c r="M1274" s="48">
        <v>166</v>
      </c>
      <c r="N1274" s="48">
        <v>21</v>
      </c>
      <c r="O1274" s="47">
        <v>96.295469761213994</v>
      </c>
      <c r="P1274" s="49"/>
    </row>
    <row r="1275" spans="1:16" ht="15" hidden="1" customHeight="1">
      <c r="A1275" s="43">
        <v>1269</v>
      </c>
      <c r="B1275" s="44" t="s">
        <v>22</v>
      </c>
      <c r="C1275" s="44" t="s">
        <v>406</v>
      </c>
      <c r="D1275" s="44" t="s">
        <v>411</v>
      </c>
      <c r="E1275" s="44"/>
      <c r="F1275" s="45" t="s">
        <v>19</v>
      </c>
      <c r="G1275" s="46">
        <v>3661</v>
      </c>
      <c r="H1275" s="46">
        <v>1921</v>
      </c>
      <c r="I1275" s="46">
        <v>112</v>
      </c>
      <c r="J1275" s="47">
        <v>65.585811537083501</v>
      </c>
      <c r="K1275" s="47"/>
      <c r="L1275" s="48">
        <v>4776</v>
      </c>
      <c r="M1275" s="48">
        <v>557</v>
      </c>
      <c r="N1275" s="48">
        <v>137</v>
      </c>
      <c r="O1275" s="47">
        <v>89.555597224826599</v>
      </c>
      <c r="P1275" s="49"/>
    </row>
    <row r="1276" spans="1:16" ht="15" customHeight="1">
      <c r="A1276" s="50">
        <v>1270</v>
      </c>
      <c r="B1276" s="51" t="s">
        <v>24</v>
      </c>
      <c r="C1276" s="58" t="s">
        <v>406</v>
      </c>
      <c r="D1276" s="58" t="s">
        <v>411</v>
      </c>
      <c r="E1276" s="58" t="s">
        <v>412</v>
      </c>
      <c r="F1276" s="59" t="s">
        <v>412</v>
      </c>
      <c r="G1276" s="52">
        <v>1523</v>
      </c>
      <c r="H1276" s="52">
        <v>238</v>
      </c>
      <c r="I1276" s="52">
        <v>20</v>
      </c>
      <c r="J1276" s="53">
        <v>86.484951731970497</v>
      </c>
      <c r="K1276" s="53">
        <f>G1276+H1276+I1276</f>
        <v>1781</v>
      </c>
      <c r="L1276" s="54">
        <v>1138</v>
      </c>
      <c r="M1276" s="54">
        <v>68</v>
      </c>
      <c r="N1276" s="54">
        <v>8</v>
      </c>
      <c r="O1276" s="53">
        <v>94.361525704809296</v>
      </c>
      <c r="P1276" s="55">
        <f>L1276+M1276+N1276</f>
        <v>1214</v>
      </c>
    </row>
    <row r="1277" spans="1:16" ht="15" hidden="1" customHeight="1">
      <c r="A1277" s="43">
        <v>1271</v>
      </c>
      <c r="B1277" s="44" t="s">
        <v>24</v>
      </c>
      <c r="C1277" s="44" t="s">
        <v>406</v>
      </c>
      <c r="D1277" s="44" t="s">
        <v>411</v>
      </c>
      <c r="E1277" s="44" t="s">
        <v>412</v>
      </c>
      <c r="F1277" s="45" t="s">
        <v>18</v>
      </c>
      <c r="G1277" s="46">
        <v>730</v>
      </c>
      <c r="H1277" s="46">
        <v>68</v>
      </c>
      <c r="I1277" s="46">
        <v>9</v>
      </c>
      <c r="J1277" s="47">
        <v>91.478696741854606</v>
      </c>
      <c r="K1277" s="47"/>
      <c r="L1277" s="48">
        <v>578</v>
      </c>
      <c r="M1277" s="48">
        <v>15</v>
      </c>
      <c r="N1277" s="48">
        <v>2</v>
      </c>
      <c r="O1277" s="47">
        <v>97.4704890387858</v>
      </c>
      <c r="P1277" s="49"/>
    </row>
    <row r="1278" spans="1:16" ht="15" hidden="1" customHeight="1">
      <c r="A1278" s="43">
        <v>1272</v>
      </c>
      <c r="B1278" s="44" t="s">
        <v>24</v>
      </c>
      <c r="C1278" s="44" t="s">
        <v>406</v>
      </c>
      <c r="D1278" s="44" t="s">
        <v>411</v>
      </c>
      <c r="E1278" s="44" t="s">
        <v>412</v>
      </c>
      <c r="F1278" s="45" t="s">
        <v>19</v>
      </c>
      <c r="G1278" s="46">
        <v>793</v>
      </c>
      <c r="H1278" s="46">
        <v>170</v>
      </c>
      <c r="I1278" s="46">
        <v>11</v>
      </c>
      <c r="J1278" s="47">
        <v>82.346832814122493</v>
      </c>
      <c r="K1278" s="47"/>
      <c r="L1278" s="48">
        <v>560</v>
      </c>
      <c r="M1278" s="48">
        <v>53</v>
      </c>
      <c r="N1278" s="48">
        <v>6</v>
      </c>
      <c r="O1278" s="47">
        <v>91.353996737357306</v>
      </c>
      <c r="P1278" s="49"/>
    </row>
    <row r="1279" spans="1:16" ht="15" customHeight="1">
      <c r="A1279" s="50">
        <v>1273</v>
      </c>
      <c r="B1279" s="51" t="s">
        <v>24</v>
      </c>
      <c r="C1279" s="58" t="s">
        <v>406</v>
      </c>
      <c r="D1279" s="58" t="s">
        <v>411</v>
      </c>
      <c r="E1279" s="58" t="s">
        <v>413</v>
      </c>
      <c r="F1279" s="59" t="s">
        <v>413</v>
      </c>
      <c r="G1279" s="52">
        <v>3927</v>
      </c>
      <c r="H1279" s="52">
        <v>1828</v>
      </c>
      <c r="I1279" s="52">
        <v>105</v>
      </c>
      <c r="J1279" s="53">
        <v>68.236316246742007</v>
      </c>
      <c r="K1279" s="53">
        <f>G1279+H1279+I1279</f>
        <v>5860</v>
      </c>
      <c r="L1279" s="54">
        <v>4812</v>
      </c>
      <c r="M1279" s="54">
        <v>495</v>
      </c>
      <c r="N1279" s="54">
        <v>133</v>
      </c>
      <c r="O1279" s="53">
        <v>90.672696438665895</v>
      </c>
      <c r="P1279" s="55">
        <f>L1279+M1279+N1279</f>
        <v>5440</v>
      </c>
    </row>
    <row r="1280" spans="1:16" ht="15" hidden="1" customHeight="1">
      <c r="A1280" s="43">
        <v>1274</v>
      </c>
      <c r="B1280" s="44" t="s">
        <v>24</v>
      </c>
      <c r="C1280" s="44" t="s">
        <v>406</v>
      </c>
      <c r="D1280" s="44" t="s">
        <v>411</v>
      </c>
      <c r="E1280" s="44" t="s">
        <v>413</v>
      </c>
      <c r="F1280" s="45" t="s">
        <v>18</v>
      </c>
      <c r="G1280" s="46">
        <v>2222</v>
      </c>
      <c r="H1280" s="46">
        <v>406</v>
      </c>
      <c r="I1280" s="46">
        <v>32</v>
      </c>
      <c r="J1280" s="47">
        <v>84.550989345509905</v>
      </c>
      <c r="K1280" s="47"/>
      <c r="L1280" s="48">
        <v>1959</v>
      </c>
      <c r="M1280" s="48">
        <v>99</v>
      </c>
      <c r="N1280" s="48">
        <v>14</v>
      </c>
      <c r="O1280" s="47">
        <v>95.189504373177797</v>
      </c>
      <c r="P1280" s="49"/>
    </row>
    <row r="1281" spans="1:16" ht="15" hidden="1" customHeight="1">
      <c r="A1281" s="43">
        <v>1275</v>
      </c>
      <c r="B1281" s="44" t="s">
        <v>24</v>
      </c>
      <c r="C1281" s="44" t="s">
        <v>406</v>
      </c>
      <c r="D1281" s="44" t="s">
        <v>411</v>
      </c>
      <c r="E1281" s="44" t="s">
        <v>413</v>
      </c>
      <c r="F1281" s="45" t="s">
        <v>19</v>
      </c>
      <c r="G1281" s="46">
        <v>1705</v>
      </c>
      <c r="H1281" s="46">
        <v>1422</v>
      </c>
      <c r="I1281" s="46">
        <v>73</v>
      </c>
      <c r="J1281" s="47">
        <v>54.525103933482598</v>
      </c>
      <c r="K1281" s="47"/>
      <c r="L1281" s="48">
        <v>2853</v>
      </c>
      <c r="M1281" s="48">
        <v>396</v>
      </c>
      <c r="N1281" s="48">
        <v>119</v>
      </c>
      <c r="O1281" s="47">
        <v>87.811634349030498</v>
      </c>
      <c r="P1281" s="49"/>
    </row>
    <row r="1282" spans="1:16" ht="15" customHeight="1">
      <c r="A1282" s="50">
        <v>1276</v>
      </c>
      <c r="B1282" s="51" t="s">
        <v>24</v>
      </c>
      <c r="C1282" s="58" t="s">
        <v>406</v>
      </c>
      <c r="D1282" s="58" t="s">
        <v>411</v>
      </c>
      <c r="E1282" s="58" t="s">
        <v>361</v>
      </c>
      <c r="F1282" s="59" t="s">
        <v>361</v>
      </c>
      <c r="G1282" s="52">
        <v>1052</v>
      </c>
      <c r="H1282" s="52">
        <v>209</v>
      </c>
      <c r="I1282" s="52">
        <v>10</v>
      </c>
      <c r="J1282" s="53">
        <v>83.425852498017406</v>
      </c>
      <c r="K1282" s="53">
        <f>G1282+H1282+I1282</f>
        <v>1271</v>
      </c>
      <c r="L1282" s="54">
        <v>1135</v>
      </c>
      <c r="M1282" s="54">
        <v>78</v>
      </c>
      <c r="N1282" s="54">
        <v>8</v>
      </c>
      <c r="O1282" s="53">
        <v>93.569661995053593</v>
      </c>
      <c r="P1282" s="55">
        <f>L1282+M1282+N1282</f>
        <v>1221</v>
      </c>
    </row>
    <row r="1283" spans="1:16" ht="15" hidden="1" customHeight="1">
      <c r="A1283" s="43">
        <v>1277</v>
      </c>
      <c r="B1283" s="44" t="s">
        <v>24</v>
      </c>
      <c r="C1283" s="44" t="s">
        <v>406</v>
      </c>
      <c r="D1283" s="44" t="s">
        <v>411</v>
      </c>
      <c r="E1283" s="44" t="s">
        <v>361</v>
      </c>
      <c r="F1283" s="45" t="s">
        <v>18</v>
      </c>
      <c r="G1283" s="46">
        <v>522</v>
      </c>
      <c r="H1283" s="46">
        <v>61</v>
      </c>
      <c r="I1283" s="46">
        <v>5</v>
      </c>
      <c r="J1283" s="47">
        <v>89.536878216123498</v>
      </c>
      <c r="K1283" s="47"/>
      <c r="L1283" s="48">
        <v>523</v>
      </c>
      <c r="M1283" s="48">
        <v>14</v>
      </c>
      <c r="N1283" s="48">
        <v>3</v>
      </c>
      <c r="O1283" s="47">
        <v>97.392923649906905</v>
      </c>
      <c r="P1283" s="49"/>
    </row>
    <row r="1284" spans="1:16" ht="15" hidden="1" customHeight="1">
      <c r="A1284" s="43">
        <v>1278</v>
      </c>
      <c r="B1284" s="44" t="s">
        <v>24</v>
      </c>
      <c r="C1284" s="44" t="s">
        <v>406</v>
      </c>
      <c r="D1284" s="44" t="s">
        <v>411</v>
      </c>
      <c r="E1284" s="44" t="s">
        <v>361</v>
      </c>
      <c r="F1284" s="45" t="s">
        <v>19</v>
      </c>
      <c r="G1284" s="46">
        <v>530</v>
      </c>
      <c r="H1284" s="46">
        <v>148</v>
      </c>
      <c r="I1284" s="46">
        <v>5</v>
      </c>
      <c r="J1284" s="47">
        <v>78.171091445427706</v>
      </c>
      <c r="K1284" s="47"/>
      <c r="L1284" s="48">
        <v>612</v>
      </c>
      <c r="M1284" s="48">
        <v>64</v>
      </c>
      <c r="N1284" s="48">
        <v>5</v>
      </c>
      <c r="O1284" s="47">
        <v>90.532544378698205</v>
      </c>
      <c r="P1284" s="49"/>
    </row>
    <row r="1285" spans="1:16" ht="15" customHeight="1">
      <c r="A1285" s="50">
        <v>1279</v>
      </c>
      <c r="B1285" s="51" t="s">
        <v>24</v>
      </c>
      <c r="C1285" s="58" t="s">
        <v>406</v>
      </c>
      <c r="D1285" s="58" t="s">
        <v>411</v>
      </c>
      <c r="E1285" s="58" t="s">
        <v>414</v>
      </c>
      <c r="F1285" s="59" t="s">
        <v>414</v>
      </c>
      <c r="G1285" s="52">
        <v>2076</v>
      </c>
      <c r="H1285" s="52">
        <v>319</v>
      </c>
      <c r="I1285" s="52">
        <v>48</v>
      </c>
      <c r="J1285" s="53">
        <v>86.6805845511482</v>
      </c>
      <c r="K1285" s="53">
        <f>G1285+H1285+I1285</f>
        <v>2443</v>
      </c>
      <c r="L1285" s="54">
        <v>2006</v>
      </c>
      <c r="M1285" s="54">
        <v>82</v>
      </c>
      <c r="N1285" s="54">
        <v>9</v>
      </c>
      <c r="O1285" s="53">
        <v>96.072796934865906</v>
      </c>
      <c r="P1285" s="55">
        <f>L1285+M1285+N1285</f>
        <v>2097</v>
      </c>
    </row>
    <row r="1286" spans="1:16" ht="15" hidden="1" customHeight="1">
      <c r="A1286" s="43">
        <v>1280</v>
      </c>
      <c r="B1286" s="44" t="s">
        <v>24</v>
      </c>
      <c r="C1286" s="44" t="s">
        <v>406</v>
      </c>
      <c r="D1286" s="44" t="s">
        <v>411</v>
      </c>
      <c r="E1286" s="44" t="s">
        <v>414</v>
      </c>
      <c r="F1286" s="45" t="s">
        <v>18</v>
      </c>
      <c r="G1286" s="46">
        <v>1443</v>
      </c>
      <c r="H1286" s="46">
        <v>138</v>
      </c>
      <c r="I1286" s="46">
        <v>25</v>
      </c>
      <c r="J1286" s="47">
        <v>91.271347248576802</v>
      </c>
      <c r="K1286" s="47"/>
      <c r="L1286" s="48">
        <v>1255</v>
      </c>
      <c r="M1286" s="48">
        <v>38</v>
      </c>
      <c r="N1286" s="48">
        <v>2</v>
      </c>
      <c r="O1286" s="47">
        <v>97.061098221191003</v>
      </c>
      <c r="P1286" s="49"/>
    </row>
    <row r="1287" spans="1:16" ht="15" hidden="1" customHeight="1">
      <c r="A1287" s="43">
        <v>1281</v>
      </c>
      <c r="B1287" s="44" t="s">
        <v>24</v>
      </c>
      <c r="C1287" s="44" t="s">
        <v>406</v>
      </c>
      <c r="D1287" s="44" t="s">
        <v>411</v>
      </c>
      <c r="E1287" s="44" t="s">
        <v>414</v>
      </c>
      <c r="F1287" s="45" t="s">
        <v>19</v>
      </c>
      <c r="G1287" s="46">
        <v>633</v>
      </c>
      <c r="H1287" s="46">
        <v>181</v>
      </c>
      <c r="I1287" s="46">
        <v>23</v>
      </c>
      <c r="J1287" s="47">
        <v>77.764127764127807</v>
      </c>
      <c r="K1287" s="47"/>
      <c r="L1287" s="48">
        <v>751</v>
      </c>
      <c r="M1287" s="48">
        <v>44</v>
      </c>
      <c r="N1287" s="48">
        <v>7</v>
      </c>
      <c r="O1287" s="47">
        <v>94.465408805031402</v>
      </c>
      <c r="P1287" s="49"/>
    </row>
    <row r="1288" spans="1:16" ht="15" hidden="1" customHeight="1">
      <c r="A1288" s="37">
        <v>1282</v>
      </c>
      <c r="B1288" s="38" t="s">
        <v>22</v>
      </c>
      <c r="C1288" s="57" t="s">
        <v>406</v>
      </c>
      <c r="D1288" s="57" t="s">
        <v>415</v>
      </c>
      <c r="E1288" s="57"/>
      <c r="F1288" s="38" t="s">
        <v>415</v>
      </c>
      <c r="G1288" s="39">
        <v>2194</v>
      </c>
      <c r="H1288" s="39">
        <v>748</v>
      </c>
      <c r="I1288" s="39">
        <v>53</v>
      </c>
      <c r="J1288" s="40">
        <v>74.575118966689303</v>
      </c>
      <c r="K1288" s="40"/>
      <c r="L1288" s="41">
        <v>2424</v>
      </c>
      <c r="M1288" s="41">
        <v>325</v>
      </c>
      <c r="N1288" s="41">
        <v>27</v>
      </c>
      <c r="O1288" s="40">
        <v>88.177519097853803</v>
      </c>
      <c r="P1288" s="42"/>
    </row>
    <row r="1289" spans="1:16" ht="15" hidden="1" customHeight="1">
      <c r="A1289" s="43">
        <v>1283</v>
      </c>
      <c r="B1289" s="44" t="s">
        <v>22</v>
      </c>
      <c r="C1289" s="44" t="s">
        <v>406</v>
      </c>
      <c r="D1289" s="44" t="s">
        <v>415</v>
      </c>
      <c r="E1289" s="44"/>
      <c r="F1289" s="45" t="s">
        <v>18</v>
      </c>
      <c r="G1289" s="46">
        <v>1188</v>
      </c>
      <c r="H1289" s="46">
        <v>250</v>
      </c>
      <c r="I1289" s="46">
        <v>19</v>
      </c>
      <c r="J1289" s="47">
        <v>82.614742698191904</v>
      </c>
      <c r="K1289" s="47"/>
      <c r="L1289" s="48">
        <v>1466</v>
      </c>
      <c r="M1289" s="48">
        <v>103</v>
      </c>
      <c r="N1289" s="48">
        <v>7</v>
      </c>
      <c r="O1289" s="47">
        <v>93.435309114085399</v>
      </c>
      <c r="P1289" s="49"/>
    </row>
    <row r="1290" spans="1:16" ht="15" hidden="1" customHeight="1">
      <c r="A1290" s="43">
        <v>1284</v>
      </c>
      <c r="B1290" s="44" t="s">
        <v>22</v>
      </c>
      <c r="C1290" s="44" t="s">
        <v>406</v>
      </c>
      <c r="D1290" s="44" t="s">
        <v>415</v>
      </c>
      <c r="E1290" s="44"/>
      <c r="F1290" s="45" t="s">
        <v>19</v>
      </c>
      <c r="G1290" s="46">
        <v>1006</v>
      </c>
      <c r="H1290" s="46">
        <v>498</v>
      </c>
      <c r="I1290" s="46">
        <v>34</v>
      </c>
      <c r="J1290" s="47">
        <v>66.888297872340402</v>
      </c>
      <c r="K1290" s="47"/>
      <c r="L1290" s="48">
        <v>958</v>
      </c>
      <c r="M1290" s="48">
        <v>222</v>
      </c>
      <c r="N1290" s="48">
        <v>20</v>
      </c>
      <c r="O1290" s="47">
        <v>81.186440677966104</v>
      </c>
      <c r="P1290" s="49"/>
    </row>
    <row r="1291" spans="1:16" ht="15" customHeight="1">
      <c r="A1291" s="50">
        <v>1285</v>
      </c>
      <c r="B1291" s="51" t="s">
        <v>24</v>
      </c>
      <c r="C1291" s="58" t="s">
        <v>406</v>
      </c>
      <c r="D1291" s="58" t="s">
        <v>415</v>
      </c>
      <c r="E1291" s="58" t="s">
        <v>416</v>
      </c>
      <c r="F1291" s="59" t="s">
        <v>416</v>
      </c>
      <c r="G1291" s="52">
        <v>1631</v>
      </c>
      <c r="H1291" s="52">
        <v>461</v>
      </c>
      <c r="I1291" s="52">
        <v>40</v>
      </c>
      <c r="J1291" s="53">
        <v>77.963671128107094</v>
      </c>
      <c r="K1291" s="53">
        <f>G1291+H1291+I1291</f>
        <v>2132</v>
      </c>
      <c r="L1291" s="54">
        <v>1711</v>
      </c>
      <c r="M1291" s="54">
        <v>210</v>
      </c>
      <c r="N1291" s="54">
        <v>18</v>
      </c>
      <c r="O1291" s="53">
        <v>89.068193649141094</v>
      </c>
      <c r="P1291" s="55">
        <f>L1291+M1291+N1291</f>
        <v>1939</v>
      </c>
    </row>
    <row r="1292" spans="1:16" ht="15" hidden="1" customHeight="1">
      <c r="A1292" s="43">
        <v>1286</v>
      </c>
      <c r="B1292" s="44" t="s">
        <v>24</v>
      </c>
      <c r="C1292" s="44" t="s">
        <v>406</v>
      </c>
      <c r="D1292" s="44" t="s">
        <v>415</v>
      </c>
      <c r="E1292" s="44" t="s">
        <v>416</v>
      </c>
      <c r="F1292" s="45" t="s">
        <v>18</v>
      </c>
      <c r="G1292" s="46">
        <v>1188</v>
      </c>
      <c r="H1292" s="46">
        <v>250</v>
      </c>
      <c r="I1292" s="46">
        <v>19</v>
      </c>
      <c r="J1292" s="47">
        <v>82.614742698191904</v>
      </c>
      <c r="K1292" s="47"/>
      <c r="L1292" s="48">
        <v>1263</v>
      </c>
      <c r="M1292" s="48">
        <v>52</v>
      </c>
      <c r="N1292" s="48">
        <v>4</v>
      </c>
      <c r="O1292" s="47">
        <v>96.045627376425898</v>
      </c>
      <c r="P1292" s="49"/>
    </row>
    <row r="1293" spans="1:16" ht="15" hidden="1" customHeight="1">
      <c r="A1293" s="43">
        <v>1287</v>
      </c>
      <c r="B1293" s="44" t="s">
        <v>24</v>
      </c>
      <c r="C1293" s="44" t="s">
        <v>406</v>
      </c>
      <c r="D1293" s="44" t="s">
        <v>415</v>
      </c>
      <c r="E1293" s="44" t="s">
        <v>416</v>
      </c>
      <c r="F1293" s="45" t="s">
        <v>19</v>
      </c>
      <c r="G1293" s="46">
        <v>443</v>
      </c>
      <c r="H1293" s="46">
        <v>211</v>
      </c>
      <c r="I1293" s="46">
        <v>21</v>
      </c>
      <c r="J1293" s="47">
        <v>67.737003058103994</v>
      </c>
      <c r="K1293" s="47"/>
      <c r="L1293" s="48">
        <v>448</v>
      </c>
      <c r="M1293" s="48">
        <v>158</v>
      </c>
      <c r="N1293" s="48">
        <v>14</v>
      </c>
      <c r="O1293" s="47">
        <v>73.927392739273898</v>
      </c>
      <c r="P1293" s="49"/>
    </row>
    <row r="1294" spans="1:16" ht="15" customHeight="1">
      <c r="A1294" s="50">
        <v>1288</v>
      </c>
      <c r="B1294" s="51" t="s">
        <v>24</v>
      </c>
      <c r="C1294" s="58" t="s">
        <v>406</v>
      </c>
      <c r="D1294" s="58" t="s">
        <v>415</v>
      </c>
      <c r="E1294" s="58" t="s">
        <v>417</v>
      </c>
      <c r="F1294" s="59" t="s">
        <v>417</v>
      </c>
      <c r="G1294" s="52">
        <v>563</v>
      </c>
      <c r="H1294" s="52">
        <v>287</v>
      </c>
      <c r="I1294" s="52">
        <v>13</v>
      </c>
      <c r="J1294" s="53">
        <v>66.235294117647101</v>
      </c>
      <c r="K1294" s="53">
        <f>G1294+H1294+I1294</f>
        <v>863</v>
      </c>
      <c r="L1294" s="54">
        <v>713</v>
      </c>
      <c r="M1294" s="54">
        <v>115</v>
      </c>
      <c r="N1294" s="54">
        <v>9</v>
      </c>
      <c r="O1294" s="53">
        <v>86.1111111111111</v>
      </c>
      <c r="P1294" s="55">
        <f>L1294+M1294+N1294</f>
        <v>837</v>
      </c>
    </row>
    <row r="1295" spans="1:16" ht="15" hidden="1" customHeight="1">
      <c r="A1295" s="43">
        <v>1289</v>
      </c>
      <c r="B1295" s="44" t="s">
        <v>24</v>
      </c>
      <c r="C1295" s="44" t="s">
        <v>406</v>
      </c>
      <c r="D1295" s="44" t="s">
        <v>415</v>
      </c>
      <c r="E1295" s="44" t="s">
        <v>417</v>
      </c>
      <c r="F1295" s="45" t="s">
        <v>18</v>
      </c>
      <c r="G1295" s="46"/>
      <c r="H1295" s="46"/>
      <c r="I1295" s="46"/>
      <c r="J1295" s="47"/>
      <c r="K1295" s="47"/>
      <c r="L1295" s="48">
        <v>203</v>
      </c>
      <c r="M1295" s="48">
        <v>51</v>
      </c>
      <c r="N1295" s="48">
        <v>3</v>
      </c>
      <c r="O1295" s="47">
        <v>79.921259842519703</v>
      </c>
      <c r="P1295" s="49"/>
    </row>
    <row r="1296" spans="1:16" ht="15" hidden="1" customHeight="1">
      <c r="A1296" s="43">
        <v>1290</v>
      </c>
      <c r="B1296" s="44" t="s">
        <v>24</v>
      </c>
      <c r="C1296" s="44" t="s">
        <v>406</v>
      </c>
      <c r="D1296" s="44" t="s">
        <v>415</v>
      </c>
      <c r="E1296" s="44" t="s">
        <v>417</v>
      </c>
      <c r="F1296" s="45" t="s">
        <v>19</v>
      </c>
      <c r="G1296" s="46">
        <v>563</v>
      </c>
      <c r="H1296" s="46">
        <v>287</v>
      </c>
      <c r="I1296" s="46">
        <v>13</v>
      </c>
      <c r="J1296" s="47">
        <v>66.235294117647101</v>
      </c>
      <c r="K1296" s="47"/>
      <c r="L1296" s="48">
        <v>510</v>
      </c>
      <c r="M1296" s="48">
        <v>64</v>
      </c>
      <c r="N1296" s="48">
        <v>6</v>
      </c>
      <c r="O1296" s="47">
        <v>88.850174216027895</v>
      </c>
      <c r="P1296" s="49"/>
    </row>
    <row r="1297" spans="1:16" ht="15" hidden="1" customHeight="1">
      <c r="A1297" s="37">
        <v>1291</v>
      </c>
      <c r="B1297" s="38" t="s">
        <v>22</v>
      </c>
      <c r="C1297" s="57" t="s">
        <v>406</v>
      </c>
      <c r="D1297" s="57" t="s">
        <v>418</v>
      </c>
      <c r="E1297" s="57"/>
      <c r="F1297" s="38" t="s">
        <v>418</v>
      </c>
      <c r="G1297" s="39">
        <v>2358</v>
      </c>
      <c r="H1297" s="39">
        <v>386</v>
      </c>
      <c r="I1297" s="39">
        <v>65</v>
      </c>
      <c r="J1297" s="40">
        <v>85.932944606413997</v>
      </c>
      <c r="K1297" s="40"/>
      <c r="L1297" s="41">
        <v>2366</v>
      </c>
      <c r="M1297" s="41">
        <v>159</v>
      </c>
      <c r="N1297" s="41">
        <v>25</v>
      </c>
      <c r="O1297" s="40">
        <v>93.702970297029694</v>
      </c>
      <c r="P1297" s="42"/>
    </row>
    <row r="1298" spans="1:16" ht="15" hidden="1" customHeight="1">
      <c r="A1298" s="43">
        <v>1292</v>
      </c>
      <c r="B1298" s="44" t="s">
        <v>22</v>
      </c>
      <c r="C1298" s="44" t="s">
        <v>406</v>
      </c>
      <c r="D1298" s="44" t="s">
        <v>418</v>
      </c>
      <c r="E1298" s="44"/>
      <c r="F1298" s="45" t="s">
        <v>18</v>
      </c>
      <c r="G1298" s="46">
        <v>1271</v>
      </c>
      <c r="H1298" s="46">
        <v>129</v>
      </c>
      <c r="I1298" s="46">
        <v>26</v>
      </c>
      <c r="J1298" s="47">
        <v>90.785714285714306</v>
      </c>
      <c r="K1298" s="47"/>
      <c r="L1298" s="48">
        <v>1018</v>
      </c>
      <c r="M1298" s="48">
        <v>40</v>
      </c>
      <c r="N1298" s="48">
        <v>7</v>
      </c>
      <c r="O1298" s="47">
        <v>96.219281663516099</v>
      </c>
      <c r="P1298" s="49"/>
    </row>
    <row r="1299" spans="1:16" ht="15" hidden="1" customHeight="1">
      <c r="A1299" s="43">
        <v>1293</v>
      </c>
      <c r="B1299" s="44" t="s">
        <v>22</v>
      </c>
      <c r="C1299" s="44" t="s">
        <v>406</v>
      </c>
      <c r="D1299" s="44" t="s">
        <v>418</v>
      </c>
      <c r="E1299" s="44"/>
      <c r="F1299" s="45" t="s">
        <v>19</v>
      </c>
      <c r="G1299" s="46">
        <v>1087</v>
      </c>
      <c r="H1299" s="46">
        <v>257</v>
      </c>
      <c r="I1299" s="46">
        <v>39</v>
      </c>
      <c r="J1299" s="47">
        <v>80.877976190476204</v>
      </c>
      <c r="K1299" s="47"/>
      <c r="L1299" s="48">
        <v>1348</v>
      </c>
      <c r="M1299" s="48">
        <v>119</v>
      </c>
      <c r="N1299" s="48">
        <v>18</v>
      </c>
      <c r="O1299" s="47">
        <v>91.888207225630495</v>
      </c>
      <c r="P1299" s="49"/>
    </row>
    <row r="1300" spans="1:16" ht="15" customHeight="1">
      <c r="A1300" s="50">
        <v>1294</v>
      </c>
      <c r="B1300" s="51" t="s">
        <v>24</v>
      </c>
      <c r="C1300" s="58" t="s">
        <v>406</v>
      </c>
      <c r="D1300" s="58" t="s">
        <v>418</v>
      </c>
      <c r="E1300" s="58" t="s">
        <v>347</v>
      </c>
      <c r="F1300" s="59" t="s">
        <v>347</v>
      </c>
      <c r="G1300" s="52">
        <v>2358</v>
      </c>
      <c r="H1300" s="52">
        <v>386</v>
      </c>
      <c r="I1300" s="52">
        <v>65</v>
      </c>
      <c r="J1300" s="53">
        <v>85.932944606413997</v>
      </c>
      <c r="K1300" s="53">
        <f>G1300+H1300+I1300</f>
        <v>2809</v>
      </c>
      <c r="L1300" s="54">
        <v>2366</v>
      </c>
      <c r="M1300" s="54">
        <v>159</v>
      </c>
      <c r="N1300" s="54">
        <v>25</v>
      </c>
      <c r="O1300" s="53">
        <v>93.702970297029694</v>
      </c>
      <c r="P1300" s="55">
        <f>L1300+M1300+N1300</f>
        <v>2550</v>
      </c>
    </row>
    <row r="1301" spans="1:16" ht="15" hidden="1" customHeight="1">
      <c r="A1301" s="43">
        <v>1295</v>
      </c>
      <c r="B1301" s="44" t="s">
        <v>24</v>
      </c>
      <c r="C1301" s="44" t="s">
        <v>406</v>
      </c>
      <c r="D1301" s="44" t="s">
        <v>418</v>
      </c>
      <c r="E1301" s="44" t="s">
        <v>347</v>
      </c>
      <c r="F1301" s="45" t="s">
        <v>18</v>
      </c>
      <c r="G1301" s="46">
        <v>1271</v>
      </c>
      <c r="H1301" s="46">
        <v>129</v>
      </c>
      <c r="I1301" s="46">
        <v>26</v>
      </c>
      <c r="J1301" s="47">
        <v>90.785714285714306</v>
      </c>
      <c r="K1301" s="47"/>
      <c r="L1301" s="48">
        <v>1018</v>
      </c>
      <c r="M1301" s="48">
        <v>40</v>
      </c>
      <c r="N1301" s="48">
        <v>7</v>
      </c>
      <c r="O1301" s="47">
        <v>96.219281663516099</v>
      </c>
      <c r="P1301" s="49"/>
    </row>
    <row r="1302" spans="1:16" ht="15" hidden="1" customHeight="1">
      <c r="A1302" s="43">
        <v>1296</v>
      </c>
      <c r="B1302" s="44" t="s">
        <v>24</v>
      </c>
      <c r="C1302" s="44" t="s">
        <v>406</v>
      </c>
      <c r="D1302" s="44" t="s">
        <v>418</v>
      </c>
      <c r="E1302" s="44" t="s">
        <v>347</v>
      </c>
      <c r="F1302" s="45" t="s">
        <v>19</v>
      </c>
      <c r="G1302" s="46">
        <v>1087</v>
      </c>
      <c r="H1302" s="46">
        <v>257</v>
      </c>
      <c r="I1302" s="46">
        <v>39</v>
      </c>
      <c r="J1302" s="47">
        <v>80.877976190476204</v>
      </c>
      <c r="K1302" s="47"/>
      <c r="L1302" s="48">
        <v>1348</v>
      </c>
      <c r="M1302" s="48">
        <v>119</v>
      </c>
      <c r="N1302" s="48">
        <v>18</v>
      </c>
      <c r="O1302" s="47">
        <v>91.888207225630495</v>
      </c>
      <c r="P1302" s="49"/>
    </row>
    <row r="1303" spans="1:16" ht="15" hidden="1" customHeight="1">
      <c r="A1303" s="37">
        <v>1297</v>
      </c>
      <c r="B1303" s="38" t="s">
        <v>22</v>
      </c>
      <c r="C1303" s="57" t="s">
        <v>406</v>
      </c>
      <c r="D1303" s="57" t="s">
        <v>419</v>
      </c>
      <c r="E1303" s="57"/>
      <c r="F1303" s="38" t="s">
        <v>419</v>
      </c>
      <c r="G1303" s="39">
        <v>1901</v>
      </c>
      <c r="H1303" s="39">
        <v>268</v>
      </c>
      <c r="I1303" s="39">
        <v>31</v>
      </c>
      <c r="J1303" s="40">
        <v>87.644075610880606</v>
      </c>
      <c r="K1303" s="40"/>
      <c r="L1303" s="41">
        <v>1709</v>
      </c>
      <c r="M1303" s="41">
        <v>116</v>
      </c>
      <c r="N1303" s="41">
        <v>21</v>
      </c>
      <c r="O1303" s="40">
        <v>93.643835616438395</v>
      </c>
      <c r="P1303" s="42"/>
    </row>
    <row r="1304" spans="1:16" ht="15" hidden="1" customHeight="1">
      <c r="A1304" s="43">
        <v>1298</v>
      </c>
      <c r="B1304" s="44" t="s">
        <v>22</v>
      </c>
      <c r="C1304" s="44" t="s">
        <v>406</v>
      </c>
      <c r="D1304" s="44" t="s">
        <v>419</v>
      </c>
      <c r="E1304" s="44"/>
      <c r="F1304" s="45" t="s">
        <v>18</v>
      </c>
      <c r="G1304" s="46">
        <v>307</v>
      </c>
      <c r="H1304" s="46">
        <v>18</v>
      </c>
      <c r="I1304" s="46">
        <v>6</v>
      </c>
      <c r="J1304" s="47">
        <v>94.461538461538495</v>
      </c>
      <c r="K1304" s="47"/>
      <c r="L1304" s="48">
        <v>226</v>
      </c>
      <c r="M1304" s="48">
        <v>6</v>
      </c>
      <c r="N1304" s="48">
        <v>0</v>
      </c>
      <c r="O1304" s="47">
        <v>97.413793103448299</v>
      </c>
      <c r="P1304" s="49"/>
    </row>
    <row r="1305" spans="1:16" ht="15" hidden="1" customHeight="1">
      <c r="A1305" s="43">
        <v>1299</v>
      </c>
      <c r="B1305" s="44" t="s">
        <v>22</v>
      </c>
      <c r="C1305" s="44" t="s">
        <v>406</v>
      </c>
      <c r="D1305" s="44" t="s">
        <v>419</v>
      </c>
      <c r="E1305" s="44"/>
      <c r="F1305" s="45" t="s">
        <v>19</v>
      </c>
      <c r="G1305" s="46">
        <v>1594</v>
      </c>
      <c r="H1305" s="46">
        <v>250</v>
      </c>
      <c r="I1305" s="46">
        <v>25</v>
      </c>
      <c r="J1305" s="47">
        <v>86.442516268980498</v>
      </c>
      <c r="K1305" s="47"/>
      <c r="L1305" s="48">
        <v>1483</v>
      </c>
      <c r="M1305" s="48">
        <v>110</v>
      </c>
      <c r="N1305" s="48">
        <v>21</v>
      </c>
      <c r="O1305" s="47">
        <v>93.094789704959197</v>
      </c>
      <c r="P1305" s="49"/>
    </row>
    <row r="1306" spans="1:16" ht="15" customHeight="1">
      <c r="A1306" s="50">
        <v>1300</v>
      </c>
      <c r="B1306" s="51" t="s">
        <v>24</v>
      </c>
      <c r="C1306" s="58" t="s">
        <v>406</v>
      </c>
      <c r="D1306" s="58" t="s">
        <v>419</v>
      </c>
      <c r="E1306" s="58" t="s">
        <v>420</v>
      </c>
      <c r="F1306" s="59" t="s">
        <v>420</v>
      </c>
      <c r="G1306" s="52">
        <v>508</v>
      </c>
      <c r="H1306" s="52">
        <v>114</v>
      </c>
      <c r="I1306" s="52">
        <v>1</v>
      </c>
      <c r="J1306" s="53">
        <v>81.6720257234727</v>
      </c>
      <c r="K1306" s="53">
        <f>G1306+H1306+I1306</f>
        <v>623</v>
      </c>
      <c r="L1306" s="54">
        <v>495</v>
      </c>
      <c r="M1306" s="54">
        <v>60</v>
      </c>
      <c r="N1306" s="54">
        <v>4</v>
      </c>
      <c r="O1306" s="53">
        <v>89.189189189189193</v>
      </c>
      <c r="P1306" s="55">
        <f>L1306+M1306+N1306</f>
        <v>559</v>
      </c>
    </row>
    <row r="1307" spans="1:16" ht="15" hidden="1" customHeight="1">
      <c r="A1307" s="43">
        <v>1301</v>
      </c>
      <c r="B1307" s="44" t="s">
        <v>24</v>
      </c>
      <c r="C1307" s="44" t="s">
        <v>406</v>
      </c>
      <c r="D1307" s="44" t="s">
        <v>419</v>
      </c>
      <c r="E1307" s="44" t="s">
        <v>420</v>
      </c>
      <c r="F1307" s="45" t="s">
        <v>18</v>
      </c>
      <c r="G1307" s="46"/>
      <c r="H1307" s="46"/>
      <c r="I1307" s="46"/>
      <c r="J1307" s="47"/>
      <c r="K1307" s="47"/>
      <c r="L1307" s="48"/>
      <c r="M1307" s="48"/>
      <c r="N1307" s="48"/>
      <c r="O1307" s="47"/>
      <c r="P1307" s="49"/>
    </row>
    <row r="1308" spans="1:16" ht="15" hidden="1" customHeight="1">
      <c r="A1308" s="43">
        <v>1302</v>
      </c>
      <c r="B1308" s="44" t="s">
        <v>24</v>
      </c>
      <c r="C1308" s="44" t="s">
        <v>406</v>
      </c>
      <c r="D1308" s="44" t="s">
        <v>419</v>
      </c>
      <c r="E1308" s="44" t="s">
        <v>420</v>
      </c>
      <c r="F1308" s="45" t="s">
        <v>19</v>
      </c>
      <c r="G1308" s="46">
        <v>508</v>
      </c>
      <c r="H1308" s="46">
        <v>114</v>
      </c>
      <c r="I1308" s="46">
        <v>1</v>
      </c>
      <c r="J1308" s="47">
        <v>81.6720257234727</v>
      </c>
      <c r="K1308" s="47"/>
      <c r="L1308" s="48">
        <v>495</v>
      </c>
      <c r="M1308" s="48">
        <v>60</v>
      </c>
      <c r="N1308" s="48">
        <v>4</v>
      </c>
      <c r="O1308" s="47">
        <v>89.189189189189193</v>
      </c>
      <c r="P1308" s="49"/>
    </row>
    <row r="1309" spans="1:16" ht="15" customHeight="1">
      <c r="A1309" s="50">
        <v>1303</v>
      </c>
      <c r="B1309" s="51" t="s">
        <v>24</v>
      </c>
      <c r="C1309" s="58" t="s">
        <v>406</v>
      </c>
      <c r="D1309" s="58" t="s">
        <v>419</v>
      </c>
      <c r="E1309" s="58" t="s">
        <v>421</v>
      </c>
      <c r="F1309" s="59" t="s">
        <v>421</v>
      </c>
      <c r="G1309" s="52">
        <v>1393</v>
      </c>
      <c r="H1309" s="52">
        <v>154</v>
      </c>
      <c r="I1309" s="52">
        <v>30</v>
      </c>
      <c r="J1309" s="53">
        <v>90.045248868778302</v>
      </c>
      <c r="K1309" s="53">
        <f>G1309+H1309+I1309</f>
        <v>1577</v>
      </c>
      <c r="L1309" s="54">
        <v>1214</v>
      </c>
      <c r="M1309" s="54">
        <v>56</v>
      </c>
      <c r="N1309" s="54">
        <v>17</v>
      </c>
      <c r="O1309" s="53">
        <v>95.590551181102398</v>
      </c>
      <c r="P1309" s="55">
        <f>L1309+M1309+N1309</f>
        <v>1287</v>
      </c>
    </row>
    <row r="1310" spans="1:16" ht="15" hidden="1" customHeight="1">
      <c r="A1310" s="43">
        <v>1304</v>
      </c>
      <c r="B1310" s="44" t="s">
        <v>24</v>
      </c>
      <c r="C1310" s="44" t="s">
        <v>406</v>
      </c>
      <c r="D1310" s="44" t="s">
        <v>419</v>
      </c>
      <c r="E1310" s="44" t="s">
        <v>421</v>
      </c>
      <c r="F1310" s="45" t="s">
        <v>18</v>
      </c>
      <c r="G1310" s="46">
        <v>307</v>
      </c>
      <c r="H1310" s="46">
        <v>18</v>
      </c>
      <c r="I1310" s="46">
        <v>6</v>
      </c>
      <c r="J1310" s="47">
        <v>94.461538461538495</v>
      </c>
      <c r="K1310" s="47"/>
      <c r="L1310" s="48">
        <v>226</v>
      </c>
      <c r="M1310" s="48">
        <v>6</v>
      </c>
      <c r="N1310" s="48">
        <v>0</v>
      </c>
      <c r="O1310" s="47">
        <v>97.413793103448299</v>
      </c>
      <c r="P1310" s="49"/>
    </row>
    <row r="1311" spans="1:16" ht="15" hidden="1" customHeight="1">
      <c r="A1311" s="43">
        <v>1305</v>
      </c>
      <c r="B1311" s="44" t="s">
        <v>24</v>
      </c>
      <c r="C1311" s="44" t="s">
        <v>406</v>
      </c>
      <c r="D1311" s="44" t="s">
        <v>419</v>
      </c>
      <c r="E1311" s="44" t="s">
        <v>421</v>
      </c>
      <c r="F1311" s="45" t="s">
        <v>19</v>
      </c>
      <c r="G1311" s="46">
        <v>1086</v>
      </c>
      <c r="H1311" s="46">
        <v>136</v>
      </c>
      <c r="I1311" s="46">
        <v>24</v>
      </c>
      <c r="J1311" s="47">
        <v>88.870703764320794</v>
      </c>
      <c r="K1311" s="47"/>
      <c r="L1311" s="48">
        <v>988</v>
      </c>
      <c r="M1311" s="48">
        <v>50</v>
      </c>
      <c r="N1311" s="48">
        <v>17</v>
      </c>
      <c r="O1311" s="47">
        <v>95.183044315992305</v>
      </c>
      <c r="P1311" s="49"/>
    </row>
    <row r="1312" spans="1:16" ht="15" hidden="1" customHeight="1">
      <c r="A1312" s="37">
        <v>1306</v>
      </c>
      <c r="B1312" s="38" t="s">
        <v>22</v>
      </c>
      <c r="C1312" s="57" t="s">
        <v>406</v>
      </c>
      <c r="D1312" s="57" t="s">
        <v>422</v>
      </c>
      <c r="E1312" s="57"/>
      <c r="F1312" s="38" t="s">
        <v>422</v>
      </c>
      <c r="G1312" s="39">
        <v>1435</v>
      </c>
      <c r="H1312" s="39">
        <v>224</v>
      </c>
      <c r="I1312" s="39">
        <v>18</v>
      </c>
      <c r="J1312" s="40">
        <v>86.497890295358602</v>
      </c>
      <c r="K1312" s="40"/>
      <c r="L1312" s="41">
        <v>1168</v>
      </c>
      <c r="M1312" s="41">
        <v>88</v>
      </c>
      <c r="N1312" s="41">
        <v>22</v>
      </c>
      <c r="O1312" s="40">
        <v>92.993630573248396</v>
      </c>
      <c r="P1312" s="42"/>
    </row>
    <row r="1313" spans="1:16" ht="15" hidden="1" customHeight="1">
      <c r="A1313" s="43">
        <v>1307</v>
      </c>
      <c r="B1313" s="44" t="s">
        <v>22</v>
      </c>
      <c r="C1313" s="44" t="s">
        <v>406</v>
      </c>
      <c r="D1313" s="44" t="s">
        <v>422</v>
      </c>
      <c r="E1313" s="44"/>
      <c r="F1313" s="45" t="s">
        <v>18</v>
      </c>
      <c r="G1313" s="46">
        <v>897</v>
      </c>
      <c r="H1313" s="46">
        <v>91</v>
      </c>
      <c r="I1313" s="46">
        <v>8</v>
      </c>
      <c r="J1313" s="47">
        <v>90.789473684210506</v>
      </c>
      <c r="K1313" s="47"/>
      <c r="L1313" s="48">
        <v>748</v>
      </c>
      <c r="M1313" s="48">
        <v>16</v>
      </c>
      <c r="N1313" s="48">
        <v>9</v>
      </c>
      <c r="O1313" s="47">
        <v>97.905759162303696</v>
      </c>
      <c r="P1313" s="49"/>
    </row>
    <row r="1314" spans="1:16" ht="15" hidden="1" customHeight="1">
      <c r="A1314" s="43">
        <v>1308</v>
      </c>
      <c r="B1314" s="44" t="s">
        <v>22</v>
      </c>
      <c r="C1314" s="44" t="s">
        <v>406</v>
      </c>
      <c r="D1314" s="44" t="s">
        <v>422</v>
      </c>
      <c r="E1314" s="44"/>
      <c r="F1314" s="45" t="s">
        <v>19</v>
      </c>
      <c r="G1314" s="46">
        <v>538</v>
      </c>
      <c r="H1314" s="46">
        <v>133</v>
      </c>
      <c r="I1314" s="46">
        <v>10</v>
      </c>
      <c r="J1314" s="47">
        <v>80.178837555886702</v>
      </c>
      <c r="K1314" s="47"/>
      <c r="L1314" s="48">
        <v>420</v>
      </c>
      <c r="M1314" s="48">
        <v>72</v>
      </c>
      <c r="N1314" s="48">
        <v>13</v>
      </c>
      <c r="O1314" s="47">
        <v>85.365853658536594</v>
      </c>
      <c r="P1314" s="49"/>
    </row>
    <row r="1315" spans="1:16" ht="15" customHeight="1">
      <c r="A1315" s="50">
        <v>1309</v>
      </c>
      <c r="B1315" s="51" t="s">
        <v>24</v>
      </c>
      <c r="C1315" s="58" t="s">
        <v>406</v>
      </c>
      <c r="D1315" s="58" t="s">
        <v>422</v>
      </c>
      <c r="E1315" s="58" t="s">
        <v>423</v>
      </c>
      <c r="F1315" s="59" t="s">
        <v>423</v>
      </c>
      <c r="G1315" s="52">
        <v>697</v>
      </c>
      <c r="H1315" s="52">
        <v>143</v>
      </c>
      <c r="I1315" s="52">
        <v>12</v>
      </c>
      <c r="J1315" s="53">
        <v>82.976190476190496</v>
      </c>
      <c r="K1315" s="53">
        <f>G1315+H1315+I1315</f>
        <v>852</v>
      </c>
      <c r="L1315" s="54">
        <v>602</v>
      </c>
      <c r="M1315" s="54">
        <v>55</v>
      </c>
      <c r="N1315" s="54">
        <v>12</v>
      </c>
      <c r="O1315" s="53">
        <v>91.628614916286097</v>
      </c>
      <c r="P1315" s="55">
        <f>L1315+M1315+N1315</f>
        <v>669</v>
      </c>
    </row>
    <row r="1316" spans="1:16" ht="15" hidden="1" customHeight="1">
      <c r="A1316" s="43">
        <v>1310</v>
      </c>
      <c r="B1316" s="44" t="s">
        <v>24</v>
      </c>
      <c r="C1316" s="44" t="s">
        <v>406</v>
      </c>
      <c r="D1316" s="44" t="s">
        <v>422</v>
      </c>
      <c r="E1316" s="44" t="s">
        <v>423</v>
      </c>
      <c r="F1316" s="45" t="s">
        <v>18</v>
      </c>
      <c r="G1316" s="46">
        <v>456</v>
      </c>
      <c r="H1316" s="46">
        <v>67</v>
      </c>
      <c r="I1316" s="46">
        <v>7</v>
      </c>
      <c r="J1316" s="47">
        <v>87.189292543020997</v>
      </c>
      <c r="K1316" s="47"/>
      <c r="L1316" s="48">
        <v>423</v>
      </c>
      <c r="M1316" s="48">
        <v>9</v>
      </c>
      <c r="N1316" s="48">
        <v>6</v>
      </c>
      <c r="O1316" s="47">
        <v>97.9166666666667</v>
      </c>
      <c r="P1316" s="49"/>
    </row>
    <row r="1317" spans="1:16" ht="15" hidden="1" customHeight="1">
      <c r="A1317" s="43">
        <v>1311</v>
      </c>
      <c r="B1317" s="44" t="s">
        <v>24</v>
      </c>
      <c r="C1317" s="44" t="s">
        <v>406</v>
      </c>
      <c r="D1317" s="44" t="s">
        <v>422</v>
      </c>
      <c r="E1317" s="44" t="s">
        <v>423</v>
      </c>
      <c r="F1317" s="45" t="s">
        <v>19</v>
      </c>
      <c r="G1317" s="46">
        <v>241</v>
      </c>
      <c r="H1317" s="46">
        <v>76</v>
      </c>
      <c r="I1317" s="46">
        <v>5</v>
      </c>
      <c r="J1317" s="47">
        <v>76.025236593059901</v>
      </c>
      <c r="K1317" s="47"/>
      <c r="L1317" s="48">
        <v>179</v>
      </c>
      <c r="M1317" s="48">
        <v>46</v>
      </c>
      <c r="N1317" s="48">
        <v>6</v>
      </c>
      <c r="O1317" s="47">
        <v>79.5555555555556</v>
      </c>
      <c r="P1317" s="49"/>
    </row>
    <row r="1318" spans="1:16" ht="15" customHeight="1">
      <c r="A1318" s="50">
        <v>1312</v>
      </c>
      <c r="B1318" s="51" t="s">
        <v>24</v>
      </c>
      <c r="C1318" s="58" t="s">
        <v>406</v>
      </c>
      <c r="D1318" s="58" t="s">
        <v>422</v>
      </c>
      <c r="E1318" s="58" t="s">
        <v>392</v>
      </c>
      <c r="F1318" s="59" t="s">
        <v>392</v>
      </c>
      <c r="G1318" s="52">
        <v>622</v>
      </c>
      <c r="H1318" s="52">
        <v>57</v>
      </c>
      <c r="I1318" s="52">
        <v>5</v>
      </c>
      <c r="J1318" s="53">
        <v>91.605301914580295</v>
      </c>
      <c r="K1318" s="53">
        <f>G1318+H1318+I1318</f>
        <v>684</v>
      </c>
      <c r="L1318" s="54">
        <v>468</v>
      </c>
      <c r="M1318" s="54">
        <v>18</v>
      </c>
      <c r="N1318" s="54">
        <v>9</v>
      </c>
      <c r="O1318" s="53">
        <v>96.296296296296305</v>
      </c>
      <c r="P1318" s="55">
        <f>L1318+M1318+N1318</f>
        <v>495</v>
      </c>
    </row>
    <row r="1319" spans="1:16" ht="15" hidden="1" customHeight="1">
      <c r="A1319" s="43">
        <v>1313</v>
      </c>
      <c r="B1319" s="44" t="s">
        <v>24</v>
      </c>
      <c r="C1319" s="44" t="s">
        <v>406</v>
      </c>
      <c r="D1319" s="44" t="s">
        <v>422</v>
      </c>
      <c r="E1319" s="44" t="s">
        <v>392</v>
      </c>
      <c r="F1319" s="45" t="s">
        <v>18</v>
      </c>
      <c r="G1319" s="46">
        <v>441</v>
      </c>
      <c r="H1319" s="46">
        <v>24</v>
      </c>
      <c r="I1319" s="46">
        <v>1</v>
      </c>
      <c r="J1319" s="47">
        <v>94.838709677419402</v>
      </c>
      <c r="K1319" s="47"/>
      <c r="L1319" s="48">
        <v>325</v>
      </c>
      <c r="M1319" s="48">
        <v>7</v>
      </c>
      <c r="N1319" s="48">
        <v>3</v>
      </c>
      <c r="O1319" s="47">
        <v>97.891566265060206</v>
      </c>
      <c r="P1319" s="49"/>
    </row>
    <row r="1320" spans="1:16" ht="15" hidden="1" customHeight="1">
      <c r="A1320" s="43">
        <v>1314</v>
      </c>
      <c r="B1320" s="44" t="s">
        <v>24</v>
      </c>
      <c r="C1320" s="44" t="s">
        <v>406</v>
      </c>
      <c r="D1320" s="44" t="s">
        <v>422</v>
      </c>
      <c r="E1320" s="44" t="s">
        <v>392</v>
      </c>
      <c r="F1320" s="45" t="s">
        <v>19</v>
      </c>
      <c r="G1320" s="46">
        <v>181</v>
      </c>
      <c r="H1320" s="46">
        <v>33</v>
      </c>
      <c r="I1320" s="46">
        <v>4</v>
      </c>
      <c r="J1320" s="47">
        <v>84.579439252336499</v>
      </c>
      <c r="K1320" s="47"/>
      <c r="L1320" s="48">
        <v>143</v>
      </c>
      <c r="M1320" s="48">
        <v>11</v>
      </c>
      <c r="N1320" s="48">
        <v>6</v>
      </c>
      <c r="O1320" s="47">
        <v>92.857142857142904</v>
      </c>
      <c r="P1320" s="49"/>
    </row>
    <row r="1321" spans="1:16" ht="15" customHeight="1">
      <c r="A1321" s="50">
        <v>1315</v>
      </c>
      <c r="B1321" s="51" t="s">
        <v>24</v>
      </c>
      <c r="C1321" s="58" t="s">
        <v>406</v>
      </c>
      <c r="D1321" s="58" t="s">
        <v>422</v>
      </c>
      <c r="E1321" s="58" t="s">
        <v>424</v>
      </c>
      <c r="F1321" s="59" t="s">
        <v>424</v>
      </c>
      <c r="G1321" s="52">
        <v>116</v>
      </c>
      <c r="H1321" s="52">
        <v>24</v>
      </c>
      <c r="I1321" s="52">
        <v>1</v>
      </c>
      <c r="J1321" s="53">
        <v>82.857142857142904</v>
      </c>
      <c r="K1321" s="53">
        <f>G1321+H1321+I1321</f>
        <v>141</v>
      </c>
      <c r="L1321" s="54">
        <v>98</v>
      </c>
      <c r="M1321" s="54">
        <v>15</v>
      </c>
      <c r="N1321" s="54">
        <v>1</v>
      </c>
      <c r="O1321" s="53">
        <v>86.725663716814196</v>
      </c>
      <c r="P1321" s="55">
        <f>L1321+M1321+N1321</f>
        <v>114</v>
      </c>
    </row>
    <row r="1322" spans="1:16" ht="15" hidden="1" customHeight="1">
      <c r="A1322" s="43">
        <v>1316</v>
      </c>
      <c r="B1322" s="44" t="s">
        <v>24</v>
      </c>
      <c r="C1322" s="44" t="s">
        <v>406</v>
      </c>
      <c r="D1322" s="44" t="s">
        <v>422</v>
      </c>
      <c r="E1322" s="44" t="s">
        <v>424</v>
      </c>
      <c r="F1322" s="45" t="s">
        <v>18</v>
      </c>
      <c r="G1322" s="46"/>
      <c r="H1322" s="46"/>
      <c r="I1322" s="46"/>
      <c r="J1322" s="47"/>
      <c r="K1322" s="47"/>
      <c r="L1322" s="48"/>
      <c r="M1322" s="48"/>
      <c r="N1322" s="48"/>
      <c r="O1322" s="47"/>
      <c r="P1322" s="49"/>
    </row>
    <row r="1323" spans="1:16" ht="15" hidden="1" customHeight="1">
      <c r="A1323" s="43">
        <v>1317</v>
      </c>
      <c r="B1323" s="44" t="s">
        <v>24</v>
      </c>
      <c r="C1323" s="44" t="s">
        <v>406</v>
      </c>
      <c r="D1323" s="44" t="s">
        <v>422</v>
      </c>
      <c r="E1323" s="44" t="s">
        <v>424</v>
      </c>
      <c r="F1323" s="45" t="s">
        <v>19</v>
      </c>
      <c r="G1323" s="46">
        <v>116</v>
      </c>
      <c r="H1323" s="46">
        <v>24</v>
      </c>
      <c r="I1323" s="46">
        <v>1</v>
      </c>
      <c r="J1323" s="47">
        <v>82.857142857142904</v>
      </c>
      <c r="K1323" s="47"/>
      <c r="L1323" s="48">
        <v>98</v>
      </c>
      <c r="M1323" s="48">
        <v>15</v>
      </c>
      <c r="N1323" s="48">
        <v>1</v>
      </c>
      <c r="O1323" s="47">
        <v>86.725663716814196</v>
      </c>
      <c r="P1323" s="49"/>
    </row>
    <row r="1324" spans="1:16" ht="15" hidden="1" customHeight="1">
      <c r="A1324" s="37">
        <v>1318</v>
      </c>
      <c r="B1324" s="38" t="s">
        <v>22</v>
      </c>
      <c r="C1324" s="57" t="s">
        <v>406</v>
      </c>
      <c r="D1324" s="57" t="s">
        <v>425</v>
      </c>
      <c r="E1324" s="57"/>
      <c r="F1324" s="38" t="s">
        <v>425</v>
      </c>
      <c r="G1324" s="39">
        <v>2280</v>
      </c>
      <c r="H1324" s="39">
        <v>327</v>
      </c>
      <c r="I1324" s="39">
        <v>27</v>
      </c>
      <c r="J1324" s="40">
        <v>87.4568469505178</v>
      </c>
      <c r="K1324" s="40"/>
      <c r="L1324" s="41">
        <v>2046</v>
      </c>
      <c r="M1324" s="41">
        <v>86</v>
      </c>
      <c r="N1324" s="41">
        <v>28</v>
      </c>
      <c r="O1324" s="40">
        <v>95.966228893058201</v>
      </c>
      <c r="P1324" s="42"/>
    </row>
    <row r="1325" spans="1:16" ht="15" hidden="1" customHeight="1">
      <c r="A1325" s="43">
        <v>1319</v>
      </c>
      <c r="B1325" s="44" t="s">
        <v>22</v>
      </c>
      <c r="C1325" s="44" t="s">
        <v>406</v>
      </c>
      <c r="D1325" s="44" t="s">
        <v>425</v>
      </c>
      <c r="E1325" s="44"/>
      <c r="F1325" s="45" t="s">
        <v>18</v>
      </c>
      <c r="G1325" s="46">
        <v>1370</v>
      </c>
      <c r="H1325" s="46">
        <v>134</v>
      </c>
      <c r="I1325" s="46">
        <v>15</v>
      </c>
      <c r="J1325" s="47">
        <v>91.090425531914903</v>
      </c>
      <c r="K1325" s="47"/>
      <c r="L1325" s="48">
        <v>1254</v>
      </c>
      <c r="M1325" s="48">
        <v>24</v>
      </c>
      <c r="N1325" s="48">
        <v>12</v>
      </c>
      <c r="O1325" s="47">
        <v>98.122065727699507</v>
      </c>
      <c r="P1325" s="49"/>
    </row>
    <row r="1326" spans="1:16" ht="15" hidden="1" customHeight="1">
      <c r="A1326" s="43">
        <v>1320</v>
      </c>
      <c r="B1326" s="44" t="s">
        <v>22</v>
      </c>
      <c r="C1326" s="44" t="s">
        <v>406</v>
      </c>
      <c r="D1326" s="44" t="s">
        <v>425</v>
      </c>
      <c r="E1326" s="44"/>
      <c r="F1326" s="45" t="s">
        <v>19</v>
      </c>
      <c r="G1326" s="46">
        <v>910</v>
      </c>
      <c r="H1326" s="46">
        <v>193</v>
      </c>
      <c r="I1326" s="46">
        <v>12</v>
      </c>
      <c r="J1326" s="47">
        <v>82.502266545784195</v>
      </c>
      <c r="K1326" s="47"/>
      <c r="L1326" s="48">
        <v>792</v>
      </c>
      <c r="M1326" s="48">
        <v>62</v>
      </c>
      <c r="N1326" s="48">
        <v>16</v>
      </c>
      <c r="O1326" s="47">
        <v>92.740046838407494</v>
      </c>
      <c r="P1326" s="49"/>
    </row>
    <row r="1327" spans="1:16" ht="15" customHeight="1">
      <c r="A1327" s="50">
        <v>1321</v>
      </c>
      <c r="B1327" s="51" t="s">
        <v>24</v>
      </c>
      <c r="C1327" s="58" t="s">
        <v>406</v>
      </c>
      <c r="D1327" s="58" t="s">
        <v>425</v>
      </c>
      <c r="E1327" s="58" t="s">
        <v>426</v>
      </c>
      <c r="F1327" s="59" t="s">
        <v>426</v>
      </c>
      <c r="G1327" s="52">
        <v>1239</v>
      </c>
      <c r="H1327" s="52">
        <v>210</v>
      </c>
      <c r="I1327" s="52">
        <v>17</v>
      </c>
      <c r="J1327" s="53">
        <v>85.507246376811594</v>
      </c>
      <c r="K1327" s="53">
        <f>G1327+H1327+I1327</f>
        <v>1466</v>
      </c>
      <c r="L1327" s="54">
        <v>1202</v>
      </c>
      <c r="M1327" s="54">
        <v>27</v>
      </c>
      <c r="N1327" s="54">
        <v>15</v>
      </c>
      <c r="O1327" s="53">
        <v>97.803091944670498</v>
      </c>
      <c r="P1327" s="55">
        <f>L1327+M1327+N1327</f>
        <v>1244</v>
      </c>
    </row>
    <row r="1328" spans="1:16" ht="15" hidden="1" customHeight="1">
      <c r="A1328" s="43">
        <v>1322</v>
      </c>
      <c r="B1328" s="44" t="s">
        <v>24</v>
      </c>
      <c r="C1328" s="44" t="s">
        <v>406</v>
      </c>
      <c r="D1328" s="44" t="s">
        <v>425</v>
      </c>
      <c r="E1328" s="44" t="s">
        <v>426</v>
      </c>
      <c r="F1328" s="45" t="s">
        <v>18</v>
      </c>
      <c r="G1328" s="46">
        <v>879</v>
      </c>
      <c r="H1328" s="46">
        <v>117</v>
      </c>
      <c r="I1328" s="46">
        <v>14</v>
      </c>
      <c r="J1328" s="47">
        <v>88.253012048192801</v>
      </c>
      <c r="K1328" s="47"/>
      <c r="L1328" s="48">
        <v>937</v>
      </c>
      <c r="M1328" s="48">
        <v>12</v>
      </c>
      <c r="N1328" s="48">
        <v>9</v>
      </c>
      <c r="O1328" s="47">
        <v>98.735511064278199</v>
      </c>
      <c r="P1328" s="49"/>
    </row>
    <row r="1329" spans="1:16" ht="15" hidden="1" customHeight="1">
      <c r="A1329" s="43">
        <v>1323</v>
      </c>
      <c r="B1329" s="44" t="s">
        <v>24</v>
      </c>
      <c r="C1329" s="44" t="s">
        <v>406</v>
      </c>
      <c r="D1329" s="44" t="s">
        <v>425</v>
      </c>
      <c r="E1329" s="44" t="s">
        <v>426</v>
      </c>
      <c r="F1329" s="45" t="s">
        <v>19</v>
      </c>
      <c r="G1329" s="46">
        <v>360</v>
      </c>
      <c r="H1329" s="46">
        <v>93</v>
      </c>
      <c r="I1329" s="46">
        <v>3</v>
      </c>
      <c r="J1329" s="47">
        <v>79.470198675496704</v>
      </c>
      <c r="K1329" s="47"/>
      <c r="L1329" s="48">
        <v>265</v>
      </c>
      <c r="M1329" s="48">
        <v>15</v>
      </c>
      <c r="N1329" s="48">
        <v>6</v>
      </c>
      <c r="O1329" s="47">
        <v>94.642857142857096</v>
      </c>
      <c r="P1329" s="49"/>
    </row>
    <row r="1330" spans="1:16" ht="15" customHeight="1">
      <c r="A1330" s="50">
        <v>1324</v>
      </c>
      <c r="B1330" s="51" t="s">
        <v>24</v>
      </c>
      <c r="C1330" s="58" t="s">
        <v>406</v>
      </c>
      <c r="D1330" s="58" t="s">
        <v>425</v>
      </c>
      <c r="E1330" s="58" t="s">
        <v>427</v>
      </c>
      <c r="F1330" s="59" t="s">
        <v>427</v>
      </c>
      <c r="G1330" s="52">
        <v>581</v>
      </c>
      <c r="H1330" s="52">
        <v>76</v>
      </c>
      <c r="I1330" s="52">
        <v>3</v>
      </c>
      <c r="J1330" s="53">
        <v>88.432267884322698</v>
      </c>
      <c r="K1330" s="53">
        <f>G1330+H1330+I1330</f>
        <v>660</v>
      </c>
      <c r="L1330" s="54">
        <v>478</v>
      </c>
      <c r="M1330" s="54">
        <v>36</v>
      </c>
      <c r="N1330" s="54">
        <v>8</v>
      </c>
      <c r="O1330" s="53">
        <v>92.996108949416296</v>
      </c>
      <c r="P1330" s="55">
        <f>L1330+M1330+N1330</f>
        <v>522</v>
      </c>
    </row>
    <row r="1331" spans="1:16" ht="15" hidden="1" customHeight="1">
      <c r="A1331" s="43">
        <v>1325</v>
      </c>
      <c r="B1331" s="44" t="s">
        <v>24</v>
      </c>
      <c r="C1331" s="44" t="s">
        <v>406</v>
      </c>
      <c r="D1331" s="44" t="s">
        <v>425</v>
      </c>
      <c r="E1331" s="44" t="s">
        <v>427</v>
      </c>
      <c r="F1331" s="45" t="s">
        <v>18</v>
      </c>
      <c r="G1331" s="46">
        <v>246</v>
      </c>
      <c r="H1331" s="46">
        <v>4</v>
      </c>
      <c r="I1331" s="46">
        <v>0</v>
      </c>
      <c r="J1331" s="47">
        <v>98.4</v>
      </c>
      <c r="K1331" s="47"/>
      <c r="L1331" s="48">
        <v>154</v>
      </c>
      <c r="M1331" s="48">
        <v>2</v>
      </c>
      <c r="N1331" s="48">
        <v>2</v>
      </c>
      <c r="O1331" s="47">
        <v>98.717948717948701</v>
      </c>
      <c r="P1331" s="49"/>
    </row>
    <row r="1332" spans="1:16" ht="15" hidden="1" customHeight="1">
      <c r="A1332" s="43">
        <v>1326</v>
      </c>
      <c r="B1332" s="44" t="s">
        <v>24</v>
      </c>
      <c r="C1332" s="44" t="s">
        <v>406</v>
      </c>
      <c r="D1332" s="44" t="s">
        <v>425</v>
      </c>
      <c r="E1332" s="44" t="s">
        <v>427</v>
      </c>
      <c r="F1332" s="45" t="s">
        <v>19</v>
      </c>
      <c r="G1332" s="46">
        <v>335</v>
      </c>
      <c r="H1332" s="46">
        <v>72</v>
      </c>
      <c r="I1332" s="46">
        <v>3</v>
      </c>
      <c r="J1332" s="47">
        <v>82.309582309582296</v>
      </c>
      <c r="K1332" s="47"/>
      <c r="L1332" s="48">
        <v>324</v>
      </c>
      <c r="M1332" s="48">
        <v>34</v>
      </c>
      <c r="N1332" s="48">
        <v>6</v>
      </c>
      <c r="O1332" s="47">
        <v>90.502793296089393</v>
      </c>
      <c r="P1332" s="49"/>
    </row>
    <row r="1333" spans="1:16" ht="15" customHeight="1">
      <c r="A1333" s="50">
        <v>1327</v>
      </c>
      <c r="B1333" s="51" t="s">
        <v>24</v>
      </c>
      <c r="C1333" s="58" t="s">
        <v>406</v>
      </c>
      <c r="D1333" s="58" t="s">
        <v>425</v>
      </c>
      <c r="E1333" s="58" t="s">
        <v>428</v>
      </c>
      <c r="F1333" s="59" t="s">
        <v>428</v>
      </c>
      <c r="G1333" s="52">
        <v>460</v>
      </c>
      <c r="H1333" s="52">
        <v>41</v>
      </c>
      <c r="I1333" s="52">
        <v>7</v>
      </c>
      <c r="J1333" s="53">
        <v>91.816367265469097</v>
      </c>
      <c r="K1333" s="53">
        <f>G1333+H1333+I1333</f>
        <v>508</v>
      </c>
      <c r="L1333" s="54">
        <v>366</v>
      </c>
      <c r="M1333" s="54">
        <v>23</v>
      </c>
      <c r="N1333" s="54">
        <v>5</v>
      </c>
      <c r="O1333" s="53">
        <v>94.087403598971704</v>
      </c>
      <c r="P1333" s="55">
        <f>L1333+M1333+N1333</f>
        <v>394</v>
      </c>
    </row>
    <row r="1334" spans="1:16" ht="15" hidden="1" customHeight="1">
      <c r="A1334" s="43">
        <v>1328</v>
      </c>
      <c r="B1334" s="44" t="s">
        <v>24</v>
      </c>
      <c r="C1334" s="44" t="s">
        <v>406</v>
      </c>
      <c r="D1334" s="44" t="s">
        <v>425</v>
      </c>
      <c r="E1334" s="44" t="s">
        <v>428</v>
      </c>
      <c r="F1334" s="45" t="s">
        <v>18</v>
      </c>
      <c r="G1334" s="46">
        <v>245</v>
      </c>
      <c r="H1334" s="46">
        <v>13</v>
      </c>
      <c r="I1334" s="46">
        <v>1</v>
      </c>
      <c r="J1334" s="47">
        <v>94.9612403100775</v>
      </c>
      <c r="K1334" s="47"/>
      <c r="L1334" s="48">
        <v>163</v>
      </c>
      <c r="M1334" s="48">
        <v>10</v>
      </c>
      <c r="N1334" s="48">
        <v>1</v>
      </c>
      <c r="O1334" s="47">
        <v>94.2196531791908</v>
      </c>
      <c r="P1334" s="49"/>
    </row>
    <row r="1335" spans="1:16" ht="15" hidden="1" customHeight="1">
      <c r="A1335" s="43">
        <v>1329</v>
      </c>
      <c r="B1335" s="44" t="s">
        <v>24</v>
      </c>
      <c r="C1335" s="44" t="s">
        <v>406</v>
      </c>
      <c r="D1335" s="44" t="s">
        <v>425</v>
      </c>
      <c r="E1335" s="44" t="s">
        <v>428</v>
      </c>
      <c r="F1335" s="45" t="s">
        <v>19</v>
      </c>
      <c r="G1335" s="46">
        <v>215</v>
      </c>
      <c r="H1335" s="46">
        <v>28</v>
      </c>
      <c r="I1335" s="46">
        <v>6</v>
      </c>
      <c r="J1335" s="47">
        <v>88.477366255144005</v>
      </c>
      <c r="K1335" s="47"/>
      <c r="L1335" s="48">
        <v>203</v>
      </c>
      <c r="M1335" s="48">
        <v>13</v>
      </c>
      <c r="N1335" s="48">
        <v>4</v>
      </c>
      <c r="O1335" s="47">
        <v>93.981481481481495</v>
      </c>
      <c r="P1335" s="49"/>
    </row>
    <row r="1336" spans="1:16" ht="15" hidden="1" customHeight="1">
      <c r="A1336" s="37">
        <v>1330</v>
      </c>
      <c r="B1336" s="38" t="s">
        <v>22</v>
      </c>
      <c r="C1336" s="57" t="s">
        <v>406</v>
      </c>
      <c r="D1336" s="57" t="s">
        <v>429</v>
      </c>
      <c r="E1336" s="57"/>
      <c r="F1336" s="38" t="s">
        <v>429</v>
      </c>
      <c r="G1336" s="39">
        <v>412</v>
      </c>
      <c r="H1336" s="39">
        <v>111</v>
      </c>
      <c r="I1336" s="39">
        <v>5</v>
      </c>
      <c r="J1336" s="40">
        <v>78.776290630975097</v>
      </c>
      <c r="K1336" s="40"/>
      <c r="L1336" s="41">
        <v>491</v>
      </c>
      <c r="M1336" s="41">
        <v>71</v>
      </c>
      <c r="N1336" s="41">
        <v>11</v>
      </c>
      <c r="O1336" s="40">
        <v>87.366548042704594</v>
      </c>
      <c r="P1336" s="42"/>
    </row>
    <row r="1337" spans="1:16" ht="15" hidden="1" customHeight="1">
      <c r="A1337" s="43">
        <v>1331</v>
      </c>
      <c r="B1337" s="44" t="s">
        <v>22</v>
      </c>
      <c r="C1337" s="44" t="s">
        <v>406</v>
      </c>
      <c r="D1337" s="44" t="s">
        <v>429</v>
      </c>
      <c r="E1337" s="44"/>
      <c r="F1337" s="45" t="s">
        <v>18</v>
      </c>
      <c r="G1337" s="46"/>
      <c r="H1337" s="46"/>
      <c r="I1337" s="46"/>
      <c r="J1337" s="47"/>
      <c r="K1337" s="47"/>
      <c r="L1337" s="48"/>
      <c r="M1337" s="48"/>
      <c r="N1337" s="48"/>
      <c r="O1337" s="47"/>
      <c r="P1337" s="49"/>
    </row>
    <row r="1338" spans="1:16" ht="15" hidden="1" customHeight="1">
      <c r="A1338" s="43">
        <v>1332</v>
      </c>
      <c r="B1338" s="44" t="s">
        <v>22</v>
      </c>
      <c r="C1338" s="44" t="s">
        <v>406</v>
      </c>
      <c r="D1338" s="44" t="s">
        <v>429</v>
      </c>
      <c r="E1338" s="44"/>
      <c r="F1338" s="45" t="s">
        <v>19</v>
      </c>
      <c r="G1338" s="46">
        <v>412</v>
      </c>
      <c r="H1338" s="46">
        <v>111</v>
      </c>
      <c r="I1338" s="46">
        <v>5</v>
      </c>
      <c r="J1338" s="47">
        <v>78.776290630975097</v>
      </c>
      <c r="K1338" s="47"/>
      <c r="L1338" s="48">
        <v>491</v>
      </c>
      <c r="M1338" s="48">
        <v>71</v>
      </c>
      <c r="N1338" s="48">
        <v>11</v>
      </c>
      <c r="O1338" s="47">
        <v>87.366548042704594</v>
      </c>
      <c r="P1338" s="49"/>
    </row>
    <row r="1339" spans="1:16" ht="15" customHeight="1">
      <c r="A1339" s="50">
        <v>1333</v>
      </c>
      <c r="B1339" s="51" t="s">
        <v>24</v>
      </c>
      <c r="C1339" s="58" t="s">
        <v>406</v>
      </c>
      <c r="D1339" s="58" t="s">
        <v>429</v>
      </c>
      <c r="E1339" s="58" t="s">
        <v>430</v>
      </c>
      <c r="F1339" s="59" t="s">
        <v>430</v>
      </c>
      <c r="G1339" s="52">
        <v>412</v>
      </c>
      <c r="H1339" s="52">
        <v>111</v>
      </c>
      <c r="I1339" s="52">
        <v>5</v>
      </c>
      <c r="J1339" s="53">
        <v>78.776290630975097</v>
      </c>
      <c r="K1339" s="53">
        <f>G1339+H1339+I1339</f>
        <v>528</v>
      </c>
      <c r="L1339" s="54">
        <v>491</v>
      </c>
      <c r="M1339" s="54">
        <v>71</v>
      </c>
      <c r="N1339" s="54">
        <v>11</v>
      </c>
      <c r="O1339" s="53">
        <v>87.366548042704594</v>
      </c>
      <c r="P1339" s="55">
        <f>L1339+M1339+N1339</f>
        <v>573</v>
      </c>
    </row>
    <row r="1340" spans="1:16" ht="15" hidden="1" customHeight="1">
      <c r="A1340" s="43">
        <v>1334</v>
      </c>
      <c r="B1340" s="44" t="s">
        <v>24</v>
      </c>
      <c r="C1340" s="44" t="s">
        <v>406</v>
      </c>
      <c r="D1340" s="44" t="s">
        <v>429</v>
      </c>
      <c r="E1340" s="44" t="s">
        <v>430</v>
      </c>
      <c r="F1340" s="45" t="s">
        <v>18</v>
      </c>
      <c r="G1340" s="46"/>
      <c r="H1340" s="46"/>
      <c r="I1340" s="46"/>
      <c r="J1340" s="47"/>
      <c r="K1340" s="47"/>
      <c r="L1340" s="48"/>
      <c r="M1340" s="48"/>
      <c r="N1340" s="48"/>
      <c r="O1340" s="47"/>
      <c r="P1340" s="49"/>
    </row>
    <row r="1341" spans="1:16" ht="15" hidden="1" customHeight="1">
      <c r="A1341" s="43">
        <v>1335</v>
      </c>
      <c r="B1341" s="44" t="s">
        <v>24</v>
      </c>
      <c r="C1341" s="44" t="s">
        <v>406</v>
      </c>
      <c r="D1341" s="44" t="s">
        <v>429</v>
      </c>
      <c r="E1341" s="44" t="s">
        <v>430</v>
      </c>
      <c r="F1341" s="45" t="s">
        <v>19</v>
      </c>
      <c r="G1341" s="46">
        <v>412</v>
      </c>
      <c r="H1341" s="46">
        <v>111</v>
      </c>
      <c r="I1341" s="46">
        <v>5</v>
      </c>
      <c r="J1341" s="47">
        <v>78.776290630975097</v>
      </c>
      <c r="K1341" s="47"/>
      <c r="L1341" s="48">
        <v>491</v>
      </c>
      <c r="M1341" s="48">
        <v>71</v>
      </c>
      <c r="N1341" s="48">
        <v>11</v>
      </c>
      <c r="O1341" s="47">
        <v>87.366548042704594</v>
      </c>
      <c r="P1341" s="49"/>
    </row>
    <row r="1342" spans="1:16" ht="15" hidden="1" customHeight="1">
      <c r="A1342" s="25">
        <v>1336</v>
      </c>
      <c r="B1342" s="26" t="s">
        <v>20</v>
      </c>
      <c r="C1342" s="26" t="s">
        <v>431</v>
      </c>
      <c r="D1342" s="26"/>
      <c r="E1342" s="26"/>
      <c r="F1342" s="26" t="s">
        <v>431</v>
      </c>
      <c r="G1342" s="27">
        <v>13063</v>
      </c>
      <c r="H1342" s="27">
        <v>1747</v>
      </c>
      <c r="I1342" s="27">
        <v>137</v>
      </c>
      <c r="J1342" s="28">
        <v>88.203916272788604</v>
      </c>
      <c r="K1342" s="28">
        <f>G1342+H1342+I1342</f>
        <v>14947</v>
      </c>
      <c r="L1342" s="29">
        <v>11685</v>
      </c>
      <c r="M1342" s="29">
        <v>407</v>
      </c>
      <c r="N1342" s="29">
        <v>89</v>
      </c>
      <c r="O1342" s="28">
        <v>96.634138273238506</v>
      </c>
      <c r="P1342" s="30">
        <f>L1342+M1342+N1342</f>
        <v>12181</v>
      </c>
    </row>
    <row r="1343" spans="1:16" ht="15" hidden="1" customHeight="1">
      <c r="A1343" s="31">
        <v>1337</v>
      </c>
      <c r="B1343" s="32" t="s">
        <v>20</v>
      </c>
      <c r="C1343" s="56" t="s">
        <v>431</v>
      </c>
      <c r="D1343" s="56"/>
      <c r="E1343" s="56"/>
      <c r="F1343" s="32" t="s">
        <v>18</v>
      </c>
      <c r="G1343" s="33">
        <v>6262</v>
      </c>
      <c r="H1343" s="33">
        <v>494</v>
      </c>
      <c r="I1343" s="33">
        <v>65</v>
      </c>
      <c r="J1343" s="34">
        <v>92.687981053878005</v>
      </c>
      <c r="K1343" s="34"/>
      <c r="L1343" s="35">
        <v>5333</v>
      </c>
      <c r="M1343" s="35">
        <v>109</v>
      </c>
      <c r="N1343" s="35">
        <v>27</v>
      </c>
      <c r="O1343" s="34">
        <v>97.9970599044469</v>
      </c>
      <c r="P1343" s="36"/>
    </row>
    <row r="1344" spans="1:16" ht="15" hidden="1" customHeight="1">
      <c r="A1344" s="31">
        <v>1338</v>
      </c>
      <c r="B1344" s="32" t="s">
        <v>20</v>
      </c>
      <c r="C1344" s="56" t="s">
        <v>431</v>
      </c>
      <c r="D1344" s="56"/>
      <c r="E1344" s="56"/>
      <c r="F1344" s="32" t="s">
        <v>19</v>
      </c>
      <c r="G1344" s="33">
        <v>6801</v>
      </c>
      <c r="H1344" s="33">
        <v>1253</v>
      </c>
      <c r="I1344" s="33">
        <v>72</v>
      </c>
      <c r="J1344" s="34">
        <v>84.442513037000197</v>
      </c>
      <c r="K1344" s="34"/>
      <c r="L1344" s="35">
        <v>6352</v>
      </c>
      <c r="M1344" s="35">
        <v>298</v>
      </c>
      <c r="N1344" s="35">
        <v>62</v>
      </c>
      <c r="O1344" s="34">
        <v>95.518796992481199</v>
      </c>
      <c r="P1344" s="36"/>
    </row>
    <row r="1345" spans="1:16" ht="15" hidden="1" customHeight="1">
      <c r="A1345" s="37">
        <v>1339</v>
      </c>
      <c r="B1345" s="38" t="s">
        <v>22</v>
      </c>
      <c r="C1345" s="57" t="s">
        <v>431</v>
      </c>
      <c r="D1345" s="57" t="s">
        <v>432</v>
      </c>
      <c r="E1345" s="57"/>
      <c r="F1345" s="38" t="s">
        <v>432</v>
      </c>
      <c r="G1345" s="39">
        <v>6876</v>
      </c>
      <c r="H1345" s="39">
        <v>608</v>
      </c>
      <c r="I1345" s="39">
        <v>70</v>
      </c>
      <c r="J1345" s="40">
        <v>91.876002137894204</v>
      </c>
      <c r="K1345" s="40"/>
      <c r="L1345" s="41">
        <v>5202</v>
      </c>
      <c r="M1345" s="41">
        <v>139</v>
      </c>
      <c r="N1345" s="41">
        <v>30</v>
      </c>
      <c r="O1345" s="40">
        <v>97.397491106534403</v>
      </c>
      <c r="P1345" s="42"/>
    </row>
    <row r="1346" spans="1:16" ht="15" hidden="1" customHeight="1">
      <c r="A1346" s="43">
        <v>1340</v>
      </c>
      <c r="B1346" s="44" t="s">
        <v>22</v>
      </c>
      <c r="C1346" s="44" t="s">
        <v>431</v>
      </c>
      <c r="D1346" s="44" t="s">
        <v>432</v>
      </c>
      <c r="E1346" s="44"/>
      <c r="F1346" s="45" t="s">
        <v>18</v>
      </c>
      <c r="G1346" s="46">
        <v>5657</v>
      </c>
      <c r="H1346" s="46">
        <v>396</v>
      </c>
      <c r="I1346" s="46">
        <v>56</v>
      </c>
      <c r="J1346" s="47">
        <v>93.457789525854906</v>
      </c>
      <c r="K1346" s="47"/>
      <c r="L1346" s="48">
        <v>4449</v>
      </c>
      <c r="M1346" s="48">
        <v>88</v>
      </c>
      <c r="N1346" s="48">
        <v>26</v>
      </c>
      <c r="O1346" s="47">
        <v>98.060392329733304</v>
      </c>
      <c r="P1346" s="49"/>
    </row>
    <row r="1347" spans="1:16" ht="15" hidden="1" customHeight="1">
      <c r="A1347" s="43">
        <v>1341</v>
      </c>
      <c r="B1347" s="44" t="s">
        <v>22</v>
      </c>
      <c r="C1347" s="44" t="s">
        <v>431</v>
      </c>
      <c r="D1347" s="44" t="s">
        <v>432</v>
      </c>
      <c r="E1347" s="44"/>
      <c r="F1347" s="45" t="s">
        <v>19</v>
      </c>
      <c r="G1347" s="46">
        <v>1219</v>
      </c>
      <c r="H1347" s="46">
        <v>212</v>
      </c>
      <c r="I1347" s="46">
        <v>14</v>
      </c>
      <c r="J1347" s="47">
        <v>85.185185185185205</v>
      </c>
      <c r="K1347" s="47"/>
      <c r="L1347" s="48">
        <v>753</v>
      </c>
      <c r="M1347" s="48">
        <v>51</v>
      </c>
      <c r="N1347" s="48">
        <v>4</v>
      </c>
      <c r="O1347" s="47">
        <v>93.656716417910403</v>
      </c>
      <c r="P1347" s="49"/>
    </row>
    <row r="1348" spans="1:16" ht="15" customHeight="1">
      <c r="A1348" s="50">
        <v>1342</v>
      </c>
      <c r="B1348" s="51" t="s">
        <v>24</v>
      </c>
      <c r="C1348" s="58" t="s">
        <v>431</v>
      </c>
      <c r="D1348" s="58" t="s">
        <v>432</v>
      </c>
      <c r="E1348" s="58" t="s">
        <v>433</v>
      </c>
      <c r="F1348" s="59" t="s">
        <v>433</v>
      </c>
      <c r="G1348" s="52">
        <v>5359</v>
      </c>
      <c r="H1348" s="52">
        <v>382</v>
      </c>
      <c r="I1348" s="52">
        <v>56</v>
      </c>
      <c r="J1348" s="53">
        <v>93.346106950008704</v>
      </c>
      <c r="K1348" s="53">
        <f>G1348+H1348+I1348</f>
        <v>5797</v>
      </c>
      <c r="L1348" s="54">
        <v>3916</v>
      </c>
      <c r="M1348" s="54">
        <v>90</v>
      </c>
      <c r="N1348" s="54">
        <v>18</v>
      </c>
      <c r="O1348" s="53">
        <v>97.753369945082397</v>
      </c>
      <c r="P1348" s="55">
        <f>L1348+M1348+N1348</f>
        <v>4024</v>
      </c>
    </row>
    <row r="1349" spans="1:16" ht="15" hidden="1" customHeight="1">
      <c r="A1349" s="43">
        <v>1343</v>
      </c>
      <c r="B1349" s="44" t="s">
        <v>24</v>
      </c>
      <c r="C1349" s="44" t="s">
        <v>431</v>
      </c>
      <c r="D1349" s="44" t="s">
        <v>432</v>
      </c>
      <c r="E1349" s="44" t="s">
        <v>433</v>
      </c>
      <c r="F1349" s="45" t="s">
        <v>18</v>
      </c>
      <c r="G1349" s="46">
        <v>5149</v>
      </c>
      <c r="H1349" s="46">
        <v>352</v>
      </c>
      <c r="I1349" s="46">
        <v>52</v>
      </c>
      <c r="J1349" s="47">
        <v>93.601163424831796</v>
      </c>
      <c r="K1349" s="47"/>
      <c r="L1349" s="48">
        <v>3786</v>
      </c>
      <c r="M1349" s="48">
        <v>83</v>
      </c>
      <c r="N1349" s="48">
        <v>18</v>
      </c>
      <c r="O1349" s="47">
        <v>97.854742827603999</v>
      </c>
      <c r="P1349" s="49"/>
    </row>
    <row r="1350" spans="1:16" ht="15" hidden="1" customHeight="1">
      <c r="A1350" s="43">
        <v>1344</v>
      </c>
      <c r="B1350" s="44" t="s">
        <v>24</v>
      </c>
      <c r="C1350" s="44" t="s">
        <v>431</v>
      </c>
      <c r="D1350" s="44" t="s">
        <v>432</v>
      </c>
      <c r="E1350" s="44" t="s">
        <v>433</v>
      </c>
      <c r="F1350" s="45" t="s">
        <v>19</v>
      </c>
      <c r="G1350" s="46">
        <v>210</v>
      </c>
      <c r="H1350" s="46">
        <v>30</v>
      </c>
      <c r="I1350" s="46">
        <v>4</v>
      </c>
      <c r="J1350" s="47">
        <v>87.5</v>
      </c>
      <c r="K1350" s="47"/>
      <c r="L1350" s="48">
        <v>130</v>
      </c>
      <c r="M1350" s="48">
        <v>7</v>
      </c>
      <c r="N1350" s="48">
        <v>0</v>
      </c>
      <c r="O1350" s="47">
        <v>94.890510948905103</v>
      </c>
      <c r="P1350" s="49"/>
    </row>
    <row r="1351" spans="1:16" ht="15" customHeight="1">
      <c r="A1351" s="50">
        <v>1345</v>
      </c>
      <c r="B1351" s="51" t="s">
        <v>24</v>
      </c>
      <c r="C1351" s="58" t="s">
        <v>431</v>
      </c>
      <c r="D1351" s="58" t="s">
        <v>432</v>
      </c>
      <c r="E1351" s="58" t="s">
        <v>434</v>
      </c>
      <c r="F1351" s="59" t="s">
        <v>434</v>
      </c>
      <c r="G1351" s="52">
        <v>877</v>
      </c>
      <c r="H1351" s="52">
        <v>107</v>
      </c>
      <c r="I1351" s="52">
        <v>6</v>
      </c>
      <c r="J1351" s="53">
        <v>89.126016260162601</v>
      </c>
      <c r="K1351" s="53">
        <f>G1351+H1351+I1351</f>
        <v>990</v>
      </c>
      <c r="L1351" s="54">
        <v>872</v>
      </c>
      <c r="M1351" s="54">
        <v>18</v>
      </c>
      <c r="N1351" s="54">
        <v>11</v>
      </c>
      <c r="O1351" s="53">
        <v>97.977528089887599</v>
      </c>
      <c r="P1351" s="55">
        <f>L1351+M1351+N1351</f>
        <v>901</v>
      </c>
    </row>
    <row r="1352" spans="1:16" ht="15" hidden="1" customHeight="1">
      <c r="A1352" s="43">
        <v>1346</v>
      </c>
      <c r="B1352" s="44" t="s">
        <v>24</v>
      </c>
      <c r="C1352" s="44" t="s">
        <v>431</v>
      </c>
      <c r="D1352" s="44" t="s">
        <v>432</v>
      </c>
      <c r="E1352" s="44" t="s">
        <v>434</v>
      </c>
      <c r="F1352" s="45" t="s">
        <v>18</v>
      </c>
      <c r="G1352" s="46">
        <v>508</v>
      </c>
      <c r="H1352" s="46">
        <v>44</v>
      </c>
      <c r="I1352" s="46">
        <v>4</v>
      </c>
      <c r="J1352" s="47">
        <v>92.028985507246404</v>
      </c>
      <c r="K1352" s="47"/>
      <c r="L1352" s="48">
        <v>663</v>
      </c>
      <c r="M1352" s="48">
        <v>5</v>
      </c>
      <c r="N1352" s="48">
        <v>8</v>
      </c>
      <c r="O1352" s="47">
        <v>99.251497005988</v>
      </c>
      <c r="P1352" s="49"/>
    </row>
    <row r="1353" spans="1:16" ht="15" hidden="1" customHeight="1">
      <c r="A1353" s="43">
        <v>1347</v>
      </c>
      <c r="B1353" s="44" t="s">
        <v>24</v>
      </c>
      <c r="C1353" s="44" t="s">
        <v>431</v>
      </c>
      <c r="D1353" s="44" t="s">
        <v>432</v>
      </c>
      <c r="E1353" s="44" t="s">
        <v>434</v>
      </c>
      <c r="F1353" s="45" t="s">
        <v>19</v>
      </c>
      <c r="G1353" s="46">
        <v>369</v>
      </c>
      <c r="H1353" s="46">
        <v>63</v>
      </c>
      <c r="I1353" s="46">
        <v>2</v>
      </c>
      <c r="J1353" s="47">
        <v>85.4166666666667</v>
      </c>
      <c r="K1353" s="47"/>
      <c r="L1353" s="48">
        <v>209</v>
      </c>
      <c r="M1353" s="48">
        <v>13</v>
      </c>
      <c r="N1353" s="48">
        <v>3</v>
      </c>
      <c r="O1353" s="47">
        <v>94.144144144144093</v>
      </c>
      <c r="P1353" s="49"/>
    </row>
    <row r="1354" spans="1:16" ht="15" customHeight="1">
      <c r="A1354" s="50">
        <v>1348</v>
      </c>
      <c r="B1354" s="51" t="s">
        <v>24</v>
      </c>
      <c r="C1354" s="58" t="s">
        <v>431</v>
      </c>
      <c r="D1354" s="58" t="s">
        <v>432</v>
      </c>
      <c r="E1354" s="58" t="s">
        <v>435</v>
      </c>
      <c r="F1354" s="59" t="s">
        <v>435</v>
      </c>
      <c r="G1354" s="52">
        <v>264</v>
      </c>
      <c r="H1354" s="52">
        <v>48</v>
      </c>
      <c r="I1354" s="52">
        <v>5</v>
      </c>
      <c r="J1354" s="53">
        <v>84.615384615384599</v>
      </c>
      <c r="K1354" s="53">
        <f>G1354+H1354+I1354</f>
        <v>317</v>
      </c>
      <c r="L1354" s="54">
        <v>156</v>
      </c>
      <c r="M1354" s="54">
        <v>9</v>
      </c>
      <c r="N1354" s="54">
        <v>0</v>
      </c>
      <c r="O1354" s="53">
        <v>94.545454545454504</v>
      </c>
      <c r="P1354" s="55">
        <f>L1354+M1354+N1354</f>
        <v>165</v>
      </c>
    </row>
    <row r="1355" spans="1:16" ht="15" hidden="1" customHeight="1">
      <c r="A1355" s="43">
        <v>1349</v>
      </c>
      <c r="B1355" s="44" t="s">
        <v>24</v>
      </c>
      <c r="C1355" s="44" t="s">
        <v>431</v>
      </c>
      <c r="D1355" s="44" t="s">
        <v>432</v>
      </c>
      <c r="E1355" s="44" t="s">
        <v>435</v>
      </c>
      <c r="F1355" s="45" t="s">
        <v>18</v>
      </c>
      <c r="G1355" s="46"/>
      <c r="H1355" s="46"/>
      <c r="I1355" s="46"/>
      <c r="J1355" s="47"/>
      <c r="K1355" s="47"/>
      <c r="L1355" s="48"/>
      <c r="M1355" s="48"/>
      <c r="N1355" s="48"/>
      <c r="O1355" s="47"/>
      <c r="P1355" s="49"/>
    </row>
    <row r="1356" spans="1:16" ht="15" hidden="1" customHeight="1">
      <c r="A1356" s="43">
        <v>1350</v>
      </c>
      <c r="B1356" s="44" t="s">
        <v>24</v>
      </c>
      <c r="C1356" s="44" t="s">
        <v>431</v>
      </c>
      <c r="D1356" s="44" t="s">
        <v>432</v>
      </c>
      <c r="E1356" s="44" t="s">
        <v>435</v>
      </c>
      <c r="F1356" s="45" t="s">
        <v>19</v>
      </c>
      <c r="G1356" s="46">
        <v>264</v>
      </c>
      <c r="H1356" s="46">
        <v>48</v>
      </c>
      <c r="I1356" s="46">
        <v>5</v>
      </c>
      <c r="J1356" s="47">
        <v>84.615384615384599</v>
      </c>
      <c r="K1356" s="47"/>
      <c r="L1356" s="48">
        <v>156</v>
      </c>
      <c r="M1356" s="48">
        <v>9</v>
      </c>
      <c r="N1356" s="48">
        <v>0</v>
      </c>
      <c r="O1356" s="47">
        <v>94.545454545454504</v>
      </c>
      <c r="P1356" s="49"/>
    </row>
    <row r="1357" spans="1:16" ht="15" customHeight="1">
      <c r="A1357" s="50">
        <v>1351</v>
      </c>
      <c r="B1357" s="51" t="s">
        <v>24</v>
      </c>
      <c r="C1357" s="58" t="s">
        <v>431</v>
      </c>
      <c r="D1357" s="58" t="s">
        <v>432</v>
      </c>
      <c r="E1357" s="58" t="s">
        <v>436</v>
      </c>
      <c r="F1357" s="59" t="s">
        <v>436</v>
      </c>
      <c r="G1357" s="52">
        <v>376</v>
      </c>
      <c r="H1357" s="52">
        <v>71</v>
      </c>
      <c r="I1357" s="52">
        <v>3</v>
      </c>
      <c r="J1357" s="53">
        <v>84.116331096196902</v>
      </c>
      <c r="K1357" s="53">
        <f>G1357+H1357+I1357</f>
        <v>450</v>
      </c>
      <c r="L1357" s="54">
        <v>258</v>
      </c>
      <c r="M1357" s="54">
        <v>22</v>
      </c>
      <c r="N1357" s="54">
        <v>1</v>
      </c>
      <c r="O1357" s="53">
        <v>92.142857142857096</v>
      </c>
      <c r="P1357" s="55">
        <f>L1357+M1357+N1357</f>
        <v>281</v>
      </c>
    </row>
    <row r="1358" spans="1:16" ht="15" hidden="1" customHeight="1">
      <c r="A1358" s="43">
        <v>1352</v>
      </c>
      <c r="B1358" s="44" t="s">
        <v>24</v>
      </c>
      <c r="C1358" s="44" t="s">
        <v>431</v>
      </c>
      <c r="D1358" s="44" t="s">
        <v>432</v>
      </c>
      <c r="E1358" s="44" t="s">
        <v>436</v>
      </c>
      <c r="F1358" s="45" t="s">
        <v>18</v>
      </c>
      <c r="G1358" s="46"/>
      <c r="H1358" s="46"/>
      <c r="I1358" s="46"/>
      <c r="J1358" s="47"/>
      <c r="K1358" s="47"/>
      <c r="L1358" s="48"/>
      <c r="M1358" s="48"/>
      <c r="N1358" s="48"/>
      <c r="O1358" s="47"/>
      <c r="P1358" s="49"/>
    </row>
    <row r="1359" spans="1:16" ht="15" hidden="1" customHeight="1">
      <c r="A1359" s="43">
        <v>1353</v>
      </c>
      <c r="B1359" s="44" t="s">
        <v>24</v>
      </c>
      <c r="C1359" s="44" t="s">
        <v>431</v>
      </c>
      <c r="D1359" s="44" t="s">
        <v>432</v>
      </c>
      <c r="E1359" s="44" t="s">
        <v>436</v>
      </c>
      <c r="F1359" s="45" t="s">
        <v>19</v>
      </c>
      <c r="G1359" s="46">
        <v>376</v>
      </c>
      <c r="H1359" s="46">
        <v>71</v>
      </c>
      <c r="I1359" s="46">
        <v>3</v>
      </c>
      <c r="J1359" s="47">
        <v>84.116331096196902</v>
      </c>
      <c r="K1359" s="47"/>
      <c r="L1359" s="48">
        <v>258</v>
      </c>
      <c r="M1359" s="48">
        <v>22</v>
      </c>
      <c r="N1359" s="48">
        <v>1</v>
      </c>
      <c r="O1359" s="47">
        <v>92.142857142857096</v>
      </c>
      <c r="P1359" s="49"/>
    </row>
    <row r="1360" spans="1:16" ht="15" hidden="1" customHeight="1">
      <c r="A1360" s="37">
        <v>1354</v>
      </c>
      <c r="B1360" s="38" t="s">
        <v>22</v>
      </c>
      <c r="C1360" s="57" t="s">
        <v>431</v>
      </c>
      <c r="D1360" s="57" t="s">
        <v>437</v>
      </c>
      <c r="E1360" s="57"/>
      <c r="F1360" s="38" t="s">
        <v>437</v>
      </c>
      <c r="G1360" s="39">
        <v>1690</v>
      </c>
      <c r="H1360" s="39">
        <v>348</v>
      </c>
      <c r="I1360" s="39">
        <v>17</v>
      </c>
      <c r="J1360" s="40">
        <v>82.924435721295396</v>
      </c>
      <c r="K1360" s="40"/>
      <c r="L1360" s="41">
        <v>1676</v>
      </c>
      <c r="M1360" s="41">
        <v>67</v>
      </c>
      <c r="N1360" s="41">
        <v>12</v>
      </c>
      <c r="O1360" s="40">
        <v>96.156052782558803</v>
      </c>
      <c r="P1360" s="42"/>
    </row>
    <row r="1361" spans="1:16" ht="15" hidden="1" customHeight="1">
      <c r="A1361" s="43">
        <v>1355</v>
      </c>
      <c r="B1361" s="44" t="s">
        <v>22</v>
      </c>
      <c r="C1361" s="44" t="s">
        <v>431</v>
      </c>
      <c r="D1361" s="44" t="s">
        <v>437</v>
      </c>
      <c r="E1361" s="44"/>
      <c r="F1361" s="45" t="s">
        <v>18</v>
      </c>
      <c r="G1361" s="46">
        <v>264</v>
      </c>
      <c r="H1361" s="46">
        <v>62</v>
      </c>
      <c r="I1361" s="46">
        <v>5</v>
      </c>
      <c r="J1361" s="47">
        <v>80.981595092024506</v>
      </c>
      <c r="K1361" s="47"/>
      <c r="L1361" s="48">
        <v>248</v>
      </c>
      <c r="M1361" s="48">
        <v>8</v>
      </c>
      <c r="N1361" s="48">
        <v>0</v>
      </c>
      <c r="O1361" s="47">
        <v>96.875</v>
      </c>
      <c r="P1361" s="49"/>
    </row>
    <row r="1362" spans="1:16" ht="15" hidden="1" customHeight="1">
      <c r="A1362" s="43">
        <v>1356</v>
      </c>
      <c r="B1362" s="44" t="s">
        <v>22</v>
      </c>
      <c r="C1362" s="44" t="s">
        <v>431</v>
      </c>
      <c r="D1362" s="44" t="s">
        <v>437</v>
      </c>
      <c r="E1362" s="44"/>
      <c r="F1362" s="45" t="s">
        <v>19</v>
      </c>
      <c r="G1362" s="46">
        <v>1426</v>
      </c>
      <c r="H1362" s="46">
        <v>286</v>
      </c>
      <c r="I1362" s="46">
        <v>12</v>
      </c>
      <c r="J1362" s="47">
        <v>83.294392523364493</v>
      </c>
      <c r="K1362" s="47"/>
      <c r="L1362" s="48">
        <v>1428</v>
      </c>
      <c r="M1362" s="48">
        <v>59</v>
      </c>
      <c r="N1362" s="48">
        <v>12</v>
      </c>
      <c r="O1362" s="47">
        <v>96.032279757901804</v>
      </c>
      <c r="P1362" s="49"/>
    </row>
    <row r="1363" spans="1:16" ht="15" customHeight="1">
      <c r="A1363" s="50">
        <v>1357</v>
      </c>
      <c r="B1363" s="51" t="s">
        <v>24</v>
      </c>
      <c r="C1363" s="58" t="s">
        <v>431</v>
      </c>
      <c r="D1363" s="58" t="s">
        <v>437</v>
      </c>
      <c r="E1363" s="58" t="s">
        <v>438</v>
      </c>
      <c r="F1363" s="59" t="s">
        <v>438</v>
      </c>
      <c r="G1363" s="52">
        <v>722</v>
      </c>
      <c r="H1363" s="52">
        <v>153</v>
      </c>
      <c r="I1363" s="52">
        <v>5</v>
      </c>
      <c r="J1363" s="53">
        <v>82.514285714285705</v>
      </c>
      <c r="K1363" s="53">
        <f>G1363+H1363+I1363</f>
        <v>880</v>
      </c>
      <c r="L1363" s="54">
        <v>640</v>
      </c>
      <c r="M1363" s="54">
        <v>21</v>
      </c>
      <c r="N1363" s="54">
        <v>3</v>
      </c>
      <c r="O1363" s="53">
        <v>96.822995461422096</v>
      </c>
      <c r="P1363" s="55">
        <f>L1363+M1363+N1363</f>
        <v>664</v>
      </c>
    </row>
    <row r="1364" spans="1:16" ht="15" hidden="1" customHeight="1">
      <c r="A1364" s="43">
        <v>1358</v>
      </c>
      <c r="B1364" s="44" t="s">
        <v>24</v>
      </c>
      <c r="C1364" s="44" t="s">
        <v>431</v>
      </c>
      <c r="D1364" s="44" t="s">
        <v>437</v>
      </c>
      <c r="E1364" s="44" t="s">
        <v>438</v>
      </c>
      <c r="F1364" s="45" t="s">
        <v>18</v>
      </c>
      <c r="G1364" s="46">
        <v>264</v>
      </c>
      <c r="H1364" s="46">
        <v>62</v>
      </c>
      <c r="I1364" s="46">
        <v>5</v>
      </c>
      <c r="J1364" s="47">
        <v>80.981595092024506</v>
      </c>
      <c r="K1364" s="47"/>
      <c r="L1364" s="48">
        <v>248</v>
      </c>
      <c r="M1364" s="48">
        <v>8</v>
      </c>
      <c r="N1364" s="48">
        <v>0</v>
      </c>
      <c r="O1364" s="47">
        <v>96.875</v>
      </c>
      <c r="P1364" s="49"/>
    </row>
    <row r="1365" spans="1:16" ht="15" hidden="1" customHeight="1">
      <c r="A1365" s="43">
        <v>1359</v>
      </c>
      <c r="B1365" s="44" t="s">
        <v>24</v>
      </c>
      <c r="C1365" s="44" t="s">
        <v>431</v>
      </c>
      <c r="D1365" s="44" t="s">
        <v>437</v>
      </c>
      <c r="E1365" s="44" t="s">
        <v>438</v>
      </c>
      <c r="F1365" s="45" t="s">
        <v>19</v>
      </c>
      <c r="G1365" s="46">
        <v>458</v>
      </c>
      <c r="H1365" s="46">
        <v>91</v>
      </c>
      <c r="I1365" s="46">
        <v>0</v>
      </c>
      <c r="J1365" s="47">
        <v>83.424408014571995</v>
      </c>
      <c r="K1365" s="47"/>
      <c r="L1365" s="48">
        <v>392</v>
      </c>
      <c r="M1365" s="48">
        <v>13</v>
      </c>
      <c r="N1365" s="48">
        <v>3</v>
      </c>
      <c r="O1365" s="47">
        <v>96.790123456790099</v>
      </c>
      <c r="P1365" s="49"/>
    </row>
    <row r="1366" spans="1:16" ht="15" customHeight="1">
      <c r="A1366" s="50">
        <v>1360</v>
      </c>
      <c r="B1366" s="51" t="s">
        <v>24</v>
      </c>
      <c r="C1366" s="58" t="s">
        <v>431</v>
      </c>
      <c r="D1366" s="58" t="s">
        <v>437</v>
      </c>
      <c r="E1366" s="58" t="s">
        <v>285</v>
      </c>
      <c r="F1366" s="59" t="s">
        <v>285</v>
      </c>
      <c r="G1366" s="52">
        <v>265</v>
      </c>
      <c r="H1366" s="52">
        <v>81</v>
      </c>
      <c r="I1366" s="52">
        <v>6</v>
      </c>
      <c r="J1366" s="53">
        <v>76.589595375722496</v>
      </c>
      <c r="K1366" s="53">
        <f>G1366+H1366+I1366</f>
        <v>352</v>
      </c>
      <c r="L1366" s="54">
        <v>355</v>
      </c>
      <c r="M1366" s="54">
        <v>12</v>
      </c>
      <c r="N1366" s="54">
        <v>3</v>
      </c>
      <c r="O1366" s="53">
        <v>96.730245231607597</v>
      </c>
      <c r="P1366" s="55">
        <f>L1366+M1366+N1366</f>
        <v>370</v>
      </c>
    </row>
    <row r="1367" spans="1:16" ht="15" hidden="1" customHeight="1">
      <c r="A1367" s="43">
        <v>1361</v>
      </c>
      <c r="B1367" s="44" t="s">
        <v>24</v>
      </c>
      <c r="C1367" s="44" t="s">
        <v>431</v>
      </c>
      <c r="D1367" s="44" t="s">
        <v>437</v>
      </c>
      <c r="E1367" s="44" t="s">
        <v>285</v>
      </c>
      <c r="F1367" s="45" t="s">
        <v>18</v>
      </c>
      <c r="G1367" s="46"/>
      <c r="H1367" s="46"/>
      <c r="I1367" s="46"/>
      <c r="J1367" s="47"/>
      <c r="K1367" s="47"/>
      <c r="L1367" s="48"/>
      <c r="M1367" s="48"/>
      <c r="N1367" s="48"/>
      <c r="O1367" s="47"/>
      <c r="P1367" s="49"/>
    </row>
    <row r="1368" spans="1:16" ht="15" hidden="1" customHeight="1">
      <c r="A1368" s="43">
        <v>1362</v>
      </c>
      <c r="B1368" s="44" t="s">
        <v>24</v>
      </c>
      <c r="C1368" s="44" t="s">
        <v>431</v>
      </c>
      <c r="D1368" s="44" t="s">
        <v>437</v>
      </c>
      <c r="E1368" s="44" t="s">
        <v>285</v>
      </c>
      <c r="F1368" s="45" t="s">
        <v>19</v>
      </c>
      <c r="G1368" s="46">
        <v>265</v>
      </c>
      <c r="H1368" s="46">
        <v>81</v>
      </c>
      <c r="I1368" s="46">
        <v>6</v>
      </c>
      <c r="J1368" s="47">
        <v>76.589595375722496</v>
      </c>
      <c r="K1368" s="47"/>
      <c r="L1368" s="48">
        <v>355</v>
      </c>
      <c r="M1368" s="48">
        <v>12</v>
      </c>
      <c r="N1368" s="48">
        <v>3</v>
      </c>
      <c r="O1368" s="47">
        <v>96.730245231607597</v>
      </c>
      <c r="P1368" s="49"/>
    </row>
    <row r="1369" spans="1:16" ht="15" customHeight="1">
      <c r="A1369" s="50">
        <v>1363</v>
      </c>
      <c r="B1369" s="51" t="s">
        <v>24</v>
      </c>
      <c r="C1369" s="58" t="s">
        <v>431</v>
      </c>
      <c r="D1369" s="58" t="s">
        <v>437</v>
      </c>
      <c r="E1369" s="58" t="s">
        <v>439</v>
      </c>
      <c r="F1369" s="59" t="s">
        <v>439</v>
      </c>
      <c r="G1369" s="52">
        <v>703</v>
      </c>
      <c r="H1369" s="52">
        <v>114</v>
      </c>
      <c r="I1369" s="52">
        <v>6</v>
      </c>
      <c r="J1369" s="53">
        <v>86.046511627906995</v>
      </c>
      <c r="K1369" s="53">
        <f>G1369+H1369+I1369</f>
        <v>823</v>
      </c>
      <c r="L1369" s="54">
        <v>681</v>
      </c>
      <c r="M1369" s="54">
        <v>34</v>
      </c>
      <c r="N1369" s="54">
        <v>6</v>
      </c>
      <c r="O1369" s="53">
        <v>95.244755244755197</v>
      </c>
      <c r="P1369" s="55">
        <f>L1369+M1369+N1369</f>
        <v>721</v>
      </c>
    </row>
    <row r="1370" spans="1:16" ht="15" hidden="1" customHeight="1">
      <c r="A1370" s="43">
        <v>1364</v>
      </c>
      <c r="B1370" s="44" t="s">
        <v>24</v>
      </c>
      <c r="C1370" s="44" t="s">
        <v>431</v>
      </c>
      <c r="D1370" s="44" t="s">
        <v>437</v>
      </c>
      <c r="E1370" s="44" t="s">
        <v>439</v>
      </c>
      <c r="F1370" s="45" t="s">
        <v>18</v>
      </c>
      <c r="G1370" s="46"/>
      <c r="H1370" s="46"/>
      <c r="I1370" s="46"/>
      <c r="J1370" s="47"/>
      <c r="K1370" s="47"/>
      <c r="L1370" s="48"/>
      <c r="M1370" s="48"/>
      <c r="N1370" s="48"/>
      <c r="O1370" s="47"/>
      <c r="P1370" s="49"/>
    </row>
    <row r="1371" spans="1:16" ht="15" hidden="1" customHeight="1">
      <c r="A1371" s="43">
        <v>1365</v>
      </c>
      <c r="B1371" s="44" t="s">
        <v>24</v>
      </c>
      <c r="C1371" s="44" t="s">
        <v>431</v>
      </c>
      <c r="D1371" s="44" t="s">
        <v>437</v>
      </c>
      <c r="E1371" s="44" t="s">
        <v>439</v>
      </c>
      <c r="F1371" s="45" t="s">
        <v>19</v>
      </c>
      <c r="G1371" s="46">
        <v>703</v>
      </c>
      <c r="H1371" s="46">
        <v>114</v>
      </c>
      <c r="I1371" s="46">
        <v>6</v>
      </c>
      <c r="J1371" s="47">
        <v>86.046511627906995</v>
      </c>
      <c r="K1371" s="47"/>
      <c r="L1371" s="48">
        <v>681</v>
      </c>
      <c r="M1371" s="48">
        <v>34</v>
      </c>
      <c r="N1371" s="48">
        <v>6</v>
      </c>
      <c r="O1371" s="47">
        <v>95.244755244755197</v>
      </c>
      <c r="P1371" s="49"/>
    </row>
    <row r="1372" spans="1:16" ht="15" hidden="1" customHeight="1">
      <c r="A1372" s="37">
        <v>1366</v>
      </c>
      <c r="B1372" s="38" t="s">
        <v>22</v>
      </c>
      <c r="C1372" s="57" t="s">
        <v>431</v>
      </c>
      <c r="D1372" s="57" t="s">
        <v>440</v>
      </c>
      <c r="E1372" s="57"/>
      <c r="F1372" s="38" t="s">
        <v>440</v>
      </c>
      <c r="G1372" s="39">
        <v>3179</v>
      </c>
      <c r="H1372" s="39">
        <v>484</v>
      </c>
      <c r="I1372" s="39">
        <v>36</v>
      </c>
      <c r="J1372" s="40">
        <v>86.786786786786806</v>
      </c>
      <c r="K1372" s="40"/>
      <c r="L1372" s="41">
        <v>3734</v>
      </c>
      <c r="M1372" s="41">
        <v>151</v>
      </c>
      <c r="N1372" s="41">
        <v>37</v>
      </c>
      <c r="O1372" s="40">
        <v>96.113256113256099</v>
      </c>
      <c r="P1372" s="42"/>
    </row>
    <row r="1373" spans="1:16" ht="15" hidden="1" customHeight="1">
      <c r="A1373" s="43">
        <v>1367</v>
      </c>
      <c r="B1373" s="44" t="s">
        <v>22</v>
      </c>
      <c r="C1373" s="44" t="s">
        <v>431</v>
      </c>
      <c r="D1373" s="44" t="s">
        <v>440</v>
      </c>
      <c r="E1373" s="44"/>
      <c r="F1373" s="45" t="s">
        <v>18</v>
      </c>
      <c r="G1373" s="46">
        <v>341</v>
      </c>
      <c r="H1373" s="46">
        <v>36</v>
      </c>
      <c r="I1373" s="46">
        <v>4</v>
      </c>
      <c r="J1373" s="47">
        <v>90.450928381962896</v>
      </c>
      <c r="K1373" s="47"/>
      <c r="L1373" s="48">
        <v>636</v>
      </c>
      <c r="M1373" s="48">
        <v>13</v>
      </c>
      <c r="N1373" s="48">
        <v>1</v>
      </c>
      <c r="O1373" s="47">
        <v>97.996918335901398</v>
      </c>
      <c r="P1373" s="49"/>
    </row>
    <row r="1374" spans="1:16" ht="15" hidden="1" customHeight="1">
      <c r="A1374" s="43">
        <v>1368</v>
      </c>
      <c r="B1374" s="44" t="s">
        <v>22</v>
      </c>
      <c r="C1374" s="44" t="s">
        <v>431</v>
      </c>
      <c r="D1374" s="44" t="s">
        <v>440</v>
      </c>
      <c r="E1374" s="44"/>
      <c r="F1374" s="45" t="s">
        <v>19</v>
      </c>
      <c r="G1374" s="46">
        <v>2838</v>
      </c>
      <c r="H1374" s="46">
        <v>448</v>
      </c>
      <c r="I1374" s="46">
        <v>32</v>
      </c>
      <c r="J1374" s="47">
        <v>86.366402921485104</v>
      </c>
      <c r="K1374" s="47"/>
      <c r="L1374" s="48">
        <v>3098</v>
      </c>
      <c r="M1374" s="48">
        <v>138</v>
      </c>
      <c r="N1374" s="48">
        <v>36</v>
      </c>
      <c r="O1374" s="47">
        <v>95.735475896168097</v>
      </c>
      <c r="P1374" s="49"/>
    </row>
    <row r="1375" spans="1:16" ht="15" customHeight="1">
      <c r="A1375" s="50">
        <v>1369</v>
      </c>
      <c r="B1375" s="51" t="s">
        <v>24</v>
      </c>
      <c r="C1375" s="58" t="s">
        <v>431</v>
      </c>
      <c r="D1375" s="58" t="s">
        <v>440</v>
      </c>
      <c r="E1375" s="58" t="s">
        <v>441</v>
      </c>
      <c r="F1375" s="59" t="s">
        <v>441</v>
      </c>
      <c r="G1375" s="52">
        <v>1021</v>
      </c>
      <c r="H1375" s="52">
        <v>153</v>
      </c>
      <c r="I1375" s="52">
        <v>13</v>
      </c>
      <c r="J1375" s="53">
        <v>86.967632027257196</v>
      </c>
      <c r="K1375" s="53">
        <f>G1375+H1375+I1375</f>
        <v>1187</v>
      </c>
      <c r="L1375" s="54">
        <v>1438</v>
      </c>
      <c r="M1375" s="54">
        <v>31</v>
      </c>
      <c r="N1375" s="54">
        <v>16</v>
      </c>
      <c r="O1375" s="53">
        <v>97.889720898570502</v>
      </c>
      <c r="P1375" s="55">
        <f>L1375+M1375+N1375</f>
        <v>1485</v>
      </c>
    </row>
    <row r="1376" spans="1:16" ht="15" hidden="1" customHeight="1">
      <c r="A1376" s="43">
        <v>1370</v>
      </c>
      <c r="B1376" s="44" t="s">
        <v>24</v>
      </c>
      <c r="C1376" s="44" t="s">
        <v>431</v>
      </c>
      <c r="D1376" s="44" t="s">
        <v>440</v>
      </c>
      <c r="E1376" s="44" t="s">
        <v>441</v>
      </c>
      <c r="F1376" s="45" t="s">
        <v>18</v>
      </c>
      <c r="G1376" s="46"/>
      <c r="H1376" s="46"/>
      <c r="I1376" s="46"/>
      <c r="J1376" s="47"/>
      <c r="K1376" s="47"/>
      <c r="L1376" s="48">
        <v>136</v>
      </c>
      <c r="M1376" s="48">
        <v>1</v>
      </c>
      <c r="N1376" s="48">
        <v>1</v>
      </c>
      <c r="O1376" s="47">
        <v>99.270072992700705</v>
      </c>
      <c r="P1376" s="49"/>
    </row>
    <row r="1377" spans="1:16" ht="15" hidden="1" customHeight="1">
      <c r="A1377" s="43">
        <v>1371</v>
      </c>
      <c r="B1377" s="44" t="s">
        <v>24</v>
      </c>
      <c r="C1377" s="44" t="s">
        <v>431</v>
      </c>
      <c r="D1377" s="44" t="s">
        <v>440</v>
      </c>
      <c r="E1377" s="44" t="s">
        <v>441</v>
      </c>
      <c r="F1377" s="45" t="s">
        <v>19</v>
      </c>
      <c r="G1377" s="46">
        <v>1021</v>
      </c>
      <c r="H1377" s="46">
        <v>153</v>
      </c>
      <c r="I1377" s="46">
        <v>13</v>
      </c>
      <c r="J1377" s="47">
        <v>86.967632027257196</v>
      </c>
      <c r="K1377" s="47"/>
      <c r="L1377" s="48">
        <v>1302</v>
      </c>
      <c r="M1377" s="48">
        <v>30</v>
      </c>
      <c r="N1377" s="48">
        <v>15</v>
      </c>
      <c r="O1377" s="47">
        <v>97.747747747747795</v>
      </c>
      <c r="P1377" s="49"/>
    </row>
    <row r="1378" spans="1:16" ht="15" customHeight="1">
      <c r="A1378" s="50">
        <v>1372</v>
      </c>
      <c r="B1378" s="51" t="s">
        <v>24</v>
      </c>
      <c r="C1378" s="58" t="s">
        <v>431</v>
      </c>
      <c r="D1378" s="58" t="s">
        <v>440</v>
      </c>
      <c r="E1378" s="58" t="s">
        <v>334</v>
      </c>
      <c r="F1378" s="59" t="s">
        <v>334</v>
      </c>
      <c r="G1378" s="52">
        <v>969</v>
      </c>
      <c r="H1378" s="52">
        <v>178</v>
      </c>
      <c r="I1378" s="52">
        <v>7</v>
      </c>
      <c r="J1378" s="53">
        <v>84.481255448997402</v>
      </c>
      <c r="K1378" s="53">
        <f>G1378+H1378+I1378</f>
        <v>1154</v>
      </c>
      <c r="L1378" s="54">
        <v>1185</v>
      </c>
      <c r="M1378" s="54">
        <v>75</v>
      </c>
      <c r="N1378" s="54">
        <v>16</v>
      </c>
      <c r="O1378" s="53">
        <v>94.047619047619094</v>
      </c>
      <c r="P1378" s="55">
        <f>L1378+M1378+N1378</f>
        <v>1276</v>
      </c>
    </row>
    <row r="1379" spans="1:16" ht="15" hidden="1" customHeight="1">
      <c r="A1379" s="43">
        <v>1373</v>
      </c>
      <c r="B1379" s="44" t="s">
        <v>24</v>
      </c>
      <c r="C1379" s="44" t="s">
        <v>431</v>
      </c>
      <c r="D1379" s="44" t="s">
        <v>440</v>
      </c>
      <c r="E1379" s="44" t="s">
        <v>334</v>
      </c>
      <c r="F1379" s="45" t="s">
        <v>18</v>
      </c>
      <c r="G1379" s="46"/>
      <c r="H1379" s="46"/>
      <c r="I1379" s="46"/>
      <c r="J1379" s="47"/>
      <c r="K1379" s="47"/>
      <c r="L1379" s="48"/>
      <c r="M1379" s="48"/>
      <c r="N1379" s="48"/>
      <c r="O1379" s="47"/>
      <c r="P1379" s="49"/>
    </row>
    <row r="1380" spans="1:16" ht="15" hidden="1" customHeight="1">
      <c r="A1380" s="43">
        <v>1374</v>
      </c>
      <c r="B1380" s="44" t="s">
        <v>24</v>
      </c>
      <c r="C1380" s="44" t="s">
        <v>431</v>
      </c>
      <c r="D1380" s="44" t="s">
        <v>440</v>
      </c>
      <c r="E1380" s="44" t="s">
        <v>334</v>
      </c>
      <c r="F1380" s="45" t="s">
        <v>19</v>
      </c>
      <c r="G1380" s="46">
        <v>969</v>
      </c>
      <c r="H1380" s="46">
        <v>178</v>
      </c>
      <c r="I1380" s="46">
        <v>7</v>
      </c>
      <c r="J1380" s="47">
        <v>84.481255448997402</v>
      </c>
      <c r="K1380" s="47"/>
      <c r="L1380" s="48">
        <v>1185</v>
      </c>
      <c r="M1380" s="48">
        <v>75</v>
      </c>
      <c r="N1380" s="48">
        <v>16</v>
      </c>
      <c r="O1380" s="47">
        <v>94.047619047619094</v>
      </c>
      <c r="P1380" s="49"/>
    </row>
    <row r="1381" spans="1:16" ht="15" customHeight="1">
      <c r="A1381" s="50">
        <v>1375</v>
      </c>
      <c r="B1381" s="51" t="s">
        <v>24</v>
      </c>
      <c r="C1381" s="58" t="s">
        <v>431</v>
      </c>
      <c r="D1381" s="58" t="s">
        <v>440</v>
      </c>
      <c r="E1381" s="58" t="s">
        <v>442</v>
      </c>
      <c r="F1381" s="59" t="s">
        <v>442</v>
      </c>
      <c r="G1381" s="52">
        <v>1189</v>
      </c>
      <c r="H1381" s="52">
        <v>153</v>
      </c>
      <c r="I1381" s="52">
        <v>16</v>
      </c>
      <c r="J1381" s="53">
        <v>88.5991058122206</v>
      </c>
      <c r="K1381" s="53">
        <f>G1381+H1381+I1381</f>
        <v>1358</v>
      </c>
      <c r="L1381" s="54">
        <v>1111</v>
      </c>
      <c r="M1381" s="54">
        <v>45</v>
      </c>
      <c r="N1381" s="54">
        <v>5</v>
      </c>
      <c r="O1381" s="53">
        <v>96.107266435986205</v>
      </c>
      <c r="P1381" s="55">
        <f>L1381+M1381+N1381</f>
        <v>1161</v>
      </c>
    </row>
    <row r="1382" spans="1:16" ht="15" hidden="1" customHeight="1">
      <c r="A1382" s="43">
        <v>1376</v>
      </c>
      <c r="B1382" s="44" t="s">
        <v>24</v>
      </c>
      <c r="C1382" s="44" t="s">
        <v>431</v>
      </c>
      <c r="D1382" s="44" t="s">
        <v>440</v>
      </c>
      <c r="E1382" s="44" t="s">
        <v>442</v>
      </c>
      <c r="F1382" s="45" t="s">
        <v>18</v>
      </c>
      <c r="G1382" s="46">
        <v>341</v>
      </c>
      <c r="H1382" s="46">
        <v>36</v>
      </c>
      <c r="I1382" s="46">
        <v>4</v>
      </c>
      <c r="J1382" s="47">
        <v>90.450928381962896</v>
      </c>
      <c r="K1382" s="47"/>
      <c r="L1382" s="48">
        <v>500</v>
      </c>
      <c r="M1382" s="48">
        <v>12</v>
      </c>
      <c r="N1382" s="48">
        <v>0</v>
      </c>
      <c r="O1382" s="47">
        <v>97.65625</v>
      </c>
      <c r="P1382" s="49"/>
    </row>
    <row r="1383" spans="1:16" ht="15" hidden="1" customHeight="1">
      <c r="A1383" s="43">
        <v>1377</v>
      </c>
      <c r="B1383" s="44" t="s">
        <v>24</v>
      </c>
      <c r="C1383" s="44" t="s">
        <v>431</v>
      </c>
      <c r="D1383" s="44" t="s">
        <v>440</v>
      </c>
      <c r="E1383" s="44" t="s">
        <v>442</v>
      </c>
      <c r="F1383" s="45" t="s">
        <v>19</v>
      </c>
      <c r="G1383" s="46">
        <v>848</v>
      </c>
      <c r="H1383" s="46">
        <v>117</v>
      </c>
      <c r="I1383" s="46">
        <v>12</v>
      </c>
      <c r="J1383" s="47">
        <v>87.875647668393796</v>
      </c>
      <c r="K1383" s="47"/>
      <c r="L1383" s="48">
        <v>611</v>
      </c>
      <c r="M1383" s="48">
        <v>33</v>
      </c>
      <c r="N1383" s="48">
        <v>5</v>
      </c>
      <c r="O1383" s="47">
        <v>94.875776397515494</v>
      </c>
      <c r="P1383" s="49"/>
    </row>
    <row r="1384" spans="1:16" ht="15" hidden="1" customHeight="1">
      <c r="A1384" s="37">
        <v>1378</v>
      </c>
      <c r="B1384" s="38" t="s">
        <v>22</v>
      </c>
      <c r="C1384" s="57" t="s">
        <v>431</v>
      </c>
      <c r="D1384" s="57" t="s">
        <v>443</v>
      </c>
      <c r="E1384" s="57"/>
      <c r="F1384" s="38" t="s">
        <v>443</v>
      </c>
      <c r="G1384" s="39">
        <v>488</v>
      </c>
      <c r="H1384" s="39">
        <v>136</v>
      </c>
      <c r="I1384" s="39">
        <v>4</v>
      </c>
      <c r="J1384" s="40">
        <v>78.205128205128204</v>
      </c>
      <c r="K1384" s="40"/>
      <c r="L1384" s="41">
        <v>491</v>
      </c>
      <c r="M1384" s="41">
        <v>28</v>
      </c>
      <c r="N1384" s="41">
        <v>2</v>
      </c>
      <c r="O1384" s="40">
        <v>94.605009633911394</v>
      </c>
      <c r="P1384" s="42"/>
    </row>
    <row r="1385" spans="1:16" ht="15" hidden="1" customHeight="1">
      <c r="A1385" s="43">
        <v>1379</v>
      </c>
      <c r="B1385" s="44" t="s">
        <v>22</v>
      </c>
      <c r="C1385" s="44" t="s">
        <v>431</v>
      </c>
      <c r="D1385" s="44" t="s">
        <v>443</v>
      </c>
      <c r="E1385" s="44"/>
      <c r="F1385" s="45" t="s">
        <v>18</v>
      </c>
      <c r="G1385" s="46"/>
      <c r="H1385" s="46"/>
      <c r="I1385" s="46"/>
      <c r="J1385" s="47"/>
      <c r="K1385" s="47"/>
      <c r="L1385" s="48"/>
      <c r="M1385" s="48"/>
      <c r="N1385" s="48"/>
      <c r="O1385" s="47"/>
      <c r="P1385" s="49"/>
    </row>
    <row r="1386" spans="1:16" ht="15" hidden="1" customHeight="1">
      <c r="A1386" s="43">
        <v>1380</v>
      </c>
      <c r="B1386" s="44" t="s">
        <v>22</v>
      </c>
      <c r="C1386" s="44" t="s">
        <v>431</v>
      </c>
      <c r="D1386" s="44" t="s">
        <v>443</v>
      </c>
      <c r="E1386" s="44"/>
      <c r="F1386" s="45" t="s">
        <v>19</v>
      </c>
      <c r="G1386" s="46">
        <v>488</v>
      </c>
      <c r="H1386" s="46">
        <v>136</v>
      </c>
      <c r="I1386" s="46">
        <v>4</v>
      </c>
      <c r="J1386" s="47">
        <v>78.205128205128204</v>
      </c>
      <c r="K1386" s="47"/>
      <c r="L1386" s="48">
        <v>491</v>
      </c>
      <c r="M1386" s="48">
        <v>28</v>
      </c>
      <c r="N1386" s="48">
        <v>2</v>
      </c>
      <c r="O1386" s="47">
        <v>94.605009633911394</v>
      </c>
      <c r="P1386" s="49"/>
    </row>
    <row r="1387" spans="1:16" ht="15" customHeight="1">
      <c r="A1387" s="50">
        <v>1381</v>
      </c>
      <c r="B1387" s="51" t="s">
        <v>24</v>
      </c>
      <c r="C1387" s="58" t="s">
        <v>431</v>
      </c>
      <c r="D1387" s="58" t="s">
        <v>443</v>
      </c>
      <c r="E1387" s="58" t="s">
        <v>361</v>
      </c>
      <c r="F1387" s="59" t="s">
        <v>361</v>
      </c>
      <c r="G1387" s="52">
        <v>274</v>
      </c>
      <c r="H1387" s="52">
        <v>57</v>
      </c>
      <c r="I1387" s="52">
        <v>3</v>
      </c>
      <c r="J1387" s="53">
        <v>82.779456193353496</v>
      </c>
      <c r="K1387" s="53">
        <f>G1387+H1387+I1387</f>
        <v>334</v>
      </c>
      <c r="L1387" s="54">
        <v>245</v>
      </c>
      <c r="M1387" s="54">
        <v>17</v>
      </c>
      <c r="N1387" s="54">
        <v>1</v>
      </c>
      <c r="O1387" s="53">
        <v>93.511450381679396</v>
      </c>
      <c r="P1387" s="55">
        <f>L1387+M1387+N1387</f>
        <v>263</v>
      </c>
    </row>
    <row r="1388" spans="1:16" ht="15" hidden="1" customHeight="1">
      <c r="A1388" s="43">
        <v>1382</v>
      </c>
      <c r="B1388" s="44" t="s">
        <v>24</v>
      </c>
      <c r="C1388" s="44" t="s">
        <v>431</v>
      </c>
      <c r="D1388" s="44" t="s">
        <v>443</v>
      </c>
      <c r="E1388" s="44" t="s">
        <v>361</v>
      </c>
      <c r="F1388" s="45" t="s">
        <v>18</v>
      </c>
      <c r="G1388" s="46"/>
      <c r="H1388" s="46"/>
      <c r="I1388" s="46"/>
      <c r="J1388" s="47"/>
      <c r="K1388" s="47"/>
      <c r="L1388" s="48"/>
      <c r="M1388" s="48"/>
      <c r="N1388" s="48"/>
      <c r="O1388" s="47"/>
      <c r="P1388" s="49"/>
    </row>
    <row r="1389" spans="1:16" ht="15" hidden="1" customHeight="1">
      <c r="A1389" s="43">
        <v>1383</v>
      </c>
      <c r="B1389" s="44" t="s">
        <v>24</v>
      </c>
      <c r="C1389" s="44" t="s">
        <v>431</v>
      </c>
      <c r="D1389" s="44" t="s">
        <v>443</v>
      </c>
      <c r="E1389" s="44" t="s">
        <v>361</v>
      </c>
      <c r="F1389" s="45" t="s">
        <v>19</v>
      </c>
      <c r="G1389" s="46">
        <v>274</v>
      </c>
      <c r="H1389" s="46">
        <v>57</v>
      </c>
      <c r="I1389" s="46">
        <v>3</v>
      </c>
      <c r="J1389" s="47">
        <v>82.779456193353496</v>
      </c>
      <c r="K1389" s="47"/>
      <c r="L1389" s="48">
        <v>245</v>
      </c>
      <c r="M1389" s="48">
        <v>17</v>
      </c>
      <c r="N1389" s="48">
        <v>1</v>
      </c>
      <c r="O1389" s="47">
        <v>93.511450381679396</v>
      </c>
      <c r="P1389" s="49"/>
    </row>
    <row r="1390" spans="1:16" ht="15" customHeight="1">
      <c r="A1390" s="50">
        <v>1384</v>
      </c>
      <c r="B1390" s="51" t="s">
        <v>24</v>
      </c>
      <c r="C1390" s="58" t="s">
        <v>431</v>
      </c>
      <c r="D1390" s="58" t="s">
        <v>443</v>
      </c>
      <c r="E1390" s="58" t="s">
        <v>104</v>
      </c>
      <c r="F1390" s="59" t="s">
        <v>104</v>
      </c>
      <c r="G1390" s="52">
        <v>214</v>
      </c>
      <c r="H1390" s="52">
        <v>79</v>
      </c>
      <c r="I1390" s="52">
        <v>1</v>
      </c>
      <c r="J1390" s="53">
        <v>73.037542662115996</v>
      </c>
      <c r="K1390" s="53">
        <f>G1390+H1390+I1390</f>
        <v>294</v>
      </c>
      <c r="L1390" s="54">
        <v>246</v>
      </c>
      <c r="M1390" s="54">
        <v>11</v>
      </c>
      <c r="N1390" s="54">
        <v>1</v>
      </c>
      <c r="O1390" s="53">
        <v>95.719844357976697</v>
      </c>
      <c r="P1390" s="55">
        <f>L1390+M1390+N1390</f>
        <v>258</v>
      </c>
    </row>
    <row r="1391" spans="1:16" ht="15" hidden="1" customHeight="1">
      <c r="A1391" s="43">
        <v>1385</v>
      </c>
      <c r="B1391" s="44" t="s">
        <v>24</v>
      </c>
      <c r="C1391" s="44" t="s">
        <v>431</v>
      </c>
      <c r="D1391" s="44" t="s">
        <v>443</v>
      </c>
      <c r="E1391" s="44" t="s">
        <v>104</v>
      </c>
      <c r="F1391" s="45" t="s">
        <v>18</v>
      </c>
      <c r="G1391" s="46"/>
      <c r="H1391" s="46"/>
      <c r="I1391" s="46"/>
      <c r="J1391" s="47"/>
      <c r="K1391" s="47"/>
      <c r="L1391" s="48"/>
      <c r="M1391" s="48"/>
      <c r="N1391" s="48"/>
      <c r="O1391" s="47"/>
      <c r="P1391" s="49"/>
    </row>
    <row r="1392" spans="1:16" ht="15" hidden="1" customHeight="1">
      <c r="A1392" s="43">
        <v>1386</v>
      </c>
      <c r="B1392" s="44" t="s">
        <v>24</v>
      </c>
      <c r="C1392" s="44" t="s">
        <v>431</v>
      </c>
      <c r="D1392" s="44" t="s">
        <v>443</v>
      </c>
      <c r="E1392" s="44" t="s">
        <v>104</v>
      </c>
      <c r="F1392" s="45" t="s">
        <v>19</v>
      </c>
      <c r="G1392" s="46">
        <v>214</v>
      </c>
      <c r="H1392" s="46">
        <v>79</v>
      </c>
      <c r="I1392" s="46">
        <v>1</v>
      </c>
      <c r="J1392" s="47">
        <v>73.037542662115996</v>
      </c>
      <c r="K1392" s="47"/>
      <c r="L1392" s="48">
        <v>246</v>
      </c>
      <c r="M1392" s="48">
        <v>11</v>
      </c>
      <c r="N1392" s="48">
        <v>1</v>
      </c>
      <c r="O1392" s="47">
        <v>95.719844357976697</v>
      </c>
      <c r="P1392" s="49"/>
    </row>
    <row r="1393" spans="1:16" ht="15" hidden="1" customHeight="1">
      <c r="A1393" s="37">
        <v>1387</v>
      </c>
      <c r="B1393" s="38" t="s">
        <v>22</v>
      </c>
      <c r="C1393" s="57" t="s">
        <v>431</v>
      </c>
      <c r="D1393" s="57" t="s">
        <v>444</v>
      </c>
      <c r="E1393" s="57"/>
      <c r="F1393" s="38" t="s">
        <v>444</v>
      </c>
      <c r="G1393" s="39">
        <v>830</v>
      </c>
      <c r="H1393" s="39">
        <v>171</v>
      </c>
      <c r="I1393" s="39">
        <v>10</v>
      </c>
      <c r="J1393" s="40">
        <v>82.917082917082894</v>
      </c>
      <c r="K1393" s="40"/>
      <c r="L1393" s="41">
        <v>582</v>
      </c>
      <c r="M1393" s="41">
        <v>22</v>
      </c>
      <c r="N1393" s="41">
        <v>8</v>
      </c>
      <c r="O1393" s="40">
        <v>96.357615894039697</v>
      </c>
      <c r="P1393" s="42"/>
    </row>
    <row r="1394" spans="1:16" ht="15" hidden="1" customHeight="1">
      <c r="A1394" s="43">
        <v>1388</v>
      </c>
      <c r="B1394" s="44" t="s">
        <v>22</v>
      </c>
      <c r="C1394" s="44" t="s">
        <v>431</v>
      </c>
      <c r="D1394" s="44" t="s">
        <v>444</v>
      </c>
      <c r="E1394" s="44"/>
      <c r="F1394" s="45" t="s">
        <v>18</v>
      </c>
      <c r="G1394" s="46"/>
      <c r="H1394" s="46"/>
      <c r="I1394" s="46"/>
      <c r="J1394" s="47"/>
      <c r="K1394" s="47"/>
      <c r="L1394" s="48"/>
      <c r="M1394" s="48"/>
      <c r="N1394" s="48"/>
      <c r="O1394" s="47"/>
      <c r="P1394" s="49"/>
    </row>
    <row r="1395" spans="1:16" ht="15" hidden="1" customHeight="1">
      <c r="A1395" s="43">
        <v>1389</v>
      </c>
      <c r="B1395" s="44" t="s">
        <v>22</v>
      </c>
      <c r="C1395" s="44" t="s">
        <v>431</v>
      </c>
      <c r="D1395" s="44" t="s">
        <v>444</v>
      </c>
      <c r="E1395" s="44"/>
      <c r="F1395" s="45" t="s">
        <v>19</v>
      </c>
      <c r="G1395" s="46">
        <v>830</v>
      </c>
      <c r="H1395" s="46">
        <v>171</v>
      </c>
      <c r="I1395" s="46">
        <v>10</v>
      </c>
      <c r="J1395" s="47">
        <v>82.917082917082894</v>
      </c>
      <c r="K1395" s="47"/>
      <c r="L1395" s="48">
        <v>582</v>
      </c>
      <c r="M1395" s="48">
        <v>22</v>
      </c>
      <c r="N1395" s="48">
        <v>8</v>
      </c>
      <c r="O1395" s="47">
        <v>96.357615894039697</v>
      </c>
      <c r="P1395" s="49"/>
    </row>
    <row r="1396" spans="1:16" ht="15" customHeight="1">
      <c r="A1396" s="50">
        <v>1390</v>
      </c>
      <c r="B1396" s="51" t="s">
        <v>24</v>
      </c>
      <c r="C1396" s="58" t="s">
        <v>431</v>
      </c>
      <c r="D1396" s="58" t="s">
        <v>444</v>
      </c>
      <c r="E1396" s="58" t="s">
        <v>445</v>
      </c>
      <c r="F1396" s="59" t="s">
        <v>445</v>
      </c>
      <c r="G1396" s="52">
        <v>215</v>
      </c>
      <c r="H1396" s="52">
        <v>40</v>
      </c>
      <c r="I1396" s="52">
        <v>1</v>
      </c>
      <c r="J1396" s="53">
        <v>84.313725490196106</v>
      </c>
      <c r="K1396" s="53">
        <f>G1396+H1396+I1396</f>
        <v>256</v>
      </c>
      <c r="L1396" s="54">
        <v>152</v>
      </c>
      <c r="M1396" s="54">
        <v>4</v>
      </c>
      <c r="N1396" s="54">
        <v>2</v>
      </c>
      <c r="O1396" s="53">
        <v>97.435897435897402</v>
      </c>
      <c r="P1396" s="55">
        <f>L1396+M1396+N1396</f>
        <v>158</v>
      </c>
    </row>
    <row r="1397" spans="1:16" ht="15" hidden="1" customHeight="1">
      <c r="A1397" s="43">
        <v>1391</v>
      </c>
      <c r="B1397" s="44" t="s">
        <v>24</v>
      </c>
      <c r="C1397" s="44" t="s">
        <v>431</v>
      </c>
      <c r="D1397" s="44" t="s">
        <v>444</v>
      </c>
      <c r="E1397" s="44" t="s">
        <v>445</v>
      </c>
      <c r="F1397" s="45" t="s">
        <v>18</v>
      </c>
      <c r="G1397" s="46"/>
      <c r="H1397" s="46"/>
      <c r="I1397" s="46"/>
      <c r="J1397" s="47"/>
      <c r="K1397" s="47"/>
      <c r="L1397" s="48"/>
      <c r="M1397" s="48"/>
      <c r="N1397" s="48"/>
      <c r="O1397" s="47"/>
      <c r="P1397" s="49"/>
    </row>
    <row r="1398" spans="1:16" ht="15" hidden="1" customHeight="1">
      <c r="A1398" s="43">
        <v>1392</v>
      </c>
      <c r="B1398" s="44" t="s">
        <v>24</v>
      </c>
      <c r="C1398" s="44" t="s">
        <v>431</v>
      </c>
      <c r="D1398" s="44" t="s">
        <v>444</v>
      </c>
      <c r="E1398" s="44" t="s">
        <v>445</v>
      </c>
      <c r="F1398" s="45" t="s">
        <v>19</v>
      </c>
      <c r="G1398" s="46">
        <v>215</v>
      </c>
      <c r="H1398" s="46">
        <v>40</v>
      </c>
      <c r="I1398" s="46">
        <v>1</v>
      </c>
      <c r="J1398" s="47">
        <v>84.313725490196106</v>
      </c>
      <c r="K1398" s="47"/>
      <c r="L1398" s="48">
        <v>152</v>
      </c>
      <c r="M1398" s="48">
        <v>4</v>
      </c>
      <c r="N1398" s="48">
        <v>2</v>
      </c>
      <c r="O1398" s="47">
        <v>97.435897435897402</v>
      </c>
      <c r="P1398" s="49"/>
    </row>
    <row r="1399" spans="1:16" ht="15" customHeight="1">
      <c r="A1399" s="50">
        <v>1393</v>
      </c>
      <c r="B1399" s="51" t="s">
        <v>24</v>
      </c>
      <c r="C1399" s="58" t="s">
        <v>431</v>
      </c>
      <c r="D1399" s="58" t="s">
        <v>444</v>
      </c>
      <c r="E1399" s="58" t="s">
        <v>446</v>
      </c>
      <c r="F1399" s="59" t="s">
        <v>446</v>
      </c>
      <c r="G1399" s="52">
        <v>372</v>
      </c>
      <c r="H1399" s="52">
        <v>72</v>
      </c>
      <c r="I1399" s="52">
        <v>2</v>
      </c>
      <c r="J1399" s="53">
        <v>83.783783783783804</v>
      </c>
      <c r="K1399" s="53">
        <f>G1399+H1399+I1399</f>
        <v>446</v>
      </c>
      <c r="L1399" s="54">
        <v>234</v>
      </c>
      <c r="M1399" s="54">
        <v>8</v>
      </c>
      <c r="N1399" s="54">
        <v>3</v>
      </c>
      <c r="O1399" s="53">
        <v>96.694214876033101</v>
      </c>
      <c r="P1399" s="55">
        <f>L1399+M1399+N1399</f>
        <v>245</v>
      </c>
    </row>
    <row r="1400" spans="1:16" ht="15" hidden="1" customHeight="1">
      <c r="A1400" s="43">
        <v>1394</v>
      </c>
      <c r="B1400" s="44" t="s">
        <v>24</v>
      </c>
      <c r="C1400" s="44" t="s">
        <v>431</v>
      </c>
      <c r="D1400" s="44" t="s">
        <v>444</v>
      </c>
      <c r="E1400" s="44" t="s">
        <v>446</v>
      </c>
      <c r="F1400" s="45" t="s">
        <v>18</v>
      </c>
      <c r="G1400" s="46"/>
      <c r="H1400" s="46"/>
      <c r="I1400" s="46"/>
      <c r="J1400" s="47"/>
      <c r="K1400" s="47"/>
      <c r="L1400" s="48"/>
      <c r="M1400" s="48"/>
      <c r="N1400" s="48"/>
      <c r="O1400" s="47"/>
      <c r="P1400" s="49"/>
    </row>
    <row r="1401" spans="1:16" ht="15" hidden="1" customHeight="1">
      <c r="A1401" s="43">
        <v>1395</v>
      </c>
      <c r="B1401" s="44" t="s">
        <v>24</v>
      </c>
      <c r="C1401" s="44" t="s">
        <v>431</v>
      </c>
      <c r="D1401" s="44" t="s">
        <v>444</v>
      </c>
      <c r="E1401" s="44" t="s">
        <v>446</v>
      </c>
      <c r="F1401" s="45" t="s">
        <v>19</v>
      </c>
      <c r="G1401" s="46">
        <v>372</v>
      </c>
      <c r="H1401" s="46">
        <v>72</v>
      </c>
      <c r="I1401" s="46">
        <v>2</v>
      </c>
      <c r="J1401" s="47">
        <v>83.783783783783804</v>
      </c>
      <c r="K1401" s="47"/>
      <c r="L1401" s="48">
        <v>234</v>
      </c>
      <c r="M1401" s="48">
        <v>8</v>
      </c>
      <c r="N1401" s="48">
        <v>3</v>
      </c>
      <c r="O1401" s="47">
        <v>96.694214876033101</v>
      </c>
      <c r="P1401" s="49"/>
    </row>
    <row r="1402" spans="1:16" ht="15" customHeight="1">
      <c r="A1402" s="50">
        <v>1396</v>
      </c>
      <c r="B1402" s="51" t="s">
        <v>24</v>
      </c>
      <c r="C1402" s="58" t="s">
        <v>431</v>
      </c>
      <c r="D1402" s="58" t="s">
        <v>444</v>
      </c>
      <c r="E1402" s="58" t="s">
        <v>447</v>
      </c>
      <c r="F1402" s="59" t="s">
        <v>447</v>
      </c>
      <c r="G1402" s="52">
        <v>243</v>
      </c>
      <c r="H1402" s="52">
        <v>59</v>
      </c>
      <c r="I1402" s="52">
        <v>7</v>
      </c>
      <c r="J1402" s="53">
        <v>80.463576158940398</v>
      </c>
      <c r="K1402" s="53">
        <f>G1402+H1402+I1402</f>
        <v>309</v>
      </c>
      <c r="L1402" s="54">
        <v>196</v>
      </c>
      <c r="M1402" s="54">
        <v>10</v>
      </c>
      <c r="N1402" s="54">
        <v>3</v>
      </c>
      <c r="O1402" s="53">
        <v>95.145631067961205</v>
      </c>
      <c r="P1402" s="55">
        <f>L1402+M1402+N1402</f>
        <v>209</v>
      </c>
    </row>
    <row r="1403" spans="1:16" ht="15" hidden="1" customHeight="1">
      <c r="A1403" s="43">
        <v>1397</v>
      </c>
      <c r="B1403" s="44" t="s">
        <v>24</v>
      </c>
      <c r="C1403" s="44" t="s">
        <v>431</v>
      </c>
      <c r="D1403" s="44" t="s">
        <v>444</v>
      </c>
      <c r="E1403" s="44" t="s">
        <v>447</v>
      </c>
      <c r="F1403" s="45" t="s">
        <v>18</v>
      </c>
      <c r="G1403" s="46"/>
      <c r="H1403" s="46"/>
      <c r="I1403" s="46"/>
      <c r="J1403" s="47"/>
      <c r="K1403" s="47"/>
      <c r="L1403" s="48"/>
      <c r="M1403" s="48"/>
      <c r="N1403" s="48"/>
      <c r="O1403" s="47"/>
      <c r="P1403" s="49"/>
    </row>
    <row r="1404" spans="1:16" ht="15" hidden="1" customHeight="1">
      <c r="A1404" s="60">
        <v>1398</v>
      </c>
      <c r="B1404" s="61" t="s">
        <v>24</v>
      </c>
      <c r="C1404" s="61" t="s">
        <v>431</v>
      </c>
      <c r="D1404" s="61" t="s">
        <v>444</v>
      </c>
      <c r="E1404" s="61" t="s">
        <v>447</v>
      </c>
      <c r="F1404" s="62" t="s">
        <v>19</v>
      </c>
      <c r="G1404" s="63">
        <v>243</v>
      </c>
      <c r="H1404" s="63">
        <v>59</v>
      </c>
      <c r="I1404" s="63">
        <v>7</v>
      </c>
      <c r="J1404" s="64">
        <v>80.463576158940398</v>
      </c>
      <c r="K1404" s="64"/>
      <c r="L1404" s="65">
        <v>196</v>
      </c>
      <c r="M1404" s="65">
        <v>10</v>
      </c>
      <c r="N1404" s="65">
        <v>3</v>
      </c>
      <c r="O1404" s="64">
        <v>95.145631067961205</v>
      </c>
      <c r="P1404" s="49"/>
    </row>
    <row r="1405" spans="1:16" ht="15" hidden="1" customHeight="1">
      <c r="A1405" s="66" t="s">
        <v>448</v>
      </c>
      <c r="B1405" s="67"/>
      <c r="C1405" s="68"/>
      <c r="D1405" s="67"/>
      <c r="E1405" s="67"/>
      <c r="G1405" s="69"/>
      <c r="H1405" s="69"/>
      <c r="I1405" s="69"/>
      <c r="L1405" s="69"/>
      <c r="M1405" s="69"/>
      <c r="N1405" s="69"/>
    </row>
    <row r="1406" spans="1:16" ht="15.75" hidden="1" customHeight="1">
      <c r="A1406" s="70" t="s">
        <v>449</v>
      </c>
    </row>
    <row r="1407" spans="1:16" ht="15.75" hidden="1" customHeight="1">
      <c r="A1407" s="70" t="s">
        <v>450</v>
      </c>
    </row>
    <row r="1408" spans="1:16" ht="15.75" hidden="1" customHeight="1">
      <c r="A1408" s="70" t="s">
        <v>451</v>
      </c>
    </row>
    <row r="1409" spans="1:1" ht="15.75" hidden="1" customHeight="1">
      <c r="A1409" s="71"/>
    </row>
  </sheetData>
  <autoFilter ref="A6:O1409" xr:uid="{00000000-0009-0000-0000-000000000000}">
    <filterColumn colId="1">
      <filters>
        <filter val="Municipio/TIOC"/>
      </filters>
    </filterColumn>
    <filterColumn colId="5">
      <filters blank="1">
        <filter val="Abaroa"/>
        <filter val="Abel Iturralde"/>
        <filter val="Abuná"/>
        <filter val="Acasio"/>
        <filter val="Achacachi"/>
        <filter val="Achocalla"/>
        <filter val="Aiquile"/>
        <filter val="Alalay"/>
        <filter val="Alcalá"/>
        <filter val="Alonso de Ibáñez"/>
        <filter val="Alto Beni"/>
        <filter val="Andamarca"/>
        <filter val="Andrés Ibáñez"/>
        <filter val="Ángel Sandoval"/>
        <filter val="Antequera"/>
        <filter val="Antonio Quijarro"/>
        <filter val="Anzaldo"/>
        <filter val="Apolo"/>
        <filter val="Arampampa"/>
        <filter val="Arani"/>
        <filter val="Arbieto"/>
        <filter val="Arce"/>
        <filter val="Aroma"/>
        <filter val="Arque"/>
        <filter val="Ascención de Guarayos"/>
        <filter val="Atocha"/>
        <filter val="Aucapata"/>
        <filter val="Avilez"/>
        <filter val="Ayata"/>
        <filter val="Ayo Ayo"/>
        <filter val="Ayopaya"/>
        <filter val="Azurduy"/>
        <filter val="Batallas"/>
        <filter val="Baures"/>
        <filter val="Bautista Saavedra"/>
        <filter val="Belén de Andamarca"/>
        <filter val="Belisario Boeto"/>
        <filter val="Bella Flor"/>
        <filter val="Beni"/>
        <filter val="Bermejo"/>
        <filter val="Betanzos"/>
        <filter val="Bolívar"/>
        <filter val="Bolivia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cho"/>
        <filter val="Camargo"/>
        <filter val="Camiri"/>
        <filter val="Campero"/>
        <filter val="Capinota"/>
        <filter val="Caquiaviri"/>
        <filter val="Caracollo"/>
        <filter val="Caranavi"/>
        <filter val="Carangas"/>
        <filter val="Caraparí"/>
        <filter val="Caripuyo"/>
        <filter val="Carrasco"/>
        <filter val="Catacora"/>
        <filter val="Cercado"/>
        <filter val="Chacarilla"/>
        <filter val="Challapata"/>
        <filter val="Chapare"/>
        <filter val="Chaquí"/>
        <filter val="Charagua (Autonomía Guaraní Charagua Iyambae)"/>
        <filter val="Charaña"/>
        <filter val="Charazani"/>
        <filter val="Charcas"/>
        <filter val="Chayanta"/>
        <filter val="Chimoré"/>
        <filter val="Chiquitos"/>
        <filter val="Choquecota"/>
        <filter val="Chua Cocani"/>
        <filter val="Chulumani"/>
        <filter val="Chuma"/>
        <filter val="Chuquihuta Ayllu Jucumani"/>
        <filter val="Chuquisaca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dillera"/>
        <filter val="Coripata"/>
        <filter val="Cornelio Saavedr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aniel Campos"/>
        <filter val="Desaguadero"/>
        <filter val="El Alto"/>
        <filter val="El Carmen Rivero Tórrez"/>
        <filter val="El Choro"/>
        <filter val="El Puente"/>
        <filter val="El Torno"/>
        <filter val="El Villar"/>
        <filter val="Enrique Baldivieso"/>
        <filter val="Entre Ríos"/>
        <filter val="Escara"/>
        <filter val="Escoma"/>
        <filter val="Esmeralda"/>
        <filter val="Esteban Arze"/>
        <filter val="Eucaliptus"/>
        <filter val="Exaltación"/>
        <filter val="Federico Román"/>
        <filter val="Fernández Alonso"/>
        <filter val="Filadelfia"/>
        <filter val="Florida"/>
        <filter val="Franz Tamayo"/>
        <filter val="General Bernardino Bilbao"/>
        <filter val="General José Ballivián"/>
        <filter val="General José Manuel Pando"/>
        <filter val="General Saavedra"/>
        <filter val="Germán Busch"/>
        <filter val="Germán Jordán"/>
        <filter val="Gran Chaco"/>
        <filter val="Gualberto Villarroel"/>
        <filter val="Guanay"/>
        <filter val="Guarayos"/>
        <filter val="Guayaramerín"/>
        <filter val="Gutiérrez (Autonomía Indígena Kereimba Iyaambae)"/>
        <filter val="Hernando Siles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ilo"/>
        <filter val="Ichoca"/>
        <filter val="Icla"/>
        <filter val="Incahuasi"/>
        <filter val="Ingavi"/>
        <filter val="Inquisivi"/>
        <filter val="Irupana"/>
        <filter val="Iténez"/>
        <filter val="Ixiamas"/>
        <filter val="Jesús de Machaka"/>
        <filter val="José María Linares"/>
        <filter val="La (Marka) San Andrés de Machaca"/>
        <filter val="La Asunta"/>
        <filter val="La Guardia"/>
        <filter val="La Paz"/>
        <filter val="La Rivera"/>
        <filter val="Ladislao Cabrera"/>
        <filter val="Lagunillas"/>
        <filter val="Laja"/>
        <filter val="Larecaja"/>
        <filter val="Las Carreras"/>
        <filter val="Litoral"/>
        <filter val="Llallagua"/>
        <filter val="Llica"/>
        <filter val="Loayza"/>
        <filter val="Loreto"/>
        <filter val="Los Andes"/>
        <filter val="Luis Calvo"/>
        <filter val="Luribay"/>
        <filter val="Machacamarca"/>
        <filter val="Macharetí"/>
        <filter val="Madre de Dios"/>
        <filter val="Magdalena"/>
        <filter val="Mairana"/>
        <filter val="Malla"/>
        <filter val="Mamoré"/>
        <filter val="Manco Kapac"/>
        <filter val="Manuel María Caballero"/>
        <filter val="Manuripi"/>
        <filter val="Mapiri"/>
        <filter val="Marbán"/>
        <filter val="Mecapaca"/>
        <filter val="Mejillones"/>
        <filter val="Méndez"/>
        <filter val="Mineros"/>
        <filter val="Mizque"/>
        <filter val="Mocomoco"/>
        <filter val="Modesto Omiste"/>
        <filter val="Mojinete"/>
        <filter val="Mojocoya"/>
        <filter val="Monteagudo"/>
        <filter val="Montero"/>
        <filter val="Morochata"/>
        <filter val="Moromoro"/>
        <filter val="Moxos"/>
        <filter val="Muñecas"/>
        <filter val="Murillo"/>
        <filter val="Nazacara de Pacajes"/>
        <filter val="Nicolás Suárez"/>
        <filter val="Nor Carangas"/>
        <filter val="Nor Chichas"/>
        <filter val="Nor Cinti"/>
        <filter val="Nor Lípez"/>
        <filter val="Nor Yungas"/>
        <filter val="Nuestra Señora de La Paz"/>
        <filter val="Nueva Esperanza"/>
        <filter val="Ñuflo de Chávez"/>
        <filter val="Obispo Santisteban"/>
        <filter val="O'Connor"/>
        <filter val="Ocurí"/>
        <filter val="Okinawa Uno"/>
        <filter val="Omasuyos"/>
        <filter val="Omereque"/>
        <filter val="Oropeza"/>
        <filter val="Oruro"/>
        <filter val="Pacajes"/>
        <filter val="Padcaya"/>
        <filter val="Padilla"/>
        <filter val="Pailón"/>
        <filter val="Palca"/>
        <filter val="Palos Blancos"/>
        <filter val="Pampa Aullagas"/>
        <filter val="Pampagrande"/>
        <filter val="Pando"/>
        <filter val="Pantaleón Dalenc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fael Bustillo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jam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Pedro de Totora"/>
        <filter val="San Rafael"/>
        <filter val="San Ramón"/>
        <filter val="Santa Ana"/>
        <filter val="Santa Cruz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ara"/>
        <filter val="Saucarí"/>
        <filter val="Sebastián Pagador"/>
        <filter val="Sena"/>
        <filter val="Shinahota"/>
        <filter val="Sicasica"/>
        <filter val="Sicaya"/>
        <filter val="Sipesipe"/>
        <filter val="Sopachuy"/>
        <filter val="Sorata"/>
        <filter val="Sucre"/>
        <filter val="Sud Cinti"/>
        <filter val="Sur Carangas"/>
        <filter val="Sur Chichas"/>
        <filter val="Sur Lípez"/>
        <filter val="Sur Yungas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erritorio Indígena Multiétnico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ás Barrón"/>
        <filter val="Tomás Frías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 Diez"/>
        <filter val="Vacas"/>
        <filter val="Valle Grande"/>
        <filter val="Vallegrande"/>
        <filter val="Velasco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cum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4">
    <mergeCell ref="G4:J4"/>
    <mergeCell ref="L4:O4"/>
    <mergeCell ref="G5:I5"/>
    <mergeCell ref="L5:N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0"/>
  <sheetViews>
    <sheetView tabSelected="1" topLeftCell="L1" workbookViewId="0">
      <pane ySplit="1" topLeftCell="A2" activePane="bottomLeft" state="frozen"/>
      <selection pane="bottomLeft" activeCell="V11" sqref="V11"/>
    </sheetView>
  </sheetViews>
  <sheetFormatPr baseColWidth="10" defaultColWidth="14.42578125" defaultRowHeight="15" customHeight="1"/>
  <sheetData>
    <row r="1" spans="1:33" ht="60" customHeight="1">
      <c r="A1" s="72" t="s">
        <v>452</v>
      </c>
      <c r="B1" s="73" t="s">
        <v>453</v>
      </c>
      <c r="C1" s="74" t="s">
        <v>454</v>
      </c>
      <c r="D1" s="74" t="s">
        <v>455</v>
      </c>
      <c r="E1" s="75" t="s">
        <v>456</v>
      </c>
      <c r="F1" s="74" t="s">
        <v>457</v>
      </c>
      <c r="G1" s="74" t="s">
        <v>458</v>
      </c>
      <c r="H1" s="76" t="s">
        <v>459</v>
      </c>
      <c r="I1" s="77" t="s">
        <v>460</v>
      </c>
      <c r="J1" s="77" t="s">
        <v>461</v>
      </c>
      <c r="K1" s="78" t="s">
        <v>462</v>
      </c>
      <c r="L1" s="77" t="s">
        <v>463</v>
      </c>
      <c r="M1" s="77" t="s">
        <v>464</v>
      </c>
      <c r="N1" s="79" t="s">
        <v>465</v>
      </c>
      <c r="O1" s="80"/>
      <c r="P1" s="81" t="s">
        <v>20</v>
      </c>
      <c r="Q1" s="82" t="s">
        <v>454</v>
      </c>
      <c r="R1" s="81" t="s">
        <v>466</v>
      </c>
      <c r="S1" s="82" t="s">
        <v>467</v>
      </c>
      <c r="T1" s="82" t="s">
        <v>457</v>
      </c>
      <c r="U1" s="82" t="s">
        <v>460</v>
      </c>
      <c r="V1" s="81" t="s">
        <v>487</v>
      </c>
      <c r="W1" s="82" t="s">
        <v>462</v>
      </c>
      <c r="X1" s="82" t="s">
        <v>463</v>
      </c>
      <c r="Y1" s="83"/>
      <c r="Z1" s="84"/>
      <c r="AA1" s="84"/>
      <c r="AB1" s="84"/>
      <c r="AC1" s="84"/>
      <c r="AD1" s="84"/>
      <c r="AE1" s="84"/>
      <c r="AF1" s="84"/>
      <c r="AG1" s="84"/>
    </row>
    <row r="2" spans="1:33">
      <c r="A2" s="85">
        <v>10101</v>
      </c>
      <c r="B2" s="86" t="s">
        <v>25</v>
      </c>
      <c r="C2" s="87">
        <v>25527</v>
      </c>
      <c r="D2" s="87">
        <v>1307</v>
      </c>
      <c r="E2" s="87">
        <v>27248</v>
      </c>
      <c r="F2" s="88">
        <f>(C2/(C2+D2))*100</f>
        <v>95.129313557427139</v>
      </c>
      <c r="G2" s="87">
        <v>261622</v>
      </c>
      <c r="H2" s="89">
        <f t="shared" ref="H2:H256" si="0">+(E2/G2)*100</f>
        <v>10.415026259259543</v>
      </c>
      <c r="I2" s="90">
        <v>19284</v>
      </c>
      <c r="J2" s="90">
        <v>234</v>
      </c>
      <c r="K2" s="87">
        <v>19598</v>
      </c>
      <c r="L2" s="88">
        <f t="shared" ref="L2:L256" si="1">(I2/(I2+J2))*100</f>
        <v>98.801106670765449</v>
      </c>
      <c r="M2" s="87">
        <v>296746</v>
      </c>
      <c r="N2" s="89">
        <f t="shared" ref="N2:N256" si="2">+(K2/M2)*100</f>
        <v>6.6043013216690376</v>
      </c>
      <c r="O2" s="90"/>
      <c r="P2" s="91" t="s">
        <v>21</v>
      </c>
      <c r="Q2" s="92">
        <v>57918</v>
      </c>
      <c r="R2" s="92">
        <v>5339</v>
      </c>
      <c r="S2" s="93">
        <v>64250</v>
      </c>
      <c r="T2" s="93">
        <f t="shared" ref="T2:T12" si="3">(Q2/(Q2+R2))*100</f>
        <v>91.559827370883852</v>
      </c>
      <c r="U2" s="94">
        <v>41815</v>
      </c>
      <c r="V2" s="94">
        <v>996</v>
      </c>
      <c r="W2" s="93">
        <v>43059</v>
      </c>
      <c r="X2" s="93">
        <f t="shared" ref="X2:X12" si="4">(U2/(U2+V2))*100</f>
        <v>97.673495129756375</v>
      </c>
    </row>
    <row r="3" spans="1:33">
      <c r="A3" s="85">
        <v>10102</v>
      </c>
      <c r="B3" s="86" t="s">
        <v>26</v>
      </c>
      <c r="C3" s="87">
        <v>885</v>
      </c>
      <c r="D3" s="87">
        <v>34</v>
      </c>
      <c r="E3" s="87">
        <v>928</v>
      </c>
      <c r="F3" s="88">
        <f t="shared" ref="F2:F256" si="5">(C3/(C3+D3))*100</f>
        <v>96.300326441784549</v>
      </c>
      <c r="G3" s="87">
        <v>9461</v>
      </c>
      <c r="H3" s="89">
        <f t="shared" si="0"/>
        <v>9.8086882993341096</v>
      </c>
      <c r="I3" s="90">
        <v>618</v>
      </c>
      <c r="J3" s="90">
        <v>9</v>
      </c>
      <c r="K3" s="87">
        <v>628</v>
      </c>
      <c r="L3" s="88">
        <f t="shared" si="1"/>
        <v>98.564593301435409</v>
      </c>
      <c r="M3" s="87">
        <v>9256</v>
      </c>
      <c r="N3" s="89">
        <f t="shared" si="2"/>
        <v>6.7847882454624031</v>
      </c>
      <c r="O3" s="90"/>
      <c r="P3" s="91" t="s">
        <v>59</v>
      </c>
      <c r="Q3" s="92">
        <v>241372</v>
      </c>
      <c r="R3" s="92">
        <v>19160</v>
      </c>
      <c r="S3" s="93">
        <v>262503</v>
      </c>
      <c r="T3" s="93">
        <f t="shared" si="3"/>
        <v>92.645817020557928</v>
      </c>
      <c r="U3" s="94">
        <v>196901</v>
      </c>
      <c r="V3" s="94">
        <v>5496</v>
      </c>
      <c r="W3" s="93">
        <v>203834</v>
      </c>
      <c r="X3" s="93">
        <f t="shared" si="4"/>
        <v>97.284544731394234</v>
      </c>
    </row>
    <row r="4" spans="1:33">
      <c r="A4" s="85">
        <v>10103</v>
      </c>
      <c r="B4" s="86" t="s">
        <v>27</v>
      </c>
      <c r="C4" s="87">
        <v>1845</v>
      </c>
      <c r="D4" s="87">
        <v>307</v>
      </c>
      <c r="E4" s="87">
        <v>2198</v>
      </c>
      <c r="F4" s="88">
        <f t="shared" si="5"/>
        <v>85.734200743494426</v>
      </c>
      <c r="G4" s="87">
        <v>16532</v>
      </c>
      <c r="H4" s="89">
        <f t="shared" si="0"/>
        <v>13.295427050568595</v>
      </c>
      <c r="I4" s="90">
        <v>1106</v>
      </c>
      <c r="J4" s="90">
        <v>17</v>
      </c>
      <c r="K4" s="87">
        <v>1135</v>
      </c>
      <c r="L4" s="88">
        <f t="shared" si="1"/>
        <v>98.486197684772918</v>
      </c>
      <c r="M4" s="87">
        <v>13649</v>
      </c>
      <c r="N4" s="89">
        <f t="shared" si="2"/>
        <v>8.3156275184995252</v>
      </c>
      <c r="O4" s="90"/>
      <c r="P4" s="91" t="s">
        <v>165</v>
      </c>
      <c r="Q4" s="92">
        <v>169054</v>
      </c>
      <c r="R4" s="92">
        <v>18996</v>
      </c>
      <c r="S4" s="93">
        <v>190688</v>
      </c>
      <c r="T4" s="93">
        <f t="shared" si="3"/>
        <v>89.898431268279708</v>
      </c>
      <c r="U4" s="94">
        <v>144062</v>
      </c>
      <c r="V4" s="94">
        <v>3700</v>
      </c>
      <c r="W4" s="93">
        <v>148692</v>
      </c>
      <c r="X4" s="93">
        <f t="shared" si="4"/>
        <v>97.495973254287307</v>
      </c>
    </row>
    <row r="5" spans="1:33">
      <c r="A5" s="85">
        <v>10201</v>
      </c>
      <c r="B5" s="86" t="s">
        <v>28</v>
      </c>
      <c r="C5" s="87">
        <v>1175</v>
      </c>
      <c r="D5" s="87">
        <v>146</v>
      </c>
      <c r="E5" s="87">
        <v>1354</v>
      </c>
      <c r="F5" s="88">
        <f t="shared" si="5"/>
        <v>88.947766843300542</v>
      </c>
      <c r="G5" s="87">
        <v>10652</v>
      </c>
      <c r="H5" s="89">
        <f t="shared" si="0"/>
        <v>12.71122793841532</v>
      </c>
      <c r="I5" s="90">
        <v>696</v>
      </c>
      <c r="J5" s="90">
        <v>16</v>
      </c>
      <c r="K5" s="87">
        <v>725</v>
      </c>
      <c r="L5" s="88">
        <f t="shared" si="1"/>
        <v>97.752808988764045</v>
      </c>
      <c r="M5" s="87">
        <v>7903</v>
      </c>
      <c r="N5" s="89">
        <f t="shared" si="2"/>
        <v>9.1737314943692265</v>
      </c>
      <c r="O5" s="90"/>
      <c r="P5" s="91" t="s">
        <v>219</v>
      </c>
      <c r="Q5" s="92">
        <v>49798</v>
      </c>
      <c r="R5" s="92">
        <v>4560</v>
      </c>
      <c r="S5" s="93">
        <v>54864</v>
      </c>
      <c r="T5" s="93">
        <f t="shared" si="3"/>
        <v>91.61117038890319</v>
      </c>
      <c r="U5" s="94">
        <v>40293</v>
      </c>
      <c r="V5" s="94">
        <v>1205</v>
      </c>
      <c r="W5" s="93">
        <v>41870</v>
      </c>
      <c r="X5" s="93">
        <f t="shared" si="4"/>
        <v>97.096245602197698</v>
      </c>
    </row>
    <row r="6" spans="1:33">
      <c r="A6" s="85">
        <v>10202</v>
      </c>
      <c r="B6" s="86" t="s">
        <v>29</v>
      </c>
      <c r="C6" s="87">
        <v>1388</v>
      </c>
      <c r="D6" s="87">
        <v>204</v>
      </c>
      <c r="E6" s="87">
        <v>1623</v>
      </c>
      <c r="F6" s="88">
        <f t="shared" si="5"/>
        <v>87.185929648241199</v>
      </c>
      <c r="G6" s="87">
        <v>14261</v>
      </c>
      <c r="H6" s="89">
        <f t="shared" si="0"/>
        <v>11.380688591262885</v>
      </c>
      <c r="I6" s="90">
        <v>1399</v>
      </c>
      <c r="J6" s="90">
        <v>47</v>
      </c>
      <c r="K6" s="87">
        <v>1455</v>
      </c>
      <c r="L6" s="88">
        <f t="shared" si="1"/>
        <v>96.749654218533891</v>
      </c>
      <c r="M6" s="87">
        <v>16812</v>
      </c>
      <c r="N6" s="89">
        <f t="shared" si="2"/>
        <v>8.6545324768022844</v>
      </c>
      <c r="O6" s="90"/>
      <c r="P6" s="91" t="s">
        <v>265</v>
      </c>
      <c r="Q6" s="92">
        <v>85494</v>
      </c>
      <c r="R6" s="92">
        <v>9462</v>
      </c>
      <c r="S6" s="93">
        <v>97463</v>
      </c>
      <c r="T6" s="93">
        <f t="shared" si="3"/>
        <v>90.035384809806658</v>
      </c>
      <c r="U6" s="94">
        <v>68866</v>
      </c>
      <c r="V6" s="94">
        <v>1851</v>
      </c>
      <c r="W6" s="93">
        <v>71266</v>
      </c>
      <c r="X6" s="93">
        <f t="shared" si="4"/>
        <v>97.382524711172707</v>
      </c>
    </row>
    <row r="7" spans="1:33">
      <c r="A7" s="85">
        <v>10301</v>
      </c>
      <c r="B7" s="86" t="s">
        <v>30</v>
      </c>
      <c r="C7" s="87">
        <v>988</v>
      </c>
      <c r="D7" s="87">
        <v>97</v>
      </c>
      <c r="E7" s="87">
        <v>1103</v>
      </c>
      <c r="F7" s="88">
        <f t="shared" si="5"/>
        <v>91.059907834101381</v>
      </c>
      <c r="G7" s="87">
        <v>11362</v>
      </c>
      <c r="H7" s="89">
        <f t="shared" si="0"/>
        <v>9.7077979229008982</v>
      </c>
      <c r="I7" s="90">
        <v>875</v>
      </c>
      <c r="J7" s="90">
        <v>17</v>
      </c>
      <c r="K7" s="87">
        <v>896</v>
      </c>
      <c r="L7" s="88">
        <f t="shared" si="1"/>
        <v>98.094170403587441</v>
      </c>
      <c r="M7" s="87">
        <v>13694</v>
      </c>
      <c r="N7" s="89">
        <f t="shared" si="2"/>
        <v>6.5430115378998108</v>
      </c>
      <c r="O7" s="90"/>
      <c r="P7" s="91" t="s">
        <v>322</v>
      </c>
      <c r="Q7" s="92">
        <v>45619</v>
      </c>
      <c r="R7" s="92">
        <v>3700</v>
      </c>
      <c r="S7" s="93">
        <v>50266</v>
      </c>
      <c r="T7" s="93">
        <f t="shared" si="3"/>
        <v>92.497820312658405</v>
      </c>
      <c r="U7" s="94">
        <v>33848</v>
      </c>
      <c r="V7" s="94">
        <v>1044</v>
      </c>
      <c r="W7" s="93">
        <v>35090</v>
      </c>
      <c r="X7" s="93">
        <f t="shared" si="4"/>
        <v>97.007910122664214</v>
      </c>
    </row>
    <row r="8" spans="1:33">
      <c r="A8" s="85">
        <v>10302</v>
      </c>
      <c r="B8" s="86" t="s">
        <v>31</v>
      </c>
      <c r="C8" s="87">
        <v>1288</v>
      </c>
      <c r="D8" s="87">
        <v>227</v>
      </c>
      <c r="E8" s="87">
        <v>1552</v>
      </c>
      <c r="F8" s="88">
        <f t="shared" si="5"/>
        <v>85.016501650165026</v>
      </c>
      <c r="G8" s="87">
        <v>12385</v>
      </c>
      <c r="H8" s="89">
        <f t="shared" si="0"/>
        <v>12.531287848203471</v>
      </c>
      <c r="I8" s="90">
        <v>997</v>
      </c>
      <c r="J8" s="90">
        <v>38</v>
      </c>
      <c r="K8" s="87">
        <v>1050</v>
      </c>
      <c r="L8" s="88">
        <f t="shared" si="1"/>
        <v>96.328502415458942</v>
      </c>
      <c r="M8" s="87">
        <v>12539</v>
      </c>
      <c r="N8" s="89">
        <f t="shared" si="2"/>
        <v>8.3738735146343402</v>
      </c>
      <c r="O8" s="90"/>
      <c r="P8" s="91" t="s">
        <v>337</v>
      </c>
      <c r="Q8" s="92">
        <v>249052</v>
      </c>
      <c r="R8" s="92">
        <v>47155</v>
      </c>
      <c r="S8" s="93">
        <v>300515</v>
      </c>
      <c r="T8" s="93">
        <f t="shared" si="3"/>
        <v>84.080389727454104</v>
      </c>
      <c r="U8" s="94">
        <v>234588</v>
      </c>
      <c r="V8" s="94">
        <v>13885</v>
      </c>
      <c r="W8" s="93">
        <v>250753</v>
      </c>
      <c r="X8" s="93">
        <f t="shared" si="4"/>
        <v>94.411867687837315</v>
      </c>
    </row>
    <row r="9" spans="1:33">
      <c r="A9" s="85">
        <v>10303</v>
      </c>
      <c r="B9" s="86" t="s">
        <v>32</v>
      </c>
      <c r="C9" s="87">
        <v>855</v>
      </c>
      <c r="D9" s="87">
        <v>76</v>
      </c>
      <c r="E9" s="87">
        <v>945</v>
      </c>
      <c r="F9" s="88">
        <f t="shared" si="5"/>
        <v>91.83673469387756</v>
      </c>
      <c r="G9" s="87">
        <v>8068</v>
      </c>
      <c r="H9" s="89">
        <f t="shared" si="0"/>
        <v>11.712940009915716</v>
      </c>
      <c r="I9" s="90">
        <v>733</v>
      </c>
      <c r="J9" s="90">
        <v>30</v>
      </c>
      <c r="K9" s="87">
        <v>765</v>
      </c>
      <c r="L9" s="88">
        <f t="shared" si="1"/>
        <v>96.068152031454773</v>
      </c>
      <c r="M9" s="87">
        <v>9055</v>
      </c>
      <c r="N9" s="89">
        <f t="shared" si="2"/>
        <v>8.4483710657095514</v>
      </c>
      <c r="O9" s="90"/>
      <c r="P9" s="91" t="s">
        <v>406</v>
      </c>
      <c r="Q9" s="92">
        <v>45799</v>
      </c>
      <c r="R9" s="92">
        <v>7775</v>
      </c>
      <c r="S9" s="93">
        <v>54452</v>
      </c>
      <c r="T9" s="93">
        <f t="shared" si="3"/>
        <v>85.487363273229562</v>
      </c>
      <c r="U9" s="94">
        <v>43046</v>
      </c>
      <c r="V9" s="94">
        <v>2228</v>
      </c>
      <c r="W9" s="93">
        <v>45804</v>
      </c>
      <c r="X9" s="93">
        <f t="shared" si="4"/>
        <v>95.078853204929985</v>
      </c>
    </row>
    <row r="10" spans="1:33">
      <c r="A10" s="85">
        <v>10304</v>
      </c>
      <c r="B10" s="86" t="s">
        <v>33</v>
      </c>
      <c r="C10" s="87">
        <v>735</v>
      </c>
      <c r="D10" s="87">
        <v>98</v>
      </c>
      <c r="E10" s="87">
        <v>843</v>
      </c>
      <c r="F10" s="88">
        <f t="shared" si="5"/>
        <v>88.235294117647058</v>
      </c>
      <c r="G10" s="87">
        <v>7774</v>
      </c>
      <c r="H10" s="89">
        <f t="shared" si="0"/>
        <v>10.84383843581168</v>
      </c>
      <c r="I10" s="90">
        <v>572</v>
      </c>
      <c r="J10" s="90">
        <v>9</v>
      </c>
      <c r="K10" s="87">
        <v>586</v>
      </c>
      <c r="L10" s="88">
        <f t="shared" si="1"/>
        <v>98.450946643717728</v>
      </c>
      <c r="M10" s="87">
        <v>9155</v>
      </c>
      <c r="N10" s="89">
        <f t="shared" si="2"/>
        <v>6.4008738394320046</v>
      </c>
      <c r="O10" s="90"/>
      <c r="P10" s="91" t="s">
        <v>431</v>
      </c>
      <c r="Q10" s="92">
        <v>13063</v>
      </c>
      <c r="R10" s="92">
        <v>1747</v>
      </c>
      <c r="S10" s="93">
        <v>14947</v>
      </c>
      <c r="T10" s="93">
        <f t="shared" si="3"/>
        <v>88.203916272788646</v>
      </c>
      <c r="U10" s="94">
        <v>11685</v>
      </c>
      <c r="V10" s="94">
        <v>407</v>
      </c>
      <c r="W10" s="93">
        <v>12181</v>
      </c>
      <c r="X10" s="93">
        <f t="shared" si="4"/>
        <v>96.634138273238506</v>
      </c>
    </row>
    <row r="11" spans="1:33">
      <c r="A11" s="85">
        <v>10401</v>
      </c>
      <c r="B11" s="86" t="s">
        <v>35</v>
      </c>
      <c r="C11" s="87">
        <v>892</v>
      </c>
      <c r="D11" s="87">
        <v>105</v>
      </c>
      <c r="E11" s="87">
        <v>1033</v>
      </c>
      <c r="F11" s="88">
        <f t="shared" si="5"/>
        <v>89.468405215646939</v>
      </c>
      <c r="G11" s="87">
        <v>10383</v>
      </c>
      <c r="H11" s="89">
        <f t="shared" si="0"/>
        <v>9.9489550226331502</v>
      </c>
      <c r="I11" s="90">
        <v>669</v>
      </c>
      <c r="J11" s="90">
        <v>16</v>
      </c>
      <c r="K11" s="87">
        <v>689</v>
      </c>
      <c r="L11" s="88">
        <f t="shared" si="1"/>
        <v>97.664233576642332</v>
      </c>
      <c r="M11" s="87">
        <v>9192</v>
      </c>
      <c r="N11" s="89">
        <f t="shared" si="2"/>
        <v>7.4956483899042654</v>
      </c>
      <c r="O11" s="90"/>
      <c r="P11" s="117" t="s">
        <v>17</v>
      </c>
      <c r="Q11" s="118">
        <v>957169</v>
      </c>
      <c r="R11" s="118">
        <v>117894</v>
      </c>
      <c r="S11" s="119">
        <v>1089948</v>
      </c>
      <c r="T11" s="119">
        <f t="shared" si="3"/>
        <v>89.033758951800962</v>
      </c>
      <c r="U11" s="117">
        <v>815104</v>
      </c>
      <c r="V11" s="117">
        <v>30812</v>
      </c>
      <c r="W11" s="119">
        <v>852549</v>
      </c>
      <c r="X11" s="119">
        <f t="shared" si="4"/>
        <v>96.35755796083771</v>
      </c>
    </row>
    <row r="12" spans="1:33">
      <c r="A12" s="85">
        <v>10402</v>
      </c>
      <c r="B12" s="86" t="s">
        <v>34</v>
      </c>
      <c r="C12" s="87">
        <v>849</v>
      </c>
      <c r="D12" s="87">
        <v>90</v>
      </c>
      <c r="E12" s="87">
        <v>954</v>
      </c>
      <c r="F12" s="88">
        <f t="shared" si="5"/>
        <v>90.415335463258785</v>
      </c>
      <c r="G12" s="87">
        <v>8494</v>
      </c>
      <c r="H12" s="89">
        <f t="shared" si="0"/>
        <v>11.231457499411349</v>
      </c>
      <c r="I12" s="90">
        <v>611</v>
      </c>
      <c r="J12" s="90">
        <v>13</v>
      </c>
      <c r="K12" s="87">
        <v>627</v>
      </c>
      <c r="L12" s="88">
        <f t="shared" si="1"/>
        <v>97.916666666666657</v>
      </c>
      <c r="M12" s="87">
        <v>8509</v>
      </c>
      <c r="N12" s="89">
        <f t="shared" si="2"/>
        <v>7.3686684686802213</v>
      </c>
      <c r="O12" s="90"/>
      <c r="P12" s="120" t="s">
        <v>326</v>
      </c>
      <c r="Q12" s="121">
        <f>SUM(C246:C248)</f>
        <v>14255</v>
      </c>
      <c r="R12" s="121">
        <f>SUM(D246:D248)</f>
        <v>1680</v>
      </c>
      <c r="S12" s="121">
        <f>SUM(E246:E248)</f>
        <v>16245</v>
      </c>
      <c r="T12" s="122">
        <f>(Q12/(Q12+R12))*100</f>
        <v>89.457169752117977</v>
      </c>
      <c r="U12" s="121">
        <f>SUM(I246:I248)</f>
        <v>11294</v>
      </c>
      <c r="V12" s="121">
        <f>SUM(J246:J248)</f>
        <v>477</v>
      </c>
      <c r="W12" s="121">
        <f>SUM(K246:K248)</f>
        <v>11873</v>
      </c>
      <c r="X12" s="122">
        <f>(U12/(U12+V12))*100</f>
        <v>95.947667997621281</v>
      </c>
    </row>
    <row r="13" spans="1:33">
      <c r="A13" s="85">
        <v>10403</v>
      </c>
      <c r="B13" s="86" t="s">
        <v>36</v>
      </c>
      <c r="C13" s="87">
        <v>765</v>
      </c>
      <c r="D13" s="87">
        <v>88</v>
      </c>
      <c r="E13" s="87">
        <v>863</v>
      </c>
      <c r="F13" s="88">
        <f t="shared" si="5"/>
        <v>89.683470105509969</v>
      </c>
      <c r="G13" s="87">
        <v>7312</v>
      </c>
      <c r="H13" s="89">
        <f t="shared" si="0"/>
        <v>11.802516411378555</v>
      </c>
      <c r="I13" s="90">
        <v>528</v>
      </c>
      <c r="J13" s="90">
        <v>15</v>
      </c>
      <c r="K13" s="87">
        <v>545</v>
      </c>
      <c r="L13" s="88">
        <f t="shared" si="1"/>
        <v>97.237569060773481</v>
      </c>
      <c r="M13" s="87">
        <v>6942</v>
      </c>
      <c r="N13" s="89">
        <f t="shared" si="2"/>
        <v>7.8507634687409968</v>
      </c>
      <c r="O13" s="90"/>
      <c r="P13" s="90"/>
    </row>
    <row r="14" spans="1:33">
      <c r="A14" s="85">
        <v>10404</v>
      </c>
      <c r="B14" s="86" t="s">
        <v>37</v>
      </c>
      <c r="C14" s="87">
        <v>432</v>
      </c>
      <c r="D14" s="87">
        <v>63</v>
      </c>
      <c r="E14" s="87">
        <v>500</v>
      </c>
      <c r="F14" s="88">
        <f t="shared" si="5"/>
        <v>87.272727272727266</v>
      </c>
      <c r="G14" s="87">
        <v>4902</v>
      </c>
      <c r="H14" s="89">
        <f t="shared" si="0"/>
        <v>10.199918400652795</v>
      </c>
      <c r="I14" s="90">
        <v>228</v>
      </c>
      <c r="J14" s="90">
        <v>5</v>
      </c>
      <c r="K14" s="87">
        <v>234</v>
      </c>
      <c r="L14" s="88">
        <f t="shared" si="1"/>
        <v>97.85407725321889</v>
      </c>
      <c r="M14" s="87">
        <v>3768</v>
      </c>
      <c r="N14" s="89">
        <f t="shared" si="2"/>
        <v>6.2101910828025479</v>
      </c>
      <c r="O14" s="90"/>
      <c r="P14" s="90"/>
    </row>
    <row r="15" spans="1:33">
      <c r="A15" s="85">
        <v>10405</v>
      </c>
      <c r="B15" s="86" t="s">
        <v>38</v>
      </c>
      <c r="C15" s="87">
        <v>405</v>
      </c>
      <c r="D15" s="87">
        <v>18</v>
      </c>
      <c r="E15" s="87">
        <v>427</v>
      </c>
      <c r="F15" s="88">
        <f t="shared" si="5"/>
        <v>95.744680851063833</v>
      </c>
      <c r="G15" s="87">
        <v>4465</v>
      </c>
      <c r="H15" s="89">
        <f t="shared" si="0"/>
        <v>9.5632698768197084</v>
      </c>
      <c r="I15" s="90">
        <v>412</v>
      </c>
      <c r="J15" s="90">
        <v>14</v>
      </c>
      <c r="K15" s="87">
        <v>429</v>
      </c>
      <c r="L15" s="88">
        <f t="shared" si="1"/>
        <v>96.713615023474176</v>
      </c>
      <c r="M15" s="87">
        <v>5654</v>
      </c>
      <c r="N15" s="89">
        <f t="shared" si="2"/>
        <v>7.5875486381322954</v>
      </c>
      <c r="O15" s="90"/>
      <c r="P15" s="90"/>
    </row>
    <row r="16" spans="1:33">
      <c r="A16" s="85">
        <v>10501</v>
      </c>
      <c r="B16" s="86" t="s">
        <v>40</v>
      </c>
      <c r="C16" s="87">
        <v>2296</v>
      </c>
      <c r="D16" s="87">
        <v>219</v>
      </c>
      <c r="E16" s="87">
        <v>2547</v>
      </c>
      <c r="F16" s="88">
        <f t="shared" si="5"/>
        <v>91.292246520874755</v>
      </c>
      <c r="G16" s="87">
        <v>24303</v>
      </c>
      <c r="H16" s="89">
        <f t="shared" si="0"/>
        <v>10.480187631156648</v>
      </c>
      <c r="I16" s="90">
        <v>1683</v>
      </c>
      <c r="J16" s="90">
        <v>29</v>
      </c>
      <c r="K16" s="87">
        <v>1723</v>
      </c>
      <c r="L16" s="88">
        <f t="shared" si="1"/>
        <v>98.306074766355138</v>
      </c>
      <c r="M16" s="87">
        <v>24546</v>
      </c>
      <c r="N16" s="89">
        <f t="shared" si="2"/>
        <v>7.0194736413264884</v>
      </c>
      <c r="O16" s="90"/>
      <c r="P16" s="90"/>
    </row>
    <row r="17" spans="1:16">
      <c r="A17" s="85">
        <v>10502</v>
      </c>
      <c r="B17" s="86" t="s">
        <v>41</v>
      </c>
      <c r="C17" s="87">
        <v>889</v>
      </c>
      <c r="D17" s="87">
        <v>88</v>
      </c>
      <c r="E17" s="87">
        <v>982</v>
      </c>
      <c r="F17" s="88">
        <f t="shared" si="5"/>
        <v>90.992835209825998</v>
      </c>
      <c r="G17" s="87">
        <v>8349</v>
      </c>
      <c r="H17" s="89">
        <f t="shared" si="0"/>
        <v>11.761887651215714</v>
      </c>
      <c r="I17" s="90">
        <v>580</v>
      </c>
      <c r="J17" s="90">
        <v>28</v>
      </c>
      <c r="K17" s="87">
        <v>613</v>
      </c>
      <c r="L17" s="88">
        <f t="shared" si="1"/>
        <v>95.39473684210526</v>
      </c>
      <c r="M17" s="87">
        <v>7200</v>
      </c>
      <c r="N17" s="89">
        <f t="shared" si="2"/>
        <v>8.5138888888888893</v>
      </c>
      <c r="O17" s="90"/>
      <c r="P17" s="90"/>
    </row>
    <row r="18" spans="1:16">
      <c r="A18" s="85">
        <v>10601</v>
      </c>
      <c r="B18" s="86" t="s">
        <v>43</v>
      </c>
      <c r="C18" s="87">
        <v>1651</v>
      </c>
      <c r="D18" s="87">
        <v>144</v>
      </c>
      <c r="E18" s="87">
        <v>1819</v>
      </c>
      <c r="F18" s="88">
        <f t="shared" si="5"/>
        <v>91.977715877437333</v>
      </c>
      <c r="G18" s="87">
        <v>16944</v>
      </c>
      <c r="H18" s="89">
        <f t="shared" si="0"/>
        <v>10.735363550519358</v>
      </c>
      <c r="I18" s="90">
        <v>880</v>
      </c>
      <c r="J18" s="90">
        <v>14</v>
      </c>
      <c r="K18" s="87">
        <v>905</v>
      </c>
      <c r="L18" s="88">
        <f t="shared" si="1"/>
        <v>98.434004474272925</v>
      </c>
      <c r="M18" s="87">
        <v>13323</v>
      </c>
      <c r="N18" s="89">
        <f t="shared" si="2"/>
        <v>6.7927643924041128</v>
      </c>
      <c r="O18" s="90"/>
      <c r="P18" s="90"/>
    </row>
    <row r="19" spans="1:16">
      <c r="A19" s="85">
        <v>10602</v>
      </c>
      <c r="B19" s="86" t="s">
        <v>42</v>
      </c>
      <c r="C19" s="87">
        <v>937</v>
      </c>
      <c r="D19" s="87">
        <v>48</v>
      </c>
      <c r="E19" s="87">
        <v>1003</v>
      </c>
      <c r="F19" s="88">
        <f t="shared" si="5"/>
        <v>95.126903553299485</v>
      </c>
      <c r="G19" s="87">
        <v>10111</v>
      </c>
      <c r="H19" s="89">
        <f t="shared" si="0"/>
        <v>9.9198892295519734</v>
      </c>
      <c r="I19" s="90">
        <v>528</v>
      </c>
      <c r="J19" s="90">
        <v>6</v>
      </c>
      <c r="K19" s="87">
        <v>539</v>
      </c>
      <c r="L19" s="88">
        <f t="shared" si="1"/>
        <v>98.876404494382015</v>
      </c>
      <c r="M19" s="87">
        <v>8480</v>
      </c>
      <c r="N19" s="89">
        <f t="shared" si="2"/>
        <v>6.3561320754716988</v>
      </c>
      <c r="O19" s="90"/>
      <c r="P19" s="90"/>
    </row>
    <row r="20" spans="1:16">
      <c r="A20" s="85">
        <v>10701</v>
      </c>
      <c r="B20" s="86" t="s">
        <v>45</v>
      </c>
      <c r="C20" s="87">
        <v>1523</v>
      </c>
      <c r="D20" s="87">
        <v>132</v>
      </c>
      <c r="E20" s="87">
        <v>1678</v>
      </c>
      <c r="F20" s="88">
        <f t="shared" si="5"/>
        <v>92.024169184290031</v>
      </c>
      <c r="G20" s="87">
        <v>15644</v>
      </c>
      <c r="H20" s="89">
        <f t="shared" si="0"/>
        <v>10.726156993096394</v>
      </c>
      <c r="I20" s="90">
        <v>930</v>
      </c>
      <c r="J20" s="90">
        <v>28</v>
      </c>
      <c r="K20" s="87">
        <v>963</v>
      </c>
      <c r="L20" s="88">
        <f t="shared" si="1"/>
        <v>97.077244258872653</v>
      </c>
      <c r="M20" s="87">
        <v>14713</v>
      </c>
      <c r="N20" s="89">
        <f t="shared" si="2"/>
        <v>6.5452321076598929</v>
      </c>
      <c r="O20" s="90"/>
      <c r="P20" s="90"/>
    </row>
    <row r="21" spans="1:16">
      <c r="A21" s="85">
        <v>10702</v>
      </c>
      <c r="B21" s="86" t="s">
        <v>46</v>
      </c>
      <c r="C21" s="87">
        <v>3699</v>
      </c>
      <c r="D21" s="87">
        <v>526</v>
      </c>
      <c r="E21" s="87">
        <v>4298</v>
      </c>
      <c r="F21" s="88">
        <f t="shared" si="5"/>
        <v>87.550295857988175</v>
      </c>
      <c r="G21" s="87">
        <v>32520</v>
      </c>
      <c r="H21" s="89">
        <f t="shared" si="0"/>
        <v>13.216482164821647</v>
      </c>
      <c r="I21" s="90">
        <v>2196</v>
      </c>
      <c r="J21" s="90">
        <v>94</v>
      </c>
      <c r="K21" s="87">
        <v>2306</v>
      </c>
      <c r="L21" s="88">
        <f t="shared" si="1"/>
        <v>95.895196506550221</v>
      </c>
      <c r="M21" s="87">
        <v>26715</v>
      </c>
      <c r="N21" s="89">
        <f t="shared" si="2"/>
        <v>8.6318547632416234</v>
      </c>
      <c r="O21" s="90"/>
      <c r="P21" s="90"/>
    </row>
    <row r="22" spans="1:16">
      <c r="A22" s="85">
        <v>10703</v>
      </c>
      <c r="B22" s="86" t="s">
        <v>47</v>
      </c>
      <c r="C22" s="87">
        <v>1411</v>
      </c>
      <c r="D22" s="87">
        <v>356</v>
      </c>
      <c r="E22" s="87">
        <v>1796</v>
      </c>
      <c r="F22" s="88">
        <f t="shared" si="5"/>
        <v>79.852857951329938</v>
      </c>
      <c r="G22" s="87">
        <v>13056</v>
      </c>
      <c r="H22" s="89">
        <f t="shared" si="0"/>
        <v>13.756127450980394</v>
      </c>
      <c r="I22" s="90">
        <v>1310</v>
      </c>
      <c r="J22" s="90">
        <v>49</v>
      </c>
      <c r="K22" s="87">
        <v>1372</v>
      </c>
      <c r="L22" s="88">
        <f t="shared" si="1"/>
        <v>96.3944076526858</v>
      </c>
      <c r="M22" s="87">
        <v>16484</v>
      </c>
      <c r="N22" s="89">
        <f t="shared" si="2"/>
        <v>8.3232225188061157</v>
      </c>
      <c r="O22" s="90"/>
      <c r="P22" s="90"/>
    </row>
    <row r="23" spans="1:16">
      <c r="A23" s="85">
        <v>10704</v>
      </c>
      <c r="B23" s="86" t="s">
        <v>48</v>
      </c>
      <c r="C23" s="87">
        <v>1892</v>
      </c>
      <c r="D23" s="87">
        <v>286</v>
      </c>
      <c r="E23" s="87">
        <v>2199</v>
      </c>
      <c r="F23" s="88">
        <f t="shared" si="5"/>
        <v>86.868686868686879</v>
      </c>
      <c r="G23" s="87">
        <v>16150</v>
      </c>
      <c r="H23" s="89">
        <f t="shared" si="0"/>
        <v>13.616099071207429</v>
      </c>
      <c r="I23" s="90">
        <v>1109</v>
      </c>
      <c r="J23" s="90">
        <v>89</v>
      </c>
      <c r="K23" s="87">
        <v>1204</v>
      </c>
      <c r="L23" s="88">
        <f t="shared" si="1"/>
        <v>92.57095158597663</v>
      </c>
      <c r="M23" s="87">
        <v>14282</v>
      </c>
      <c r="N23" s="89">
        <f t="shared" si="2"/>
        <v>8.4301918498809698</v>
      </c>
      <c r="O23" s="90"/>
      <c r="P23" s="90"/>
    </row>
    <row r="24" spans="1:16">
      <c r="A24" s="85">
        <v>10801</v>
      </c>
      <c r="B24" s="86" t="s">
        <v>50</v>
      </c>
      <c r="C24" s="87">
        <v>1051</v>
      </c>
      <c r="D24" s="87">
        <v>89</v>
      </c>
      <c r="E24" s="87">
        <v>1166</v>
      </c>
      <c r="F24" s="88">
        <f t="shared" si="5"/>
        <v>92.192982456140342</v>
      </c>
      <c r="G24" s="87">
        <v>11161</v>
      </c>
      <c r="H24" s="89">
        <f t="shared" si="0"/>
        <v>10.447092554430606</v>
      </c>
      <c r="I24" s="90">
        <v>541</v>
      </c>
      <c r="J24" s="90">
        <v>10</v>
      </c>
      <c r="K24" s="87">
        <v>556</v>
      </c>
      <c r="L24" s="88">
        <f t="shared" si="1"/>
        <v>98.185117967332118</v>
      </c>
      <c r="M24" s="87">
        <v>9107</v>
      </c>
      <c r="N24" s="89">
        <f t="shared" si="2"/>
        <v>6.1051938069616778</v>
      </c>
      <c r="O24" s="90"/>
      <c r="P24" s="90"/>
    </row>
    <row r="25" spans="1:16">
      <c r="A25" s="85">
        <v>10901</v>
      </c>
      <c r="B25" s="86" t="s">
        <v>52</v>
      </c>
      <c r="C25" s="87">
        <v>372</v>
      </c>
      <c r="D25" s="87">
        <v>22</v>
      </c>
      <c r="E25" s="87">
        <v>396</v>
      </c>
      <c r="F25" s="88">
        <f t="shared" si="5"/>
        <v>94.416243654822338</v>
      </c>
      <c r="G25" s="87">
        <v>3514</v>
      </c>
      <c r="H25" s="89">
        <f t="shared" si="0"/>
        <v>11.26920887877063</v>
      </c>
      <c r="I25" s="90">
        <v>337</v>
      </c>
      <c r="J25" s="90">
        <v>20</v>
      </c>
      <c r="K25" s="87">
        <v>357</v>
      </c>
      <c r="L25" s="88">
        <f t="shared" si="1"/>
        <v>94.397759103641448</v>
      </c>
      <c r="M25" s="87">
        <v>5375</v>
      </c>
      <c r="N25" s="89">
        <f t="shared" si="2"/>
        <v>6.64186046511628</v>
      </c>
      <c r="O25" s="90"/>
      <c r="P25" s="90"/>
    </row>
    <row r="26" spans="1:16">
      <c r="A26" s="85">
        <v>10902</v>
      </c>
      <c r="B26" s="86" t="s">
        <v>53</v>
      </c>
      <c r="C26" s="87">
        <v>1831</v>
      </c>
      <c r="D26" s="87">
        <v>315</v>
      </c>
      <c r="E26" s="87">
        <v>2174</v>
      </c>
      <c r="F26" s="88">
        <f t="shared" si="5"/>
        <v>85.321528424976705</v>
      </c>
      <c r="G26" s="87">
        <v>17731</v>
      </c>
      <c r="H26" s="89">
        <f t="shared" si="0"/>
        <v>12.261011787265241</v>
      </c>
      <c r="I26" s="90">
        <v>1235</v>
      </c>
      <c r="J26" s="90">
        <v>59</v>
      </c>
      <c r="K26" s="87">
        <v>1298</v>
      </c>
      <c r="L26" s="88">
        <f t="shared" si="1"/>
        <v>95.440494590417316</v>
      </c>
      <c r="M26" s="87">
        <v>14848</v>
      </c>
      <c r="N26" s="89">
        <f t="shared" si="2"/>
        <v>8.7419181034482758</v>
      </c>
      <c r="O26" s="90"/>
      <c r="P26" s="90"/>
    </row>
    <row r="27" spans="1:16">
      <c r="A27" s="85">
        <v>10903</v>
      </c>
      <c r="B27" s="86" t="s">
        <v>54</v>
      </c>
      <c r="C27" s="87">
        <v>353</v>
      </c>
      <c r="D27" s="87">
        <v>31</v>
      </c>
      <c r="E27" s="87">
        <v>388</v>
      </c>
      <c r="F27" s="88">
        <f t="shared" si="5"/>
        <v>91.927083333333343</v>
      </c>
      <c r="G27" s="87">
        <v>4088</v>
      </c>
      <c r="H27" s="89">
        <f t="shared" si="0"/>
        <v>9.4911937377690805</v>
      </c>
      <c r="I27" s="90">
        <v>302</v>
      </c>
      <c r="J27" s="90">
        <v>4</v>
      </c>
      <c r="K27" s="87">
        <v>309</v>
      </c>
      <c r="L27" s="88">
        <f t="shared" si="1"/>
        <v>98.692810457516345</v>
      </c>
      <c r="M27" s="87">
        <v>5016</v>
      </c>
      <c r="N27" s="89">
        <f t="shared" si="2"/>
        <v>6.160287081339713</v>
      </c>
      <c r="O27" s="90"/>
      <c r="P27" s="90"/>
    </row>
    <row r="28" spans="1:16">
      <c r="A28" s="85">
        <v>11001</v>
      </c>
      <c r="B28" s="86" t="s">
        <v>56</v>
      </c>
      <c r="C28" s="87">
        <v>948</v>
      </c>
      <c r="D28" s="87">
        <v>126</v>
      </c>
      <c r="E28" s="87">
        <v>1091</v>
      </c>
      <c r="F28" s="88">
        <f t="shared" si="5"/>
        <v>88.268156424581008</v>
      </c>
      <c r="G28" s="87">
        <v>9720</v>
      </c>
      <c r="H28" s="89">
        <f t="shared" si="0"/>
        <v>11.224279835390947</v>
      </c>
      <c r="I28" s="90">
        <v>789</v>
      </c>
      <c r="J28" s="90">
        <v>23</v>
      </c>
      <c r="K28" s="87">
        <v>816</v>
      </c>
      <c r="L28" s="88">
        <f t="shared" si="1"/>
        <v>97.167487684729053</v>
      </c>
      <c r="M28" s="87">
        <v>13282</v>
      </c>
      <c r="N28" s="89">
        <f t="shared" si="2"/>
        <v>6.1436530642975455</v>
      </c>
      <c r="O28" s="90"/>
      <c r="P28" s="90"/>
    </row>
    <row r="29" spans="1:16">
      <c r="A29" s="85">
        <v>11002</v>
      </c>
      <c r="B29" s="86" t="s">
        <v>57</v>
      </c>
      <c r="C29" s="87">
        <v>270</v>
      </c>
      <c r="D29" s="87">
        <v>34</v>
      </c>
      <c r="E29" s="87">
        <v>305</v>
      </c>
      <c r="F29" s="88">
        <f t="shared" si="5"/>
        <v>88.81578947368422</v>
      </c>
      <c r="G29" s="87">
        <v>2541</v>
      </c>
      <c r="H29" s="89">
        <f t="shared" si="0"/>
        <v>12.00314836678473</v>
      </c>
      <c r="I29" s="90">
        <v>201</v>
      </c>
      <c r="J29" s="90">
        <v>8</v>
      </c>
      <c r="K29" s="87">
        <v>209</v>
      </c>
      <c r="L29" s="88">
        <f t="shared" si="1"/>
        <v>96.172248803827756</v>
      </c>
      <c r="M29" s="87">
        <v>2547</v>
      </c>
      <c r="N29" s="89">
        <f t="shared" si="2"/>
        <v>8.2057322340007861</v>
      </c>
      <c r="O29" s="90"/>
      <c r="P29" s="90"/>
    </row>
    <row r="30" spans="1:16">
      <c r="A30" s="85">
        <v>11003</v>
      </c>
      <c r="B30" s="86" t="s">
        <v>58</v>
      </c>
      <c r="C30" s="87">
        <v>766</v>
      </c>
      <c r="D30" s="87">
        <v>63</v>
      </c>
      <c r="E30" s="87">
        <v>837</v>
      </c>
      <c r="F30" s="88">
        <f t="shared" si="5"/>
        <v>92.400482509047038</v>
      </c>
      <c r="G30" s="87">
        <v>7418</v>
      </c>
      <c r="H30" s="89">
        <f t="shared" si="0"/>
        <v>11.283364788352655</v>
      </c>
      <c r="I30" s="90">
        <v>466</v>
      </c>
      <c r="J30" s="90">
        <v>55</v>
      </c>
      <c r="K30" s="87">
        <v>527</v>
      </c>
      <c r="L30" s="88">
        <f t="shared" si="1"/>
        <v>89.44337811900192</v>
      </c>
      <c r="M30" s="87">
        <v>7235</v>
      </c>
      <c r="N30" s="89">
        <f t="shared" si="2"/>
        <v>7.2840359364201799</v>
      </c>
      <c r="O30" s="90"/>
      <c r="P30" s="90"/>
    </row>
    <row r="31" spans="1:16">
      <c r="A31" s="85">
        <v>20101</v>
      </c>
      <c r="B31" s="86" t="s">
        <v>61</v>
      </c>
      <c r="C31" s="87">
        <v>59958</v>
      </c>
      <c r="D31" s="87">
        <v>2649</v>
      </c>
      <c r="E31" s="87">
        <v>62988</v>
      </c>
      <c r="F31" s="88">
        <f t="shared" si="5"/>
        <v>95.768843739517948</v>
      </c>
      <c r="G31" s="87">
        <v>766468</v>
      </c>
      <c r="H31" s="89">
        <f t="shared" si="0"/>
        <v>8.2179556093666015</v>
      </c>
      <c r="I31" s="90">
        <v>36597</v>
      </c>
      <c r="J31" s="90">
        <v>571</v>
      </c>
      <c r="K31" s="87">
        <v>37298</v>
      </c>
      <c r="L31" s="88">
        <f t="shared" si="1"/>
        <v>98.46373224278949</v>
      </c>
      <c r="M31" s="87">
        <v>757431</v>
      </c>
      <c r="N31" s="89">
        <f t="shared" si="2"/>
        <v>4.9242769308359442</v>
      </c>
      <c r="O31" s="90"/>
      <c r="P31" s="90"/>
    </row>
    <row r="32" spans="1:16">
      <c r="A32" s="85">
        <v>20102</v>
      </c>
      <c r="B32" s="95" t="s">
        <v>62</v>
      </c>
      <c r="C32" s="87">
        <v>1448</v>
      </c>
      <c r="D32" s="87">
        <v>224</v>
      </c>
      <c r="E32" s="87">
        <v>1684</v>
      </c>
      <c r="F32" s="88">
        <f t="shared" si="5"/>
        <v>86.602870813397132</v>
      </c>
      <c r="G32" s="87">
        <v>16622</v>
      </c>
      <c r="H32" s="89">
        <f t="shared" si="0"/>
        <v>10.131151485982432</v>
      </c>
      <c r="I32" s="90">
        <v>1707</v>
      </c>
      <c r="J32" s="90">
        <v>60</v>
      </c>
      <c r="K32" s="87">
        <v>1803</v>
      </c>
      <c r="L32" s="88">
        <f t="shared" si="1"/>
        <v>96.604414261460107</v>
      </c>
      <c r="M32" s="87">
        <v>21729</v>
      </c>
      <c r="N32" s="89">
        <f t="shared" si="2"/>
        <v>8.2976667126881125</v>
      </c>
      <c r="O32" s="90"/>
      <c r="P32" s="90"/>
    </row>
    <row r="33" spans="1:16">
      <c r="A33" s="85">
        <v>20103</v>
      </c>
      <c r="B33" s="95" t="s">
        <v>63</v>
      </c>
      <c r="C33" s="87">
        <v>1217</v>
      </c>
      <c r="D33" s="87">
        <v>95</v>
      </c>
      <c r="E33" s="87">
        <v>1326</v>
      </c>
      <c r="F33" s="88">
        <f t="shared" si="5"/>
        <v>92.759146341463421</v>
      </c>
      <c r="G33" s="87">
        <v>15834</v>
      </c>
      <c r="H33" s="89">
        <f t="shared" si="0"/>
        <v>8.3743842364532011</v>
      </c>
      <c r="I33" s="90">
        <v>1270</v>
      </c>
      <c r="J33" s="90">
        <v>20</v>
      </c>
      <c r="K33" s="87">
        <v>1297</v>
      </c>
      <c r="L33" s="88">
        <f t="shared" si="1"/>
        <v>98.449612403100772</v>
      </c>
      <c r="M33" s="87">
        <v>20446</v>
      </c>
      <c r="N33" s="89">
        <f t="shared" si="2"/>
        <v>6.3435390785483712</v>
      </c>
      <c r="O33" s="90"/>
      <c r="P33" s="90"/>
    </row>
    <row r="34" spans="1:16">
      <c r="A34" s="85">
        <v>20104</v>
      </c>
      <c r="B34" s="95" t="s">
        <v>64</v>
      </c>
      <c r="C34" s="87">
        <v>1955</v>
      </c>
      <c r="D34" s="87">
        <v>142</v>
      </c>
      <c r="E34" s="87">
        <v>2118</v>
      </c>
      <c r="F34" s="88">
        <f t="shared" si="5"/>
        <v>93.228421554601809</v>
      </c>
      <c r="G34" s="87">
        <v>22431</v>
      </c>
      <c r="H34" s="89">
        <f t="shared" si="0"/>
        <v>9.4422896883776914</v>
      </c>
      <c r="I34" s="90">
        <v>3204</v>
      </c>
      <c r="J34" s="90">
        <v>46</v>
      </c>
      <c r="K34" s="87">
        <v>3264</v>
      </c>
      <c r="L34" s="88">
        <f t="shared" si="1"/>
        <v>98.584615384615375</v>
      </c>
      <c r="M34" s="87">
        <v>46188</v>
      </c>
      <c r="N34" s="89">
        <f t="shared" si="2"/>
        <v>7.0667705897635757</v>
      </c>
      <c r="O34" s="90"/>
      <c r="P34" s="90"/>
    </row>
    <row r="35" spans="1:16">
      <c r="A35" s="85">
        <v>20105</v>
      </c>
      <c r="B35" s="95" t="s">
        <v>65</v>
      </c>
      <c r="C35" s="87">
        <v>85795</v>
      </c>
      <c r="D35" s="87">
        <v>6252</v>
      </c>
      <c r="E35" s="87">
        <v>92674</v>
      </c>
      <c r="F35" s="88">
        <f t="shared" si="5"/>
        <v>93.207817745282313</v>
      </c>
      <c r="G35" s="87">
        <v>848452</v>
      </c>
      <c r="H35" s="89">
        <f t="shared" si="0"/>
        <v>10.922715722280106</v>
      </c>
      <c r="I35" s="90">
        <v>62352</v>
      </c>
      <c r="J35" s="90">
        <v>1257</v>
      </c>
      <c r="K35" s="87">
        <v>63896</v>
      </c>
      <c r="L35" s="88">
        <f t="shared" si="1"/>
        <v>98.023864547469699</v>
      </c>
      <c r="M35" s="87">
        <v>885825</v>
      </c>
      <c r="N35" s="89">
        <f t="shared" si="2"/>
        <v>7.2131628707701863</v>
      </c>
      <c r="O35" s="90"/>
      <c r="P35" s="90"/>
    </row>
    <row r="36" spans="1:16">
      <c r="A36" s="85">
        <v>20201</v>
      </c>
      <c r="B36" s="95" t="s">
        <v>67</v>
      </c>
      <c r="C36" s="87">
        <v>3470</v>
      </c>
      <c r="D36" s="87">
        <v>311</v>
      </c>
      <c r="E36" s="87">
        <v>3811</v>
      </c>
      <c r="F36" s="88">
        <f t="shared" si="5"/>
        <v>91.774662787622319</v>
      </c>
      <c r="G36" s="87">
        <v>46058</v>
      </c>
      <c r="H36" s="89">
        <f t="shared" si="0"/>
        <v>8.2743497329454172</v>
      </c>
      <c r="I36" s="90">
        <v>2778</v>
      </c>
      <c r="J36" s="90">
        <v>59</v>
      </c>
      <c r="K36" s="87">
        <v>2865</v>
      </c>
      <c r="L36" s="88">
        <f t="shared" si="1"/>
        <v>97.920338385618606</v>
      </c>
      <c r="M36" s="87">
        <v>47257</v>
      </c>
      <c r="N36" s="89">
        <f t="shared" si="2"/>
        <v>6.0625939014325922</v>
      </c>
      <c r="O36" s="90"/>
      <c r="P36" s="90"/>
    </row>
    <row r="37" spans="1:16">
      <c r="A37" s="85">
        <v>20202</v>
      </c>
      <c r="B37" s="95" t="s">
        <v>68</v>
      </c>
      <c r="C37" s="87">
        <v>871</v>
      </c>
      <c r="D37" s="87">
        <v>67</v>
      </c>
      <c r="E37" s="87">
        <v>948</v>
      </c>
      <c r="F37" s="88">
        <f t="shared" si="5"/>
        <v>92.857142857142861</v>
      </c>
      <c r="G37" s="87">
        <v>13136</v>
      </c>
      <c r="H37" s="89">
        <f t="shared" si="0"/>
        <v>7.2168087697929355</v>
      </c>
      <c r="I37" s="90">
        <v>974</v>
      </c>
      <c r="J37" s="90">
        <v>15</v>
      </c>
      <c r="K37" s="87">
        <v>998</v>
      </c>
      <c r="L37" s="88">
        <f t="shared" si="1"/>
        <v>98.483316481294239</v>
      </c>
      <c r="M37" s="87">
        <v>16953</v>
      </c>
      <c r="N37" s="89">
        <f t="shared" si="2"/>
        <v>5.8868636819441988</v>
      </c>
      <c r="O37" s="90"/>
      <c r="P37" s="90"/>
    </row>
    <row r="38" spans="1:16">
      <c r="A38" s="85">
        <v>20203</v>
      </c>
      <c r="B38" s="95" t="s">
        <v>72</v>
      </c>
      <c r="C38" s="87">
        <v>312</v>
      </c>
      <c r="D38" s="87">
        <v>15</v>
      </c>
      <c r="E38" s="87">
        <v>329</v>
      </c>
      <c r="F38" s="88">
        <f t="shared" si="5"/>
        <v>95.412844036697251</v>
      </c>
      <c r="G38" s="87">
        <v>5003</v>
      </c>
      <c r="H38" s="89">
        <f t="shared" si="0"/>
        <v>6.5760543673795722</v>
      </c>
      <c r="I38" s="90">
        <v>381</v>
      </c>
      <c r="J38" s="90">
        <v>5</v>
      </c>
      <c r="K38" s="87">
        <v>389</v>
      </c>
      <c r="L38" s="88">
        <f t="shared" si="1"/>
        <v>98.704663212435236</v>
      </c>
      <c r="M38" s="87">
        <v>7226</v>
      </c>
      <c r="N38" s="89">
        <f t="shared" si="2"/>
        <v>5.3833379463050095</v>
      </c>
      <c r="O38" s="90"/>
      <c r="P38" s="90"/>
    </row>
    <row r="39" spans="1:16">
      <c r="A39" s="85">
        <v>20204</v>
      </c>
      <c r="B39" s="95" t="s">
        <v>69</v>
      </c>
      <c r="C39" s="87">
        <v>490</v>
      </c>
      <c r="D39" s="87">
        <v>14</v>
      </c>
      <c r="E39" s="87">
        <v>512</v>
      </c>
      <c r="F39" s="88">
        <f t="shared" si="5"/>
        <v>97.222222222222214</v>
      </c>
      <c r="G39" s="87">
        <v>7948</v>
      </c>
      <c r="H39" s="89">
        <f t="shared" si="0"/>
        <v>6.4418721690991445</v>
      </c>
      <c r="I39" s="90">
        <v>456</v>
      </c>
      <c r="J39" s="90">
        <v>9</v>
      </c>
      <c r="K39" s="87">
        <v>469</v>
      </c>
      <c r="L39" s="88">
        <f t="shared" si="1"/>
        <v>98.064516129032256</v>
      </c>
      <c r="M39" s="87">
        <v>8679</v>
      </c>
      <c r="N39" s="89">
        <f t="shared" si="2"/>
        <v>5.4038483696278377</v>
      </c>
      <c r="O39" s="90"/>
      <c r="P39" s="90"/>
    </row>
    <row r="40" spans="1:16">
      <c r="A40" s="85">
        <v>20205</v>
      </c>
      <c r="B40" s="95" t="s">
        <v>70</v>
      </c>
      <c r="C40" s="87">
        <v>574</v>
      </c>
      <c r="D40" s="87">
        <v>23</v>
      </c>
      <c r="E40" s="87">
        <v>602</v>
      </c>
      <c r="F40" s="88">
        <f t="shared" si="5"/>
        <v>96.147403685092129</v>
      </c>
      <c r="G40" s="87">
        <v>8562</v>
      </c>
      <c r="H40" s="89">
        <f t="shared" si="0"/>
        <v>7.0310675075916844</v>
      </c>
      <c r="I40" s="90">
        <v>440</v>
      </c>
      <c r="J40" s="90">
        <v>9</v>
      </c>
      <c r="K40" s="87">
        <v>458</v>
      </c>
      <c r="L40" s="88">
        <f t="shared" si="1"/>
        <v>97.995545657015597</v>
      </c>
      <c r="M40" s="87">
        <v>9287</v>
      </c>
      <c r="N40" s="89">
        <f t="shared" si="2"/>
        <v>4.9316248519435772</v>
      </c>
      <c r="O40" s="90"/>
      <c r="P40" s="90"/>
    </row>
    <row r="41" spans="1:16">
      <c r="A41" s="85">
        <v>20206</v>
      </c>
      <c r="B41" s="95" t="s">
        <v>71</v>
      </c>
      <c r="C41" s="87">
        <v>335</v>
      </c>
      <c r="D41" s="87">
        <v>6</v>
      </c>
      <c r="E41" s="87">
        <v>341</v>
      </c>
      <c r="F41" s="88">
        <f t="shared" si="5"/>
        <v>98.240469208211152</v>
      </c>
      <c r="G41" s="87">
        <v>3927</v>
      </c>
      <c r="H41" s="89">
        <f t="shared" si="0"/>
        <v>8.6834733893557416</v>
      </c>
      <c r="I41" s="90">
        <v>279</v>
      </c>
      <c r="J41" s="90">
        <v>16</v>
      </c>
      <c r="K41" s="87">
        <v>295</v>
      </c>
      <c r="L41" s="88">
        <f t="shared" si="1"/>
        <v>94.576271186440678</v>
      </c>
      <c r="M41" s="87">
        <v>5118</v>
      </c>
      <c r="N41" s="89">
        <f t="shared" si="2"/>
        <v>5.763970300898789</v>
      </c>
      <c r="O41" s="90"/>
      <c r="P41" s="90"/>
    </row>
    <row r="42" spans="1:16">
      <c r="A42" s="85">
        <v>20301</v>
      </c>
      <c r="B42" s="95" t="s">
        <v>74</v>
      </c>
      <c r="C42" s="87">
        <v>809</v>
      </c>
      <c r="D42" s="87">
        <v>38</v>
      </c>
      <c r="E42" s="87">
        <v>870</v>
      </c>
      <c r="F42" s="88">
        <f t="shared" si="5"/>
        <v>95.513577331759151</v>
      </c>
      <c r="G42" s="87">
        <v>10647</v>
      </c>
      <c r="H42" s="89">
        <f t="shared" si="0"/>
        <v>8.1713158636235566</v>
      </c>
      <c r="I42" s="90">
        <v>867</v>
      </c>
      <c r="J42" s="90">
        <v>11</v>
      </c>
      <c r="K42" s="87">
        <v>896</v>
      </c>
      <c r="L42" s="88">
        <f t="shared" si="1"/>
        <v>98.747152619589968</v>
      </c>
      <c r="M42" s="87">
        <v>13551</v>
      </c>
      <c r="N42" s="89">
        <f t="shared" si="2"/>
        <v>6.6120581506899851</v>
      </c>
      <c r="O42" s="90"/>
      <c r="P42" s="90"/>
    </row>
    <row r="43" spans="1:16">
      <c r="A43" s="85">
        <v>20302</v>
      </c>
      <c r="B43" s="95" t="s">
        <v>75</v>
      </c>
      <c r="C43" s="87">
        <v>1149</v>
      </c>
      <c r="D43" s="87">
        <v>55</v>
      </c>
      <c r="E43" s="87">
        <v>1215</v>
      </c>
      <c r="F43" s="88">
        <f t="shared" si="5"/>
        <v>95.431893687707642</v>
      </c>
      <c r="G43" s="87">
        <v>14687</v>
      </c>
      <c r="H43" s="89">
        <f t="shared" si="0"/>
        <v>8.2726220467079727</v>
      </c>
      <c r="I43" s="90">
        <v>1017</v>
      </c>
      <c r="J43" s="90">
        <v>22</v>
      </c>
      <c r="K43" s="87">
        <v>1044</v>
      </c>
      <c r="L43" s="88">
        <f t="shared" si="1"/>
        <v>97.882579403272373</v>
      </c>
      <c r="M43" s="87">
        <v>15570</v>
      </c>
      <c r="N43" s="89">
        <f t="shared" si="2"/>
        <v>6.7052023121387281</v>
      </c>
      <c r="O43" s="90"/>
      <c r="P43" s="90"/>
    </row>
    <row r="44" spans="1:16">
      <c r="A44" s="85">
        <v>20303</v>
      </c>
      <c r="B44" s="95" t="s">
        <v>76</v>
      </c>
      <c r="C44" s="87">
        <v>670</v>
      </c>
      <c r="D44" s="87">
        <v>31</v>
      </c>
      <c r="E44" s="87">
        <v>713</v>
      </c>
      <c r="F44" s="88">
        <f t="shared" si="5"/>
        <v>95.577746077032813</v>
      </c>
      <c r="G44" s="87">
        <v>9879</v>
      </c>
      <c r="H44" s="89">
        <f t="shared" si="0"/>
        <v>7.2173296892398016</v>
      </c>
      <c r="I44" s="90">
        <v>755</v>
      </c>
      <c r="J44" s="90">
        <v>19</v>
      </c>
      <c r="K44" s="87">
        <v>781</v>
      </c>
      <c r="L44" s="88">
        <f t="shared" si="1"/>
        <v>97.545219638242898</v>
      </c>
      <c r="M44" s="87">
        <v>12219</v>
      </c>
      <c r="N44" s="89">
        <f t="shared" si="2"/>
        <v>6.3916850806121612</v>
      </c>
      <c r="O44" s="90"/>
      <c r="P44" s="90"/>
    </row>
    <row r="45" spans="1:16">
      <c r="A45" s="85">
        <v>20304</v>
      </c>
      <c r="B45" s="95" t="s">
        <v>77</v>
      </c>
      <c r="C45" s="87">
        <v>303</v>
      </c>
      <c r="D45" s="87">
        <v>20</v>
      </c>
      <c r="E45" s="87">
        <v>325</v>
      </c>
      <c r="F45" s="88">
        <f t="shared" si="5"/>
        <v>93.808049535603715</v>
      </c>
      <c r="G45" s="87">
        <v>3880</v>
      </c>
      <c r="H45" s="89">
        <f t="shared" si="0"/>
        <v>8.3762886597938131</v>
      </c>
      <c r="I45" s="90">
        <v>369</v>
      </c>
      <c r="J45" s="90">
        <v>5</v>
      </c>
      <c r="K45" s="87">
        <v>376</v>
      </c>
      <c r="L45" s="88">
        <f t="shared" si="1"/>
        <v>98.663101604278069</v>
      </c>
      <c r="M45" s="87">
        <v>5238</v>
      </c>
      <c r="N45" s="89">
        <f t="shared" si="2"/>
        <v>7.1783123329515082</v>
      </c>
      <c r="O45" s="90"/>
      <c r="P45" s="90"/>
    </row>
    <row r="46" spans="1:16">
      <c r="A46" s="85">
        <v>20305</v>
      </c>
      <c r="B46" s="95" t="s">
        <v>78</v>
      </c>
      <c r="C46" s="87">
        <v>273</v>
      </c>
      <c r="D46" s="87">
        <v>8</v>
      </c>
      <c r="E46" s="87">
        <v>282</v>
      </c>
      <c r="F46" s="88">
        <f t="shared" si="5"/>
        <v>97.15302491103202</v>
      </c>
      <c r="G46" s="87">
        <v>3246</v>
      </c>
      <c r="H46" s="89">
        <f t="shared" si="0"/>
        <v>8.6876155268022188</v>
      </c>
      <c r="I46" s="90">
        <v>267</v>
      </c>
      <c r="J46" s="90">
        <v>16</v>
      </c>
      <c r="K46" s="87">
        <v>288</v>
      </c>
      <c r="L46" s="88">
        <f t="shared" si="1"/>
        <v>94.346289752650179</v>
      </c>
      <c r="M46" s="87">
        <v>4221</v>
      </c>
      <c r="N46" s="89">
        <f t="shared" si="2"/>
        <v>6.8230277185501063</v>
      </c>
      <c r="O46" s="90"/>
      <c r="P46" s="90"/>
    </row>
    <row r="47" spans="1:16">
      <c r="A47" s="85">
        <v>20306</v>
      </c>
      <c r="B47" s="95" t="s">
        <v>79</v>
      </c>
      <c r="C47" s="87">
        <v>484</v>
      </c>
      <c r="D47" s="87">
        <v>32</v>
      </c>
      <c r="E47" s="87">
        <v>520</v>
      </c>
      <c r="F47" s="88">
        <f t="shared" si="5"/>
        <v>93.798449612403104</v>
      </c>
      <c r="G47" s="87">
        <v>5069</v>
      </c>
      <c r="H47" s="89">
        <f t="shared" si="0"/>
        <v>10.258433616097848</v>
      </c>
      <c r="I47" s="90">
        <v>347</v>
      </c>
      <c r="J47" s="90">
        <v>7</v>
      </c>
      <c r="K47" s="87">
        <v>358</v>
      </c>
      <c r="L47" s="88">
        <f t="shared" si="1"/>
        <v>98.022598870056498</v>
      </c>
      <c r="M47" s="87">
        <v>6442</v>
      </c>
      <c r="N47" s="89">
        <f t="shared" si="2"/>
        <v>5.5572803477181001</v>
      </c>
      <c r="O47" s="90"/>
      <c r="P47" s="90"/>
    </row>
    <row r="48" spans="1:16">
      <c r="A48" s="85">
        <v>20307</v>
      </c>
      <c r="B48" s="95" t="s">
        <v>80</v>
      </c>
      <c r="C48" s="87">
        <v>55</v>
      </c>
      <c r="D48" s="87">
        <v>2</v>
      </c>
      <c r="E48" s="87">
        <v>57</v>
      </c>
      <c r="F48" s="88">
        <f t="shared" si="5"/>
        <v>96.491228070175438</v>
      </c>
      <c r="G48" s="96">
        <v>619</v>
      </c>
      <c r="H48" s="89">
        <f t="shared" si="0"/>
        <v>9.2084006462035539</v>
      </c>
      <c r="I48" s="90">
        <v>260</v>
      </c>
      <c r="J48" s="90">
        <v>3</v>
      </c>
      <c r="K48" s="87">
        <v>264</v>
      </c>
      <c r="L48" s="88">
        <f t="shared" si="1"/>
        <v>98.859315589353614</v>
      </c>
      <c r="M48" s="87">
        <v>4022</v>
      </c>
      <c r="N48" s="89">
        <f t="shared" si="2"/>
        <v>6.5638985579313776</v>
      </c>
      <c r="O48" s="90"/>
      <c r="P48" s="90"/>
    </row>
    <row r="49" spans="1:16">
      <c r="A49" s="85">
        <v>20308</v>
      </c>
      <c r="B49" s="95" t="s">
        <v>81</v>
      </c>
      <c r="C49" s="87">
        <v>504</v>
      </c>
      <c r="D49" s="87">
        <v>26</v>
      </c>
      <c r="E49" s="87">
        <v>536</v>
      </c>
      <c r="F49" s="88">
        <f t="shared" si="5"/>
        <v>95.094339622641513</v>
      </c>
      <c r="G49" s="87">
        <v>7289</v>
      </c>
      <c r="H49" s="89">
        <f t="shared" si="0"/>
        <v>7.3535464398408568</v>
      </c>
      <c r="I49" s="90">
        <v>440</v>
      </c>
      <c r="J49" s="90">
        <v>8</v>
      </c>
      <c r="K49" s="87">
        <v>454</v>
      </c>
      <c r="L49" s="88">
        <f t="shared" si="1"/>
        <v>98.214285714285708</v>
      </c>
      <c r="M49" s="87">
        <v>8037</v>
      </c>
      <c r="N49" s="89">
        <f t="shared" si="2"/>
        <v>5.6488739579445069</v>
      </c>
      <c r="O49" s="90"/>
      <c r="P49" s="90"/>
    </row>
    <row r="50" spans="1:16">
      <c r="A50" s="85">
        <v>20401</v>
      </c>
      <c r="B50" s="95" t="s">
        <v>83</v>
      </c>
      <c r="C50" s="87">
        <v>718</v>
      </c>
      <c r="D50" s="87">
        <v>60</v>
      </c>
      <c r="E50" s="87">
        <v>790</v>
      </c>
      <c r="F50" s="88">
        <f t="shared" si="5"/>
        <v>92.287917737789201</v>
      </c>
      <c r="G50" s="87">
        <v>11290</v>
      </c>
      <c r="H50" s="89">
        <f t="shared" si="0"/>
        <v>6.9973427812223212</v>
      </c>
      <c r="I50" s="90">
        <v>704</v>
      </c>
      <c r="J50" s="90">
        <v>13</v>
      </c>
      <c r="K50" s="87">
        <v>723</v>
      </c>
      <c r="L50" s="88">
        <f t="shared" si="1"/>
        <v>98.186889818688982</v>
      </c>
      <c r="M50" s="87">
        <v>14012</v>
      </c>
      <c r="N50" s="89">
        <f t="shared" si="2"/>
        <v>5.1598629745932056</v>
      </c>
      <c r="O50" s="90"/>
      <c r="P50" s="90"/>
    </row>
    <row r="51" spans="1:16">
      <c r="A51" s="85">
        <v>20402</v>
      </c>
      <c r="B51" s="95" t="s">
        <v>84</v>
      </c>
      <c r="C51" s="87">
        <v>1234</v>
      </c>
      <c r="D51" s="87">
        <v>85</v>
      </c>
      <c r="E51" s="87">
        <v>1328</v>
      </c>
      <c r="F51" s="88">
        <f t="shared" si="5"/>
        <v>93.555724033358601</v>
      </c>
      <c r="G51" s="87">
        <v>15665</v>
      </c>
      <c r="H51" s="89">
        <f t="shared" si="0"/>
        <v>8.4774976061283116</v>
      </c>
      <c r="I51" s="90">
        <v>960</v>
      </c>
      <c r="J51" s="90">
        <v>24</v>
      </c>
      <c r="K51" s="87">
        <v>1015</v>
      </c>
      <c r="L51" s="88">
        <f t="shared" si="1"/>
        <v>97.560975609756099</v>
      </c>
      <c r="M51" s="87">
        <v>17811</v>
      </c>
      <c r="N51" s="89">
        <f t="shared" si="2"/>
        <v>5.6987255067093363</v>
      </c>
      <c r="O51" s="90"/>
      <c r="P51" s="90"/>
    </row>
    <row r="52" spans="1:16">
      <c r="A52" s="85">
        <v>20403</v>
      </c>
      <c r="B52" s="95" t="s">
        <v>85</v>
      </c>
      <c r="C52" s="87">
        <v>1206</v>
      </c>
      <c r="D52" s="87">
        <v>79</v>
      </c>
      <c r="E52" s="87">
        <v>1297</v>
      </c>
      <c r="F52" s="88">
        <f t="shared" si="5"/>
        <v>93.852140077821005</v>
      </c>
      <c r="G52" s="87">
        <v>14589</v>
      </c>
      <c r="H52" s="89">
        <f t="shared" si="0"/>
        <v>8.8902597847693468</v>
      </c>
      <c r="I52" s="90">
        <v>941</v>
      </c>
      <c r="J52" s="90">
        <v>20</v>
      </c>
      <c r="K52" s="87">
        <v>968</v>
      </c>
      <c r="L52" s="88">
        <f t="shared" si="1"/>
        <v>97.918834547346506</v>
      </c>
      <c r="M52" s="87">
        <v>17336</v>
      </c>
      <c r="N52" s="89">
        <f t="shared" si="2"/>
        <v>5.5837563451776653</v>
      </c>
      <c r="O52" s="90"/>
      <c r="P52" s="90"/>
    </row>
    <row r="53" spans="1:16">
      <c r="A53" s="85">
        <v>20404</v>
      </c>
      <c r="B53" s="95" t="s">
        <v>86</v>
      </c>
      <c r="C53" s="87">
        <v>362</v>
      </c>
      <c r="D53" s="87">
        <v>49</v>
      </c>
      <c r="E53" s="87">
        <v>418</v>
      </c>
      <c r="F53" s="88">
        <f t="shared" si="5"/>
        <v>88.077858880778592</v>
      </c>
      <c r="G53" s="87">
        <v>5342</v>
      </c>
      <c r="H53" s="89">
        <f t="shared" si="0"/>
        <v>7.8247847248221634</v>
      </c>
      <c r="I53" s="90">
        <v>340</v>
      </c>
      <c r="J53" s="90">
        <v>4</v>
      </c>
      <c r="K53" s="87">
        <v>346</v>
      </c>
      <c r="L53" s="88">
        <f t="shared" si="1"/>
        <v>98.837209302325576</v>
      </c>
      <c r="M53" s="87">
        <v>5658</v>
      </c>
      <c r="N53" s="89">
        <f t="shared" si="2"/>
        <v>6.1152350653941321</v>
      </c>
      <c r="O53" s="90"/>
      <c r="P53" s="90"/>
    </row>
    <row r="54" spans="1:16">
      <c r="A54" s="85">
        <v>20405</v>
      </c>
      <c r="B54" s="95" t="s">
        <v>87</v>
      </c>
      <c r="C54" s="87">
        <v>419</v>
      </c>
      <c r="D54" s="87">
        <v>44</v>
      </c>
      <c r="E54" s="87">
        <v>467</v>
      </c>
      <c r="F54" s="88">
        <f t="shared" si="5"/>
        <v>90.496760259179268</v>
      </c>
      <c r="G54" s="87">
        <v>7186</v>
      </c>
      <c r="H54" s="89">
        <f t="shared" si="0"/>
        <v>6.4987475647091566</v>
      </c>
      <c r="I54" s="90">
        <v>430</v>
      </c>
      <c r="J54" s="90">
        <v>16</v>
      </c>
      <c r="K54" s="87">
        <v>448</v>
      </c>
      <c r="L54" s="88">
        <f t="shared" si="1"/>
        <v>96.412556053811656</v>
      </c>
      <c r="M54" s="87">
        <v>8837</v>
      </c>
      <c r="N54" s="89">
        <f t="shared" si="2"/>
        <v>5.0695937535362683</v>
      </c>
      <c r="O54" s="90"/>
      <c r="P54" s="90"/>
    </row>
    <row r="55" spans="1:16">
      <c r="A55" s="85">
        <v>20501</v>
      </c>
      <c r="B55" s="95" t="s">
        <v>89</v>
      </c>
      <c r="C55" s="87">
        <v>915</v>
      </c>
      <c r="D55" s="87">
        <v>103</v>
      </c>
      <c r="E55" s="87">
        <v>1029</v>
      </c>
      <c r="F55" s="88">
        <f t="shared" si="5"/>
        <v>89.882121807465623</v>
      </c>
      <c r="G55" s="87">
        <v>11473</v>
      </c>
      <c r="H55" s="89">
        <f t="shared" si="0"/>
        <v>8.9688834655277603</v>
      </c>
      <c r="I55" s="90">
        <v>1281</v>
      </c>
      <c r="J55" s="90">
        <v>69</v>
      </c>
      <c r="K55" s="87">
        <v>1377</v>
      </c>
      <c r="L55" s="88">
        <f t="shared" si="1"/>
        <v>94.888888888888886</v>
      </c>
      <c r="M55" s="87">
        <v>17830</v>
      </c>
      <c r="N55" s="89">
        <f t="shared" si="2"/>
        <v>7.722938867077958</v>
      </c>
      <c r="O55" s="90"/>
      <c r="P55" s="90"/>
    </row>
    <row r="56" spans="1:16">
      <c r="A56" s="85">
        <v>20502</v>
      </c>
      <c r="B56" s="95" t="s">
        <v>90</v>
      </c>
      <c r="C56" s="87">
        <v>751</v>
      </c>
      <c r="D56" s="87">
        <v>128</v>
      </c>
      <c r="E56" s="87">
        <v>891</v>
      </c>
      <c r="F56" s="88">
        <f t="shared" si="5"/>
        <v>85.437997724687136</v>
      </c>
      <c r="G56" s="87">
        <v>8410</v>
      </c>
      <c r="H56" s="89">
        <f t="shared" si="0"/>
        <v>10.594530321046374</v>
      </c>
      <c r="I56" s="90">
        <v>640</v>
      </c>
      <c r="J56" s="90">
        <v>36</v>
      </c>
      <c r="K56" s="87">
        <v>690</v>
      </c>
      <c r="L56" s="88">
        <f t="shared" si="1"/>
        <v>94.674556213017752</v>
      </c>
      <c r="M56" s="87">
        <v>9029</v>
      </c>
      <c r="N56" s="89">
        <f t="shared" si="2"/>
        <v>7.6420423081182856</v>
      </c>
      <c r="O56" s="90"/>
      <c r="P56" s="90"/>
    </row>
    <row r="57" spans="1:16">
      <c r="A57" s="85">
        <v>20503</v>
      </c>
      <c r="B57" s="95" t="s">
        <v>91</v>
      </c>
      <c r="C57" s="87">
        <v>546</v>
      </c>
      <c r="D57" s="87">
        <v>51</v>
      </c>
      <c r="E57" s="87">
        <v>606</v>
      </c>
      <c r="F57" s="88">
        <f t="shared" si="5"/>
        <v>91.457286432160799</v>
      </c>
      <c r="G57" s="87">
        <v>5495</v>
      </c>
      <c r="H57" s="89">
        <f t="shared" si="0"/>
        <v>11.028207461328481</v>
      </c>
      <c r="I57" s="90">
        <v>566</v>
      </c>
      <c r="J57" s="90">
        <v>14</v>
      </c>
      <c r="K57" s="87">
        <v>590</v>
      </c>
      <c r="L57" s="88">
        <f t="shared" si="1"/>
        <v>97.586206896551715</v>
      </c>
      <c r="M57" s="87">
        <v>6721</v>
      </c>
      <c r="N57" s="89">
        <f t="shared" si="2"/>
        <v>8.778455586966226</v>
      </c>
      <c r="O57" s="90"/>
      <c r="P57" s="90"/>
    </row>
    <row r="58" spans="1:16">
      <c r="A58" s="85">
        <v>20601</v>
      </c>
      <c r="B58" s="95" t="s">
        <v>93</v>
      </c>
      <c r="C58" s="87">
        <v>2002</v>
      </c>
      <c r="D58" s="87">
        <v>233</v>
      </c>
      <c r="E58" s="87">
        <v>2256</v>
      </c>
      <c r="F58" s="88">
        <f t="shared" si="5"/>
        <v>89.574944071588362</v>
      </c>
      <c r="G58" s="87">
        <v>23512</v>
      </c>
      <c r="H58" s="89">
        <f t="shared" si="0"/>
        <v>9.5951003742769636</v>
      </c>
      <c r="I58" s="90">
        <v>2230</v>
      </c>
      <c r="J58" s="90">
        <v>79</v>
      </c>
      <c r="K58" s="87">
        <v>2332</v>
      </c>
      <c r="L58" s="88">
        <f t="shared" si="1"/>
        <v>96.578605456907752</v>
      </c>
      <c r="M58" s="87">
        <v>30083</v>
      </c>
      <c r="N58" s="89">
        <f t="shared" si="2"/>
        <v>7.7518864474952629</v>
      </c>
      <c r="O58" s="90"/>
      <c r="P58" s="90"/>
    </row>
    <row r="59" spans="1:16">
      <c r="A59" s="85">
        <v>20602</v>
      </c>
      <c r="B59" s="95" t="s">
        <v>94</v>
      </c>
      <c r="C59" s="87">
        <v>1343</v>
      </c>
      <c r="D59" s="87">
        <v>266</v>
      </c>
      <c r="E59" s="87">
        <v>1623</v>
      </c>
      <c r="F59" s="88">
        <f t="shared" si="5"/>
        <v>83.467992541951517</v>
      </c>
      <c r="G59" s="87">
        <v>14788</v>
      </c>
      <c r="H59" s="89">
        <f t="shared" si="0"/>
        <v>10.975114958074114</v>
      </c>
      <c r="I59" s="90">
        <v>1279</v>
      </c>
      <c r="J59" s="90">
        <v>62</v>
      </c>
      <c r="K59" s="87">
        <v>1360</v>
      </c>
      <c r="L59" s="88">
        <f t="shared" si="1"/>
        <v>95.376584638329604</v>
      </c>
      <c r="M59" s="87">
        <v>16386</v>
      </c>
      <c r="N59" s="89">
        <f t="shared" si="2"/>
        <v>8.2997680947150005</v>
      </c>
      <c r="O59" s="90"/>
      <c r="P59" s="90"/>
    </row>
    <row r="60" spans="1:16">
      <c r="A60" s="85">
        <v>20603</v>
      </c>
      <c r="B60" s="95" t="s">
        <v>95</v>
      </c>
      <c r="C60" s="87">
        <v>746</v>
      </c>
      <c r="D60" s="87">
        <v>134</v>
      </c>
      <c r="E60" s="87">
        <v>889</v>
      </c>
      <c r="F60" s="88">
        <f t="shared" si="5"/>
        <v>84.77272727272728</v>
      </c>
      <c r="G60" s="87">
        <v>8182</v>
      </c>
      <c r="H60" s="89">
        <f t="shared" si="0"/>
        <v>10.86531410413102</v>
      </c>
      <c r="I60" s="90">
        <v>759</v>
      </c>
      <c r="J60" s="90">
        <v>36</v>
      </c>
      <c r="K60" s="87">
        <v>803</v>
      </c>
      <c r="L60" s="88">
        <f t="shared" si="1"/>
        <v>95.471698113207552</v>
      </c>
      <c r="M60" s="87">
        <v>9761</v>
      </c>
      <c r="N60" s="89">
        <f t="shared" si="2"/>
        <v>8.2266161253969869</v>
      </c>
      <c r="O60" s="90"/>
      <c r="P60" s="90"/>
    </row>
    <row r="61" spans="1:16">
      <c r="A61" s="85">
        <v>20604</v>
      </c>
      <c r="B61" s="95" t="s">
        <v>96</v>
      </c>
      <c r="C61" s="87">
        <v>239</v>
      </c>
      <c r="D61" s="87">
        <v>26</v>
      </c>
      <c r="E61" s="87">
        <v>268</v>
      </c>
      <c r="F61" s="88">
        <f t="shared" si="5"/>
        <v>90.188679245283026</v>
      </c>
      <c r="G61" s="87">
        <v>2684</v>
      </c>
      <c r="H61" s="89">
        <f t="shared" si="0"/>
        <v>9.9850968703427725</v>
      </c>
      <c r="I61" s="90">
        <v>364</v>
      </c>
      <c r="J61" s="90">
        <v>13</v>
      </c>
      <c r="K61" s="87">
        <v>380</v>
      </c>
      <c r="L61" s="88">
        <f t="shared" si="1"/>
        <v>96.551724137931032</v>
      </c>
      <c r="M61" s="87">
        <v>4224</v>
      </c>
      <c r="N61" s="89">
        <f t="shared" si="2"/>
        <v>8.9962121212121211</v>
      </c>
      <c r="O61" s="90"/>
      <c r="P61" s="90"/>
    </row>
    <row r="62" spans="1:16">
      <c r="A62" s="85">
        <v>20605</v>
      </c>
      <c r="B62" s="95" t="s">
        <v>97</v>
      </c>
      <c r="C62" s="87">
        <v>221</v>
      </c>
      <c r="D62" s="87">
        <v>13</v>
      </c>
      <c r="E62" s="87">
        <v>235</v>
      </c>
      <c r="F62" s="88">
        <f t="shared" si="5"/>
        <v>94.444444444444443</v>
      </c>
      <c r="G62" s="87">
        <v>3731</v>
      </c>
      <c r="H62" s="89">
        <f t="shared" si="0"/>
        <v>6.2985794693111758</v>
      </c>
      <c r="I62" s="90">
        <v>207</v>
      </c>
      <c r="J62" s="90">
        <v>4</v>
      </c>
      <c r="K62" s="87">
        <v>216</v>
      </c>
      <c r="L62" s="88">
        <f t="shared" si="1"/>
        <v>98.104265402843609</v>
      </c>
      <c r="M62" s="87">
        <v>3529</v>
      </c>
      <c r="N62" s="89">
        <f t="shared" si="2"/>
        <v>6.1207140833097196</v>
      </c>
      <c r="O62" s="90"/>
      <c r="P62" s="90"/>
    </row>
    <row r="63" spans="1:16">
      <c r="A63" s="85">
        <v>20606</v>
      </c>
      <c r="B63" s="95" t="s">
        <v>98</v>
      </c>
      <c r="C63" s="87">
        <v>937</v>
      </c>
      <c r="D63" s="87">
        <v>158</v>
      </c>
      <c r="E63" s="87">
        <v>1107</v>
      </c>
      <c r="F63" s="88">
        <f t="shared" si="5"/>
        <v>85.570776255707756</v>
      </c>
      <c r="G63" s="87">
        <v>9985</v>
      </c>
      <c r="H63" s="89">
        <f t="shared" si="0"/>
        <v>11.086629944917375</v>
      </c>
      <c r="I63" s="90">
        <v>606</v>
      </c>
      <c r="J63" s="90">
        <v>58</v>
      </c>
      <c r="K63" s="87">
        <v>672</v>
      </c>
      <c r="L63" s="88">
        <f t="shared" si="1"/>
        <v>91.265060240963862</v>
      </c>
      <c r="M63" s="87">
        <v>7716</v>
      </c>
      <c r="N63" s="89">
        <f t="shared" si="2"/>
        <v>8.7091757387247277</v>
      </c>
      <c r="O63" s="90"/>
      <c r="P63" s="90"/>
    </row>
    <row r="64" spans="1:16">
      <c r="A64" s="85">
        <v>20607</v>
      </c>
      <c r="B64" s="95" t="s">
        <v>99</v>
      </c>
      <c r="C64" s="87">
        <v>1424</v>
      </c>
      <c r="D64" s="87">
        <v>370</v>
      </c>
      <c r="E64" s="87">
        <v>1803</v>
      </c>
      <c r="F64" s="88">
        <f t="shared" si="5"/>
        <v>79.375696767001116</v>
      </c>
      <c r="G64" s="87">
        <v>13891</v>
      </c>
      <c r="H64" s="89">
        <f t="shared" si="0"/>
        <v>12.979627096681304</v>
      </c>
      <c r="I64" s="90">
        <v>1800</v>
      </c>
      <c r="J64" s="90">
        <v>172</v>
      </c>
      <c r="K64" s="87">
        <v>1987</v>
      </c>
      <c r="L64" s="88">
        <f t="shared" si="1"/>
        <v>91.277890466531446</v>
      </c>
      <c r="M64" s="87">
        <v>21843</v>
      </c>
      <c r="N64" s="89">
        <f t="shared" si="2"/>
        <v>9.0967357963649693</v>
      </c>
      <c r="O64" s="90"/>
      <c r="P64" s="90"/>
    </row>
    <row r="65" spans="1:16">
      <c r="A65" s="85">
        <v>20608</v>
      </c>
      <c r="B65" s="95" t="s">
        <v>100</v>
      </c>
      <c r="C65" s="87">
        <v>924</v>
      </c>
      <c r="D65" s="87">
        <v>115</v>
      </c>
      <c r="E65" s="87">
        <v>1051</v>
      </c>
      <c r="F65" s="88">
        <f t="shared" si="5"/>
        <v>88.931665062560157</v>
      </c>
      <c r="G65" s="87">
        <v>9349</v>
      </c>
      <c r="H65" s="89">
        <f t="shared" si="0"/>
        <v>11.241844047491711</v>
      </c>
      <c r="I65" s="90">
        <v>1094</v>
      </c>
      <c r="J65" s="90">
        <v>76</v>
      </c>
      <c r="K65" s="87">
        <v>1181</v>
      </c>
      <c r="L65" s="88">
        <f t="shared" si="1"/>
        <v>93.504273504273499</v>
      </c>
      <c r="M65" s="87">
        <v>13379</v>
      </c>
      <c r="N65" s="89">
        <f t="shared" si="2"/>
        <v>8.8272666118543999</v>
      </c>
      <c r="O65" s="90"/>
      <c r="P65" s="90"/>
    </row>
    <row r="66" spans="1:16">
      <c r="A66" s="85">
        <v>20701</v>
      </c>
      <c r="B66" s="95" t="s">
        <v>102</v>
      </c>
      <c r="C66" s="87">
        <v>2137</v>
      </c>
      <c r="D66" s="87">
        <v>335</v>
      </c>
      <c r="E66" s="87">
        <v>2495</v>
      </c>
      <c r="F66" s="88">
        <f t="shared" si="5"/>
        <v>86.448220064724921</v>
      </c>
      <c r="G66" s="87">
        <v>20308</v>
      </c>
      <c r="H66" s="89">
        <f t="shared" si="0"/>
        <v>12.285798700019697</v>
      </c>
      <c r="I66" s="90">
        <v>1754</v>
      </c>
      <c r="J66" s="90">
        <v>148</v>
      </c>
      <c r="K66" s="87">
        <v>1931</v>
      </c>
      <c r="L66" s="88">
        <f t="shared" si="1"/>
        <v>92.218717139852785</v>
      </c>
      <c r="M66" s="87">
        <v>19156</v>
      </c>
      <c r="N66" s="89">
        <f t="shared" si="2"/>
        <v>10.080392566297766</v>
      </c>
      <c r="O66" s="90"/>
      <c r="P66" s="90"/>
    </row>
    <row r="67" spans="1:16">
      <c r="A67" s="85">
        <v>20702</v>
      </c>
      <c r="B67" s="95" t="s">
        <v>103</v>
      </c>
      <c r="C67" s="87">
        <v>703</v>
      </c>
      <c r="D67" s="87">
        <v>76</v>
      </c>
      <c r="E67" s="87">
        <v>788</v>
      </c>
      <c r="F67" s="88">
        <f t="shared" si="5"/>
        <v>90.243902439024396</v>
      </c>
      <c r="G67" s="87">
        <v>6780</v>
      </c>
      <c r="H67" s="89">
        <f t="shared" si="0"/>
        <v>11.622418879056047</v>
      </c>
      <c r="I67" s="90">
        <v>683</v>
      </c>
      <c r="J67" s="90">
        <v>27</v>
      </c>
      <c r="K67" s="87">
        <v>722</v>
      </c>
      <c r="L67" s="88">
        <f t="shared" si="1"/>
        <v>96.197183098591552</v>
      </c>
      <c r="M67" s="87">
        <v>9060</v>
      </c>
      <c r="N67" s="89">
        <f t="shared" si="2"/>
        <v>7.9690949227373062</v>
      </c>
      <c r="O67" s="90"/>
      <c r="P67" s="90"/>
    </row>
    <row r="68" spans="1:16">
      <c r="A68" s="85">
        <v>20801</v>
      </c>
      <c r="B68" s="95" t="s">
        <v>105</v>
      </c>
      <c r="C68" s="87">
        <v>7669</v>
      </c>
      <c r="D68" s="87">
        <v>412</v>
      </c>
      <c r="E68" s="87">
        <v>8130</v>
      </c>
      <c r="F68" s="88">
        <f t="shared" si="5"/>
        <v>94.901621086499205</v>
      </c>
      <c r="G68" s="87">
        <v>80724</v>
      </c>
      <c r="H68" s="89">
        <f t="shared" si="0"/>
        <v>10.071354244090976</v>
      </c>
      <c r="I68" s="90">
        <v>8063</v>
      </c>
      <c r="J68" s="90">
        <v>130</v>
      </c>
      <c r="K68" s="87">
        <v>8249</v>
      </c>
      <c r="L68" s="88">
        <f t="shared" si="1"/>
        <v>98.413279628951543</v>
      </c>
      <c r="M68" s="87">
        <v>113554</v>
      </c>
      <c r="N68" s="89">
        <f t="shared" si="2"/>
        <v>7.264385226412104</v>
      </c>
      <c r="O68" s="90"/>
      <c r="P68" s="90"/>
    </row>
    <row r="69" spans="1:16">
      <c r="A69" s="85">
        <v>20802</v>
      </c>
      <c r="B69" s="95" t="s">
        <v>106</v>
      </c>
      <c r="C69" s="87">
        <v>417</v>
      </c>
      <c r="D69" s="87">
        <v>29</v>
      </c>
      <c r="E69" s="87">
        <v>450</v>
      </c>
      <c r="F69" s="88">
        <f t="shared" si="5"/>
        <v>93.497757847533634</v>
      </c>
      <c r="G69" s="87">
        <v>7278</v>
      </c>
      <c r="H69" s="89">
        <f t="shared" si="0"/>
        <v>6.1830173124484755</v>
      </c>
      <c r="I69" s="90">
        <v>470</v>
      </c>
      <c r="J69" s="90">
        <v>12</v>
      </c>
      <c r="K69" s="87">
        <v>482</v>
      </c>
      <c r="L69" s="88">
        <f t="shared" si="1"/>
        <v>97.510373443983397</v>
      </c>
      <c r="M69" s="87">
        <v>8592</v>
      </c>
      <c r="N69" s="89">
        <f t="shared" si="2"/>
        <v>5.6098696461824957</v>
      </c>
      <c r="O69" s="90"/>
      <c r="P69" s="90"/>
    </row>
    <row r="70" spans="1:16">
      <c r="A70" s="85">
        <v>20803</v>
      </c>
      <c r="B70" s="95" t="s">
        <v>107</v>
      </c>
      <c r="C70" s="87">
        <v>758</v>
      </c>
      <c r="D70" s="87">
        <v>49</v>
      </c>
      <c r="E70" s="87">
        <v>812</v>
      </c>
      <c r="F70" s="88">
        <f t="shared" si="5"/>
        <v>93.928128872366784</v>
      </c>
      <c r="G70" s="87">
        <v>12189</v>
      </c>
      <c r="H70" s="89">
        <f t="shared" si="0"/>
        <v>6.6617441955861851</v>
      </c>
      <c r="I70" s="90">
        <v>930</v>
      </c>
      <c r="J70" s="90">
        <v>21</v>
      </c>
      <c r="K70" s="87">
        <v>960</v>
      </c>
      <c r="L70" s="88">
        <f t="shared" si="1"/>
        <v>97.791798107255516</v>
      </c>
      <c r="M70" s="87">
        <v>13648</v>
      </c>
      <c r="N70" s="89">
        <f t="shared" si="2"/>
        <v>7.0339976553341153</v>
      </c>
      <c r="O70" s="90"/>
      <c r="P70" s="90"/>
    </row>
    <row r="71" spans="1:16">
      <c r="A71" s="85">
        <v>20804</v>
      </c>
      <c r="B71" s="95" t="s">
        <v>108</v>
      </c>
      <c r="C71" s="87">
        <v>589</v>
      </c>
      <c r="D71" s="87">
        <v>59</v>
      </c>
      <c r="E71" s="87">
        <v>652</v>
      </c>
      <c r="F71" s="88">
        <f t="shared" si="5"/>
        <v>90.895061728395063</v>
      </c>
      <c r="G71" s="87">
        <v>6987</v>
      </c>
      <c r="H71" s="89">
        <f t="shared" si="0"/>
        <v>9.3316158580220403</v>
      </c>
      <c r="I71" s="90">
        <v>497</v>
      </c>
      <c r="J71" s="90">
        <v>19</v>
      </c>
      <c r="K71" s="87">
        <v>519</v>
      </c>
      <c r="L71" s="88">
        <f t="shared" si="1"/>
        <v>96.31782945736434</v>
      </c>
      <c r="M71" s="87">
        <v>7897</v>
      </c>
      <c r="N71" s="89">
        <f t="shared" si="2"/>
        <v>6.5721159934152213</v>
      </c>
      <c r="O71" s="90"/>
      <c r="P71" s="90"/>
    </row>
    <row r="72" spans="1:16">
      <c r="A72" s="85">
        <v>20805</v>
      </c>
      <c r="B72" s="95" t="s">
        <v>109</v>
      </c>
      <c r="C72" s="87">
        <v>424</v>
      </c>
      <c r="D72" s="87">
        <v>48</v>
      </c>
      <c r="E72" s="87">
        <v>491</v>
      </c>
      <c r="F72" s="88">
        <f t="shared" si="5"/>
        <v>89.830508474576277</v>
      </c>
      <c r="G72" s="87">
        <v>6145</v>
      </c>
      <c r="H72" s="89">
        <f t="shared" si="0"/>
        <v>7.9902359641985363</v>
      </c>
      <c r="I72" s="90">
        <v>447</v>
      </c>
      <c r="J72" s="90">
        <v>11</v>
      </c>
      <c r="K72" s="87">
        <v>461</v>
      </c>
      <c r="L72" s="88">
        <f t="shared" si="1"/>
        <v>97.598253275109172</v>
      </c>
      <c r="M72" s="87">
        <v>7936</v>
      </c>
      <c r="N72" s="89">
        <f t="shared" si="2"/>
        <v>5.808971774193548</v>
      </c>
      <c r="O72" s="90"/>
      <c r="P72" s="90"/>
    </row>
    <row r="73" spans="1:16">
      <c r="A73" s="85">
        <v>20806</v>
      </c>
      <c r="B73" s="95" t="s">
        <v>110</v>
      </c>
      <c r="C73" s="87">
        <v>1086</v>
      </c>
      <c r="D73" s="87">
        <v>58</v>
      </c>
      <c r="E73" s="87">
        <v>1160</v>
      </c>
      <c r="F73" s="88">
        <f t="shared" si="5"/>
        <v>94.930069930069934</v>
      </c>
      <c r="G73" s="87">
        <v>15039</v>
      </c>
      <c r="H73" s="89">
        <f t="shared" si="0"/>
        <v>7.7132788084314114</v>
      </c>
      <c r="I73" s="90">
        <v>1116</v>
      </c>
      <c r="J73" s="90">
        <v>20</v>
      </c>
      <c r="K73" s="87">
        <v>1144</v>
      </c>
      <c r="L73" s="88">
        <f t="shared" si="1"/>
        <v>98.239436619718319</v>
      </c>
      <c r="M73" s="87">
        <v>17016</v>
      </c>
      <c r="N73" s="89">
        <f t="shared" si="2"/>
        <v>6.7230841560883885</v>
      </c>
      <c r="O73" s="90"/>
      <c r="P73" s="90"/>
    </row>
    <row r="74" spans="1:16">
      <c r="A74" s="85">
        <v>20807</v>
      </c>
      <c r="B74" s="95" t="s">
        <v>111</v>
      </c>
      <c r="C74" s="87">
        <v>340</v>
      </c>
      <c r="D74" s="87">
        <v>25</v>
      </c>
      <c r="E74" s="87">
        <v>366</v>
      </c>
      <c r="F74" s="88">
        <f t="shared" si="5"/>
        <v>93.150684931506845</v>
      </c>
      <c r="G74" s="87">
        <v>6603</v>
      </c>
      <c r="H74" s="89">
        <f t="shared" si="0"/>
        <v>5.542935029532031</v>
      </c>
      <c r="I74" s="90">
        <v>454</v>
      </c>
      <c r="J74" s="90">
        <v>5</v>
      </c>
      <c r="K74" s="87">
        <v>462</v>
      </c>
      <c r="L74" s="88">
        <f t="shared" si="1"/>
        <v>98.910675381263616</v>
      </c>
      <c r="M74" s="87">
        <v>7540</v>
      </c>
      <c r="N74" s="89">
        <f t="shared" si="2"/>
        <v>6.1273209549071614</v>
      </c>
      <c r="O74" s="90"/>
      <c r="P74" s="90"/>
    </row>
    <row r="75" spans="1:16">
      <c r="A75" s="85">
        <v>20901</v>
      </c>
      <c r="B75" s="95" t="s">
        <v>113</v>
      </c>
      <c r="C75" s="87">
        <v>817</v>
      </c>
      <c r="D75" s="87">
        <v>64</v>
      </c>
      <c r="E75" s="87">
        <v>885</v>
      </c>
      <c r="F75" s="88">
        <f t="shared" si="5"/>
        <v>92.735527809307598</v>
      </c>
      <c r="G75" s="87">
        <v>11139</v>
      </c>
      <c r="H75" s="89">
        <f t="shared" si="0"/>
        <v>7.9450579046593059</v>
      </c>
      <c r="I75" s="90">
        <v>646</v>
      </c>
      <c r="J75" s="90">
        <v>18</v>
      </c>
      <c r="K75" s="87">
        <v>665</v>
      </c>
      <c r="L75" s="88">
        <f t="shared" si="1"/>
        <v>97.289156626506028</v>
      </c>
      <c r="M75" s="87">
        <v>10703</v>
      </c>
      <c r="N75" s="89">
        <f t="shared" si="2"/>
        <v>6.2132112491824723</v>
      </c>
      <c r="O75" s="90"/>
      <c r="P75" s="90"/>
    </row>
    <row r="76" spans="1:16">
      <c r="A76" s="85">
        <v>20902</v>
      </c>
      <c r="B76" s="95" t="s">
        <v>114</v>
      </c>
      <c r="C76" s="87">
        <v>913</v>
      </c>
      <c r="D76" s="87">
        <v>92</v>
      </c>
      <c r="E76" s="87">
        <v>1013</v>
      </c>
      <c r="F76" s="88">
        <f t="shared" si="5"/>
        <v>90.845771144278615</v>
      </c>
      <c r="G76" s="87">
        <v>12484</v>
      </c>
      <c r="H76" s="89">
        <f t="shared" si="0"/>
        <v>8.114386414610701</v>
      </c>
      <c r="I76" s="90">
        <v>1043</v>
      </c>
      <c r="J76" s="90">
        <v>35</v>
      </c>
      <c r="K76" s="87">
        <v>1087</v>
      </c>
      <c r="L76" s="88">
        <f t="shared" si="1"/>
        <v>96.753246753246756</v>
      </c>
      <c r="M76" s="87">
        <v>16497</v>
      </c>
      <c r="N76" s="89">
        <f t="shared" si="2"/>
        <v>6.5890768018427597</v>
      </c>
      <c r="O76" s="90"/>
      <c r="P76" s="90"/>
    </row>
    <row r="77" spans="1:16">
      <c r="A77" s="85">
        <v>20903</v>
      </c>
      <c r="B77" s="95" t="s">
        <v>115</v>
      </c>
      <c r="C77" s="87">
        <v>624</v>
      </c>
      <c r="D77" s="87">
        <v>62</v>
      </c>
      <c r="E77" s="87">
        <v>692</v>
      </c>
      <c r="F77" s="88">
        <f t="shared" si="5"/>
        <v>90.962099125364432</v>
      </c>
      <c r="G77" s="87">
        <v>7315</v>
      </c>
      <c r="H77" s="89">
        <f t="shared" si="0"/>
        <v>9.4600136705399862</v>
      </c>
      <c r="I77" s="90">
        <v>889</v>
      </c>
      <c r="J77" s="90">
        <v>36</v>
      </c>
      <c r="K77" s="87">
        <v>935</v>
      </c>
      <c r="L77" s="88">
        <f t="shared" si="1"/>
        <v>96.108108108108098</v>
      </c>
      <c r="M77" s="87">
        <v>12296</v>
      </c>
      <c r="N77" s="89">
        <f t="shared" si="2"/>
        <v>7.6040988939492511</v>
      </c>
      <c r="O77" s="90"/>
      <c r="P77" s="90"/>
    </row>
    <row r="78" spans="1:16">
      <c r="A78" s="85">
        <v>20904</v>
      </c>
      <c r="B78" s="95" t="s">
        <v>116</v>
      </c>
      <c r="C78" s="87">
        <v>446</v>
      </c>
      <c r="D78" s="87">
        <v>87</v>
      </c>
      <c r="E78" s="87">
        <v>537</v>
      </c>
      <c r="F78" s="88">
        <f t="shared" si="5"/>
        <v>83.677298311444645</v>
      </c>
      <c r="G78" s="87">
        <v>5180</v>
      </c>
      <c r="H78" s="89">
        <f t="shared" si="0"/>
        <v>10.366795366795367</v>
      </c>
      <c r="I78" s="90">
        <v>484</v>
      </c>
      <c r="J78" s="90">
        <v>45</v>
      </c>
      <c r="K78" s="87">
        <v>535</v>
      </c>
      <c r="L78" s="88">
        <f t="shared" si="1"/>
        <v>91.493383742911149</v>
      </c>
      <c r="M78" s="87">
        <v>5297</v>
      </c>
      <c r="N78" s="89">
        <f t="shared" si="2"/>
        <v>10.100056635831603</v>
      </c>
      <c r="O78" s="90"/>
      <c r="P78" s="90"/>
    </row>
    <row r="79" spans="1:16">
      <c r="A79" s="85">
        <v>20905</v>
      </c>
      <c r="B79" s="95" t="s">
        <v>117</v>
      </c>
      <c r="C79" s="87">
        <v>993</v>
      </c>
      <c r="D79" s="87">
        <v>173</v>
      </c>
      <c r="E79" s="87">
        <v>1174</v>
      </c>
      <c r="F79" s="88">
        <f t="shared" si="5"/>
        <v>85.162950257289879</v>
      </c>
      <c r="G79" s="87">
        <v>11355</v>
      </c>
      <c r="H79" s="89">
        <f t="shared" si="0"/>
        <v>10.339057683839718</v>
      </c>
      <c r="I79" s="90">
        <v>1064</v>
      </c>
      <c r="J79" s="90">
        <v>54</v>
      </c>
      <c r="K79" s="87">
        <v>1133</v>
      </c>
      <c r="L79" s="88">
        <f t="shared" si="1"/>
        <v>95.169946332737027</v>
      </c>
      <c r="M79" s="87">
        <v>13598</v>
      </c>
      <c r="N79" s="89">
        <f t="shared" si="2"/>
        <v>8.3321076628916018</v>
      </c>
      <c r="O79" s="90"/>
      <c r="P79" s="90"/>
    </row>
    <row r="80" spans="1:16">
      <c r="A80" s="85">
        <v>21001</v>
      </c>
      <c r="B80" s="95" t="s">
        <v>118</v>
      </c>
      <c r="C80" s="87">
        <v>1218</v>
      </c>
      <c r="D80" s="87">
        <v>317</v>
      </c>
      <c r="E80" s="87">
        <v>1553</v>
      </c>
      <c r="F80" s="88">
        <f t="shared" si="5"/>
        <v>79.348534201954408</v>
      </c>
      <c r="G80" s="87">
        <v>14717</v>
      </c>
      <c r="H80" s="89">
        <f t="shared" si="0"/>
        <v>10.552422368689271</v>
      </c>
      <c r="I80" s="90">
        <v>1534</v>
      </c>
      <c r="J80" s="90">
        <v>68</v>
      </c>
      <c r="K80" s="87">
        <v>1606</v>
      </c>
      <c r="L80" s="88">
        <f t="shared" si="1"/>
        <v>95.755305867665413</v>
      </c>
      <c r="M80" s="87">
        <v>18679</v>
      </c>
      <c r="N80" s="89">
        <f t="shared" si="2"/>
        <v>8.5978906793725578</v>
      </c>
      <c r="O80" s="90"/>
      <c r="P80" s="90"/>
    </row>
    <row r="81" spans="1:16">
      <c r="A81" s="85">
        <v>21002</v>
      </c>
      <c r="B81" s="95" t="s">
        <v>119</v>
      </c>
      <c r="C81" s="87">
        <v>673</v>
      </c>
      <c r="D81" s="87">
        <v>80</v>
      </c>
      <c r="E81" s="87">
        <v>758</v>
      </c>
      <c r="F81" s="88">
        <f t="shared" si="5"/>
        <v>89.375830013280208</v>
      </c>
      <c r="G81" s="87">
        <v>8266</v>
      </c>
      <c r="H81" s="89">
        <f t="shared" si="0"/>
        <v>9.1700943624485838</v>
      </c>
      <c r="I81" s="90">
        <v>847</v>
      </c>
      <c r="J81" s="90">
        <v>38</v>
      </c>
      <c r="K81" s="87">
        <v>891</v>
      </c>
      <c r="L81" s="88">
        <f t="shared" si="1"/>
        <v>95.706214689265536</v>
      </c>
      <c r="M81" s="87">
        <v>10887</v>
      </c>
      <c r="N81" s="89">
        <f t="shared" si="2"/>
        <v>8.1840727473133086</v>
      </c>
      <c r="O81" s="90"/>
      <c r="P81" s="90"/>
    </row>
    <row r="82" spans="1:16">
      <c r="A82" s="85">
        <v>21003</v>
      </c>
      <c r="B82" s="95" t="s">
        <v>120</v>
      </c>
      <c r="C82" s="87">
        <v>966</v>
      </c>
      <c r="D82" s="87">
        <v>177</v>
      </c>
      <c r="E82" s="87">
        <v>1149</v>
      </c>
      <c r="F82" s="88">
        <f t="shared" si="5"/>
        <v>84.514435695538054</v>
      </c>
      <c r="G82" s="87">
        <v>10458</v>
      </c>
      <c r="H82" s="89">
        <f t="shared" si="0"/>
        <v>10.986804360298336</v>
      </c>
      <c r="I82" s="90">
        <v>1373</v>
      </c>
      <c r="J82" s="90">
        <v>69</v>
      </c>
      <c r="K82" s="87">
        <v>1451</v>
      </c>
      <c r="L82" s="88">
        <f t="shared" si="1"/>
        <v>95.214979195561725</v>
      </c>
      <c r="M82" s="87">
        <v>15565</v>
      </c>
      <c r="N82" s="89">
        <f t="shared" si="2"/>
        <v>9.3221972373915847</v>
      </c>
      <c r="O82" s="90"/>
      <c r="P82" s="90"/>
    </row>
    <row r="83" spans="1:16">
      <c r="A83" s="85">
        <v>21004</v>
      </c>
      <c r="B83" s="95" t="s">
        <v>121</v>
      </c>
      <c r="C83" s="87">
        <v>1955</v>
      </c>
      <c r="D83" s="87">
        <v>223</v>
      </c>
      <c r="E83" s="87">
        <v>2191</v>
      </c>
      <c r="F83" s="88">
        <f t="shared" si="5"/>
        <v>89.761248852157934</v>
      </c>
      <c r="G83" s="87">
        <v>19620</v>
      </c>
      <c r="H83" s="89">
        <f t="shared" si="0"/>
        <v>11.167176350662588</v>
      </c>
      <c r="I83" s="90">
        <v>1926</v>
      </c>
      <c r="J83" s="90">
        <v>22</v>
      </c>
      <c r="K83" s="87">
        <v>1971</v>
      </c>
      <c r="L83" s="88">
        <f t="shared" si="1"/>
        <v>98.870636550308006</v>
      </c>
      <c r="M83" s="87">
        <v>23505</v>
      </c>
      <c r="N83" s="89">
        <f t="shared" si="2"/>
        <v>8.3854499042756867</v>
      </c>
      <c r="O83" s="90"/>
      <c r="P83" s="90"/>
    </row>
    <row r="84" spans="1:16">
      <c r="A84" s="85">
        <v>21005</v>
      </c>
      <c r="B84" s="95" t="s">
        <v>122</v>
      </c>
      <c r="C84" s="87">
        <v>743</v>
      </c>
      <c r="D84" s="87">
        <v>133</v>
      </c>
      <c r="E84" s="87">
        <v>885</v>
      </c>
      <c r="F84" s="88">
        <f t="shared" si="5"/>
        <v>84.817351598173516</v>
      </c>
      <c r="G84" s="87">
        <v>7913</v>
      </c>
      <c r="H84" s="89">
        <f t="shared" si="0"/>
        <v>11.184127385315303</v>
      </c>
      <c r="I84" s="90">
        <v>709</v>
      </c>
      <c r="J84" s="90">
        <v>20</v>
      </c>
      <c r="K84" s="87">
        <v>737</v>
      </c>
      <c r="L84" s="88">
        <f t="shared" si="1"/>
        <v>97.256515775034288</v>
      </c>
      <c r="M84" s="87">
        <v>9552</v>
      </c>
      <c r="N84" s="89">
        <f t="shared" si="2"/>
        <v>7.715661641541038</v>
      </c>
      <c r="O84" s="90"/>
      <c r="P84" s="90"/>
    </row>
    <row r="85" spans="1:16">
      <c r="A85" s="85">
        <v>21006</v>
      </c>
      <c r="B85" s="95" t="s">
        <v>123</v>
      </c>
      <c r="C85" s="87">
        <v>378</v>
      </c>
      <c r="D85" s="87">
        <v>29</v>
      </c>
      <c r="E85" s="87">
        <v>408</v>
      </c>
      <c r="F85" s="88">
        <f t="shared" si="5"/>
        <v>92.874692874692883</v>
      </c>
      <c r="G85" s="87">
        <v>5488</v>
      </c>
      <c r="H85" s="89">
        <f t="shared" si="0"/>
        <v>7.4344023323615156</v>
      </c>
      <c r="I85" s="90">
        <v>805</v>
      </c>
      <c r="J85" s="90">
        <v>48</v>
      </c>
      <c r="K85" s="87">
        <v>858</v>
      </c>
      <c r="L85" s="88">
        <f t="shared" si="1"/>
        <v>94.372801875732705</v>
      </c>
      <c r="M85" s="87">
        <v>7877</v>
      </c>
      <c r="N85" s="89">
        <f t="shared" si="2"/>
        <v>10.892471753205534</v>
      </c>
      <c r="O85" s="90"/>
      <c r="P85" s="90"/>
    </row>
    <row r="86" spans="1:16">
      <c r="A86" s="85">
        <v>21101</v>
      </c>
      <c r="B86" s="95" t="s">
        <v>125</v>
      </c>
      <c r="C86" s="87">
        <v>1623</v>
      </c>
      <c r="D86" s="87">
        <v>144</v>
      </c>
      <c r="E86" s="87">
        <v>1792</v>
      </c>
      <c r="F86" s="88">
        <f t="shared" si="5"/>
        <v>91.850594227504246</v>
      </c>
      <c r="G86" s="87">
        <v>17823</v>
      </c>
      <c r="H86" s="89">
        <f t="shared" si="0"/>
        <v>10.054424058800427</v>
      </c>
      <c r="I86" s="90">
        <v>1261</v>
      </c>
      <c r="J86" s="90">
        <v>31</v>
      </c>
      <c r="K86" s="87">
        <v>1310</v>
      </c>
      <c r="L86" s="88">
        <f t="shared" si="1"/>
        <v>97.600619195046434</v>
      </c>
      <c r="M86" s="87">
        <v>18303</v>
      </c>
      <c r="N86" s="89">
        <f t="shared" si="2"/>
        <v>7.1572966180407578</v>
      </c>
      <c r="O86" s="90"/>
      <c r="P86" s="90"/>
    </row>
    <row r="87" spans="1:16">
      <c r="A87" s="85">
        <v>21102</v>
      </c>
      <c r="B87" s="95" t="s">
        <v>126</v>
      </c>
      <c r="C87" s="87">
        <v>1530</v>
      </c>
      <c r="D87" s="87">
        <v>179</v>
      </c>
      <c r="E87" s="87">
        <v>1723</v>
      </c>
      <c r="F87" s="88">
        <f t="shared" si="5"/>
        <v>89.526038619075493</v>
      </c>
      <c r="G87" s="87">
        <v>17276</v>
      </c>
      <c r="H87" s="89">
        <f t="shared" si="0"/>
        <v>9.9733734660801119</v>
      </c>
      <c r="I87" s="90">
        <v>1565</v>
      </c>
      <c r="J87" s="90">
        <v>47</v>
      </c>
      <c r="K87" s="87">
        <v>1620</v>
      </c>
      <c r="L87" s="88">
        <f t="shared" si="1"/>
        <v>97.08436724565756</v>
      </c>
      <c r="M87" s="87">
        <v>23279</v>
      </c>
      <c r="N87" s="89">
        <f t="shared" si="2"/>
        <v>6.9590618153700756</v>
      </c>
      <c r="O87" s="90"/>
      <c r="P87" s="90"/>
    </row>
    <row r="88" spans="1:16">
      <c r="A88" s="85">
        <v>21103</v>
      </c>
      <c r="B88" s="95" t="s">
        <v>127</v>
      </c>
      <c r="C88" s="87">
        <v>555</v>
      </c>
      <c r="D88" s="87">
        <v>44</v>
      </c>
      <c r="E88" s="87">
        <v>601</v>
      </c>
      <c r="F88" s="88">
        <f t="shared" si="5"/>
        <v>92.654424040066772</v>
      </c>
      <c r="G88" s="87">
        <v>6420</v>
      </c>
      <c r="H88" s="89">
        <f t="shared" si="0"/>
        <v>9.361370716510903</v>
      </c>
      <c r="I88" s="90">
        <v>478</v>
      </c>
      <c r="J88" s="90">
        <v>16</v>
      </c>
      <c r="K88" s="87">
        <v>497</v>
      </c>
      <c r="L88" s="88">
        <f t="shared" si="1"/>
        <v>96.761133603238875</v>
      </c>
      <c r="M88" s="87">
        <v>7615</v>
      </c>
      <c r="N88" s="89">
        <f t="shared" si="2"/>
        <v>6.5265922521339466</v>
      </c>
      <c r="O88" s="90"/>
      <c r="P88" s="90"/>
    </row>
    <row r="89" spans="1:16">
      <c r="A89" s="85">
        <v>21104</v>
      </c>
      <c r="B89" s="95" t="s">
        <v>128</v>
      </c>
      <c r="C89" s="87">
        <v>2592</v>
      </c>
      <c r="D89" s="87">
        <v>321</v>
      </c>
      <c r="E89" s="87">
        <v>2927</v>
      </c>
      <c r="F89" s="88">
        <f t="shared" si="5"/>
        <v>88.980432543769311</v>
      </c>
      <c r="G89" s="87">
        <v>24731</v>
      </c>
      <c r="H89" s="89">
        <f t="shared" si="0"/>
        <v>11.835348348226923</v>
      </c>
      <c r="I89" s="90">
        <v>2166</v>
      </c>
      <c r="J89" s="90">
        <v>131</v>
      </c>
      <c r="K89" s="87">
        <v>2322</v>
      </c>
      <c r="L89" s="88">
        <f t="shared" si="1"/>
        <v>94.296909011754465</v>
      </c>
      <c r="M89" s="87">
        <v>27137</v>
      </c>
      <c r="N89" s="89">
        <f t="shared" si="2"/>
        <v>8.5565832627040574</v>
      </c>
      <c r="O89" s="90"/>
      <c r="P89" s="90"/>
    </row>
    <row r="90" spans="1:16">
      <c r="A90" s="85">
        <v>21105</v>
      </c>
      <c r="B90" s="95" t="s">
        <v>129</v>
      </c>
      <c r="C90" s="87">
        <v>4754</v>
      </c>
      <c r="D90" s="87">
        <v>938</v>
      </c>
      <c r="E90" s="87">
        <v>5755</v>
      </c>
      <c r="F90" s="88">
        <f t="shared" si="5"/>
        <v>83.520730850316241</v>
      </c>
      <c r="G90" s="87">
        <v>40178</v>
      </c>
      <c r="H90" s="89">
        <f t="shared" si="0"/>
        <v>14.32375927124297</v>
      </c>
      <c r="I90" s="90">
        <v>3919</v>
      </c>
      <c r="J90" s="90">
        <v>218</v>
      </c>
      <c r="K90" s="87">
        <v>4179</v>
      </c>
      <c r="L90" s="88">
        <f t="shared" si="1"/>
        <v>94.730481024897273</v>
      </c>
      <c r="M90" s="87">
        <v>45587</v>
      </c>
      <c r="N90" s="89">
        <f t="shared" si="2"/>
        <v>9.1670871081668022</v>
      </c>
      <c r="O90" s="90"/>
      <c r="P90" s="90"/>
    </row>
    <row r="91" spans="1:16">
      <c r="A91" s="85">
        <v>21201</v>
      </c>
      <c r="B91" s="95" t="s">
        <v>131</v>
      </c>
      <c r="C91" s="87">
        <v>2641</v>
      </c>
      <c r="D91" s="87">
        <v>148</v>
      </c>
      <c r="E91" s="87">
        <v>2823</v>
      </c>
      <c r="F91" s="88">
        <f t="shared" si="5"/>
        <v>94.69343850842597</v>
      </c>
      <c r="G91" s="87">
        <v>30124</v>
      </c>
      <c r="H91" s="89">
        <f t="shared" si="0"/>
        <v>9.3712654361970511</v>
      </c>
      <c r="I91" s="90">
        <v>3579</v>
      </c>
      <c r="J91" s="90">
        <v>65</v>
      </c>
      <c r="K91" s="87">
        <v>3661</v>
      </c>
      <c r="L91" s="88">
        <f t="shared" si="1"/>
        <v>98.216245883644348</v>
      </c>
      <c r="M91" s="87">
        <v>49850</v>
      </c>
      <c r="N91" s="89">
        <f t="shared" si="2"/>
        <v>7.3440320962888661</v>
      </c>
      <c r="O91" s="90"/>
      <c r="P91" s="90"/>
    </row>
    <row r="92" spans="1:16">
      <c r="A92" s="85">
        <v>21202</v>
      </c>
      <c r="B92" s="95" t="s">
        <v>132</v>
      </c>
      <c r="C92" s="87">
        <v>1989</v>
      </c>
      <c r="D92" s="87">
        <v>93</v>
      </c>
      <c r="E92" s="87">
        <v>2095</v>
      </c>
      <c r="F92" s="88">
        <f t="shared" si="5"/>
        <v>95.533141210374637</v>
      </c>
      <c r="G92" s="87">
        <v>24531</v>
      </c>
      <c r="H92" s="89">
        <f t="shared" si="0"/>
        <v>8.5402144225673631</v>
      </c>
      <c r="I92" s="90">
        <v>2797</v>
      </c>
      <c r="J92" s="90">
        <v>103</v>
      </c>
      <c r="K92" s="87">
        <v>2924</v>
      </c>
      <c r="L92" s="88">
        <f t="shared" si="1"/>
        <v>96.448275862068968</v>
      </c>
      <c r="M92" s="87">
        <v>38652</v>
      </c>
      <c r="N92" s="89">
        <f t="shared" si="2"/>
        <v>7.5649384249197968</v>
      </c>
      <c r="O92" s="90"/>
      <c r="P92" s="90"/>
    </row>
    <row r="93" spans="1:16">
      <c r="A93" s="85">
        <v>21203</v>
      </c>
      <c r="B93" s="95" t="s">
        <v>133</v>
      </c>
      <c r="C93" s="87">
        <v>1396</v>
      </c>
      <c r="D93" s="87">
        <v>80</v>
      </c>
      <c r="E93" s="87">
        <v>1486</v>
      </c>
      <c r="F93" s="88">
        <f t="shared" si="5"/>
        <v>94.579945799458002</v>
      </c>
      <c r="G93" s="87">
        <v>17426</v>
      </c>
      <c r="H93" s="89">
        <f t="shared" si="0"/>
        <v>8.5274876621140816</v>
      </c>
      <c r="I93" s="90">
        <v>1350</v>
      </c>
      <c r="J93" s="90">
        <v>32</v>
      </c>
      <c r="K93" s="87">
        <v>1404</v>
      </c>
      <c r="L93" s="88">
        <f t="shared" si="1"/>
        <v>97.68451519536903</v>
      </c>
      <c r="M93" s="87">
        <v>20607</v>
      </c>
      <c r="N93" s="89">
        <f t="shared" si="2"/>
        <v>6.8132188091425236</v>
      </c>
      <c r="O93" s="90"/>
      <c r="P93" s="90"/>
    </row>
    <row r="94" spans="1:16">
      <c r="A94" s="85">
        <v>21204</v>
      </c>
      <c r="B94" s="95" t="s">
        <v>134</v>
      </c>
      <c r="C94" s="87">
        <v>467</v>
      </c>
      <c r="D94" s="87">
        <v>32</v>
      </c>
      <c r="E94" s="87">
        <v>505</v>
      </c>
      <c r="F94" s="88">
        <f t="shared" si="5"/>
        <v>93.587174348697403</v>
      </c>
      <c r="G94" s="87">
        <v>6498</v>
      </c>
      <c r="H94" s="89">
        <f t="shared" si="0"/>
        <v>7.7716220375500145</v>
      </c>
      <c r="I94" s="90">
        <v>440</v>
      </c>
      <c r="J94" s="90">
        <v>12</v>
      </c>
      <c r="K94" s="87">
        <v>459</v>
      </c>
      <c r="L94" s="88">
        <f t="shared" si="1"/>
        <v>97.345132743362825</v>
      </c>
      <c r="M94" s="87">
        <v>7900</v>
      </c>
      <c r="N94" s="89">
        <f t="shared" si="2"/>
        <v>5.8101265822784809</v>
      </c>
      <c r="O94" s="90"/>
      <c r="P94" s="90"/>
    </row>
    <row r="95" spans="1:16">
      <c r="A95" s="85">
        <v>21301</v>
      </c>
      <c r="B95" s="95" t="s">
        <v>136</v>
      </c>
      <c r="C95" s="87">
        <v>2799</v>
      </c>
      <c r="D95" s="87">
        <v>304</v>
      </c>
      <c r="E95" s="87">
        <v>3132</v>
      </c>
      <c r="F95" s="88">
        <f t="shared" si="5"/>
        <v>90.203029326458264</v>
      </c>
      <c r="G95" s="87">
        <v>31312</v>
      </c>
      <c r="H95" s="89">
        <f t="shared" si="0"/>
        <v>10.002554931016864</v>
      </c>
      <c r="I95" s="90">
        <v>2517</v>
      </c>
      <c r="J95" s="90">
        <v>87</v>
      </c>
      <c r="K95" s="87">
        <v>2631</v>
      </c>
      <c r="L95" s="88">
        <f t="shared" si="1"/>
        <v>96.658986175115203</v>
      </c>
      <c r="M95" s="87">
        <v>33885</v>
      </c>
      <c r="N95" s="89">
        <f t="shared" si="2"/>
        <v>7.7644975652943788</v>
      </c>
      <c r="O95" s="90"/>
      <c r="P95" s="90"/>
    </row>
    <row r="96" spans="1:16">
      <c r="A96" s="85">
        <v>21302</v>
      </c>
      <c r="B96" s="95" t="s">
        <v>137</v>
      </c>
      <c r="C96" s="87">
        <v>682</v>
      </c>
      <c r="D96" s="87">
        <v>72</v>
      </c>
      <c r="E96" s="87">
        <v>763</v>
      </c>
      <c r="F96" s="88">
        <f t="shared" si="5"/>
        <v>90.450928381962868</v>
      </c>
      <c r="G96" s="87">
        <v>8903</v>
      </c>
      <c r="H96" s="89">
        <f t="shared" si="0"/>
        <v>8.5701448949792205</v>
      </c>
      <c r="I96" s="90">
        <v>503</v>
      </c>
      <c r="J96" s="90">
        <v>17</v>
      </c>
      <c r="K96" s="87">
        <v>529</v>
      </c>
      <c r="L96" s="88">
        <f t="shared" si="1"/>
        <v>96.730769230769226</v>
      </c>
      <c r="M96" s="87">
        <v>9102</v>
      </c>
      <c r="N96" s="89">
        <f t="shared" si="2"/>
        <v>5.8119094704460554</v>
      </c>
      <c r="O96" s="90"/>
      <c r="P96" s="90"/>
    </row>
    <row r="97" spans="1:16">
      <c r="A97" s="85">
        <v>21303</v>
      </c>
      <c r="B97" s="95" t="s">
        <v>138</v>
      </c>
      <c r="C97" s="87">
        <v>688</v>
      </c>
      <c r="D97" s="87">
        <v>40</v>
      </c>
      <c r="E97" s="87">
        <v>738</v>
      </c>
      <c r="F97" s="88">
        <f t="shared" si="5"/>
        <v>94.505494505494497</v>
      </c>
      <c r="G97" s="87">
        <v>7798</v>
      </c>
      <c r="H97" s="89">
        <f t="shared" si="0"/>
        <v>9.4639651192613492</v>
      </c>
      <c r="I97" s="90">
        <v>760</v>
      </c>
      <c r="J97" s="90">
        <v>15</v>
      </c>
      <c r="K97" s="87">
        <v>782</v>
      </c>
      <c r="L97" s="88">
        <f t="shared" si="1"/>
        <v>98.064516129032256</v>
      </c>
      <c r="M97" s="87">
        <v>11258</v>
      </c>
      <c r="N97" s="89">
        <f t="shared" si="2"/>
        <v>6.9461716112986318</v>
      </c>
      <c r="O97" s="90"/>
      <c r="P97" s="90"/>
    </row>
    <row r="98" spans="1:16">
      <c r="A98" s="85">
        <v>21304</v>
      </c>
      <c r="B98" s="95" t="s">
        <v>139</v>
      </c>
      <c r="C98" s="87">
        <v>974</v>
      </c>
      <c r="D98" s="87">
        <v>59</v>
      </c>
      <c r="E98" s="87">
        <v>1042</v>
      </c>
      <c r="F98" s="88">
        <f t="shared" si="5"/>
        <v>94.288480154888674</v>
      </c>
      <c r="G98" s="87">
        <v>12413</v>
      </c>
      <c r="H98" s="89">
        <f t="shared" si="0"/>
        <v>8.3944251993877383</v>
      </c>
      <c r="I98" s="90">
        <v>1102</v>
      </c>
      <c r="J98" s="90">
        <v>24</v>
      </c>
      <c r="K98" s="87">
        <v>1133</v>
      </c>
      <c r="L98" s="88">
        <f t="shared" si="1"/>
        <v>97.868561278863226</v>
      </c>
      <c r="M98" s="87">
        <v>15327</v>
      </c>
      <c r="N98" s="89">
        <f t="shared" si="2"/>
        <v>7.3921837280615907</v>
      </c>
      <c r="O98" s="90"/>
      <c r="P98" s="90"/>
    </row>
    <row r="99" spans="1:16">
      <c r="A99" s="85">
        <v>21305</v>
      </c>
      <c r="B99" s="95" t="s">
        <v>140</v>
      </c>
      <c r="C99" s="87">
        <v>2200</v>
      </c>
      <c r="D99" s="87">
        <v>224</v>
      </c>
      <c r="E99" s="87">
        <v>2453</v>
      </c>
      <c r="F99" s="88">
        <f t="shared" si="5"/>
        <v>90.759075907590756</v>
      </c>
      <c r="G99" s="87">
        <v>22858</v>
      </c>
      <c r="H99" s="89">
        <f t="shared" si="0"/>
        <v>10.731472569778633</v>
      </c>
      <c r="I99" s="90">
        <v>1863</v>
      </c>
      <c r="J99" s="90">
        <v>52</v>
      </c>
      <c r="K99" s="87">
        <v>1930</v>
      </c>
      <c r="L99" s="88">
        <f t="shared" si="1"/>
        <v>97.284595300261103</v>
      </c>
      <c r="M99" s="87">
        <v>25148</v>
      </c>
      <c r="N99" s="89">
        <f t="shared" si="2"/>
        <v>7.6745665659296964</v>
      </c>
      <c r="O99" s="90"/>
      <c r="P99" s="90"/>
    </row>
    <row r="100" spans="1:16">
      <c r="A100" s="85">
        <v>21306</v>
      </c>
      <c r="B100" s="95" t="s">
        <v>141</v>
      </c>
      <c r="C100" s="87">
        <v>855</v>
      </c>
      <c r="D100" s="87">
        <v>41</v>
      </c>
      <c r="E100" s="87">
        <v>900</v>
      </c>
      <c r="F100" s="88">
        <f t="shared" si="5"/>
        <v>95.424107142857139</v>
      </c>
      <c r="G100" s="87">
        <v>9879</v>
      </c>
      <c r="H100" s="89">
        <f t="shared" si="0"/>
        <v>9.1102338293349536</v>
      </c>
      <c r="I100" s="90">
        <v>1045</v>
      </c>
      <c r="J100" s="90">
        <v>83</v>
      </c>
      <c r="K100" s="87">
        <v>1147</v>
      </c>
      <c r="L100" s="88">
        <f t="shared" si="1"/>
        <v>92.641843971631204</v>
      </c>
      <c r="M100" s="87">
        <v>12490</v>
      </c>
      <c r="N100" s="89">
        <f t="shared" si="2"/>
        <v>9.1833466773418735</v>
      </c>
      <c r="O100" s="90"/>
      <c r="P100" s="90"/>
    </row>
    <row r="101" spans="1:16">
      <c r="A101" s="85">
        <v>21307</v>
      </c>
      <c r="B101" s="95" t="s">
        <v>142</v>
      </c>
      <c r="C101" s="87">
        <v>455</v>
      </c>
      <c r="D101" s="87">
        <v>21</v>
      </c>
      <c r="E101" s="87">
        <v>487</v>
      </c>
      <c r="F101" s="88">
        <f t="shared" si="5"/>
        <v>95.588235294117652</v>
      </c>
      <c r="G101" s="87">
        <v>5042</v>
      </c>
      <c r="H101" s="89">
        <f t="shared" si="0"/>
        <v>9.6588655295517647</v>
      </c>
      <c r="I101" s="90">
        <v>386</v>
      </c>
      <c r="J101" s="90">
        <v>16</v>
      </c>
      <c r="K101" s="87">
        <v>410</v>
      </c>
      <c r="L101" s="88">
        <f t="shared" si="1"/>
        <v>96.019900497512438</v>
      </c>
      <c r="M101" s="87">
        <v>5526</v>
      </c>
      <c r="N101" s="89">
        <f t="shared" si="2"/>
        <v>7.419471588852697</v>
      </c>
      <c r="O101" s="90"/>
      <c r="P101" s="90"/>
    </row>
    <row r="102" spans="1:16">
      <c r="A102" s="85">
        <v>21401</v>
      </c>
      <c r="B102" s="95" t="s">
        <v>144</v>
      </c>
      <c r="C102" s="87">
        <v>1655</v>
      </c>
      <c r="D102" s="87">
        <v>147</v>
      </c>
      <c r="E102" s="87">
        <v>1813</v>
      </c>
      <c r="F102" s="88">
        <f t="shared" si="5"/>
        <v>91.842397336293004</v>
      </c>
      <c r="G102" s="87">
        <v>19397</v>
      </c>
      <c r="H102" s="89">
        <f t="shared" si="0"/>
        <v>9.3468062071454341</v>
      </c>
      <c r="I102" s="90">
        <v>1834</v>
      </c>
      <c r="J102" s="90">
        <v>42</v>
      </c>
      <c r="K102" s="87">
        <v>1894</v>
      </c>
      <c r="L102" s="88">
        <f t="shared" si="1"/>
        <v>97.761194029850756</v>
      </c>
      <c r="M102" s="87">
        <v>27711</v>
      </c>
      <c r="N102" s="89">
        <f t="shared" si="2"/>
        <v>6.8348309335642883</v>
      </c>
      <c r="O102" s="90"/>
      <c r="P102" s="90"/>
    </row>
    <row r="103" spans="1:16">
      <c r="A103" s="85">
        <v>21402</v>
      </c>
      <c r="B103" s="95" t="s">
        <v>145</v>
      </c>
      <c r="C103" s="87">
        <v>1470</v>
      </c>
      <c r="D103" s="87">
        <v>177</v>
      </c>
      <c r="E103" s="87">
        <v>1669</v>
      </c>
      <c r="F103" s="88">
        <f t="shared" si="5"/>
        <v>89.253187613843352</v>
      </c>
      <c r="G103" s="87">
        <v>16930</v>
      </c>
      <c r="H103" s="89">
        <f t="shared" si="0"/>
        <v>9.8582398109864151</v>
      </c>
      <c r="I103" s="90">
        <v>1619</v>
      </c>
      <c r="J103" s="90">
        <v>54</v>
      </c>
      <c r="K103" s="87">
        <v>1693</v>
      </c>
      <c r="L103" s="88">
        <f t="shared" si="1"/>
        <v>96.772265391512263</v>
      </c>
      <c r="M103" s="87">
        <v>23530</v>
      </c>
      <c r="N103" s="89">
        <f t="shared" si="2"/>
        <v>7.1950701232469187</v>
      </c>
      <c r="O103" s="90"/>
      <c r="P103" s="90"/>
    </row>
    <row r="104" spans="1:16">
      <c r="A104" s="85">
        <v>21501</v>
      </c>
      <c r="B104" s="95" t="s">
        <v>147</v>
      </c>
      <c r="C104" s="87">
        <v>1074</v>
      </c>
      <c r="D104" s="87">
        <v>232</v>
      </c>
      <c r="E104" s="87">
        <v>1314</v>
      </c>
      <c r="F104" s="88">
        <f t="shared" si="5"/>
        <v>82.235834609494646</v>
      </c>
      <c r="G104" s="87">
        <v>9362</v>
      </c>
      <c r="H104" s="89">
        <f t="shared" si="0"/>
        <v>14.03546250801111</v>
      </c>
      <c r="I104" s="90">
        <v>1121</v>
      </c>
      <c r="J104" s="90">
        <v>104</v>
      </c>
      <c r="K104" s="87">
        <v>1258</v>
      </c>
      <c r="L104" s="88">
        <f t="shared" si="1"/>
        <v>91.510204081632651</v>
      </c>
      <c r="M104" s="87">
        <v>12595</v>
      </c>
      <c r="N104" s="89">
        <f t="shared" si="2"/>
        <v>9.9880905121079788</v>
      </c>
      <c r="O104" s="90"/>
      <c r="P104" s="90"/>
    </row>
    <row r="105" spans="1:16">
      <c r="A105" s="85">
        <v>21502</v>
      </c>
      <c r="B105" s="95" t="s">
        <v>148</v>
      </c>
      <c r="C105" s="87">
        <v>1061</v>
      </c>
      <c r="D105" s="87">
        <v>109</v>
      </c>
      <c r="E105" s="87">
        <v>1178</v>
      </c>
      <c r="F105" s="88">
        <f t="shared" si="5"/>
        <v>90.683760683760681</v>
      </c>
      <c r="G105" s="87">
        <v>8711</v>
      </c>
      <c r="H105" s="89">
        <f t="shared" si="0"/>
        <v>13.523131672597867</v>
      </c>
      <c r="I105" s="90">
        <v>949</v>
      </c>
      <c r="J105" s="90">
        <v>61</v>
      </c>
      <c r="K105" s="87">
        <v>1015</v>
      </c>
      <c r="L105" s="88">
        <f t="shared" si="1"/>
        <v>93.96039603960395</v>
      </c>
      <c r="M105" s="87">
        <v>10105</v>
      </c>
      <c r="N105" s="89">
        <f t="shared" si="2"/>
        <v>10.044532409698169</v>
      </c>
      <c r="O105" s="90"/>
      <c r="P105" s="90"/>
    </row>
    <row r="106" spans="1:16">
      <c r="A106" s="85">
        <v>21601</v>
      </c>
      <c r="B106" s="95" t="s">
        <v>150</v>
      </c>
      <c r="C106" s="87">
        <v>1398</v>
      </c>
      <c r="D106" s="87">
        <v>143</v>
      </c>
      <c r="E106" s="87">
        <v>1554</v>
      </c>
      <c r="F106" s="88">
        <f t="shared" si="5"/>
        <v>90.720311486048018</v>
      </c>
      <c r="G106" s="87">
        <v>13023</v>
      </c>
      <c r="H106" s="89">
        <f t="shared" si="0"/>
        <v>11.932734392997006</v>
      </c>
      <c r="I106" s="90">
        <v>1472</v>
      </c>
      <c r="J106" s="90">
        <v>78</v>
      </c>
      <c r="K106" s="87">
        <v>1566</v>
      </c>
      <c r="L106" s="88">
        <f t="shared" si="1"/>
        <v>94.967741935483872</v>
      </c>
      <c r="M106" s="87">
        <v>15763</v>
      </c>
      <c r="N106" s="89">
        <f t="shared" si="2"/>
        <v>9.934657108418449</v>
      </c>
      <c r="O106" s="90"/>
      <c r="P106" s="90"/>
    </row>
    <row r="107" spans="1:16">
      <c r="A107" s="85">
        <v>21602</v>
      </c>
      <c r="B107" s="95" t="s">
        <v>151</v>
      </c>
      <c r="C107" s="87">
        <v>348</v>
      </c>
      <c r="D107" s="87">
        <v>52</v>
      </c>
      <c r="E107" s="87">
        <v>402</v>
      </c>
      <c r="F107" s="88">
        <f t="shared" si="5"/>
        <v>87</v>
      </c>
      <c r="G107" s="87">
        <v>3285</v>
      </c>
      <c r="H107" s="89">
        <f t="shared" si="0"/>
        <v>12.237442922374429</v>
      </c>
      <c r="I107" s="90">
        <v>641</v>
      </c>
      <c r="J107" s="90">
        <v>96</v>
      </c>
      <c r="K107" s="87">
        <v>758</v>
      </c>
      <c r="L107" s="88">
        <f t="shared" si="1"/>
        <v>86.974219810040708</v>
      </c>
      <c r="M107" s="87">
        <v>6611</v>
      </c>
      <c r="N107" s="89">
        <f t="shared" si="2"/>
        <v>11.465738919981847</v>
      </c>
      <c r="O107" s="90"/>
      <c r="P107" s="90"/>
    </row>
    <row r="108" spans="1:16">
      <c r="A108" s="85">
        <v>21701</v>
      </c>
      <c r="B108" s="95" t="s">
        <v>153</v>
      </c>
      <c r="C108" s="87">
        <v>1068</v>
      </c>
      <c r="D108" s="87">
        <v>135</v>
      </c>
      <c r="E108" s="87">
        <v>1215</v>
      </c>
      <c r="F108" s="88">
        <f t="shared" si="5"/>
        <v>88.778054862842893</v>
      </c>
      <c r="G108" s="87">
        <v>14931</v>
      </c>
      <c r="H108" s="89">
        <f t="shared" si="0"/>
        <v>8.1374321880650999</v>
      </c>
      <c r="I108" s="90">
        <v>888</v>
      </c>
      <c r="J108" s="90">
        <v>68</v>
      </c>
      <c r="K108" s="87">
        <v>963</v>
      </c>
      <c r="L108" s="88">
        <f t="shared" si="1"/>
        <v>92.887029288702934</v>
      </c>
      <c r="M108" s="87">
        <v>17463</v>
      </c>
      <c r="N108" s="89">
        <f t="shared" si="2"/>
        <v>5.5145164061157876</v>
      </c>
      <c r="O108" s="90"/>
      <c r="P108" s="90"/>
    </row>
    <row r="109" spans="1:16">
      <c r="A109" s="85">
        <v>21702</v>
      </c>
      <c r="B109" s="95" t="s">
        <v>154</v>
      </c>
      <c r="C109" s="87">
        <v>336</v>
      </c>
      <c r="D109" s="87">
        <v>19</v>
      </c>
      <c r="E109" s="87">
        <v>356</v>
      </c>
      <c r="F109" s="88">
        <f t="shared" si="5"/>
        <v>94.647887323943664</v>
      </c>
      <c r="G109" s="87">
        <v>6052</v>
      </c>
      <c r="H109" s="89">
        <f t="shared" si="0"/>
        <v>5.8823529411764701</v>
      </c>
      <c r="I109" s="90">
        <v>427</v>
      </c>
      <c r="J109" s="90">
        <v>9</v>
      </c>
      <c r="K109" s="87">
        <v>438</v>
      </c>
      <c r="L109" s="88">
        <f t="shared" si="1"/>
        <v>97.935779816513758</v>
      </c>
      <c r="M109" s="87">
        <v>9164</v>
      </c>
      <c r="N109" s="89">
        <f t="shared" si="2"/>
        <v>4.7795722391968578</v>
      </c>
      <c r="O109" s="90"/>
      <c r="P109" s="90"/>
    </row>
    <row r="110" spans="1:16">
      <c r="A110" s="85">
        <v>21703</v>
      </c>
      <c r="B110" s="95" t="s">
        <v>155</v>
      </c>
      <c r="C110" s="87">
        <v>337</v>
      </c>
      <c r="D110" s="87">
        <v>39</v>
      </c>
      <c r="E110" s="87">
        <v>378</v>
      </c>
      <c r="F110" s="88">
        <f t="shared" si="5"/>
        <v>89.627659574468083</v>
      </c>
      <c r="G110" s="87">
        <v>6261</v>
      </c>
      <c r="H110" s="89">
        <f t="shared" si="0"/>
        <v>6.0373742213703885</v>
      </c>
      <c r="I110" s="90">
        <v>280</v>
      </c>
      <c r="J110" s="90">
        <v>16</v>
      </c>
      <c r="K110" s="87">
        <v>300</v>
      </c>
      <c r="L110" s="88">
        <f t="shared" si="1"/>
        <v>94.594594594594597</v>
      </c>
      <c r="M110" s="87">
        <v>7525</v>
      </c>
      <c r="N110" s="89">
        <f t="shared" si="2"/>
        <v>3.9867109634551494</v>
      </c>
      <c r="O110" s="90"/>
      <c r="P110" s="90"/>
    </row>
    <row r="111" spans="1:16">
      <c r="A111" s="85">
        <v>21801</v>
      </c>
      <c r="B111" s="95" t="s">
        <v>157</v>
      </c>
      <c r="C111" s="87">
        <v>595</v>
      </c>
      <c r="D111" s="87">
        <v>36</v>
      </c>
      <c r="E111" s="87">
        <v>634</v>
      </c>
      <c r="F111" s="88">
        <f t="shared" si="5"/>
        <v>94.294770206022179</v>
      </c>
      <c r="G111" s="87">
        <v>8858</v>
      </c>
      <c r="H111" s="89">
        <f t="shared" si="0"/>
        <v>7.1573718672386546</v>
      </c>
      <c r="I111" s="90">
        <v>507</v>
      </c>
      <c r="J111" s="90">
        <v>17</v>
      </c>
      <c r="K111" s="87">
        <v>537</v>
      </c>
      <c r="L111" s="88">
        <f t="shared" si="1"/>
        <v>96.755725190839698</v>
      </c>
      <c r="M111" s="87">
        <v>9217</v>
      </c>
      <c r="N111" s="89">
        <f t="shared" si="2"/>
        <v>5.8261907345123136</v>
      </c>
      <c r="O111" s="90"/>
      <c r="P111" s="90"/>
    </row>
    <row r="112" spans="1:16">
      <c r="A112" s="85">
        <v>21802</v>
      </c>
      <c r="B112" s="95" t="s">
        <v>158</v>
      </c>
      <c r="C112" s="87">
        <v>572</v>
      </c>
      <c r="D112" s="87">
        <v>32</v>
      </c>
      <c r="E112" s="87">
        <v>610</v>
      </c>
      <c r="F112" s="88">
        <f t="shared" si="5"/>
        <v>94.701986754966882</v>
      </c>
      <c r="G112" s="87">
        <v>7003</v>
      </c>
      <c r="H112" s="89">
        <f t="shared" si="0"/>
        <v>8.7105526203055845</v>
      </c>
      <c r="I112" s="90">
        <v>376</v>
      </c>
      <c r="J112" s="90">
        <v>7</v>
      </c>
      <c r="K112" s="87">
        <v>390</v>
      </c>
      <c r="L112" s="88">
        <f t="shared" si="1"/>
        <v>98.172323759791126</v>
      </c>
      <c r="M112" s="87">
        <v>6649</v>
      </c>
      <c r="N112" s="89">
        <f t="shared" si="2"/>
        <v>5.8655436907805685</v>
      </c>
      <c r="O112" s="90"/>
      <c r="P112" s="90"/>
    </row>
    <row r="113" spans="1:16">
      <c r="A113" s="85">
        <v>21803</v>
      </c>
      <c r="B113" s="95" t="s">
        <v>159</v>
      </c>
      <c r="C113" s="87">
        <v>178</v>
      </c>
      <c r="D113" s="87">
        <v>18</v>
      </c>
      <c r="E113" s="87">
        <v>197</v>
      </c>
      <c r="F113" s="88">
        <f t="shared" si="5"/>
        <v>90.816326530612244</v>
      </c>
      <c r="G113" s="87">
        <v>2004</v>
      </c>
      <c r="H113" s="89">
        <f t="shared" si="0"/>
        <v>9.8303393213572861</v>
      </c>
      <c r="I113" s="90">
        <v>140</v>
      </c>
      <c r="J113" s="90">
        <v>0</v>
      </c>
      <c r="K113" s="87">
        <v>140</v>
      </c>
      <c r="L113" s="88">
        <f t="shared" si="1"/>
        <v>100</v>
      </c>
      <c r="M113" s="87">
        <v>2052</v>
      </c>
      <c r="N113" s="89">
        <f t="shared" si="2"/>
        <v>6.8226120857699799</v>
      </c>
      <c r="O113" s="90"/>
      <c r="P113" s="90"/>
    </row>
    <row r="114" spans="1:16">
      <c r="A114" s="85">
        <v>21901</v>
      </c>
      <c r="B114" s="95" t="s">
        <v>161</v>
      </c>
      <c r="C114" s="87">
        <v>296</v>
      </c>
      <c r="D114" s="87">
        <v>15</v>
      </c>
      <c r="E114" s="87">
        <v>312</v>
      </c>
      <c r="F114" s="88">
        <f t="shared" si="5"/>
        <v>95.176848874598079</v>
      </c>
      <c r="G114" s="87">
        <v>4593</v>
      </c>
      <c r="H114" s="89">
        <f t="shared" si="0"/>
        <v>6.7929457870672767</v>
      </c>
      <c r="I114" s="90">
        <v>359</v>
      </c>
      <c r="J114" s="90">
        <v>9</v>
      </c>
      <c r="K114" s="87">
        <v>370</v>
      </c>
      <c r="L114" s="88">
        <f t="shared" si="1"/>
        <v>97.554347826086953</v>
      </c>
      <c r="M114" s="87">
        <v>6805</v>
      </c>
      <c r="N114" s="89">
        <f t="shared" si="2"/>
        <v>5.4371785451873622</v>
      </c>
      <c r="O114" s="90"/>
      <c r="P114" s="90"/>
    </row>
    <row r="115" spans="1:16">
      <c r="A115" s="85">
        <v>21902</v>
      </c>
      <c r="B115" s="95" t="s">
        <v>162</v>
      </c>
      <c r="C115" s="87">
        <v>234</v>
      </c>
      <c r="D115" s="87">
        <v>36</v>
      </c>
      <c r="E115" s="87">
        <v>279</v>
      </c>
      <c r="F115" s="88">
        <f t="shared" si="5"/>
        <v>86.666666666666671</v>
      </c>
      <c r="G115" s="87">
        <v>2881</v>
      </c>
      <c r="H115" s="89">
        <f t="shared" si="0"/>
        <v>9.6841374522735162</v>
      </c>
      <c r="I115" s="90">
        <v>428</v>
      </c>
      <c r="J115" s="90">
        <v>41</v>
      </c>
      <c r="K115" s="87">
        <v>475</v>
      </c>
      <c r="L115" s="88">
        <f t="shared" si="1"/>
        <v>91.257995735607679</v>
      </c>
      <c r="M115" s="87">
        <v>5351</v>
      </c>
      <c r="N115" s="89">
        <f t="shared" si="2"/>
        <v>8.8768454494487017</v>
      </c>
      <c r="O115" s="90"/>
      <c r="P115" s="90"/>
    </row>
    <row r="116" spans="1:16">
      <c r="A116" s="85">
        <v>22001</v>
      </c>
      <c r="B116" s="95" t="s">
        <v>163</v>
      </c>
      <c r="C116" s="87">
        <v>4862</v>
      </c>
      <c r="D116" s="87">
        <v>667</v>
      </c>
      <c r="E116" s="87">
        <v>5570</v>
      </c>
      <c r="F116" s="88">
        <f t="shared" si="5"/>
        <v>87.936335684572256</v>
      </c>
      <c r="G116" s="87">
        <v>50330</v>
      </c>
      <c r="H116" s="89">
        <f t="shared" si="0"/>
        <v>11.066958076693821</v>
      </c>
      <c r="I116" s="90">
        <v>4671</v>
      </c>
      <c r="J116" s="90">
        <v>219</v>
      </c>
      <c r="K116" s="87">
        <v>4927</v>
      </c>
      <c r="L116" s="88">
        <f t="shared" si="1"/>
        <v>95.521472392638046</v>
      </c>
      <c r="M116" s="87">
        <v>59676</v>
      </c>
      <c r="N116" s="89">
        <f t="shared" si="2"/>
        <v>8.2562504189288823</v>
      </c>
      <c r="O116" s="90"/>
      <c r="P116" s="90"/>
    </row>
    <row r="117" spans="1:16">
      <c r="A117" s="85">
        <v>22002</v>
      </c>
      <c r="B117" s="95" t="s">
        <v>164</v>
      </c>
      <c r="C117" s="87">
        <v>1180</v>
      </c>
      <c r="D117" s="87">
        <v>111</v>
      </c>
      <c r="E117" s="87">
        <v>1302</v>
      </c>
      <c r="F117" s="88">
        <f t="shared" si="5"/>
        <v>91.402013942680099</v>
      </c>
      <c r="G117" s="87">
        <v>11194</v>
      </c>
      <c r="H117" s="89">
        <f t="shared" si="0"/>
        <v>11.631231016616045</v>
      </c>
      <c r="I117" s="90">
        <v>763</v>
      </c>
      <c r="J117" s="90">
        <v>26</v>
      </c>
      <c r="K117" s="87">
        <v>792</v>
      </c>
      <c r="L117" s="88">
        <f t="shared" si="1"/>
        <v>96.704689480354872</v>
      </c>
      <c r="M117" s="87">
        <v>10585</v>
      </c>
      <c r="N117" s="89">
        <f t="shared" si="2"/>
        <v>7.482286254133208</v>
      </c>
      <c r="O117" s="90"/>
      <c r="P117" s="90"/>
    </row>
    <row r="118" spans="1:16">
      <c r="A118" s="85">
        <v>30101</v>
      </c>
      <c r="B118" s="95" t="s">
        <v>165</v>
      </c>
      <c r="C118" s="87">
        <v>56844</v>
      </c>
      <c r="D118" s="87">
        <v>5299</v>
      </c>
      <c r="E118" s="87">
        <v>62745</v>
      </c>
      <c r="F118" s="88">
        <f t="shared" si="5"/>
        <v>91.472893165762841</v>
      </c>
      <c r="G118" s="87">
        <v>632013</v>
      </c>
      <c r="H118" s="89">
        <f t="shared" si="0"/>
        <v>9.9278021179944087</v>
      </c>
      <c r="I118" s="90">
        <v>41408</v>
      </c>
      <c r="J118" s="90">
        <v>957</v>
      </c>
      <c r="K118" s="87">
        <v>42528</v>
      </c>
      <c r="L118" s="88">
        <f t="shared" si="1"/>
        <v>97.741059837129711</v>
      </c>
      <c r="M118" s="87">
        <v>665505</v>
      </c>
      <c r="N118" s="89">
        <f t="shared" si="2"/>
        <v>6.3903351590145832</v>
      </c>
      <c r="O118" s="90"/>
      <c r="P118" s="90"/>
    </row>
    <row r="119" spans="1:16">
      <c r="A119" s="85">
        <v>30201</v>
      </c>
      <c r="B119" s="95" t="s">
        <v>168</v>
      </c>
      <c r="C119" s="87">
        <v>2275</v>
      </c>
      <c r="D119" s="87">
        <v>355</v>
      </c>
      <c r="E119" s="87">
        <v>2670</v>
      </c>
      <c r="F119" s="88">
        <f t="shared" si="5"/>
        <v>86.50190114068441</v>
      </c>
      <c r="G119" s="87">
        <v>23267</v>
      </c>
      <c r="H119" s="89">
        <f t="shared" si="0"/>
        <v>11.475480293978595</v>
      </c>
      <c r="I119" s="90">
        <v>1678</v>
      </c>
      <c r="J119" s="90">
        <v>38</v>
      </c>
      <c r="K119" s="87">
        <v>1733</v>
      </c>
      <c r="L119" s="88">
        <f t="shared" si="1"/>
        <v>97.785547785547791</v>
      </c>
      <c r="M119" s="87">
        <v>23123</v>
      </c>
      <c r="N119" s="89">
        <f t="shared" si="2"/>
        <v>7.4947022445184448</v>
      </c>
      <c r="O119" s="90"/>
      <c r="P119" s="90"/>
    </row>
    <row r="120" spans="1:16">
      <c r="A120" s="85">
        <v>30202</v>
      </c>
      <c r="B120" s="95" t="s">
        <v>169</v>
      </c>
      <c r="C120" s="87">
        <v>612</v>
      </c>
      <c r="D120" s="87">
        <v>42</v>
      </c>
      <c r="E120" s="87">
        <v>659</v>
      </c>
      <c r="F120" s="88">
        <f t="shared" si="5"/>
        <v>93.577981651376149</v>
      </c>
      <c r="G120" s="87">
        <v>6853</v>
      </c>
      <c r="H120" s="89">
        <f t="shared" si="0"/>
        <v>9.6162264701590541</v>
      </c>
      <c r="I120" s="90">
        <v>419</v>
      </c>
      <c r="J120" s="90">
        <v>6</v>
      </c>
      <c r="K120" s="87">
        <v>426</v>
      </c>
      <c r="L120" s="88">
        <f t="shared" si="1"/>
        <v>98.588235294117638</v>
      </c>
      <c r="M120" s="87">
        <v>6475</v>
      </c>
      <c r="N120" s="89">
        <f t="shared" si="2"/>
        <v>6.5791505791505793</v>
      </c>
      <c r="O120" s="90"/>
      <c r="P120" s="90"/>
    </row>
    <row r="121" spans="1:16">
      <c r="A121" s="85">
        <v>30203</v>
      </c>
      <c r="B121" s="95" t="s">
        <v>170</v>
      </c>
      <c r="C121" s="87">
        <v>504</v>
      </c>
      <c r="D121" s="87">
        <v>112</v>
      </c>
      <c r="E121" s="87">
        <v>623</v>
      </c>
      <c r="F121" s="88">
        <f t="shared" si="5"/>
        <v>81.818181818181827</v>
      </c>
      <c r="G121" s="87">
        <v>5643</v>
      </c>
      <c r="H121" s="89">
        <f t="shared" si="0"/>
        <v>11.040226829700513</v>
      </c>
      <c r="I121" s="90">
        <v>540</v>
      </c>
      <c r="J121" s="90">
        <v>25</v>
      </c>
      <c r="K121" s="87">
        <v>572</v>
      </c>
      <c r="L121" s="88">
        <f t="shared" si="1"/>
        <v>95.575221238938056</v>
      </c>
      <c r="M121" s="87">
        <v>6700</v>
      </c>
      <c r="N121" s="89">
        <f t="shared" si="2"/>
        <v>8.5373134328358198</v>
      </c>
      <c r="O121" s="90"/>
      <c r="P121" s="90"/>
    </row>
    <row r="122" spans="1:16">
      <c r="A122" s="85">
        <v>30301</v>
      </c>
      <c r="B122" s="95" t="s">
        <v>171</v>
      </c>
      <c r="C122" s="87">
        <v>2464</v>
      </c>
      <c r="D122" s="87">
        <v>486</v>
      </c>
      <c r="E122" s="87">
        <v>2985</v>
      </c>
      <c r="F122" s="88">
        <f t="shared" si="5"/>
        <v>83.525423728813564</v>
      </c>
      <c r="G122" s="87">
        <v>23658</v>
      </c>
      <c r="H122" s="89">
        <f t="shared" si="0"/>
        <v>12.617296474765407</v>
      </c>
      <c r="I122" s="90">
        <v>1839</v>
      </c>
      <c r="J122" s="90">
        <v>63</v>
      </c>
      <c r="K122" s="87">
        <v>1912</v>
      </c>
      <c r="L122" s="88">
        <f t="shared" si="1"/>
        <v>96.687697160883275</v>
      </c>
      <c r="M122" s="87">
        <v>21815</v>
      </c>
      <c r="N122" s="89">
        <f t="shared" si="2"/>
        <v>8.7646115058446021</v>
      </c>
      <c r="O122" s="90"/>
      <c r="P122" s="90"/>
    </row>
    <row r="123" spans="1:16">
      <c r="A123" s="85">
        <v>30302</v>
      </c>
      <c r="B123" s="95" t="s">
        <v>172</v>
      </c>
      <c r="C123" s="87">
        <v>1166</v>
      </c>
      <c r="D123" s="87">
        <v>305</v>
      </c>
      <c r="E123" s="87">
        <v>1495</v>
      </c>
      <c r="F123" s="88">
        <f t="shared" si="5"/>
        <v>79.265805574439156</v>
      </c>
      <c r="G123" s="87">
        <v>12797</v>
      </c>
      <c r="H123" s="89">
        <f t="shared" si="0"/>
        <v>11.682425568492615</v>
      </c>
      <c r="I123" s="90">
        <v>1130</v>
      </c>
      <c r="J123" s="90">
        <v>17</v>
      </c>
      <c r="K123" s="87">
        <v>1157</v>
      </c>
      <c r="L123" s="88">
        <f t="shared" si="1"/>
        <v>98.517872711421091</v>
      </c>
      <c r="M123" s="87">
        <v>14720</v>
      </c>
      <c r="N123" s="89">
        <f t="shared" si="2"/>
        <v>7.8600543478260869</v>
      </c>
      <c r="O123" s="90"/>
      <c r="P123" s="90"/>
    </row>
    <row r="124" spans="1:16">
      <c r="A124" s="85">
        <v>30303</v>
      </c>
      <c r="B124" s="95" t="s">
        <v>173</v>
      </c>
      <c r="C124" s="87">
        <v>1806</v>
      </c>
      <c r="D124" s="87">
        <v>599</v>
      </c>
      <c r="E124" s="87">
        <v>2438</v>
      </c>
      <c r="F124" s="88">
        <f t="shared" si="5"/>
        <v>75.093555093555096</v>
      </c>
      <c r="G124" s="87">
        <v>18076</v>
      </c>
      <c r="H124" s="89">
        <f t="shared" si="0"/>
        <v>13.487497233901305</v>
      </c>
      <c r="I124" s="90">
        <v>1876</v>
      </c>
      <c r="J124" s="90">
        <v>51</v>
      </c>
      <c r="K124" s="87">
        <v>1965</v>
      </c>
      <c r="L124" s="88">
        <f t="shared" si="1"/>
        <v>97.353399065905549</v>
      </c>
      <c r="M124" s="87">
        <v>19608</v>
      </c>
      <c r="N124" s="89">
        <f t="shared" si="2"/>
        <v>10.02141982864137</v>
      </c>
      <c r="O124" s="90"/>
      <c r="P124" s="90"/>
    </row>
    <row r="125" spans="1:16">
      <c r="A125" s="85">
        <v>30401</v>
      </c>
      <c r="B125" s="95" t="s">
        <v>175</v>
      </c>
      <c r="C125" s="87">
        <v>701</v>
      </c>
      <c r="D125" s="87">
        <v>54</v>
      </c>
      <c r="E125" s="87">
        <v>761</v>
      </c>
      <c r="F125" s="88">
        <f t="shared" si="5"/>
        <v>92.847682119205302</v>
      </c>
      <c r="G125" s="87">
        <v>8242</v>
      </c>
      <c r="H125" s="89">
        <f t="shared" si="0"/>
        <v>9.2331958262557627</v>
      </c>
      <c r="I125" s="90">
        <v>797</v>
      </c>
      <c r="J125" s="90">
        <v>17</v>
      </c>
      <c r="K125" s="87">
        <v>815</v>
      </c>
      <c r="L125" s="88">
        <f t="shared" si="1"/>
        <v>97.911547911547913</v>
      </c>
      <c r="M125" s="87">
        <v>11273</v>
      </c>
      <c r="N125" s="89">
        <f t="shared" si="2"/>
        <v>7.2296637984564889</v>
      </c>
      <c r="O125" s="90"/>
      <c r="P125" s="90"/>
    </row>
    <row r="126" spans="1:16">
      <c r="A126" s="85">
        <v>30402</v>
      </c>
      <c r="B126" s="95" t="s">
        <v>176</v>
      </c>
      <c r="C126" s="87">
        <v>726</v>
      </c>
      <c r="D126" s="87">
        <v>83</v>
      </c>
      <c r="E126" s="87">
        <v>824</v>
      </c>
      <c r="F126" s="88">
        <f t="shared" si="5"/>
        <v>89.740420271940664</v>
      </c>
      <c r="G126" s="87">
        <v>7192</v>
      </c>
      <c r="H126" s="89">
        <f t="shared" si="0"/>
        <v>11.457174638487208</v>
      </c>
      <c r="I126" s="90">
        <v>449</v>
      </c>
      <c r="J126" s="90">
        <v>7</v>
      </c>
      <c r="K126" s="87">
        <v>468</v>
      </c>
      <c r="L126" s="88">
        <f t="shared" si="1"/>
        <v>98.464912280701753</v>
      </c>
      <c r="M126" s="87">
        <v>7335</v>
      </c>
      <c r="N126" s="89">
        <f t="shared" si="2"/>
        <v>6.3803680981595097</v>
      </c>
      <c r="O126" s="90"/>
      <c r="P126" s="90"/>
    </row>
    <row r="127" spans="1:16">
      <c r="A127" s="85">
        <v>30403</v>
      </c>
      <c r="B127" s="95" t="s">
        <v>177</v>
      </c>
      <c r="C127" s="87">
        <v>1550</v>
      </c>
      <c r="D127" s="87">
        <v>156</v>
      </c>
      <c r="E127" s="87">
        <v>1729</v>
      </c>
      <c r="F127" s="88">
        <f t="shared" si="5"/>
        <v>90.855803048065653</v>
      </c>
      <c r="G127" s="87">
        <v>17445</v>
      </c>
      <c r="H127" s="89">
        <f t="shared" si="0"/>
        <v>9.9111493264545718</v>
      </c>
      <c r="I127" s="90">
        <v>2510</v>
      </c>
      <c r="J127" s="90">
        <v>69</v>
      </c>
      <c r="K127" s="87">
        <v>2592</v>
      </c>
      <c r="L127" s="88">
        <f t="shared" si="1"/>
        <v>97.324544397053131</v>
      </c>
      <c r="M127" s="87">
        <v>29375</v>
      </c>
      <c r="N127" s="89">
        <f t="shared" si="2"/>
        <v>8.8238297872340432</v>
      </c>
      <c r="O127" s="90"/>
      <c r="P127" s="90"/>
    </row>
    <row r="128" spans="1:16">
      <c r="A128" s="85">
        <v>30404</v>
      </c>
      <c r="B128" s="95" t="s">
        <v>178</v>
      </c>
      <c r="C128" s="87">
        <v>408</v>
      </c>
      <c r="D128" s="87">
        <v>53</v>
      </c>
      <c r="E128" s="87">
        <v>470</v>
      </c>
      <c r="F128" s="88">
        <f t="shared" si="5"/>
        <v>88.50325379609545</v>
      </c>
      <c r="G128" s="87">
        <v>4366</v>
      </c>
      <c r="H128" s="89">
        <f t="shared" si="0"/>
        <v>10.76500229042602</v>
      </c>
      <c r="I128" s="90">
        <v>301</v>
      </c>
      <c r="J128" s="90">
        <v>9</v>
      </c>
      <c r="K128" s="87">
        <v>311</v>
      </c>
      <c r="L128" s="88">
        <f t="shared" si="1"/>
        <v>97.096774193548384</v>
      </c>
      <c r="M128" s="87">
        <v>4987</v>
      </c>
      <c r="N128" s="89">
        <f t="shared" si="2"/>
        <v>6.2362141568076996</v>
      </c>
      <c r="O128" s="90"/>
      <c r="P128" s="90"/>
    </row>
    <row r="129" spans="1:16">
      <c r="A129" s="85">
        <v>30501</v>
      </c>
      <c r="B129" s="95" t="s">
        <v>179</v>
      </c>
      <c r="C129" s="87">
        <v>785</v>
      </c>
      <c r="D129" s="87">
        <v>40</v>
      </c>
      <c r="E129" s="87">
        <v>844</v>
      </c>
      <c r="F129" s="88">
        <f t="shared" si="5"/>
        <v>95.151515151515156</v>
      </c>
      <c r="G129" s="87">
        <v>9504</v>
      </c>
      <c r="H129" s="89">
        <f t="shared" si="0"/>
        <v>8.8804713804713806</v>
      </c>
      <c r="I129" s="90">
        <v>710</v>
      </c>
      <c r="J129" s="90">
        <v>17</v>
      </c>
      <c r="K129" s="87">
        <v>731</v>
      </c>
      <c r="L129" s="88">
        <f t="shared" si="1"/>
        <v>97.661623108665751</v>
      </c>
      <c r="M129" s="87">
        <v>11183</v>
      </c>
      <c r="N129" s="89">
        <f t="shared" si="2"/>
        <v>6.5367075024590893</v>
      </c>
      <c r="O129" s="90"/>
      <c r="P129" s="90"/>
    </row>
    <row r="130" spans="1:16">
      <c r="A130" s="85">
        <v>30502</v>
      </c>
      <c r="B130" s="95" t="s">
        <v>180</v>
      </c>
      <c r="C130" s="87">
        <v>825</v>
      </c>
      <c r="D130" s="87">
        <v>68</v>
      </c>
      <c r="E130" s="87">
        <v>907</v>
      </c>
      <c r="F130" s="88">
        <f t="shared" si="5"/>
        <v>92.38521836506159</v>
      </c>
      <c r="G130" s="87">
        <v>8940</v>
      </c>
      <c r="H130" s="89">
        <f t="shared" si="0"/>
        <v>10.145413870246085</v>
      </c>
      <c r="I130" s="90">
        <v>518</v>
      </c>
      <c r="J130" s="90">
        <v>15</v>
      </c>
      <c r="K130" s="87">
        <v>535</v>
      </c>
      <c r="L130" s="88">
        <f t="shared" si="1"/>
        <v>97.185741088180109</v>
      </c>
      <c r="M130" s="87">
        <v>8409</v>
      </c>
      <c r="N130" s="89">
        <f t="shared" si="2"/>
        <v>6.3622309430372228</v>
      </c>
      <c r="O130" s="90"/>
      <c r="P130" s="90"/>
    </row>
    <row r="131" spans="1:16">
      <c r="A131" s="85">
        <v>30601</v>
      </c>
      <c r="B131" s="95" t="s">
        <v>181</v>
      </c>
      <c r="C131" s="87">
        <v>1405</v>
      </c>
      <c r="D131" s="87">
        <v>198</v>
      </c>
      <c r="E131" s="87">
        <v>1629</v>
      </c>
      <c r="F131" s="88">
        <f t="shared" si="5"/>
        <v>87.64815970056145</v>
      </c>
      <c r="G131" s="87">
        <v>10597</v>
      </c>
      <c r="H131" s="89">
        <f t="shared" si="0"/>
        <v>15.372275172218552</v>
      </c>
      <c r="I131" s="90">
        <v>1123</v>
      </c>
      <c r="J131" s="90">
        <v>11</v>
      </c>
      <c r="K131" s="87">
        <v>1149</v>
      </c>
      <c r="L131" s="88">
        <f t="shared" si="1"/>
        <v>99.029982363315696</v>
      </c>
      <c r="M131" s="87">
        <v>10632</v>
      </c>
      <c r="N131" s="89">
        <f t="shared" si="2"/>
        <v>10.806997742663658</v>
      </c>
      <c r="O131" s="90"/>
      <c r="P131" s="90"/>
    </row>
    <row r="132" spans="1:16">
      <c r="A132" s="85">
        <v>30602</v>
      </c>
      <c r="B132" s="95" t="s">
        <v>182</v>
      </c>
      <c r="C132" s="87">
        <v>1099</v>
      </c>
      <c r="D132" s="87">
        <v>105</v>
      </c>
      <c r="E132" s="87">
        <v>1232</v>
      </c>
      <c r="F132" s="88">
        <f t="shared" si="5"/>
        <v>91.279069767441854</v>
      </c>
      <c r="G132" s="87">
        <v>10253</v>
      </c>
      <c r="H132" s="89">
        <f t="shared" si="0"/>
        <v>12.015995318443382</v>
      </c>
      <c r="I132" s="90">
        <v>788</v>
      </c>
      <c r="J132" s="90">
        <v>10</v>
      </c>
      <c r="K132" s="87">
        <v>819</v>
      </c>
      <c r="L132" s="88">
        <f t="shared" si="1"/>
        <v>98.746867167919788</v>
      </c>
      <c r="M132" s="87">
        <v>10750</v>
      </c>
      <c r="N132" s="89">
        <f t="shared" si="2"/>
        <v>7.6186046511627898</v>
      </c>
      <c r="O132" s="90"/>
      <c r="P132" s="90"/>
    </row>
    <row r="133" spans="1:16">
      <c r="A133" s="85">
        <v>30701</v>
      </c>
      <c r="B133" s="95" t="s">
        <v>183</v>
      </c>
      <c r="C133" s="87">
        <v>2067</v>
      </c>
      <c r="D133" s="87">
        <v>135</v>
      </c>
      <c r="E133" s="87">
        <v>2243</v>
      </c>
      <c r="F133" s="88">
        <f t="shared" si="5"/>
        <v>93.869209809264305</v>
      </c>
      <c r="G133" s="87">
        <v>19477</v>
      </c>
      <c r="H133" s="89">
        <f t="shared" si="0"/>
        <v>11.516147250603275</v>
      </c>
      <c r="I133" s="90">
        <v>1521</v>
      </c>
      <c r="J133" s="90">
        <v>20</v>
      </c>
      <c r="K133" s="87">
        <v>1550</v>
      </c>
      <c r="L133" s="88">
        <f t="shared" si="1"/>
        <v>98.702141466580144</v>
      </c>
      <c r="M133" s="87">
        <v>19427</v>
      </c>
      <c r="N133" s="89">
        <f t="shared" si="2"/>
        <v>7.9785865033201215</v>
      </c>
      <c r="O133" s="90"/>
      <c r="P133" s="90"/>
    </row>
    <row r="134" spans="1:16">
      <c r="A134" s="85">
        <v>30702</v>
      </c>
      <c r="B134" s="95" t="s">
        <v>184</v>
      </c>
      <c r="C134" s="87">
        <v>549</v>
      </c>
      <c r="D134" s="87">
        <v>27</v>
      </c>
      <c r="E134" s="87">
        <v>584</v>
      </c>
      <c r="F134" s="88">
        <f t="shared" si="5"/>
        <v>95.3125</v>
      </c>
      <c r="G134" s="87">
        <v>6527</v>
      </c>
      <c r="H134" s="89">
        <f t="shared" si="0"/>
        <v>8.9474490577600729</v>
      </c>
      <c r="I134" s="90">
        <v>557</v>
      </c>
      <c r="J134" s="90">
        <v>10</v>
      </c>
      <c r="K134" s="87">
        <v>567</v>
      </c>
      <c r="L134" s="88">
        <f t="shared" si="1"/>
        <v>98.236331569664898</v>
      </c>
      <c r="M134" s="87">
        <v>7940</v>
      </c>
      <c r="N134" s="89">
        <f t="shared" si="2"/>
        <v>7.1410579345088152</v>
      </c>
      <c r="O134" s="90"/>
      <c r="P134" s="90"/>
    </row>
    <row r="135" spans="1:16">
      <c r="A135" s="85">
        <v>30703</v>
      </c>
      <c r="B135" s="95" t="s">
        <v>185</v>
      </c>
      <c r="C135" s="87">
        <v>441</v>
      </c>
      <c r="D135" s="87">
        <v>32</v>
      </c>
      <c r="E135" s="87">
        <v>474</v>
      </c>
      <c r="F135" s="88">
        <f t="shared" si="5"/>
        <v>93.234672304439741</v>
      </c>
      <c r="G135" s="87">
        <v>3740</v>
      </c>
      <c r="H135" s="89">
        <f t="shared" si="0"/>
        <v>12.67379679144385</v>
      </c>
      <c r="I135" s="90">
        <v>325</v>
      </c>
      <c r="J135" s="90">
        <v>6</v>
      </c>
      <c r="K135" s="87">
        <v>336</v>
      </c>
      <c r="L135" s="88">
        <f t="shared" si="1"/>
        <v>98.187311178247739</v>
      </c>
      <c r="M135" s="87">
        <v>3980</v>
      </c>
      <c r="N135" s="89">
        <f t="shared" si="2"/>
        <v>8.4422110552763812</v>
      </c>
      <c r="O135" s="90"/>
      <c r="P135" s="90"/>
    </row>
    <row r="136" spans="1:16">
      <c r="A136" s="85">
        <v>30801</v>
      </c>
      <c r="B136" s="95" t="s">
        <v>187</v>
      </c>
      <c r="C136" s="87">
        <v>1915</v>
      </c>
      <c r="D136" s="87">
        <v>215</v>
      </c>
      <c r="E136" s="87">
        <v>2191</v>
      </c>
      <c r="F136" s="88">
        <f t="shared" si="5"/>
        <v>89.906103286384976</v>
      </c>
      <c r="G136" s="87">
        <v>21899</v>
      </c>
      <c r="H136" s="89">
        <f t="shared" si="0"/>
        <v>10.005023060413718</v>
      </c>
      <c r="I136" s="90">
        <v>1482</v>
      </c>
      <c r="J136" s="90">
        <v>49</v>
      </c>
      <c r="K136" s="87">
        <v>1594</v>
      </c>
      <c r="L136" s="88">
        <f t="shared" si="1"/>
        <v>96.799477465708677</v>
      </c>
      <c r="M136" s="87">
        <v>21155</v>
      </c>
      <c r="N136" s="89">
        <f t="shared" si="2"/>
        <v>7.5348617348144646</v>
      </c>
      <c r="O136" s="90"/>
      <c r="P136" s="90"/>
    </row>
    <row r="137" spans="1:16">
      <c r="A137" s="85">
        <v>30802</v>
      </c>
      <c r="B137" s="95" t="s">
        <v>188</v>
      </c>
      <c r="C137" s="87">
        <v>460</v>
      </c>
      <c r="D137" s="87">
        <v>45</v>
      </c>
      <c r="E137" s="87">
        <v>513</v>
      </c>
      <c r="F137" s="88">
        <f t="shared" si="5"/>
        <v>91.089108910891099</v>
      </c>
      <c r="G137" s="87">
        <v>7057</v>
      </c>
      <c r="H137" s="89">
        <f t="shared" si="0"/>
        <v>7.2693779226300128</v>
      </c>
      <c r="I137" s="90">
        <v>481</v>
      </c>
      <c r="J137" s="90">
        <v>12</v>
      </c>
      <c r="K137" s="87">
        <v>495</v>
      </c>
      <c r="L137" s="88">
        <f t="shared" si="1"/>
        <v>97.56592292089249</v>
      </c>
      <c r="M137" s="87">
        <v>7382</v>
      </c>
      <c r="N137" s="89">
        <f t="shared" si="2"/>
        <v>6.7054998645353567</v>
      </c>
      <c r="O137" s="90"/>
      <c r="P137" s="90"/>
    </row>
    <row r="138" spans="1:16">
      <c r="A138" s="85">
        <v>30803</v>
      </c>
      <c r="B138" s="95" t="s">
        <v>189</v>
      </c>
      <c r="C138" s="87">
        <v>451</v>
      </c>
      <c r="D138" s="87">
        <v>35</v>
      </c>
      <c r="E138" s="87">
        <v>494</v>
      </c>
      <c r="F138" s="88">
        <f t="shared" si="5"/>
        <v>92.798353909465021</v>
      </c>
      <c r="G138" s="87">
        <v>5542</v>
      </c>
      <c r="H138" s="89">
        <f t="shared" si="0"/>
        <v>8.9137495488993146</v>
      </c>
      <c r="I138" s="90">
        <v>559</v>
      </c>
      <c r="J138" s="90">
        <v>15</v>
      </c>
      <c r="K138" s="87">
        <v>581</v>
      </c>
      <c r="L138" s="88">
        <f t="shared" si="1"/>
        <v>97.386759581881535</v>
      </c>
      <c r="M138" s="87">
        <v>8687</v>
      </c>
      <c r="N138" s="89">
        <f t="shared" si="2"/>
        <v>6.6881547139403708</v>
      </c>
      <c r="O138" s="90"/>
      <c r="P138" s="90"/>
    </row>
    <row r="139" spans="1:16">
      <c r="A139" s="85">
        <v>30901</v>
      </c>
      <c r="B139" s="95" t="s">
        <v>190</v>
      </c>
      <c r="C139" s="87">
        <v>13091</v>
      </c>
      <c r="D139" s="87">
        <v>1232</v>
      </c>
      <c r="E139" s="87">
        <v>14548</v>
      </c>
      <c r="F139" s="88">
        <f t="shared" si="5"/>
        <v>91.398450045381551</v>
      </c>
      <c r="G139" s="87">
        <v>137182</v>
      </c>
      <c r="H139" s="89">
        <f t="shared" si="0"/>
        <v>10.60488985435407</v>
      </c>
      <c r="I139" s="90">
        <v>11840</v>
      </c>
      <c r="J139" s="90">
        <v>250</v>
      </c>
      <c r="K139" s="87">
        <v>12149</v>
      </c>
      <c r="L139" s="88">
        <f t="shared" si="1"/>
        <v>97.932175351530191</v>
      </c>
      <c r="M139" s="87">
        <v>166741</v>
      </c>
      <c r="N139" s="89">
        <f t="shared" si="2"/>
        <v>7.2861503769318876</v>
      </c>
      <c r="O139" s="90"/>
      <c r="P139" s="90"/>
    </row>
    <row r="140" spans="1:16">
      <c r="A140" s="85">
        <v>30902</v>
      </c>
      <c r="B140" s="95" t="s">
        <v>191</v>
      </c>
      <c r="C140" s="87">
        <v>4278</v>
      </c>
      <c r="D140" s="87">
        <v>529</v>
      </c>
      <c r="E140" s="87">
        <v>4877</v>
      </c>
      <c r="F140" s="88">
        <f t="shared" si="5"/>
        <v>88.995215311004785</v>
      </c>
      <c r="G140" s="87">
        <v>41571</v>
      </c>
      <c r="H140" s="89">
        <f t="shared" si="0"/>
        <v>11.731736066007553</v>
      </c>
      <c r="I140" s="90">
        <v>5000</v>
      </c>
      <c r="J140" s="90">
        <v>103</v>
      </c>
      <c r="K140" s="87">
        <v>5116</v>
      </c>
      <c r="L140" s="88">
        <f t="shared" si="1"/>
        <v>97.981579463060939</v>
      </c>
      <c r="M140" s="87">
        <v>55908</v>
      </c>
      <c r="N140" s="89">
        <f t="shared" si="2"/>
        <v>9.1507476568648496</v>
      </c>
      <c r="O140" s="90"/>
      <c r="P140" s="90"/>
    </row>
    <row r="141" spans="1:16">
      <c r="A141" s="85">
        <v>30903</v>
      </c>
      <c r="B141" s="95" t="s">
        <v>192</v>
      </c>
      <c r="C141" s="87">
        <v>5059</v>
      </c>
      <c r="D141" s="87">
        <v>572</v>
      </c>
      <c r="E141" s="87">
        <v>5692</v>
      </c>
      <c r="F141" s="88">
        <f t="shared" si="5"/>
        <v>89.841946368318233</v>
      </c>
      <c r="G141" s="87">
        <v>53904</v>
      </c>
      <c r="H141" s="89">
        <f t="shared" si="0"/>
        <v>10.55951320866726</v>
      </c>
      <c r="I141" s="90">
        <v>4184</v>
      </c>
      <c r="J141" s="90">
        <v>97</v>
      </c>
      <c r="K141" s="87">
        <v>4295</v>
      </c>
      <c r="L141" s="88">
        <f t="shared" si="1"/>
        <v>97.734174258350848</v>
      </c>
      <c r="M141" s="87">
        <v>61840</v>
      </c>
      <c r="N141" s="89">
        <f t="shared" si="2"/>
        <v>6.9453428201811125</v>
      </c>
      <c r="O141" s="90"/>
      <c r="P141" s="90"/>
    </row>
    <row r="142" spans="1:16">
      <c r="A142" s="85">
        <v>30904</v>
      </c>
      <c r="B142" s="95" t="s">
        <v>193</v>
      </c>
      <c r="C142" s="87">
        <v>5306</v>
      </c>
      <c r="D142" s="87">
        <v>621</v>
      </c>
      <c r="E142" s="87">
        <v>5995</v>
      </c>
      <c r="F142" s="88">
        <f t="shared" si="5"/>
        <v>89.52252404251729</v>
      </c>
      <c r="G142" s="87">
        <v>51968</v>
      </c>
      <c r="H142" s="89">
        <f t="shared" si="0"/>
        <v>11.535945197044335</v>
      </c>
      <c r="I142" s="90">
        <v>4352</v>
      </c>
      <c r="J142" s="90">
        <v>111</v>
      </c>
      <c r="K142" s="87">
        <v>4481</v>
      </c>
      <c r="L142" s="88">
        <f t="shared" si="1"/>
        <v>97.512883710508618</v>
      </c>
      <c r="M142" s="87">
        <v>56064</v>
      </c>
      <c r="N142" s="89">
        <f t="shared" si="2"/>
        <v>7.9926512557077629</v>
      </c>
      <c r="O142" s="90"/>
      <c r="P142" s="90"/>
    </row>
    <row r="143" spans="1:16">
      <c r="A143" s="85">
        <v>30905</v>
      </c>
      <c r="B143" s="95" t="s">
        <v>194</v>
      </c>
      <c r="C143" s="87">
        <v>4716</v>
      </c>
      <c r="D143" s="87">
        <v>364</v>
      </c>
      <c r="E143" s="87">
        <v>5112</v>
      </c>
      <c r="F143" s="88">
        <f t="shared" si="5"/>
        <v>92.834645669291334</v>
      </c>
      <c r="G143" s="87">
        <v>51990</v>
      </c>
      <c r="H143" s="89">
        <f t="shared" si="0"/>
        <v>9.8326601269474896</v>
      </c>
      <c r="I143" s="90">
        <v>4183</v>
      </c>
      <c r="J143" s="90">
        <v>68</v>
      </c>
      <c r="K143" s="87">
        <v>4266</v>
      </c>
      <c r="L143" s="88">
        <f t="shared" si="1"/>
        <v>98.400376382027758</v>
      </c>
      <c r="M143" s="87">
        <v>66505</v>
      </c>
      <c r="N143" s="89">
        <f t="shared" si="2"/>
        <v>6.4145552965942407</v>
      </c>
      <c r="O143" s="90"/>
      <c r="P143" s="90"/>
    </row>
    <row r="144" spans="1:16">
      <c r="A144" s="85">
        <v>31001</v>
      </c>
      <c r="B144" s="95" t="s">
        <v>196</v>
      </c>
      <c r="C144" s="87">
        <v>16507</v>
      </c>
      <c r="D144" s="87">
        <v>1593</v>
      </c>
      <c r="E144" s="87">
        <v>18298</v>
      </c>
      <c r="F144" s="88">
        <f t="shared" si="5"/>
        <v>91.198895027624303</v>
      </c>
      <c r="G144" s="87">
        <v>172466</v>
      </c>
      <c r="H144" s="89">
        <f t="shared" si="0"/>
        <v>10.60962740482182</v>
      </c>
      <c r="I144" s="90">
        <v>15056</v>
      </c>
      <c r="J144" s="90">
        <v>315</v>
      </c>
      <c r="K144" s="87">
        <v>15431</v>
      </c>
      <c r="L144" s="88">
        <f t="shared" si="1"/>
        <v>97.950686357426321</v>
      </c>
      <c r="M144" s="87">
        <v>219092</v>
      </c>
      <c r="N144" s="89">
        <f t="shared" si="2"/>
        <v>7.0431599510707832</v>
      </c>
      <c r="O144" s="90"/>
      <c r="P144" s="90"/>
    </row>
    <row r="145" spans="1:16">
      <c r="A145" s="85">
        <v>31002</v>
      </c>
      <c r="B145" s="95" t="s">
        <v>197</v>
      </c>
      <c r="C145" s="87">
        <v>2080</v>
      </c>
      <c r="D145" s="87">
        <v>247</v>
      </c>
      <c r="E145" s="87">
        <v>2368</v>
      </c>
      <c r="F145" s="88">
        <f t="shared" si="5"/>
        <v>89.385474860335194</v>
      </c>
      <c r="G145" s="87">
        <v>19285</v>
      </c>
      <c r="H145" s="89">
        <f t="shared" si="0"/>
        <v>12.278973295307233</v>
      </c>
      <c r="I145" s="90">
        <v>1739</v>
      </c>
      <c r="J145" s="90">
        <v>38</v>
      </c>
      <c r="K145" s="87">
        <v>1783</v>
      </c>
      <c r="L145" s="88">
        <f t="shared" si="1"/>
        <v>97.861564434440069</v>
      </c>
      <c r="M145" s="87">
        <v>21846</v>
      </c>
      <c r="N145" s="89">
        <f t="shared" si="2"/>
        <v>8.1616771949098244</v>
      </c>
      <c r="O145" s="90"/>
      <c r="P145" s="90"/>
    </row>
    <row r="146" spans="1:16">
      <c r="A146" s="85">
        <v>31003</v>
      </c>
      <c r="B146" s="95" t="s">
        <v>198</v>
      </c>
      <c r="C146" s="87">
        <v>8077</v>
      </c>
      <c r="D146" s="87">
        <v>1243</v>
      </c>
      <c r="E146" s="87">
        <v>9593</v>
      </c>
      <c r="F146" s="88">
        <f t="shared" si="5"/>
        <v>86.663090128755357</v>
      </c>
      <c r="G146" s="87">
        <v>71386</v>
      </c>
      <c r="H146" s="89">
        <f t="shared" si="0"/>
        <v>13.438209172666909</v>
      </c>
      <c r="I146" s="90">
        <v>7701</v>
      </c>
      <c r="J146" s="90">
        <v>210</v>
      </c>
      <c r="K146" s="87">
        <v>7992</v>
      </c>
      <c r="L146" s="88">
        <f t="shared" si="1"/>
        <v>97.345468335229427</v>
      </c>
      <c r="M146" s="87">
        <v>93747</v>
      </c>
      <c r="N146" s="89">
        <f t="shared" si="2"/>
        <v>8.5250728023296745</v>
      </c>
      <c r="O146" s="90"/>
      <c r="P146" s="90"/>
    </row>
    <row r="147" spans="1:16">
      <c r="A147" s="85">
        <v>31101</v>
      </c>
      <c r="B147" s="95" t="s">
        <v>199</v>
      </c>
      <c r="C147" s="87">
        <v>2609</v>
      </c>
      <c r="D147" s="87">
        <v>261</v>
      </c>
      <c r="E147" s="87">
        <v>2906</v>
      </c>
      <c r="F147" s="88">
        <f t="shared" si="5"/>
        <v>90.905923344947738</v>
      </c>
      <c r="G147" s="87">
        <v>24625</v>
      </c>
      <c r="H147" s="89">
        <f t="shared" si="0"/>
        <v>11.801015228426396</v>
      </c>
      <c r="I147" s="90">
        <v>2111</v>
      </c>
      <c r="J147" s="90">
        <v>35</v>
      </c>
      <c r="K147" s="87">
        <v>2173</v>
      </c>
      <c r="L147" s="88">
        <f t="shared" si="1"/>
        <v>98.369058713886304</v>
      </c>
      <c r="M147" s="87">
        <v>24666</v>
      </c>
      <c r="N147" s="89">
        <f t="shared" si="2"/>
        <v>8.8096975593934967</v>
      </c>
      <c r="O147" s="90"/>
      <c r="P147" s="90"/>
    </row>
    <row r="148" spans="1:16">
      <c r="A148" s="85">
        <v>31201</v>
      </c>
      <c r="B148" s="95" t="s">
        <v>201</v>
      </c>
      <c r="C148" s="87">
        <v>1646</v>
      </c>
      <c r="D148" s="87">
        <v>199</v>
      </c>
      <c r="E148" s="87">
        <v>1881</v>
      </c>
      <c r="F148" s="88">
        <f t="shared" si="5"/>
        <v>89.214092140921409</v>
      </c>
      <c r="G148" s="87">
        <v>14665</v>
      </c>
      <c r="H148" s="89">
        <f t="shared" si="0"/>
        <v>12.826457551994544</v>
      </c>
      <c r="I148" s="90">
        <v>1453</v>
      </c>
      <c r="J148" s="90">
        <v>41</v>
      </c>
      <c r="K148" s="87">
        <v>1518</v>
      </c>
      <c r="L148" s="88">
        <f t="shared" si="1"/>
        <v>97.255689424364121</v>
      </c>
      <c r="M148" s="87">
        <v>14821</v>
      </c>
      <c r="N148" s="89">
        <f t="shared" si="2"/>
        <v>10.242223871533634</v>
      </c>
      <c r="O148" s="90"/>
      <c r="P148" s="90"/>
    </row>
    <row r="149" spans="1:16">
      <c r="A149" s="85">
        <v>31202</v>
      </c>
      <c r="B149" s="95" t="s">
        <v>202</v>
      </c>
      <c r="C149" s="87">
        <v>1204</v>
      </c>
      <c r="D149" s="87">
        <v>130</v>
      </c>
      <c r="E149" s="87">
        <v>1353</v>
      </c>
      <c r="F149" s="88">
        <f t="shared" si="5"/>
        <v>90.254872563718138</v>
      </c>
      <c r="G149" s="87">
        <v>10156</v>
      </c>
      <c r="H149" s="89">
        <f t="shared" si="0"/>
        <v>13.322174084285152</v>
      </c>
      <c r="I149" s="90">
        <v>1057</v>
      </c>
      <c r="J149" s="90">
        <v>39</v>
      </c>
      <c r="K149" s="87">
        <v>1104</v>
      </c>
      <c r="L149" s="88">
        <f t="shared" si="1"/>
        <v>96.441605839416056</v>
      </c>
      <c r="M149" s="87">
        <v>11865</v>
      </c>
      <c r="N149" s="89">
        <f t="shared" si="2"/>
        <v>9.3046776232616946</v>
      </c>
      <c r="O149" s="90"/>
      <c r="P149" s="90"/>
    </row>
    <row r="150" spans="1:16">
      <c r="A150" s="85">
        <v>31203</v>
      </c>
      <c r="B150" s="95" t="s">
        <v>203</v>
      </c>
      <c r="C150" s="87">
        <v>1018</v>
      </c>
      <c r="D150" s="87">
        <v>103</v>
      </c>
      <c r="E150" s="87">
        <v>1146</v>
      </c>
      <c r="F150" s="88">
        <f t="shared" si="5"/>
        <v>90.811775200713654</v>
      </c>
      <c r="G150" s="87">
        <v>10750</v>
      </c>
      <c r="H150" s="89">
        <f t="shared" si="0"/>
        <v>10.660465116279068</v>
      </c>
      <c r="I150" s="90">
        <v>891</v>
      </c>
      <c r="J150" s="90">
        <v>23</v>
      </c>
      <c r="K150" s="87">
        <v>923</v>
      </c>
      <c r="L150" s="88">
        <f t="shared" si="1"/>
        <v>97.483588621444213</v>
      </c>
      <c r="M150" s="87">
        <v>12258</v>
      </c>
      <c r="N150" s="89">
        <f t="shared" si="2"/>
        <v>7.5297764725077503</v>
      </c>
      <c r="O150" s="90"/>
      <c r="P150" s="90"/>
    </row>
    <row r="151" spans="1:16">
      <c r="A151" s="85">
        <v>31204</v>
      </c>
      <c r="B151" s="95" t="s">
        <v>204</v>
      </c>
      <c r="C151" s="87">
        <v>2371</v>
      </c>
      <c r="D151" s="87">
        <v>465</v>
      </c>
      <c r="E151" s="87">
        <v>2885</v>
      </c>
      <c r="F151" s="88">
        <f t="shared" si="5"/>
        <v>83.603667136812405</v>
      </c>
      <c r="G151" s="87">
        <v>21736</v>
      </c>
      <c r="H151" s="89">
        <f t="shared" si="0"/>
        <v>13.272911299227088</v>
      </c>
      <c r="I151" s="90">
        <v>2200</v>
      </c>
      <c r="J151" s="90">
        <v>80</v>
      </c>
      <c r="K151" s="87">
        <v>2300</v>
      </c>
      <c r="L151" s="88">
        <f t="shared" si="1"/>
        <v>96.491228070175438</v>
      </c>
      <c r="M151" s="87">
        <v>27521</v>
      </c>
      <c r="N151" s="89">
        <f t="shared" si="2"/>
        <v>8.3572544602303687</v>
      </c>
      <c r="O151" s="90"/>
      <c r="P151" s="90"/>
    </row>
    <row r="152" spans="1:16">
      <c r="A152" s="85">
        <v>31205</v>
      </c>
      <c r="B152" s="95" t="s">
        <v>205</v>
      </c>
      <c r="C152" s="87">
        <v>4874</v>
      </c>
      <c r="D152" s="87">
        <v>710</v>
      </c>
      <c r="E152" s="87">
        <v>5698</v>
      </c>
      <c r="F152" s="88">
        <f t="shared" si="5"/>
        <v>87.285100286532952</v>
      </c>
      <c r="G152" s="87">
        <v>46627</v>
      </c>
      <c r="H152" s="89">
        <f t="shared" si="0"/>
        <v>12.220387329229846</v>
      </c>
      <c r="I152" s="90">
        <v>5642</v>
      </c>
      <c r="J152" s="90">
        <v>175</v>
      </c>
      <c r="K152" s="87">
        <v>5851</v>
      </c>
      <c r="L152" s="88">
        <f t="shared" si="1"/>
        <v>96.991576413959095</v>
      </c>
      <c r="M152" s="87">
        <v>64595</v>
      </c>
      <c r="N152" s="89">
        <f t="shared" si="2"/>
        <v>9.0579766235776766</v>
      </c>
      <c r="O152" s="90"/>
      <c r="P152" s="90"/>
    </row>
    <row r="153" spans="1:16">
      <c r="A153" s="85">
        <v>31206</v>
      </c>
      <c r="B153" s="95" t="s">
        <v>206</v>
      </c>
      <c r="C153" s="87">
        <v>3316</v>
      </c>
      <c r="D153" s="87">
        <v>416</v>
      </c>
      <c r="E153" s="87">
        <v>3809</v>
      </c>
      <c r="F153" s="88">
        <f t="shared" si="5"/>
        <v>88.853161843515537</v>
      </c>
      <c r="G153" s="87">
        <v>31550</v>
      </c>
      <c r="H153" s="89">
        <f t="shared" si="0"/>
        <v>12.072900158478605</v>
      </c>
      <c r="I153" s="90">
        <v>3903</v>
      </c>
      <c r="J153" s="90">
        <v>165</v>
      </c>
      <c r="K153" s="87">
        <v>4090</v>
      </c>
      <c r="L153" s="88">
        <f t="shared" si="1"/>
        <v>95.943952802359874</v>
      </c>
      <c r="M153" s="87">
        <v>45780</v>
      </c>
      <c r="N153" s="89">
        <f t="shared" si="2"/>
        <v>8.9340323285277421</v>
      </c>
      <c r="O153" s="90"/>
      <c r="P153" s="90"/>
    </row>
    <row r="154" spans="1:16">
      <c r="A154" s="85">
        <v>31301</v>
      </c>
      <c r="B154" s="95" t="s">
        <v>207</v>
      </c>
      <c r="C154" s="87">
        <v>2107</v>
      </c>
      <c r="D154" s="87">
        <v>425</v>
      </c>
      <c r="E154" s="87">
        <v>2577</v>
      </c>
      <c r="F154" s="88">
        <f t="shared" si="5"/>
        <v>83.214849921011051</v>
      </c>
      <c r="G154" s="87">
        <v>19864</v>
      </c>
      <c r="H154" s="89">
        <f t="shared" si="0"/>
        <v>12.973217881594845</v>
      </c>
      <c r="I154" s="90">
        <v>1627</v>
      </c>
      <c r="J154" s="90">
        <v>43</v>
      </c>
      <c r="K154" s="87">
        <v>1692</v>
      </c>
      <c r="L154" s="88">
        <f t="shared" si="1"/>
        <v>97.425149700598794</v>
      </c>
      <c r="M154" s="87">
        <v>19896</v>
      </c>
      <c r="N154" s="89">
        <f t="shared" si="2"/>
        <v>8.5042219541616415</v>
      </c>
      <c r="O154" s="90"/>
      <c r="P154" s="90"/>
    </row>
    <row r="155" spans="1:16">
      <c r="A155" s="85">
        <v>31302</v>
      </c>
      <c r="B155" s="95" t="s">
        <v>208</v>
      </c>
      <c r="C155" s="87">
        <v>551</v>
      </c>
      <c r="D155" s="87">
        <v>199</v>
      </c>
      <c r="E155" s="87">
        <v>777</v>
      </c>
      <c r="F155" s="88">
        <f t="shared" si="5"/>
        <v>73.466666666666669</v>
      </c>
      <c r="G155" s="87">
        <v>5459</v>
      </c>
      <c r="H155" s="89">
        <f t="shared" si="0"/>
        <v>14.233376076204433</v>
      </c>
      <c r="I155" s="90">
        <v>500</v>
      </c>
      <c r="J155" s="90">
        <v>202</v>
      </c>
      <c r="K155" s="87">
        <v>717</v>
      </c>
      <c r="L155" s="88">
        <f t="shared" si="1"/>
        <v>71.225071225071218</v>
      </c>
      <c r="M155" s="87">
        <v>5244</v>
      </c>
      <c r="N155" s="89">
        <f t="shared" si="2"/>
        <v>13.672768878718536</v>
      </c>
      <c r="O155" s="90"/>
      <c r="P155" s="90"/>
    </row>
    <row r="156" spans="1:16">
      <c r="A156" s="85">
        <v>31303</v>
      </c>
      <c r="B156" s="95" t="s">
        <v>209</v>
      </c>
      <c r="C156" s="87">
        <v>338</v>
      </c>
      <c r="D156" s="87">
        <v>79</v>
      </c>
      <c r="E156" s="87">
        <v>424</v>
      </c>
      <c r="F156" s="88">
        <f t="shared" si="5"/>
        <v>81.055155875299761</v>
      </c>
      <c r="G156" s="87">
        <v>3447</v>
      </c>
      <c r="H156" s="89">
        <f t="shared" si="0"/>
        <v>12.30055120394546</v>
      </c>
      <c r="I156" s="90">
        <v>255</v>
      </c>
      <c r="J156" s="90">
        <v>12</v>
      </c>
      <c r="K156" s="87">
        <v>269</v>
      </c>
      <c r="L156" s="88">
        <f t="shared" si="1"/>
        <v>95.50561797752809</v>
      </c>
      <c r="M156" s="87">
        <v>3512</v>
      </c>
      <c r="N156" s="89">
        <f t="shared" si="2"/>
        <v>7.6594533029612766</v>
      </c>
      <c r="O156" s="90"/>
      <c r="P156" s="90"/>
    </row>
    <row r="157" spans="1:16">
      <c r="A157" s="85">
        <v>31304</v>
      </c>
      <c r="B157" s="95" t="s">
        <v>468</v>
      </c>
      <c r="C157" s="87">
        <v>915</v>
      </c>
      <c r="D157" s="87">
        <v>125</v>
      </c>
      <c r="E157" s="87">
        <v>1075</v>
      </c>
      <c r="F157" s="88">
        <f t="shared" si="5"/>
        <v>87.980769230769226</v>
      </c>
      <c r="G157" s="87">
        <v>7036</v>
      </c>
      <c r="H157" s="89">
        <f t="shared" si="0"/>
        <v>15.278567367822626</v>
      </c>
      <c r="I157" s="90">
        <v>780</v>
      </c>
      <c r="J157" s="90">
        <v>37</v>
      </c>
      <c r="K157" s="87">
        <v>825</v>
      </c>
      <c r="L157" s="88">
        <f t="shared" si="1"/>
        <v>95.471236230110151</v>
      </c>
      <c r="M157" s="87">
        <v>8056</v>
      </c>
      <c r="N157" s="89">
        <f t="shared" si="2"/>
        <v>10.240814299900695</v>
      </c>
      <c r="O157" s="90"/>
      <c r="P157" s="90"/>
    </row>
    <row r="158" spans="1:16">
      <c r="A158" s="85">
        <v>31401</v>
      </c>
      <c r="B158" s="95" t="s">
        <v>211</v>
      </c>
      <c r="C158" s="87">
        <v>2449</v>
      </c>
      <c r="D158" s="87">
        <v>226</v>
      </c>
      <c r="E158" s="87">
        <v>2718</v>
      </c>
      <c r="F158" s="88">
        <f t="shared" si="5"/>
        <v>91.55140186915888</v>
      </c>
      <c r="G158" s="87">
        <v>28887</v>
      </c>
      <c r="H158" s="89">
        <f t="shared" si="0"/>
        <v>9.4090767473257877</v>
      </c>
      <c r="I158" s="90">
        <v>2442</v>
      </c>
      <c r="J158" s="90">
        <v>66</v>
      </c>
      <c r="K158" s="87">
        <v>2520</v>
      </c>
      <c r="L158" s="88">
        <f t="shared" si="1"/>
        <v>97.368421052631575</v>
      </c>
      <c r="M158" s="87">
        <v>35248</v>
      </c>
      <c r="N158" s="89">
        <f t="shared" si="2"/>
        <v>7.1493418066273264</v>
      </c>
      <c r="O158" s="90"/>
      <c r="P158" s="90"/>
    </row>
    <row r="159" spans="1:16">
      <c r="A159" s="85">
        <v>31402</v>
      </c>
      <c r="B159" s="95" t="s">
        <v>212</v>
      </c>
      <c r="C159" s="87">
        <v>822</v>
      </c>
      <c r="D159" s="87">
        <v>73</v>
      </c>
      <c r="E159" s="87">
        <v>903</v>
      </c>
      <c r="F159" s="88">
        <f t="shared" si="5"/>
        <v>91.843575418994419</v>
      </c>
      <c r="G159" s="87">
        <v>8135</v>
      </c>
      <c r="H159" s="89">
        <f t="shared" si="0"/>
        <v>11.10018438844499</v>
      </c>
      <c r="I159" s="90">
        <v>618</v>
      </c>
      <c r="J159" s="90">
        <v>26</v>
      </c>
      <c r="K159" s="87">
        <v>648</v>
      </c>
      <c r="L159" s="88">
        <f t="shared" si="1"/>
        <v>95.962732919254663</v>
      </c>
      <c r="M159" s="87">
        <v>8599</v>
      </c>
      <c r="N159" s="89">
        <f t="shared" si="2"/>
        <v>7.5357599720897781</v>
      </c>
      <c r="O159" s="90"/>
      <c r="P159" s="90"/>
    </row>
    <row r="160" spans="1:16">
      <c r="A160" s="85">
        <v>31403</v>
      </c>
      <c r="B160" s="95" t="s">
        <v>213</v>
      </c>
      <c r="C160" s="87">
        <v>1171</v>
      </c>
      <c r="D160" s="87">
        <v>78</v>
      </c>
      <c r="E160" s="87">
        <v>1271</v>
      </c>
      <c r="F160" s="88">
        <f t="shared" si="5"/>
        <v>93.755004003202558</v>
      </c>
      <c r="G160" s="87">
        <v>13562</v>
      </c>
      <c r="H160" s="89">
        <f t="shared" si="0"/>
        <v>9.3717740746202622</v>
      </c>
      <c r="I160" s="90">
        <v>900</v>
      </c>
      <c r="J160" s="90">
        <v>20</v>
      </c>
      <c r="K160" s="87">
        <v>928</v>
      </c>
      <c r="L160" s="88">
        <f t="shared" si="1"/>
        <v>97.826086956521735</v>
      </c>
      <c r="M160" s="87">
        <v>13054</v>
      </c>
      <c r="N160" s="89">
        <f t="shared" si="2"/>
        <v>7.1089321280833468</v>
      </c>
      <c r="O160" s="90"/>
      <c r="P160" s="90"/>
    </row>
    <row r="161" spans="1:16">
      <c r="A161" s="85">
        <v>31404</v>
      </c>
      <c r="B161" s="95" t="s">
        <v>214</v>
      </c>
      <c r="C161" s="87">
        <v>98</v>
      </c>
      <c r="D161" s="87">
        <v>8</v>
      </c>
      <c r="E161" s="87">
        <v>109</v>
      </c>
      <c r="F161" s="88">
        <f t="shared" si="5"/>
        <v>92.452830188679243</v>
      </c>
      <c r="G161" s="87">
        <v>1303</v>
      </c>
      <c r="H161" s="89">
        <f t="shared" si="0"/>
        <v>8.3653108211818878</v>
      </c>
      <c r="I161" s="90">
        <v>83</v>
      </c>
      <c r="J161" s="90">
        <v>0</v>
      </c>
      <c r="K161" s="87">
        <v>84</v>
      </c>
      <c r="L161" s="88">
        <f t="shared" si="1"/>
        <v>100</v>
      </c>
      <c r="M161" s="87">
        <v>1287</v>
      </c>
      <c r="N161" s="89">
        <f t="shared" si="2"/>
        <v>6.5268065268065261</v>
      </c>
      <c r="O161" s="90"/>
      <c r="P161" s="90"/>
    </row>
    <row r="162" spans="1:16">
      <c r="A162" s="85">
        <v>31405</v>
      </c>
      <c r="B162" s="95" t="s">
        <v>215</v>
      </c>
      <c r="C162" s="87">
        <v>259</v>
      </c>
      <c r="D162" s="87">
        <v>27</v>
      </c>
      <c r="E162" s="87">
        <v>289</v>
      </c>
      <c r="F162" s="88">
        <f t="shared" si="5"/>
        <v>90.55944055944056</v>
      </c>
      <c r="G162" s="87">
        <v>2768</v>
      </c>
      <c r="H162" s="89">
        <f t="shared" si="0"/>
        <v>10.440751445086706</v>
      </c>
      <c r="I162" s="90">
        <v>231</v>
      </c>
      <c r="J162" s="90">
        <v>7</v>
      </c>
      <c r="K162" s="87">
        <v>240</v>
      </c>
      <c r="L162" s="88">
        <f t="shared" si="1"/>
        <v>97.058823529411768</v>
      </c>
      <c r="M162" s="87">
        <v>3822</v>
      </c>
      <c r="N162" s="89">
        <f t="shared" si="2"/>
        <v>6.2794348508634217</v>
      </c>
      <c r="O162" s="90"/>
      <c r="P162" s="90"/>
    </row>
    <row r="163" spans="1:16">
      <c r="A163" s="85">
        <v>31501</v>
      </c>
      <c r="B163" s="95" t="s">
        <v>216</v>
      </c>
      <c r="C163" s="87">
        <v>710</v>
      </c>
      <c r="D163" s="87">
        <v>73</v>
      </c>
      <c r="E163" s="87">
        <v>793</v>
      </c>
      <c r="F163" s="88">
        <f t="shared" si="5"/>
        <v>90.676883780332048</v>
      </c>
      <c r="G163" s="87">
        <v>7279</v>
      </c>
      <c r="H163" s="89">
        <f t="shared" si="0"/>
        <v>10.894353620002747</v>
      </c>
      <c r="I163" s="90">
        <v>705</v>
      </c>
      <c r="J163" s="90">
        <v>13</v>
      </c>
      <c r="K163" s="87">
        <v>730</v>
      </c>
      <c r="L163" s="88">
        <f t="shared" si="1"/>
        <v>98.189415041782738</v>
      </c>
      <c r="M163" s="87">
        <v>8282</v>
      </c>
      <c r="N163" s="89">
        <f t="shared" si="2"/>
        <v>8.8142960637527157</v>
      </c>
      <c r="O163" s="90"/>
      <c r="P163" s="90"/>
    </row>
    <row r="164" spans="1:16">
      <c r="A164" s="85">
        <v>31601</v>
      </c>
      <c r="B164" s="95" t="s">
        <v>217</v>
      </c>
      <c r="C164" s="87">
        <v>2265</v>
      </c>
      <c r="D164" s="87">
        <v>198</v>
      </c>
      <c r="E164" s="87">
        <v>2521</v>
      </c>
      <c r="F164" s="88">
        <f t="shared" si="5"/>
        <v>91.961023142509134</v>
      </c>
      <c r="G164" s="87">
        <v>21231</v>
      </c>
      <c r="H164" s="89">
        <f t="shared" si="0"/>
        <v>11.874146295511281</v>
      </c>
      <c r="I164" s="90">
        <v>1345</v>
      </c>
      <c r="J164" s="90">
        <v>31</v>
      </c>
      <c r="K164" s="87">
        <v>1394</v>
      </c>
      <c r="L164" s="88">
        <f t="shared" si="1"/>
        <v>97.747093023255815</v>
      </c>
      <c r="M164" s="87">
        <v>18475</v>
      </c>
      <c r="N164" s="89">
        <f t="shared" si="2"/>
        <v>7.54533152909337</v>
      </c>
      <c r="O164" s="90"/>
      <c r="P164" s="90"/>
    </row>
    <row r="165" spans="1:16">
      <c r="A165" s="85">
        <v>31602</v>
      </c>
      <c r="B165" s="95" t="s">
        <v>218</v>
      </c>
      <c r="C165" s="87">
        <v>2164</v>
      </c>
      <c r="D165" s="87">
        <v>356</v>
      </c>
      <c r="E165" s="87">
        <v>2560</v>
      </c>
      <c r="F165" s="88">
        <f t="shared" si="5"/>
        <v>85.873015873015873</v>
      </c>
      <c r="G165" s="87">
        <v>20841</v>
      </c>
      <c r="H165" s="89">
        <f t="shared" si="0"/>
        <v>12.283479679477951</v>
      </c>
      <c r="I165" s="90">
        <v>2253</v>
      </c>
      <c r="J165" s="90">
        <v>69</v>
      </c>
      <c r="K165" s="87">
        <v>2337</v>
      </c>
      <c r="L165" s="88">
        <f t="shared" si="1"/>
        <v>97.028423772609813</v>
      </c>
      <c r="M165" s="87">
        <v>27172</v>
      </c>
      <c r="N165" s="89">
        <f t="shared" si="2"/>
        <v>8.6007654938907709</v>
      </c>
      <c r="O165" s="90"/>
      <c r="P165" s="90"/>
    </row>
    <row r="166" spans="1:16">
      <c r="A166" s="85">
        <v>40101</v>
      </c>
      <c r="B166" s="95" t="s">
        <v>219</v>
      </c>
      <c r="C166" s="87">
        <v>27170</v>
      </c>
      <c r="D166" s="87">
        <v>2239</v>
      </c>
      <c r="E166" s="87">
        <v>29682</v>
      </c>
      <c r="F166" s="88">
        <f t="shared" si="5"/>
        <v>92.386684348328743</v>
      </c>
      <c r="G166" s="87">
        <v>264943</v>
      </c>
      <c r="H166" s="89">
        <f t="shared" si="0"/>
        <v>11.203164454241101</v>
      </c>
      <c r="I166" s="90">
        <v>21361</v>
      </c>
      <c r="J166" s="90">
        <v>317</v>
      </c>
      <c r="K166" s="87">
        <v>21774</v>
      </c>
      <c r="L166" s="88">
        <f t="shared" si="1"/>
        <v>98.537687978595812</v>
      </c>
      <c r="M166" s="87">
        <v>298350</v>
      </c>
      <c r="N166" s="89">
        <f t="shared" si="2"/>
        <v>7.2981397687280039</v>
      </c>
      <c r="O166" s="90"/>
      <c r="P166" s="90"/>
    </row>
    <row r="167" spans="1:16">
      <c r="A167" s="85">
        <v>40102</v>
      </c>
      <c r="B167" s="95" t="s">
        <v>220</v>
      </c>
      <c r="C167" s="87">
        <v>2194</v>
      </c>
      <c r="D167" s="87">
        <v>267</v>
      </c>
      <c r="E167" s="87">
        <v>2490</v>
      </c>
      <c r="F167" s="88">
        <f t="shared" si="5"/>
        <v>89.150751726940271</v>
      </c>
      <c r="G167" s="87">
        <v>23115</v>
      </c>
      <c r="H167" s="89">
        <f t="shared" si="0"/>
        <v>10.772225827384815</v>
      </c>
      <c r="I167" s="90">
        <v>1664</v>
      </c>
      <c r="J167" s="90">
        <v>25</v>
      </c>
      <c r="K167" s="87">
        <v>1703</v>
      </c>
      <c r="L167" s="88">
        <f t="shared" si="1"/>
        <v>98.519834221432802</v>
      </c>
      <c r="M167" s="87">
        <v>22850</v>
      </c>
      <c r="N167" s="89">
        <f t="shared" si="2"/>
        <v>7.452954048140044</v>
      </c>
      <c r="O167" s="90"/>
      <c r="P167" s="90"/>
    </row>
    <row r="168" spans="1:16">
      <c r="A168" s="85">
        <v>40103</v>
      </c>
      <c r="B168" s="95" t="s">
        <v>221</v>
      </c>
      <c r="C168" s="87">
        <v>777</v>
      </c>
      <c r="D168" s="87">
        <v>83</v>
      </c>
      <c r="E168" s="87">
        <v>878</v>
      </c>
      <c r="F168" s="88">
        <f t="shared" si="5"/>
        <v>90.348837209302317</v>
      </c>
      <c r="G168" s="87">
        <v>8725</v>
      </c>
      <c r="H168" s="89">
        <f t="shared" si="0"/>
        <v>10.063037249283667</v>
      </c>
      <c r="I168" s="90">
        <v>723</v>
      </c>
      <c r="J168" s="90">
        <v>66</v>
      </c>
      <c r="K168" s="87">
        <v>892</v>
      </c>
      <c r="L168" s="88">
        <f t="shared" si="1"/>
        <v>91.634980988593156</v>
      </c>
      <c r="M168" s="87">
        <v>9997</v>
      </c>
      <c r="N168" s="89">
        <f t="shared" si="2"/>
        <v>8.9226768030409112</v>
      </c>
      <c r="O168" s="90"/>
      <c r="P168" s="90"/>
    </row>
    <row r="169" spans="1:16">
      <c r="A169" s="85">
        <v>40104</v>
      </c>
      <c r="B169" s="95" t="s">
        <v>222</v>
      </c>
      <c r="C169" s="87">
        <v>1158</v>
      </c>
      <c r="D169" s="87">
        <v>133</v>
      </c>
      <c r="E169" s="87">
        <v>1304</v>
      </c>
      <c r="F169" s="88">
        <f t="shared" si="5"/>
        <v>89.697908597986057</v>
      </c>
      <c r="G169" s="87">
        <v>12846</v>
      </c>
      <c r="H169" s="89">
        <f t="shared" si="0"/>
        <v>10.151019772691889</v>
      </c>
      <c r="I169" s="90">
        <v>1224</v>
      </c>
      <c r="J169" s="90">
        <v>13</v>
      </c>
      <c r="K169" s="87">
        <v>1254</v>
      </c>
      <c r="L169" s="88">
        <f t="shared" si="1"/>
        <v>98.949070331447047</v>
      </c>
      <c r="M169" s="87">
        <v>15764</v>
      </c>
      <c r="N169" s="89">
        <f t="shared" si="2"/>
        <v>7.9548337985282922</v>
      </c>
      <c r="O169" s="90"/>
      <c r="P169" s="90"/>
    </row>
    <row r="170" spans="1:16">
      <c r="A170" s="85">
        <v>40201</v>
      </c>
      <c r="B170" s="95" t="s">
        <v>224</v>
      </c>
      <c r="C170" s="87">
        <v>2950</v>
      </c>
      <c r="D170" s="87">
        <v>338</v>
      </c>
      <c r="E170" s="87">
        <v>3323</v>
      </c>
      <c r="F170" s="88">
        <f t="shared" si="5"/>
        <v>89.72019464720195</v>
      </c>
      <c r="G170" s="87">
        <v>28918</v>
      </c>
      <c r="H170" s="89">
        <f t="shared" si="0"/>
        <v>11.491112801715195</v>
      </c>
      <c r="I170" s="90">
        <v>2871</v>
      </c>
      <c r="J170" s="90">
        <v>111</v>
      </c>
      <c r="K170" s="87">
        <v>3009</v>
      </c>
      <c r="L170" s="88">
        <f t="shared" si="1"/>
        <v>96.277665995975852</v>
      </c>
      <c r="M170" s="87">
        <v>35427</v>
      </c>
      <c r="N170" s="89">
        <f t="shared" si="2"/>
        <v>8.4935218900838336</v>
      </c>
      <c r="O170" s="90"/>
      <c r="P170" s="90"/>
    </row>
    <row r="171" spans="1:16">
      <c r="A171" s="85">
        <v>40202</v>
      </c>
      <c r="B171" s="95" t="s">
        <v>225</v>
      </c>
      <c r="C171" s="87">
        <v>401</v>
      </c>
      <c r="D171" s="87">
        <v>46</v>
      </c>
      <c r="E171" s="87">
        <v>449</v>
      </c>
      <c r="F171" s="88">
        <f t="shared" si="5"/>
        <v>89.709172259507824</v>
      </c>
      <c r="G171" s="87">
        <v>4051</v>
      </c>
      <c r="H171" s="89">
        <f t="shared" si="0"/>
        <v>11.083683041224388</v>
      </c>
      <c r="I171" s="90">
        <v>273</v>
      </c>
      <c r="J171" s="90">
        <v>6</v>
      </c>
      <c r="K171" s="87">
        <v>281</v>
      </c>
      <c r="L171" s="88">
        <f t="shared" si="1"/>
        <v>97.849462365591393</v>
      </c>
      <c r="M171" s="87">
        <v>5161</v>
      </c>
      <c r="N171" s="89">
        <f t="shared" si="2"/>
        <v>5.4446812633210619</v>
      </c>
      <c r="O171" s="90"/>
      <c r="P171" s="90"/>
    </row>
    <row r="172" spans="1:16">
      <c r="A172" s="85">
        <v>40301</v>
      </c>
      <c r="B172" s="95" t="s">
        <v>227</v>
      </c>
      <c r="C172" s="87">
        <v>860</v>
      </c>
      <c r="D172" s="87">
        <v>74</v>
      </c>
      <c r="E172" s="87">
        <v>941</v>
      </c>
      <c r="F172" s="88">
        <f t="shared" si="5"/>
        <v>92.077087794432543</v>
      </c>
      <c r="G172" s="87">
        <v>9221</v>
      </c>
      <c r="H172" s="89">
        <f t="shared" si="0"/>
        <v>10.204966923327188</v>
      </c>
      <c r="I172" s="90">
        <v>1046</v>
      </c>
      <c r="J172" s="90">
        <v>38</v>
      </c>
      <c r="K172" s="87">
        <v>1093</v>
      </c>
      <c r="L172" s="88">
        <f t="shared" si="1"/>
        <v>96.494464944649451</v>
      </c>
      <c r="M172" s="87">
        <v>16101</v>
      </c>
      <c r="N172" s="89">
        <f t="shared" si="2"/>
        <v>6.7883982361344017</v>
      </c>
      <c r="O172" s="90"/>
      <c r="P172" s="90"/>
    </row>
    <row r="173" spans="1:16">
      <c r="A173" s="85">
        <v>40302</v>
      </c>
      <c r="B173" s="95" t="s">
        <v>228</v>
      </c>
      <c r="C173" s="87">
        <v>169</v>
      </c>
      <c r="D173" s="87">
        <v>11</v>
      </c>
      <c r="E173" s="87">
        <v>182</v>
      </c>
      <c r="F173" s="88">
        <f t="shared" si="5"/>
        <v>93.888888888888886</v>
      </c>
      <c r="G173" s="87">
        <v>1850</v>
      </c>
      <c r="H173" s="89">
        <f t="shared" si="0"/>
        <v>9.8378378378378368</v>
      </c>
      <c r="I173" s="90">
        <v>159</v>
      </c>
      <c r="J173" s="90">
        <v>6</v>
      </c>
      <c r="K173" s="87">
        <v>166</v>
      </c>
      <c r="L173" s="88">
        <f t="shared" si="1"/>
        <v>96.36363636363636</v>
      </c>
      <c r="M173" s="87">
        <v>2504</v>
      </c>
      <c r="N173" s="89">
        <f t="shared" si="2"/>
        <v>6.6293929712460065</v>
      </c>
      <c r="O173" s="90"/>
      <c r="P173" s="90"/>
    </row>
    <row r="174" spans="1:16">
      <c r="A174" s="85">
        <v>40401</v>
      </c>
      <c r="B174" s="95" t="s">
        <v>230</v>
      </c>
      <c r="C174" s="87">
        <v>373</v>
      </c>
      <c r="D174" s="87">
        <v>18</v>
      </c>
      <c r="E174" s="87">
        <v>394</v>
      </c>
      <c r="F174" s="88">
        <f t="shared" si="5"/>
        <v>95.396419437340157</v>
      </c>
      <c r="G174" s="87">
        <v>4184</v>
      </c>
      <c r="H174" s="89">
        <f t="shared" si="0"/>
        <v>9.4168260038240916</v>
      </c>
      <c r="I174" s="90">
        <v>352</v>
      </c>
      <c r="J174" s="90">
        <v>24</v>
      </c>
      <c r="K174" s="87">
        <v>382</v>
      </c>
      <c r="L174" s="88">
        <f t="shared" si="1"/>
        <v>93.61702127659575</v>
      </c>
      <c r="M174" s="87">
        <v>6683</v>
      </c>
      <c r="N174" s="89">
        <f t="shared" si="2"/>
        <v>5.7159958102648512</v>
      </c>
      <c r="O174" s="90"/>
      <c r="P174" s="90"/>
    </row>
    <row r="175" spans="1:16">
      <c r="A175" s="85">
        <v>40402</v>
      </c>
      <c r="B175" s="95" t="s">
        <v>231</v>
      </c>
      <c r="C175" s="87">
        <v>488</v>
      </c>
      <c r="D175" s="87">
        <v>29</v>
      </c>
      <c r="E175" s="87">
        <v>522</v>
      </c>
      <c r="F175" s="88">
        <f t="shared" si="5"/>
        <v>94.390715667311412</v>
      </c>
      <c r="G175" s="87">
        <v>5207</v>
      </c>
      <c r="H175" s="89">
        <f t="shared" si="0"/>
        <v>10.024966391396198</v>
      </c>
      <c r="I175" s="90">
        <v>373</v>
      </c>
      <c r="J175" s="90">
        <v>15</v>
      </c>
      <c r="K175" s="87">
        <v>393</v>
      </c>
      <c r="L175" s="88">
        <f t="shared" si="1"/>
        <v>96.134020618556704</v>
      </c>
      <c r="M175" s="87">
        <v>5803</v>
      </c>
      <c r="N175" s="89">
        <f t="shared" si="2"/>
        <v>6.7723591245907295</v>
      </c>
      <c r="O175" s="90"/>
      <c r="P175" s="90"/>
    </row>
    <row r="176" spans="1:16">
      <c r="A176" s="85">
        <v>40501</v>
      </c>
      <c r="B176" s="95" t="s">
        <v>233</v>
      </c>
      <c r="C176" s="87">
        <v>80</v>
      </c>
      <c r="D176" s="87">
        <v>6</v>
      </c>
      <c r="E176" s="87">
        <v>86</v>
      </c>
      <c r="F176" s="88">
        <f t="shared" si="5"/>
        <v>93.023255813953483</v>
      </c>
      <c r="G176" s="87">
        <v>1003</v>
      </c>
      <c r="H176" s="89">
        <f t="shared" si="0"/>
        <v>8.5742771684945165</v>
      </c>
      <c r="I176" s="90">
        <v>228</v>
      </c>
      <c r="J176" s="90">
        <v>19</v>
      </c>
      <c r="K176" s="87">
        <v>249</v>
      </c>
      <c r="L176" s="88">
        <f t="shared" si="1"/>
        <v>92.307692307692307</v>
      </c>
      <c r="M176" s="87">
        <v>4011</v>
      </c>
      <c r="N176" s="89">
        <f t="shared" si="2"/>
        <v>6.2079281974569929</v>
      </c>
      <c r="O176" s="90"/>
      <c r="P176" s="90"/>
    </row>
    <row r="177" spans="1:16">
      <c r="A177" s="85">
        <v>40502</v>
      </c>
      <c r="B177" s="95" t="s">
        <v>234</v>
      </c>
      <c r="C177" s="87">
        <v>393</v>
      </c>
      <c r="D177" s="87">
        <v>66</v>
      </c>
      <c r="E177" s="87">
        <v>460</v>
      </c>
      <c r="F177" s="88">
        <f t="shared" si="5"/>
        <v>85.620915032679733</v>
      </c>
      <c r="G177" s="87">
        <v>4223</v>
      </c>
      <c r="H177" s="89">
        <f t="shared" si="0"/>
        <v>10.892730286526167</v>
      </c>
      <c r="I177" s="90">
        <v>314</v>
      </c>
      <c r="J177" s="90">
        <v>28</v>
      </c>
      <c r="K177" s="87">
        <v>350</v>
      </c>
      <c r="L177" s="88">
        <f t="shared" si="1"/>
        <v>91.812865497076018</v>
      </c>
      <c r="M177" s="87">
        <v>4231</v>
      </c>
      <c r="N177" s="89">
        <f t="shared" si="2"/>
        <v>8.2722760576695826</v>
      </c>
      <c r="O177" s="90"/>
      <c r="P177" s="90"/>
    </row>
    <row r="178" spans="1:16">
      <c r="A178" s="85">
        <v>40503</v>
      </c>
      <c r="B178" s="95" t="s">
        <v>235</v>
      </c>
      <c r="C178" s="87">
        <v>195</v>
      </c>
      <c r="D178" s="87">
        <v>51</v>
      </c>
      <c r="E178" s="87">
        <v>248</v>
      </c>
      <c r="F178" s="88">
        <f t="shared" si="5"/>
        <v>79.268292682926827</v>
      </c>
      <c r="G178" s="87">
        <v>1967</v>
      </c>
      <c r="H178" s="89">
        <f t="shared" si="0"/>
        <v>12.608032536858161</v>
      </c>
      <c r="I178" s="90">
        <v>80</v>
      </c>
      <c r="J178" s="90">
        <v>15</v>
      </c>
      <c r="K178" s="87">
        <v>99</v>
      </c>
      <c r="L178" s="88">
        <f t="shared" si="1"/>
        <v>84.210526315789465</v>
      </c>
      <c r="M178" s="87">
        <v>1517</v>
      </c>
      <c r="N178" s="89">
        <f t="shared" si="2"/>
        <v>6.5260382333553064</v>
      </c>
      <c r="O178" s="90"/>
      <c r="P178" s="90"/>
    </row>
    <row r="179" spans="1:16">
      <c r="A179" s="85">
        <v>40504</v>
      </c>
      <c r="B179" s="95" t="s">
        <v>236</v>
      </c>
      <c r="C179" s="87">
        <v>45</v>
      </c>
      <c r="D179" s="87">
        <v>7</v>
      </c>
      <c r="E179" s="87">
        <v>52</v>
      </c>
      <c r="F179" s="88">
        <f t="shared" si="5"/>
        <v>86.538461538461547</v>
      </c>
      <c r="G179" s="96">
        <v>514</v>
      </c>
      <c r="H179" s="89">
        <f t="shared" si="0"/>
        <v>10.116731517509727</v>
      </c>
      <c r="I179" s="90">
        <v>64</v>
      </c>
      <c r="J179" s="90">
        <v>11</v>
      </c>
      <c r="K179" s="87">
        <v>75</v>
      </c>
      <c r="L179" s="88">
        <f t="shared" si="1"/>
        <v>85.333333333333343</v>
      </c>
      <c r="M179" s="96">
        <v>875</v>
      </c>
      <c r="N179" s="89">
        <f t="shared" si="2"/>
        <v>8.5714285714285712</v>
      </c>
      <c r="O179" s="90"/>
      <c r="P179" s="90"/>
    </row>
    <row r="180" spans="1:16">
      <c r="A180" s="85">
        <v>40505</v>
      </c>
      <c r="B180" s="95" t="s">
        <v>237</v>
      </c>
      <c r="C180" s="87">
        <v>324</v>
      </c>
      <c r="D180" s="87">
        <v>51</v>
      </c>
      <c r="E180" s="87">
        <v>378</v>
      </c>
      <c r="F180" s="88">
        <f t="shared" si="5"/>
        <v>86.4</v>
      </c>
      <c r="G180" s="87">
        <v>2702</v>
      </c>
      <c r="H180" s="89">
        <f t="shared" si="0"/>
        <v>13.989637305699482</v>
      </c>
      <c r="I180" s="90">
        <v>273</v>
      </c>
      <c r="J180" s="90">
        <v>48</v>
      </c>
      <c r="K180" s="87">
        <v>321</v>
      </c>
      <c r="L180" s="88">
        <f t="shared" si="1"/>
        <v>85.046728971962608</v>
      </c>
      <c r="M180" s="87">
        <v>3882</v>
      </c>
      <c r="N180" s="89">
        <f t="shared" si="2"/>
        <v>8.2689335394126733</v>
      </c>
      <c r="O180" s="90"/>
      <c r="P180" s="90"/>
    </row>
    <row r="181" spans="1:16">
      <c r="A181" s="85">
        <v>40601</v>
      </c>
      <c r="B181" s="95" t="s">
        <v>238</v>
      </c>
      <c r="C181" s="87">
        <v>695</v>
      </c>
      <c r="D181" s="87">
        <v>25</v>
      </c>
      <c r="E181" s="87">
        <v>726</v>
      </c>
      <c r="F181" s="88">
        <f t="shared" si="5"/>
        <v>96.527777777777786</v>
      </c>
      <c r="G181" s="87">
        <v>7587</v>
      </c>
      <c r="H181" s="89">
        <f t="shared" si="0"/>
        <v>9.5689996045867929</v>
      </c>
      <c r="I181" s="90">
        <v>715</v>
      </c>
      <c r="J181" s="90">
        <v>38</v>
      </c>
      <c r="K181" s="87">
        <v>753</v>
      </c>
      <c r="L181" s="88">
        <f t="shared" si="1"/>
        <v>94.953519256308113</v>
      </c>
      <c r="M181" s="87">
        <v>9189</v>
      </c>
      <c r="N181" s="89">
        <f t="shared" si="2"/>
        <v>8.1945804766568724</v>
      </c>
      <c r="O181" s="90"/>
      <c r="P181" s="90"/>
    </row>
    <row r="182" spans="1:16">
      <c r="A182" s="85">
        <v>40602</v>
      </c>
      <c r="B182" s="95" t="s">
        <v>239</v>
      </c>
      <c r="C182" s="87">
        <v>600</v>
      </c>
      <c r="D182" s="87">
        <v>48</v>
      </c>
      <c r="E182" s="87">
        <v>660</v>
      </c>
      <c r="F182" s="88">
        <f t="shared" si="5"/>
        <v>92.592592592592595</v>
      </c>
      <c r="G182" s="87">
        <v>5955</v>
      </c>
      <c r="H182" s="89">
        <f t="shared" si="0"/>
        <v>11.083123425692696</v>
      </c>
      <c r="I182" s="90">
        <v>273</v>
      </c>
      <c r="J182" s="90">
        <v>26</v>
      </c>
      <c r="K182" s="87">
        <v>301</v>
      </c>
      <c r="L182" s="88">
        <f t="shared" si="1"/>
        <v>91.304347826086953</v>
      </c>
      <c r="M182" s="87">
        <v>4251</v>
      </c>
      <c r="N182" s="89">
        <f t="shared" si="2"/>
        <v>7.0806868972006578</v>
      </c>
      <c r="O182" s="90"/>
      <c r="P182" s="90"/>
    </row>
    <row r="183" spans="1:16">
      <c r="A183" s="85">
        <v>40603</v>
      </c>
      <c r="B183" s="95" t="s">
        <v>240</v>
      </c>
      <c r="C183" s="87">
        <v>364</v>
      </c>
      <c r="D183" s="87">
        <v>30</v>
      </c>
      <c r="E183" s="87">
        <v>396</v>
      </c>
      <c r="F183" s="88">
        <f t="shared" si="5"/>
        <v>92.385786802030452</v>
      </c>
      <c r="G183" s="87">
        <v>3264</v>
      </c>
      <c r="H183" s="89">
        <f t="shared" si="0"/>
        <v>12.132352941176471</v>
      </c>
      <c r="I183" s="90">
        <v>241</v>
      </c>
      <c r="J183" s="90">
        <v>5</v>
      </c>
      <c r="K183" s="87">
        <v>247</v>
      </c>
      <c r="L183" s="88">
        <f t="shared" si="1"/>
        <v>97.967479674796749</v>
      </c>
      <c r="M183" s="87">
        <v>3666</v>
      </c>
      <c r="N183" s="89">
        <f t="shared" si="2"/>
        <v>6.7375886524822697</v>
      </c>
      <c r="O183" s="90"/>
      <c r="P183" s="90"/>
    </row>
    <row r="184" spans="1:16">
      <c r="A184" s="85">
        <v>40701</v>
      </c>
      <c r="B184" s="95" t="s">
        <v>242</v>
      </c>
      <c r="C184" s="87">
        <v>2907</v>
      </c>
      <c r="D184" s="87">
        <v>119</v>
      </c>
      <c r="E184" s="87">
        <v>3037</v>
      </c>
      <c r="F184" s="88">
        <f t="shared" si="5"/>
        <v>96.067415730337075</v>
      </c>
      <c r="G184" s="87">
        <v>24677</v>
      </c>
      <c r="H184" s="89">
        <f t="shared" si="0"/>
        <v>12.307006524293877</v>
      </c>
      <c r="I184" s="90">
        <v>1284</v>
      </c>
      <c r="J184" s="90">
        <v>15</v>
      </c>
      <c r="K184" s="87">
        <v>1307</v>
      </c>
      <c r="L184" s="88">
        <f t="shared" si="1"/>
        <v>98.845265588914557</v>
      </c>
      <c r="M184" s="87">
        <v>20118</v>
      </c>
      <c r="N184" s="89">
        <f t="shared" si="2"/>
        <v>6.4966696490704843</v>
      </c>
      <c r="O184" s="90"/>
      <c r="P184" s="90"/>
    </row>
    <row r="185" spans="1:16">
      <c r="A185" s="85">
        <v>40702</v>
      </c>
      <c r="B185" s="95" t="s">
        <v>243</v>
      </c>
      <c r="C185" s="87">
        <v>479</v>
      </c>
      <c r="D185" s="87">
        <v>45</v>
      </c>
      <c r="E185" s="87">
        <v>528</v>
      </c>
      <c r="F185" s="88">
        <f t="shared" si="5"/>
        <v>91.412213740458014</v>
      </c>
      <c r="G185" s="87">
        <v>4820</v>
      </c>
      <c r="H185" s="89">
        <f t="shared" si="0"/>
        <v>10.954356846473029</v>
      </c>
      <c r="I185" s="90">
        <v>426</v>
      </c>
      <c r="J185" s="90">
        <v>5</v>
      </c>
      <c r="K185" s="87">
        <v>434</v>
      </c>
      <c r="L185" s="88">
        <f t="shared" si="1"/>
        <v>98.83990719257541</v>
      </c>
      <c r="M185" s="87">
        <v>6120</v>
      </c>
      <c r="N185" s="89">
        <f t="shared" si="2"/>
        <v>7.0915032679738559</v>
      </c>
      <c r="O185" s="90"/>
      <c r="P185" s="90"/>
    </row>
    <row r="186" spans="1:16">
      <c r="A186" s="85">
        <v>40801</v>
      </c>
      <c r="B186" s="95" t="s">
        <v>245</v>
      </c>
      <c r="C186" s="87">
        <v>1194</v>
      </c>
      <c r="D186" s="87">
        <v>155</v>
      </c>
      <c r="E186" s="87">
        <v>1359</v>
      </c>
      <c r="F186" s="88">
        <f t="shared" si="5"/>
        <v>88.510007412898446</v>
      </c>
      <c r="G186" s="87">
        <v>11878</v>
      </c>
      <c r="H186" s="89">
        <f t="shared" si="0"/>
        <v>11.441320087556829</v>
      </c>
      <c r="I186" s="90">
        <v>1163</v>
      </c>
      <c r="J186" s="90">
        <v>31</v>
      </c>
      <c r="K186" s="87">
        <v>1204</v>
      </c>
      <c r="L186" s="88">
        <f t="shared" si="1"/>
        <v>97.403685092127304</v>
      </c>
      <c r="M186" s="87">
        <v>15934</v>
      </c>
      <c r="N186" s="89">
        <f t="shared" si="2"/>
        <v>7.5561691979415091</v>
      </c>
      <c r="O186" s="90"/>
      <c r="P186" s="90"/>
    </row>
    <row r="187" spans="1:16">
      <c r="A187" s="85">
        <v>40802</v>
      </c>
      <c r="B187" s="95" t="s">
        <v>246</v>
      </c>
      <c r="C187" s="87">
        <v>320</v>
      </c>
      <c r="D187" s="87">
        <v>46</v>
      </c>
      <c r="E187" s="87">
        <v>369</v>
      </c>
      <c r="F187" s="88">
        <f t="shared" si="5"/>
        <v>87.431693989071036</v>
      </c>
      <c r="G187" s="87">
        <v>2973</v>
      </c>
      <c r="H187" s="89">
        <f t="shared" si="0"/>
        <v>12.4117053481332</v>
      </c>
      <c r="I187" s="90">
        <v>214</v>
      </c>
      <c r="J187" s="90">
        <v>3</v>
      </c>
      <c r="K187" s="87">
        <v>218</v>
      </c>
      <c r="L187" s="88">
        <f t="shared" si="1"/>
        <v>98.617511520737324</v>
      </c>
      <c r="M187" s="87">
        <v>3197</v>
      </c>
      <c r="N187" s="89">
        <f t="shared" si="2"/>
        <v>6.8188927119174219</v>
      </c>
      <c r="O187" s="90"/>
      <c r="P187" s="90"/>
    </row>
    <row r="188" spans="1:16">
      <c r="A188" s="85">
        <v>40901</v>
      </c>
      <c r="B188" s="95" t="s">
        <v>247</v>
      </c>
      <c r="C188" s="87">
        <v>938</v>
      </c>
      <c r="D188" s="87">
        <v>141</v>
      </c>
      <c r="E188" s="87">
        <v>1081</v>
      </c>
      <c r="F188" s="88">
        <f t="shared" si="5"/>
        <v>86.932344763670073</v>
      </c>
      <c r="G188" s="87">
        <v>8018</v>
      </c>
      <c r="H188" s="89">
        <f t="shared" si="0"/>
        <v>13.482165128460963</v>
      </c>
      <c r="I188" s="90">
        <v>1171</v>
      </c>
      <c r="J188" s="90">
        <v>137</v>
      </c>
      <c r="K188" s="87">
        <v>1322</v>
      </c>
      <c r="L188" s="88">
        <f t="shared" si="1"/>
        <v>89.525993883792054</v>
      </c>
      <c r="M188" s="87">
        <v>15504</v>
      </c>
      <c r="N188" s="89">
        <f t="shared" si="2"/>
        <v>8.526831785345717</v>
      </c>
      <c r="O188" s="90"/>
      <c r="P188" s="90"/>
    </row>
    <row r="189" spans="1:16">
      <c r="A189" s="85">
        <v>40902</v>
      </c>
      <c r="B189" s="95" t="s">
        <v>248</v>
      </c>
      <c r="C189" s="87">
        <v>96</v>
      </c>
      <c r="D189" s="87">
        <v>15</v>
      </c>
      <c r="E189" s="87">
        <v>111</v>
      </c>
      <c r="F189" s="88">
        <f t="shared" si="5"/>
        <v>86.486486486486484</v>
      </c>
      <c r="G189" s="96">
        <v>903</v>
      </c>
      <c r="H189" s="89">
        <f t="shared" si="0"/>
        <v>12.29235880398671</v>
      </c>
      <c r="I189" s="90">
        <v>167</v>
      </c>
      <c r="J189" s="90">
        <v>15</v>
      </c>
      <c r="K189" s="87">
        <v>184</v>
      </c>
      <c r="L189" s="88">
        <f t="shared" si="1"/>
        <v>91.758241758241752</v>
      </c>
      <c r="M189" s="87">
        <v>1406</v>
      </c>
      <c r="N189" s="89">
        <f t="shared" si="2"/>
        <v>13.086770981507822</v>
      </c>
      <c r="O189" s="90"/>
      <c r="P189" s="90"/>
    </row>
    <row r="190" spans="1:16">
      <c r="A190" s="85">
        <v>40903</v>
      </c>
      <c r="B190" s="95" t="s">
        <v>249</v>
      </c>
      <c r="C190" s="87">
        <v>212</v>
      </c>
      <c r="D190" s="87">
        <v>41</v>
      </c>
      <c r="E190" s="87">
        <v>255</v>
      </c>
      <c r="F190" s="88">
        <f t="shared" si="5"/>
        <v>83.794466403162062</v>
      </c>
      <c r="G190" s="87">
        <v>2003</v>
      </c>
      <c r="H190" s="89">
        <f t="shared" si="0"/>
        <v>12.730903644533202</v>
      </c>
      <c r="I190" s="90">
        <v>173</v>
      </c>
      <c r="J190" s="90">
        <v>42</v>
      </c>
      <c r="K190" s="87">
        <v>215</v>
      </c>
      <c r="L190" s="88">
        <f t="shared" si="1"/>
        <v>80.465116279069775</v>
      </c>
      <c r="M190" s="87">
        <v>2355</v>
      </c>
      <c r="N190" s="89">
        <f t="shared" si="2"/>
        <v>9.1295116772823768</v>
      </c>
      <c r="O190" s="90"/>
      <c r="P190" s="90"/>
    </row>
    <row r="191" spans="1:16">
      <c r="A191" s="85">
        <v>41001</v>
      </c>
      <c r="B191" s="95" t="s">
        <v>251</v>
      </c>
      <c r="C191" s="87">
        <v>873</v>
      </c>
      <c r="D191" s="87">
        <v>115</v>
      </c>
      <c r="E191" s="87">
        <v>1001</v>
      </c>
      <c r="F191" s="88">
        <f t="shared" si="5"/>
        <v>88.360323886639677</v>
      </c>
      <c r="G191" s="87">
        <v>10149</v>
      </c>
      <c r="H191" s="89">
        <f t="shared" si="0"/>
        <v>9.8630406936644004</v>
      </c>
      <c r="I191" s="90">
        <v>605</v>
      </c>
      <c r="J191" s="90">
        <v>17</v>
      </c>
      <c r="K191" s="87">
        <v>626</v>
      </c>
      <c r="L191" s="88">
        <f t="shared" si="1"/>
        <v>97.266881028938911</v>
      </c>
      <c r="M191" s="87">
        <v>12202</v>
      </c>
      <c r="N191" s="89">
        <f t="shared" si="2"/>
        <v>5.1303065071299789</v>
      </c>
      <c r="O191" s="90"/>
      <c r="P191" s="90"/>
    </row>
    <row r="192" spans="1:16">
      <c r="A192" s="85">
        <v>41101</v>
      </c>
      <c r="B192" s="95" t="s">
        <v>253</v>
      </c>
      <c r="C192" s="87">
        <v>503</v>
      </c>
      <c r="D192" s="87">
        <v>43</v>
      </c>
      <c r="E192" s="87">
        <v>555</v>
      </c>
      <c r="F192" s="88">
        <f t="shared" si="5"/>
        <v>92.124542124542117</v>
      </c>
      <c r="G192" s="87">
        <v>5267</v>
      </c>
      <c r="H192" s="89">
        <f t="shared" si="0"/>
        <v>10.537307765331308</v>
      </c>
      <c r="I192" s="90">
        <v>380</v>
      </c>
      <c r="J192" s="90">
        <v>8</v>
      </c>
      <c r="K192" s="87">
        <v>389</v>
      </c>
      <c r="L192" s="88">
        <f t="shared" si="1"/>
        <v>97.9381443298969</v>
      </c>
      <c r="M192" s="87">
        <v>5335</v>
      </c>
      <c r="N192" s="89">
        <f t="shared" si="2"/>
        <v>7.2914714151827553</v>
      </c>
      <c r="O192" s="90"/>
      <c r="P192" s="90"/>
    </row>
    <row r="193" spans="1:16">
      <c r="A193" s="85">
        <v>41201</v>
      </c>
      <c r="B193" s="95" t="s">
        <v>255</v>
      </c>
      <c r="C193" s="87">
        <v>429</v>
      </c>
      <c r="D193" s="87">
        <v>35</v>
      </c>
      <c r="E193" s="87">
        <v>470</v>
      </c>
      <c r="F193" s="88">
        <f t="shared" si="5"/>
        <v>92.456896551724128</v>
      </c>
      <c r="G193" s="87">
        <v>5216</v>
      </c>
      <c r="H193" s="89">
        <f t="shared" si="0"/>
        <v>9.0107361963190176</v>
      </c>
      <c r="I193" s="90">
        <v>351</v>
      </c>
      <c r="J193" s="90">
        <v>4</v>
      </c>
      <c r="K193" s="87">
        <v>360</v>
      </c>
      <c r="L193" s="88">
        <f t="shared" si="1"/>
        <v>98.873239436619713</v>
      </c>
      <c r="M193" s="87">
        <v>6311</v>
      </c>
      <c r="N193" s="89">
        <f t="shared" si="2"/>
        <v>5.7043257803834573</v>
      </c>
      <c r="O193" s="90"/>
      <c r="P193" s="90"/>
    </row>
    <row r="194" spans="1:16">
      <c r="A194" s="85">
        <v>41202</v>
      </c>
      <c r="B194" s="95" t="s">
        <v>256</v>
      </c>
      <c r="C194" s="87">
        <v>201</v>
      </c>
      <c r="D194" s="87">
        <v>16</v>
      </c>
      <c r="E194" s="87">
        <v>222</v>
      </c>
      <c r="F194" s="88">
        <f t="shared" si="5"/>
        <v>92.626728110599075</v>
      </c>
      <c r="G194" s="87">
        <v>2016</v>
      </c>
      <c r="H194" s="89">
        <f t="shared" si="0"/>
        <v>11.011904761904761</v>
      </c>
      <c r="I194" s="90">
        <v>192</v>
      </c>
      <c r="J194" s="90">
        <v>2</v>
      </c>
      <c r="K194" s="87">
        <v>194</v>
      </c>
      <c r="L194" s="88">
        <f t="shared" si="1"/>
        <v>98.969072164948457</v>
      </c>
      <c r="M194" s="87">
        <v>3061</v>
      </c>
      <c r="N194" s="89">
        <f t="shared" si="2"/>
        <v>6.3377981051943806</v>
      </c>
      <c r="O194" s="90"/>
      <c r="P194" s="90"/>
    </row>
    <row r="195" spans="1:16">
      <c r="A195" s="85">
        <v>41301</v>
      </c>
      <c r="B195" s="95" t="s">
        <v>201</v>
      </c>
      <c r="C195" s="87">
        <v>540</v>
      </c>
      <c r="D195" s="87">
        <v>45</v>
      </c>
      <c r="E195" s="87">
        <v>590</v>
      </c>
      <c r="F195" s="88">
        <f t="shared" si="5"/>
        <v>92.307692307692307</v>
      </c>
      <c r="G195" s="87">
        <v>5531</v>
      </c>
      <c r="H195" s="89">
        <f t="shared" si="0"/>
        <v>10.667148797685771</v>
      </c>
      <c r="I195" s="90">
        <v>399</v>
      </c>
      <c r="J195" s="90">
        <v>19</v>
      </c>
      <c r="K195" s="87">
        <v>426</v>
      </c>
      <c r="L195" s="88">
        <f t="shared" si="1"/>
        <v>95.454545454545453</v>
      </c>
      <c r="M195" s="87">
        <v>6637</v>
      </c>
      <c r="N195" s="89">
        <f t="shared" si="2"/>
        <v>6.4185626035859578</v>
      </c>
      <c r="O195" s="90"/>
      <c r="P195" s="90"/>
    </row>
    <row r="196" spans="1:16">
      <c r="A196" s="85">
        <v>41401</v>
      </c>
      <c r="B196" s="95" t="s">
        <v>259</v>
      </c>
      <c r="C196" s="87">
        <v>1253</v>
      </c>
      <c r="D196" s="87">
        <v>125</v>
      </c>
      <c r="E196" s="87">
        <v>1390</v>
      </c>
      <c r="F196" s="88">
        <f t="shared" si="5"/>
        <v>90.928882438316407</v>
      </c>
      <c r="G196" s="87">
        <v>13283</v>
      </c>
      <c r="H196" s="89">
        <f t="shared" si="0"/>
        <v>10.4645035007152</v>
      </c>
      <c r="I196" s="90">
        <v>994</v>
      </c>
      <c r="J196" s="90">
        <v>46</v>
      </c>
      <c r="K196" s="87">
        <v>1052</v>
      </c>
      <c r="L196" s="88">
        <f t="shared" si="1"/>
        <v>95.57692307692308</v>
      </c>
      <c r="M196" s="87">
        <v>13502</v>
      </c>
      <c r="N196" s="89">
        <f t="shared" si="2"/>
        <v>7.7914383054362313</v>
      </c>
      <c r="O196" s="90"/>
      <c r="P196" s="90"/>
    </row>
    <row r="197" spans="1:16">
      <c r="A197" s="85">
        <v>41501</v>
      </c>
      <c r="B197" s="95" t="s">
        <v>261</v>
      </c>
      <c r="C197" s="87">
        <v>58</v>
      </c>
      <c r="D197" s="87">
        <v>12</v>
      </c>
      <c r="E197" s="87">
        <v>70</v>
      </c>
      <c r="F197" s="88">
        <f t="shared" si="5"/>
        <v>82.857142857142861</v>
      </c>
      <c r="G197" s="96">
        <v>509</v>
      </c>
      <c r="H197" s="89">
        <f t="shared" si="0"/>
        <v>13.7524557956778</v>
      </c>
      <c r="I197" s="90">
        <v>78</v>
      </c>
      <c r="J197" s="90">
        <v>26</v>
      </c>
      <c r="K197" s="87">
        <v>104</v>
      </c>
      <c r="L197" s="88">
        <f t="shared" si="1"/>
        <v>75</v>
      </c>
      <c r="M197" s="87">
        <v>1262</v>
      </c>
      <c r="N197" s="89">
        <f t="shared" si="2"/>
        <v>8.2408874801901746</v>
      </c>
      <c r="O197" s="90"/>
      <c r="P197" s="90"/>
    </row>
    <row r="198" spans="1:16">
      <c r="A198" s="85">
        <v>41502</v>
      </c>
      <c r="B198" s="95" t="s">
        <v>262</v>
      </c>
      <c r="C198" s="87">
        <v>70</v>
      </c>
      <c r="D198" s="87">
        <v>18</v>
      </c>
      <c r="E198" s="87">
        <v>88</v>
      </c>
      <c r="F198" s="88">
        <f t="shared" si="5"/>
        <v>79.545454545454547</v>
      </c>
      <c r="G198" s="96">
        <v>727</v>
      </c>
      <c r="H198" s="89">
        <f t="shared" si="0"/>
        <v>12.104539202200826</v>
      </c>
      <c r="I198" s="90">
        <v>96</v>
      </c>
      <c r="J198" s="90">
        <v>6</v>
      </c>
      <c r="K198" s="87">
        <v>103</v>
      </c>
      <c r="L198" s="88">
        <f t="shared" si="1"/>
        <v>94.117647058823522</v>
      </c>
      <c r="M198" s="87">
        <v>1140</v>
      </c>
      <c r="N198" s="89">
        <f t="shared" si="2"/>
        <v>9.0350877192982466</v>
      </c>
      <c r="O198" s="90"/>
      <c r="P198" s="90"/>
    </row>
    <row r="199" spans="1:16">
      <c r="A199" s="85">
        <v>41503</v>
      </c>
      <c r="B199" s="95" t="s">
        <v>226</v>
      </c>
      <c r="C199" s="87">
        <v>90</v>
      </c>
      <c r="D199" s="87">
        <v>23</v>
      </c>
      <c r="E199" s="87">
        <v>114</v>
      </c>
      <c r="F199" s="88">
        <f t="shared" si="5"/>
        <v>79.646017699115049</v>
      </c>
      <c r="G199" s="96">
        <v>840</v>
      </c>
      <c r="H199" s="89">
        <f t="shared" si="0"/>
        <v>13.571428571428571</v>
      </c>
      <c r="I199" s="90">
        <v>76</v>
      </c>
      <c r="J199" s="90">
        <v>12</v>
      </c>
      <c r="K199" s="87">
        <v>89</v>
      </c>
      <c r="L199" s="88">
        <f t="shared" si="1"/>
        <v>86.36363636363636</v>
      </c>
      <c r="M199" s="87">
        <v>1129</v>
      </c>
      <c r="N199" s="89">
        <f t="shared" si="2"/>
        <v>7.8830823737821074</v>
      </c>
      <c r="O199" s="90"/>
      <c r="P199" s="90"/>
    </row>
    <row r="200" spans="1:16">
      <c r="A200" s="85">
        <v>41601</v>
      </c>
      <c r="B200" s="95" t="s">
        <v>264</v>
      </c>
      <c r="C200" s="87">
        <v>399</v>
      </c>
      <c r="D200" s="87">
        <v>44</v>
      </c>
      <c r="E200" s="87">
        <v>453</v>
      </c>
      <c r="F200" s="88">
        <f t="shared" si="5"/>
        <v>90.067720090293463</v>
      </c>
      <c r="G200" s="87">
        <v>5502</v>
      </c>
      <c r="H200" s="89">
        <f t="shared" si="0"/>
        <v>8.2333696837513628</v>
      </c>
      <c r="I200" s="90">
        <v>290</v>
      </c>
      <c r="J200" s="90">
        <v>6</v>
      </c>
      <c r="K200" s="87">
        <v>301</v>
      </c>
      <c r="L200" s="88">
        <f t="shared" si="1"/>
        <v>97.972972972972968</v>
      </c>
      <c r="M200" s="87">
        <v>5996</v>
      </c>
      <c r="N200" s="89">
        <f t="shared" si="2"/>
        <v>5.0200133422281521</v>
      </c>
      <c r="O200" s="90"/>
      <c r="P200" s="90"/>
    </row>
    <row r="201" spans="1:16">
      <c r="A201" s="85">
        <v>50101</v>
      </c>
      <c r="B201" s="95" t="s">
        <v>265</v>
      </c>
      <c r="C201" s="87">
        <v>21062</v>
      </c>
      <c r="D201" s="87">
        <v>1806</v>
      </c>
      <c r="E201" s="87">
        <v>23324</v>
      </c>
      <c r="F201" s="88">
        <f t="shared" si="5"/>
        <v>92.102501311876864</v>
      </c>
      <c r="G201" s="87">
        <v>191302</v>
      </c>
      <c r="H201" s="89">
        <f t="shared" si="0"/>
        <v>12.192240541133915</v>
      </c>
      <c r="I201" s="90">
        <v>18398</v>
      </c>
      <c r="J201" s="90">
        <v>288</v>
      </c>
      <c r="K201" s="87">
        <v>18743</v>
      </c>
      <c r="L201" s="88">
        <f t="shared" si="1"/>
        <v>98.458739163009739</v>
      </c>
      <c r="M201" s="87">
        <v>218702</v>
      </c>
      <c r="N201" s="89">
        <f t="shared" si="2"/>
        <v>8.5701090982249823</v>
      </c>
      <c r="O201" s="90"/>
      <c r="P201" s="90"/>
    </row>
    <row r="202" spans="1:16">
      <c r="A202" s="85">
        <v>50102</v>
      </c>
      <c r="B202" s="95" t="s">
        <v>267</v>
      </c>
      <c r="C202" s="87">
        <v>3088</v>
      </c>
      <c r="D202" s="87">
        <v>448</v>
      </c>
      <c r="E202" s="87">
        <v>3629</v>
      </c>
      <c r="F202" s="88">
        <f t="shared" si="5"/>
        <v>87.33031674208145</v>
      </c>
      <c r="G202" s="87">
        <v>27200</v>
      </c>
      <c r="H202" s="89">
        <f t="shared" si="0"/>
        <v>13.341911764705882</v>
      </c>
      <c r="I202" s="90">
        <v>3069</v>
      </c>
      <c r="J202" s="90">
        <v>54</v>
      </c>
      <c r="K202" s="87">
        <v>3144</v>
      </c>
      <c r="L202" s="88">
        <f t="shared" si="1"/>
        <v>98.270893371757921</v>
      </c>
      <c r="M202" s="87">
        <v>28942</v>
      </c>
      <c r="N202" s="89">
        <f t="shared" si="2"/>
        <v>10.863105521387602</v>
      </c>
      <c r="O202" s="90"/>
      <c r="P202" s="90"/>
    </row>
    <row r="203" spans="1:16">
      <c r="A203" s="85">
        <v>50103</v>
      </c>
      <c r="B203" s="95" t="s">
        <v>268</v>
      </c>
      <c r="C203" s="87">
        <v>720</v>
      </c>
      <c r="D203" s="87">
        <v>57</v>
      </c>
      <c r="E203" s="87">
        <v>802</v>
      </c>
      <c r="F203" s="88">
        <f t="shared" si="5"/>
        <v>92.664092664092664</v>
      </c>
      <c r="G203" s="87">
        <v>8979</v>
      </c>
      <c r="H203" s="89">
        <f t="shared" si="0"/>
        <v>8.9319523332219628</v>
      </c>
      <c r="I203" s="90">
        <v>871</v>
      </c>
      <c r="J203" s="90">
        <v>20</v>
      </c>
      <c r="K203" s="87">
        <v>899</v>
      </c>
      <c r="L203" s="88">
        <f t="shared" si="1"/>
        <v>97.75533108866442</v>
      </c>
      <c r="M203" s="87">
        <v>12253</v>
      </c>
      <c r="N203" s="89">
        <f t="shared" si="2"/>
        <v>7.3369786990940984</v>
      </c>
      <c r="O203" s="90"/>
      <c r="P203" s="90"/>
    </row>
    <row r="204" spans="1:16">
      <c r="A204" s="85">
        <v>50104</v>
      </c>
      <c r="B204" s="95" t="s">
        <v>269</v>
      </c>
      <c r="C204" s="87">
        <v>237</v>
      </c>
      <c r="D204" s="87">
        <v>45</v>
      </c>
      <c r="E204" s="87">
        <v>290</v>
      </c>
      <c r="F204" s="88">
        <f t="shared" si="5"/>
        <v>84.042553191489361</v>
      </c>
      <c r="G204" s="87">
        <v>2759</v>
      </c>
      <c r="H204" s="89">
        <f t="shared" si="0"/>
        <v>10.511054729974628</v>
      </c>
      <c r="I204" s="90">
        <v>195</v>
      </c>
      <c r="J204" s="90">
        <v>5</v>
      </c>
      <c r="K204" s="87">
        <v>200</v>
      </c>
      <c r="L204" s="88">
        <f t="shared" si="1"/>
        <v>97.5</v>
      </c>
      <c r="M204" s="87">
        <v>3121</v>
      </c>
      <c r="N204" s="89">
        <f t="shared" si="2"/>
        <v>6.4082024991989739</v>
      </c>
      <c r="O204" s="90"/>
      <c r="P204" s="90"/>
    </row>
    <row r="205" spans="1:16">
      <c r="A205" s="85">
        <v>50201</v>
      </c>
      <c r="B205" s="95" t="s">
        <v>271</v>
      </c>
      <c r="C205" s="87">
        <v>2236</v>
      </c>
      <c r="D205" s="87">
        <v>145</v>
      </c>
      <c r="E205" s="87">
        <v>2425</v>
      </c>
      <c r="F205" s="88">
        <f t="shared" si="5"/>
        <v>93.910121797564045</v>
      </c>
      <c r="G205" s="87">
        <v>22020</v>
      </c>
      <c r="H205" s="89">
        <f t="shared" si="0"/>
        <v>11.012715712988193</v>
      </c>
      <c r="I205" s="90">
        <v>1760</v>
      </c>
      <c r="J205" s="90">
        <v>40</v>
      </c>
      <c r="K205" s="87">
        <v>1809</v>
      </c>
      <c r="L205" s="88">
        <f t="shared" si="1"/>
        <v>97.777777777777771</v>
      </c>
      <c r="M205" s="87">
        <v>22768</v>
      </c>
      <c r="N205" s="89">
        <f t="shared" si="2"/>
        <v>7.9453619114546736</v>
      </c>
      <c r="O205" s="90"/>
      <c r="P205" s="90"/>
    </row>
    <row r="206" spans="1:16">
      <c r="A206" s="85">
        <v>50202</v>
      </c>
      <c r="B206" s="95" t="s">
        <v>272</v>
      </c>
      <c r="C206" s="87">
        <v>1791</v>
      </c>
      <c r="D206" s="87">
        <v>119</v>
      </c>
      <c r="E206" s="87">
        <v>1974</v>
      </c>
      <c r="F206" s="88">
        <f t="shared" si="5"/>
        <v>93.769633507853399</v>
      </c>
      <c r="G206" s="87">
        <v>16129</v>
      </c>
      <c r="H206" s="89">
        <f t="shared" si="0"/>
        <v>12.238824477648954</v>
      </c>
      <c r="I206" s="90">
        <v>1310</v>
      </c>
      <c r="J206" s="90">
        <v>14</v>
      </c>
      <c r="K206" s="87">
        <v>1336</v>
      </c>
      <c r="L206" s="88">
        <f t="shared" si="1"/>
        <v>98.942598187311177</v>
      </c>
      <c r="M206" s="87">
        <v>16021</v>
      </c>
      <c r="N206" s="89">
        <f t="shared" si="2"/>
        <v>8.3390549903251987</v>
      </c>
      <c r="O206" s="90"/>
      <c r="P206" s="90"/>
    </row>
    <row r="207" spans="1:16">
      <c r="A207" s="85">
        <v>50203</v>
      </c>
      <c r="B207" s="95" t="s">
        <v>273</v>
      </c>
      <c r="C207" s="87">
        <v>4496</v>
      </c>
      <c r="D207" s="87">
        <v>278</v>
      </c>
      <c r="E207" s="87">
        <v>4884</v>
      </c>
      <c r="F207" s="88">
        <f t="shared" si="5"/>
        <v>94.176790950984497</v>
      </c>
      <c r="G207" s="87">
        <v>41104</v>
      </c>
      <c r="H207" s="89">
        <f t="shared" si="0"/>
        <v>11.882055274425847</v>
      </c>
      <c r="I207" s="90">
        <v>3078</v>
      </c>
      <c r="J207" s="90">
        <v>37</v>
      </c>
      <c r="K207" s="87">
        <v>3130</v>
      </c>
      <c r="L207" s="88">
        <f t="shared" si="1"/>
        <v>98.81219903691813</v>
      </c>
      <c r="M207" s="87">
        <v>41686</v>
      </c>
      <c r="N207" s="89">
        <f t="shared" si="2"/>
        <v>7.5085160485534708</v>
      </c>
      <c r="O207" s="90"/>
      <c r="P207" s="90"/>
    </row>
    <row r="208" spans="1:16">
      <c r="A208" s="85">
        <v>50204</v>
      </c>
      <c r="B208" s="95" t="s">
        <v>274</v>
      </c>
      <c r="C208" s="87">
        <v>1000</v>
      </c>
      <c r="D208" s="87">
        <v>119</v>
      </c>
      <c r="E208" s="87">
        <v>1136</v>
      </c>
      <c r="F208" s="88">
        <f t="shared" si="5"/>
        <v>89.365504915102761</v>
      </c>
      <c r="G208" s="87">
        <v>8019</v>
      </c>
      <c r="H208" s="89">
        <f t="shared" si="0"/>
        <v>14.166354907095648</v>
      </c>
      <c r="I208" s="90">
        <v>729</v>
      </c>
      <c r="J208" s="90">
        <v>12</v>
      </c>
      <c r="K208" s="87">
        <v>746</v>
      </c>
      <c r="L208" s="88">
        <f t="shared" si="1"/>
        <v>98.380566801619423</v>
      </c>
      <c r="M208" s="87">
        <v>8220</v>
      </c>
      <c r="N208" s="89">
        <f t="shared" si="2"/>
        <v>9.0754257907542577</v>
      </c>
      <c r="O208" s="90"/>
      <c r="P208" s="90"/>
    </row>
    <row r="209" spans="1:16">
      <c r="A209" s="85">
        <v>50301</v>
      </c>
      <c r="B209" s="95" t="s">
        <v>276</v>
      </c>
      <c r="C209" s="87">
        <v>3175</v>
      </c>
      <c r="D209" s="87">
        <v>322</v>
      </c>
      <c r="E209" s="87">
        <v>3569</v>
      </c>
      <c r="F209" s="88">
        <f t="shared" si="5"/>
        <v>90.79210752073206</v>
      </c>
      <c r="G209" s="87">
        <v>33922</v>
      </c>
      <c r="H209" s="89">
        <f t="shared" si="0"/>
        <v>10.521195684216734</v>
      </c>
      <c r="I209" s="90">
        <v>2470</v>
      </c>
      <c r="J209" s="90">
        <v>78</v>
      </c>
      <c r="K209" s="87">
        <v>2566</v>
      </c>
      <c r="L209" s="88">
        <f t="shared" si="1"/>
        <v>96.938775510204081</v>
      </c>
      <c r="M209" s="87">
        <v>31904</v>
      </c>
      <c r="N209" s="89">
        <f t="shared" si="2"/>
        <v>8.0428786359077229</v>
      </c>
      <c r="O209" s="90"/>
      <c r="P209" s="90"/>
    </row>
    <row r="210" spans="1:16">
      <c r="A210" s="85">
        <v>50302</v>
      </c>
      <c r="B210" s="95" t="s">
        <v>277</v>
      </c>
      <c r="C210" s="87">
        <v>860</v>
      </c>
      <c r="D210" s="87">
        <v>51</v>
      </c>
      <c r="E210" s="87">
        <v>929</v>
      </c>
      <c r="F210" s="88">
        <f t="shared" si="5"/>
        <v>94.401756311745331</v>
      </c>
      <c r="G210" s="87">
        <v>9910</v>
      </c>
      <c r="H210" s="89">
        <f t="shared" si="0"/>
        <v>9.3743693239152375</v>
      </c>
      <c r="I210" s="90">
        <v>671</v>
      </c>
      <c r="J210" s="90">
        <v>19</v>
      </c>
      <c r="K210" s="87">
        <v>692</v>
      </c>
      <c r="L210" s="88">
        <f t="shared" si="1"/>
        <v>97.246376811594203</v>
      </c>
      <c r="M210" s="87">
        <v>9285</v>
      </c>
      <c r="N210" s="89">
        <f t="shared" si="2"/>
        <v>7.4528809908454496</v>
      </c>
      <c r="O210" s="90"/>
      <c r="P210" s="90"/>
    </row>
    <row r="211" spans="1:16">
      <c r="A211" s="85">
        <v>50303</v>
      </c>
      <c r="B211" s="95" t="s">
        <v>278</v>
      </c>
      <c r="C211" s="87">
        <v>1047</v>
      </c>
      <c r="D211" s="87">
        <v>225</v>
      </c>
      <c r="E211" s="87">
        <v>1354</v>
      </c>
      <c r="F211" s="88">
        <f t="shared" si="5"/>
        <v>82.311320754716974</v>
      </c>
      <c r="G211" s="87">
        <v>11835</v>
      </c>
      <c r="H211" s="89">
        <f t="shared" si="0"/>
        <v>11.440642163075623</v>
      </c>
      <c r="I211" s="90">
        <v>1222</v>
      </c>
      <c r="J211" s="90">
        <v>33</v>
      </c>
      <c r="K211" s="87">
        <v>1269</v>
      </c>
      <c r="L211" s="88">
        <f t="shared" si="1"/>
        <v>97.370517928286844</v>
      </c>
      <c r="M211" s="87">
        <v>14366</v>
      </c>
      <c r="N211" s="89">
        <f t="shared" si="2"/>
        <v>8.8333565362661837</v>
      </c>
      <c r="O211" s="90"/>
      <c r="P211" s="90"/>
    </row>
    <row r="212" spans="1:16">
      <c r="A212" s="85">
        <v>50401</v>
      </c>
      <c r="B212" s="95" t="s">
        <v>279</v>
      </c>
      <c r="C212" s="87">
        <v>1531</v>
      </c>
      <c r="D212" s="87">
        <v>341</v>
      </c>
      <c r="E212" s="87">
        <v>1935</v>
      </c>
      <c r="F212" s="88">
        <f t="shared" si="5"/>
        <v>81.784188034188034</v>
      </c>
      <c r="G212" s="87">
        <v>15260</v>
      </c>
      <c r="H212" s="89">
        <f t="shared" si="0"/>
        <v>12.680209698558324</v>
      </c>
      <c r="I212" s="90">
        <v>1501</v>
      </c>
      <c r="J212" s="90">
        <v>43</v>
      </c>
      <c r="K212" s="87">
        <v>1585</v>
      </c>
      <c r="L212" s="88">
        <f t="shared" si="1"/>
        <v>97.215025906735747</v>
      </c>
      <c r="M212" s="87">
        <v>16363</v>
      </c>
      <c r="N212" s="89">
        <f t="shared" si="2"/>
        <v>9.6864878078591943</v>
      </c>
      <c r="O212" s="90"/>
      <c r="P212" s="90"/>
    </row>
    <row r="213" spans="1:16">
      <c r="A213" s="85">
        <v>50402</v>
      </c>
      <c r="B213" s="95" t="s">
        <v>280</v>
      </c>
      <c r="C213" s="87">
        <v>2024</v>
      </c>
      <c r="D213" s="87">
        <v>282</v>
      </c>
      <c r="E213" s="87">
        <v>2415</v>
      </c>
      <c r="F213" s="88">
        <f t="shared" si="5"/>
        <v>87.771032090199469</v>
      </c>
      <c r="G213" s="87">
        <v>21213</v>
      </c>
      <c r="H213" s="89">
        <f t="shared" si="0"/>
        <v>11.384528355253853</v>
      </c>
      <c r="I213" s="90">
        <v>1101</v>
      </c>
      <c r="J213" s="90">
        <v>14</v>
      </c>
      <c r="K213" s="87">
        <v>1135</v>
      </c>
      <c r="L213" s="88">
        <f t="shared" si="1"/>
        <v>98.744394618834093</v>
      </c>
      <c r="M213" s="87">
        <v>16909</v>
      </c>
      <c r="N213" s="89">
        <f t="shared" si="2"/>
        <v>6.7124016795789219</v>
      </c>
      <c r="O213" s="90"/>
      <c r="P213" s="90"/>
    </row>
    <row r="214" spans="1:16">
      <c r="A214" s="85">
        <v>50403</v>
      </c>
      <c r="B214" s="95" t="s">
        <v>281</v>
      </c>
      <c r="C214" s="87">
        <v>2574</v>
      </c>
      <c r="D214" s="87">
        <v>351</v>
      </c>
      <c r="E214" s="87">
        <v>3030</v>
      </c>
      <c r="F214" s="88">
        <f t="shared" si="5"/>
        <v>88</v>
      </c>
      <c r="G214" s="87">
        <v>26330</v>
      </c>
      <c r="H214" s="89">
        <f t="shared" si="0"/>
        <v>11.507785795670337</v>
      </c>
      <c r="I214" s="90">
        <v>2847</v>
      </c>
      <c r="J214" s="90">
        <v>68</v>
      </c>
      <c r="K214" s="87">
        <v>2961</v>
      </c>
      <c r="L214" s="88">
        <f t="shared" si="1"/>
        <v>97.667238421955403</v>
      </c>
      <c r="M214" s="87">
        <v>32641</v>
      </c>
      <c r="N214" s="89">
        <f t="shared" si="2"/>
        <v>9.0714132532704266</v>
      </c>
      <c r="O214" s="90"/>
      <c r="P214" s="90"/>
    </row>
    <row r="215" spans="1:16">
      <c r="A215" s="85">
        <v>50404</v>
      </c>
      <c r="B215" s="95" t="s">
        <v>282</v>
      </c>
      <c r="C215" s="87">
        <v>1648</v>
      </c>
      <c r="D215" s="87">
        <v>398</v>
      </c>
      <c r="E215" s="87">
        <v>2094</v>
      </c>
      <c r="F215" s="88">
        <f t="shared" si="5"/>
        <v>80.547409579667644</v>
      </c>
      <c r="G215" s="87">
        <v>16118</v>
      </c>
      <c r="H215" s="89">
        <f t="shared" si="0"/>
        <v>12.991686313438391</v>
      </c>
      <c r="I215" s="90">
        <v>1162</v>
      </c>
      <c r="J215" s="90">
        <v>29</v>
      </c>
      <c r="K215" s="87">
        <v>1210</v>
      </c>
      <c r="L215" s="88">
        <f t="shared" si="1"/>
        <v>97.565071368597827</v>
      </c>
      <c r="M215" s="87">
        <v>14532</v>
      </c>
      <c r="N215" s="89">
        <f t="shared" si="2"/>
        <v>8.3264519680704652</v>
      </c>
      <c r="O215" s="90"/>
      <c r="P215" s="90"/>
    </row>
    <row r="216" spans="1:16">
      <c r="A216" s="85">
        <v>50405</v>
      </c>
      <c r="B216" s="95" t="s">
        <v>283</v>
      </c>
      <c r="C216" s="87">
        <v>2258</v>
      </c>
      <c r="D216" s="87">
        <v>255</v>
      </c>
      <c r="E216" s="87">
        <v>2590</v>
      </c>
      <c r="F216" s="88">
        <f t="shared" si="5"/>
        <v>89.852765618782328</v>
      </c>
      <c r="G216" s="87">
        <v>19939</v>
      </c>
      <c r="H216" s="89">
        <f t="shared" si="0"/>
        <v>12.989618335924568</v>
      </c>
      <c r="I216" s="90">
        <v>1777</v>
      </c>
      <c r="J216" s="90">
        <v>65</v>
      </c>
      <c r="K216" s="87">
        <v>1877</v>
      </c>
      <c r="L216" s="88">
        <f t="shared" si="1"/>
        <v>96.471226927252985</v>
      </c>
      <c r="M216" s="87">
        <v>21011</v>
      </c>
      <c r="N216" s="89">
        <f t="shared" si="2"/>
        <v>8.933415829803435</v>
      </c>
      <c r="O216" s="90"/>
      <c r="P216" s="90"/>
    </row>
    <row r="217" spans="1:16">
      <c r="A217" s="85">
        <v>50501</v>
      </c>
      <c r="B217" s="95" t="s">
        <v>285</v>
      </c>
      <c r="C217" s="87">
        <v>2722</v>
      </c>
      <c r="D217" s="87">
        <v>883</v>
      </c>
      <c r="E217" s="87">
        <v>3747</v>
      </c>
      <c r="F217" s="88">
        <f t="shared" si="5"/>
        <v>75.506241331484048</v>
      </c>
      <c r="G217" s="87">
        <v>30012</v>
      </c>
      <c r="H217" s="89">
        <f t="shared" si="0"/>
        <v>12.485005997600959</v>
      </c>
      <c r="I217" s="90">
        <v>2688</v>
      </c>
      <c r="J217" s="90">
        <v>75</v>
      </c>
      <c r="K217" s="87">
        <v>2804</v>
      </c>
      <c r="L217" s="88">
        <f t="shared" si="1"/>
        <v>97.28555917480999</v>
      </c>
      <c r="M217" s="87">
        <v>28416</v>
      </c>
      <c r="N217" s="89">
        <f t="shared" si="2"/>
        <v>9.8676801801801801</v>
      </c>
      <c r="O217" s="90"/>
      <c r="P217" s="90"/>
    </row>
    <row r="218" spans="1:16">
      <c r="A218" s="85">
        <v>50502</v>
      </c>
      <c r="B218" s="95" t="s">
        <v>286</v>
      </c>
      <c r="C218" s="87">
        <v>997</v>
      </c>
      <c r="D218" s="87">
        <v>310</v>
      </c>
      <c r="E218" s="87">
        <v>1340</v>
      </c>
      <c r="F218" s="88">
        <f t="shared" si="5"/>
        <v>76.281560826319819</v>
      </c>
      <c r="G218" s="87">
        <v>10870</v>
      </c>
      <c r="H218" s="89">
        <f t="shared" si="0"/>
        <v>12.32750689972401</v>
      </c>
      <c r="I218" s="90">
        <v>914</v>
      </c>
      <c r="J218" s="90">
        <v>27</v>
      </c>
      <c r="K218" s="87">
        <v>953</v>
      </c>
      <c r="L218" s="88">
        <f t="shared" si="1"/>
        <v>97.13071200850159</v>
      </c>
      <c r="M218" s="87">
        <v>10714</v>
      </c>
      <c r="N218" s="89">
        <f t="shared" si="2"/>
        <v>8.8949038641030427</v>
      </c>
      <c r="O218" s="90"/>
      <c r="P218" s="90"/>
    </row>
    <row r="219" spans="1:16">
      <c r="A219" s="85">
        <v>50601</v>
      </c>
      <c r="B219" s="95" t="s">
        <v>288</v>
      </c>
      <c r="C219" s="87">
        <v>2910</v>
      </c>
      <c r="D219" s="87">
        <v>277</v>
      </c>
      <c r="E219" s="87">
        <v>3264</v>
      </c>
      <c r="F219" s="88">
        <f t="shared" si="5"/>
        <v>91.308440539692498</v>
      </c>
      <c r="G219" s="87">
        <v>31801</v>
      </c>
      <c r="H219" s="89">
        <f t="shared" si="0"/>
        <v>10.263828181503726</v>
      </c>
      <c r="I219" s="90">
        <v>1893</v>
      </c>
      <c r="J219" s="90">
        <v>117</v>
      </c>
      <c r="K219" s="87">
        <v>2030</v>
      </c>
      <c r="L219" s="88">
        <f t="shared" si="1"/>
        <v>94.179104477611943</v>
      </c>
      <c r="M219" s="87">
        <v>29221</v>
      </c>
      <c r="N219" s="89">
        <f t="shared" si="2"/>
        <v>6.9470586222237438</v>
      </c>
      <c r="O219" s="90"/>
      <c r="P219" s="90"/>
    </row>
    <row r="220" spans="1:16">
      <c r="A220" s="85">
        <v>50602</v>
      </c>
      <c r="B220" s="95" t="s">
        <v>289</v>
      </c>
      <c r="C220" s="87">
        <v>918</v>
      </c>
      <c r="D220" s="87">
        <v>88</v>
      </c>
      <c r="E220" s="87">
        <v>1027</v>
      </c>
      <c r="F220" s="88">
        <f t="shared" si="5"/>
        <v>91.252485089463221</v>
      </c>
      <c r="G220" s="87">
        <v>10646</v>
      </c>
      <c r="H220" s="89">
        <f t="shared" si="0"/>
        <v>9.6468157054292689</v>
      </c>
      <c r="I220" s="90">
        <v>600</v>
      </c>
      <c r="J220" s="90">
        <v>29</v>
      </c>
      <c r="K220" s="87">
        <v>636</v>
      </c>
      <c r="L220" s="88">
        <f t="shared" si="1"/>
        <v>95.389507154213035</v>
      </c>
      <c r="M220" s="87">
        <v>10184</v>
      </c>
      <c r="N220" s="89">
        <f t="shared" si="2"/>
        <v>6.2450903377847604</v>
      </c>
      <c r="O220" s="90"/>
      <c r="P220" s="90"/>
    </row>
    <row r="221" spans="1:16">
      <c r="A221" s="85">
        <v>50701</v>
      </c>
      <c r="B221" s="95" t="s">
        <v>291</v>
      </c>
      <c r="C221" s="87">
        <v>2277</v>
      </c>
      <c r="D221" s="87">
        <v>228</v>
      </c>
      <c r="E221" s="87">
        <v>2566</v>
      </c>
      <c r="F221" s="88">
        <f t="shared" si="5"/>
        <v>90.898203592814369</v>
      </c>
      <c r="G221" s="87">
        <v>19611</v>
      </c>
      <c r="H221" s="89">
        <f t="shared" si="0"/>
        <v>13.084493396563154</v>
      </c>
      <c r="I221" s="90">
        <v>1623</v>
      </c>
      <c r="J221" s="90">
        <v>22</v>
      </c>
      <c r="K221" s="87">
        <v>1668</v>
      </c>
      <c r="L221" s="88">
        <f t="shared" si="1"/>
        <v>98.662613981762917</v>
      </c>
      <c r="M221" s="87">
        <v>17205</v>
      </c>
      <c r="N221" s="89">
        <f t="shared" si="2"/>
        <v>9.6948561464690499</v>
      </c>
      <c r="O221" s="90"/>
      <c r="P221" s="90"/>
    </row>
    <row r="222" spans="1:16">
      <c r="A222" s="85">
        <v>50702</v>
      </c>
      <c r="B222" s="95" t="s">
        <v>292</v>
      </c>
      <c r="C222" s="87">
        <v>954</v>
      </c>
      <c r="D222" s="87">
        <v>54</v>
      </c>
      <c r="E222" s="87">
        <v>1019</v>
      </c>
      <c r="F222" s="88">
        <f t="shared" si="5"/>
        <v>94.642857142857139</v>
      </c>
      <c r="G222" s="87">
        <v>8704</v>
      </c>
      <c r="H222" s="89">
        <f t="shared" si="0"/>
        <v>11.707261029411764</v>
      </c>
      <c r="I222" s="90">
        <v>664</v>
      </c>
      <c r="J222" s="90">
        <v>16</v>
      </c>
      <c r="K222" s="87">
        <v>688</v>
      </c>
      <c r="L222" s="88">
        <f t="shared" si="1"/>
        <v>97.647058823529406</v>
      </c>
      <c r="M222" s="87">
        <v>8458</v>
      </c>
      <c r="N222" s="89">
        <f t="shared" si="2"/>
        <v>8.1343107117521871</v>
      </c>
      <c r="O222" s="90"/>
      <c r="P222" s="90"/>
    </row>
    <row r="223" spans="1:16">
      <c r="A223" s="85">
        <v>50801</v>
      </c>
      <c r="B223" s="95" t="s">
        <v>294</v>
      </c>
      <c r="C223" s="87">
        <v>4523</v>
      </c>
      <c r="D223" s="87">
        <v>331</v>
      </c>
      <c r="E223" s="87">
        <v>4978</v>
      </c>
      <c r="F223" s="88">
        <f t="shared" si="5"/>
        <v>93.180881747012776</v>
      </c>
      <c r="G223" s="87">
        <v>44814</v>
      </c>
      <c r="H223" s="89">
        <f t="shared" si="0"/>
        <v>11.108135850403892</v>
      </c>
      <c r="I223" s="90">
        <v>3242</v>
      </c>
      <c r="J223" s="90">
        <v>86</v>
      </c>
      <c r="K223" s="87">
        <v>3342</v>
      </c>
      <c r="L223" s="88">
        <f t="shared" si="1"/>
        <v>97.415865384615387</v>
      </c>
      <c r="M223" s="87">
        <v>45590</v>
      </c>
      <c r="N223" s="89">
        <f t="shared" si="2"/>
        <v>7.3305549462601443</v>
      </c>
      <c r="O223" s="90"/>
      <c r="P223" s="90"/>
    </row>
    <row r="224" spans="1:16">
      <c r="A224" s="85">
        <v>50802</v>
      </c>
      <c r="B224" s="95" t="s">
        <v>295</v>
      </c>
      <c r="C224" s="87">
        <v>1409</v>
      </c>
      <c r="D224" s="87">
        <v>34</v>
      </c>
      <c r="E224" s="87">
        <v>1478</v>
      </c>
      <c r="F224" s="88">
        <f t="shared" si="5"/>
        <v>97.643797643797654</v>
      </c>
      <c r="G224" s="87">
        <v>11234</v>
      </c>
      <c r="H224" s="89">
        <f t="shared" si="0"/>
        <v>13.156489229125867</v>
      </c>
      <c r="I224" s="90">
        <v>769</v>
      </c>
      <c r="J224" s="90">
        <v>5</v>
      </c>
      <c r="K224" s="87">
        <v>776</v>
      </c>
      <c r="L224" s="88">
        <f t="shared" si="1"/>
        <v>99.354005167958661</v>
      </c>
      <c r="M224" s="87">
        <v>9610</v>
      </c>
      <c r="N224" s="89">
        <f t="shared" si="2"/>
        <v>8.0749219562955243</v>
      </c>
      <c r="O224" s="90"/>
      <c r="P224" s="90"/>
    </row>
    <row r="225" spans="1:16">
      <c r="A225" s="85">
        <v>50901</v>
      </c>
      <c r="B225" s="95" t="s">
        <v>297</v>
      </c>
      <c r="C225" s="87">
        <v>1253</v>
      </c>
      <c r="D225" s="87">
        <v>97</v>
      </c>
      <c r="E225" s="87">
        <v>1371</v>
      </c>
      <c r="F225" s="88">
        <f t="shared" si="5"/>
        <v>92.81481481481481</v>
      </c>
      <c r="G225" s="87">
        <v>12997</v>
      </c>
      <c r="H225" s="89">
        <f t="shared" si="0"/>
        <v>10.548588135723628</v>
      </c>
      <c r="I225" s="90">
        <v>957</v>
      </c>
      <c r="J225" s="90">
        <v>24</v>
      </c>
      <c r="K225" s="87">
        <v>987</v>
      </c>
      <c r="L225" s="88">
        <f t="shared" si="1"/>
        <v>97.553516819571868</v>
      </c>
      <c r="M225" s="87">
        <v>12740</v>
      </c>
      <c r="N225" s="89">
        <f t="shared" si="2"/>
        <v>7.7472527472527473</v>
      </c>
      <c r="O225" s="90"/>
      <c r="P225" s="90"/>
    </row>
    <row r="226" spans="1:16">
      <c r="A226" s="85">
        <v>50902</v>
      </c>
      <c r="B226" s="95" t="s">
        <v>298</v>
      </c>
      <c r="C226" s="87">
        <v>66</v>
      </c>
      <c r="D226" s="87">
        <v>13</v>
      </c>
      <c r="E226" s="87">
        <v>83</v>
      </c>
      <c r="F226" s="88">
        <f t="shared" si="5"/>
        <v>83.544303797468359</v>
      </c>
      <c r="G226" s="87">
        <v>1060</v>
      </c>
      <c r="H226" s="89">
        <f t="shared" si="0"/>
        <v>7.8301886792452828</v>
      </c>
      <c r="I226" s="90">
        <v>96</v>
      </c>
      <c r="J226" s="90">
        <v>5</v>
      </c>
      <c r="K226" s="87">
        <v>101</v>
      </c>
      <c r="L226" s="88">
        <f t="shared" si="1"/>
        <v>95.049504950495049</v>
      </c>
      <c r="M226" s="87">
        <v>1621</v>
      </c>
      <c r="N226" s="89">
        <f t="shared" si="2"/>
        <v>6.2307217766810616</v>
      </c>
      <c r="O226" s="90"/>
      <c r="P226" s="90"/>
    </row>
    <row r="227" spans="1:16">
      <c r="A227" s="85">
        <v>51001</v>
      </c>
      <c r="B227" s="95" t="s">
        <v>300</v>
      </c>
      <c r="C227" s="87">
        <v>396</v>
      </c>
      <c r="D227" s="87">
        <v>28</v>
      </c>
      <c r="E227" s="87">
        <v>439</v>
      </c>
      <c r="F227" s="88">
        <f t="shared" si="5"/>
        <v>93.396226415094347</v>
      </c>
      <c r="G227" s="87">
        <v>3371</v>
      </c>
      <c r="H227" s="89">
        <f t="shared" si="0"/>
        <v>13.022841886680512</v>
      </c>
      <c r="I227" s="90">
        <v>245</v>
      </c>
      <c r="J227" s="90">
        <v>5</v>
      </c>
      <c r="K227" s="87">
        <v>252</v>
      </c>
      <c r="L227" s="88">
        <f t="shared" si="1"/>
        <v>98</v>
      </c>
      <c r="M227" s="87">
        <v>3150</v>
      </c>
      <c r="N227" s="89">
        <f t="shared" si="2"/>
        <v>8</v>
      </c>
      <c r="O227" s="90"/>
      <c r="P227" s="90"/>
    </row>
    <row r="228" spans="1:16">
      <c r="A228" s="85">
        <v>51002</v>
      </c>
      <c r="B228" s="95" t="s">
        <v>301</v>
      </c>
      <c r="C228" s="87">
        <v>127</v>
      </c>
      <c r="D228" s="87">
        <v>24</v>
      </c>
      <c r="E228" s="87">
        <v>156</v>
      </c>
      <c r="F228" s="88">
        <f t="shared" si="5"/>
        <v>84.105960264900659</v>
      </c>
      <c r="G228" s="87">
        <v>1180</v>
      </c>
      <c r="H228" s="89">
        <f t="shared" si="0"/>
        <v>13.220338983050848</v>
      </c>
      <c r="I228" s="90">
        <v>65</v>
      </c>
      <c r="J228" s="90">
        <v>11</v>
      </c>
      <c r="K228" s="87">
        <v>76</v>
      </c>
      <c r="L228" s="88">
        <f t="shared" si="1"/>
        <v>85.526315789473685</v>
      </c>
      <c r="M228" s="87">
        <v>1025</v>
      </c>
      <c r="N228" s="89">
        <f t="shared" si="2"/>
        <v>7.4146341463414629</v>
      </c>
      <c r="O228" s="90"/>
      <c r="P228" s="90"/>
    </row>
    <row r="229" spans="1:16">
      <c r="A229" s="85">
        <v>51003</v>
      </c>
      <c r="B229" s="95" t="s">
        <v>302</v>
      </c>
      <c r="C229" s="87">
        <v>244</v>
      </c>
      <c r="D229" s="87">
        <v>25</v>
      </c>
      <c r="E229" s="87">
        <v>279</v>
      </c>
      <c r="F229" s="88">
        <f t="shared" si="5"/>
        <v>90.706319702602229</v>
      </c>
      <c r="G229" s="87">
        <v>2284</v>
      </c>
      <c r="H229" s="89">
        <f t="shared" si="0"/>
        <v>12.215411558669002</v>
      </c>
      <c r="I229" s="90">
        <v>139</v>
      </c>
      <c r="J229" s="90">
        <v>14</v>
      </c>
      <c r="K229" s="87">
        <v>156</v>
      </c>
      <c r="L229" s="88">
        <f t="shared" si="1"/>
        <v>90.849673202614383</v>
      </c>
      <c r="M229" s="87">
        <v>1936</v>
      </c>
      <c r="N229" s="89">
        <f t="shared" si="2"/>
        <v>8.0578512396694215</v>
      </c>
      <c r="O229" s="90"/>
      <c r="P229" s="90"/>
    </row>
    <row r="230" spans="1:16">
      <c r="A230" s="85">
        <v>51101</v>
      </c>
      <c r="B230" s="95" t="s">
        <v>304</v>
      </c>
      <c r="C230" s="87">
        <v>1963</v>
      </c>
      <c r="D230" s="87">
        <v>203</v>
      </c>
      <c r="E230" s="87">
        <v>2226</v>
      </c>
      <c r="F230" s="88">
        <f t="shared" si="5"/>
        <v>90.627885503231767</v>
      </c>
      <c r="G230" s="87">
        <v>21917</v>
      </c>
      <c r="H230" s="89">
        <f t="shared" si="0"/>
        <v>10.156499520919834</v>
      </c>
      <c r="I230" s="90">
        <v>991</v>
      </c>
      <c r="J230" s="90">
        <v>42</v>
      </c>
      <c r="K230" s="87">
        <v>1042</v>
      </c>
      <c r="L230" s="88">
        <f t="shared" si="1"/>
        <v>95.934172313649569</v>
      </c>
      <c r="M230" s="87">
        <v>16389</v>
      </c>
      <c r="N230" s="89">
        <f t="shared" si="2"/>
        <v>6.3579229971322233</v>
      </c>
      <c r="O230" s="90"/>
      <c r="P230" s="90"/>
    </row>
    <row r="231" spans="1:16">
      <c r="A231" s="85">
        <v>51102</v>
      </c>
      <c r="B231" s="95" t="s">
        <v>305</v>
      </c>
      <c r="C231" s="87">
        <v>1036</v>
      </c>
      <c r="D231" s="87">
        <v>94</v>
      </c>
      <c r="E231" s="87">
        <v>1149</v>
      </c>
      <c r="F231" s="88">
        <f t="shared" si="5"/>
        <v>91.681415929203538</v>
      </c>
      <c r="G231" s="87">
        <v>12067</v>
      </c>
      <c r="H231" s="89">
        <f t="shared" si="0"/>
        <v>9.5218364133587468</v>
      </c>
      <c r="I231" s="90">
        <v>988</v>
      </c>
      <c r="J231" s="90">
        <v>44</v>
      </c>
      <c r="K231" s="87">
        <v>1041</v>
      </c>
      <c r="L231" s="88">
        <f t="shared" si="1"/>
        <v>95.736434108527135</v>
      </c>
      <c r="M231" s="87">
        <v>12999</v>
      </c>
      <c r="N231" s="89">
        <f t="shared" si="2"/>
        <v>8.0083083314101078</v>
      </c>
      <c r="O231" s="90"/>
      <c r="P231" s="90"/>
    </row>
    <row r="232" spans="1:16">
      <c r="A232" s="85">
        <v>51103</v>
      </c>
      <c r="B232" s="95" t="s">
        <v>306</v>
      </c>
      <c r="C232" s="87">
        <v>1735</v>
      </c>
      <c r="D232" s="87">
        <v>296</v>
      </c>
      <c r="E232" s="87">
        <v>2086</v>
      </c>
      <c r="F232" s="88">
        <f t="shared" si="5"/>
        <v>85.425898572131956</v>
      </c>
      <c r="G232" s="87">
        <v>15812</v>
      </c>
      <c r="H232" s="89">
        <f t="shared" si="0"/>
        <v>13.192512016190236</v>
      </c>
      <c r="I232" s="90">
        <v>1308</v>
      </c>
      <c r="J232" s="90">
        <v>44</v>
      </c>
      <c r="K232" s="87">
        <v>1361</v>
      </c>
      <c r="L232" s="88">
        <f t="shared" si="1"/>
        <v>96.745562130177504</v>
      </c>
      <c r="M232" s="87">
        <v>14338</v>
      </c>
      <c r="N232" s="89">
        <f t="shared" si="2"/>
        <v>9.4922583344957463</v>
      </c>
      <c r="O232" s="90"/>
      <c r="P232" s="90"/>
    </row>
    <row r="233" spans="1:16">
      <c r="A233" s="85">
        <v>51201</v>
      </c>
      <c r="B233" s="95" t="s">
        <v>308</v>
      </c>
      <c r="C233" s="87">
        <v>3255</v>
      </c>
      <c r="D233" s="87">
        <v>250</v>
      </c>
      <c r="E233" s="87">
        <v>3618</v>
      </c>
      <c r="F233" s="88">
        <f t="shared" si="5"/>
        <v>92.867332382310991</v>
      </c>
      <c r="G233" s="87">
        <v>29672</v>
      </c>
      <c r="H233" s="89">
        <f t="shared" si="0"/>
        <v>12.193313561606903</v>
      </c>
      <c r="I233" s="90">
        <v>2636</v>
      </c>
      <c r="J233" s="90">
        <v>51</v>
      </c>
      <c r="K233" s="87">
        <v>2697</v>
      </c>
      <c r="L233" s="88">
        <f t="shared" si="1"/>
        <v>98.101972459992552</v>
      </c>
      <c r="M233" s="87">
        <v>35318</v>
      </c>
      <c r="N233" s="89">
        <f t="shared" si="2"/>
        <v>7.6363327481737358</v>
      </c>
      <c r="O233" s="90"/>
      <c r="P233" s="90"/>
    </row>
    <row r="234" spans="1:16">
      <c r="A234" s="85">
        <v>51202</v>
      </c>
      <c r="B234" s="95" t="s">
        <v>309</v>
      </c>
      <c r="C234" s="87">
        <v>854</v>
      </c>
      <c r="D234" s="87">
        <v>66</v>
      </c>
      <c r="E234" s="87">
        <v>958</v>
      </c>
      <c r="F234" s="88">
        <f t="shared" si="5"/>
        <v>92.826086956521735</v>
      </c>
      <c r="G234" s="87">
        <v>8854</v>
      </c>
      <c r="H234" s="89">
        <f t="shared" si="0"/>
        <v>10.819968375875311</v>
      </c>
      <c r="I234" s="90">
        <v>542</v>
      </c>
      <c r="J234" s="90">
        <v>11</v>
      </c>
      <c r="K234" s="87">
        <v>554</v>
      </c>
      <c r="L234" s="88">
        <f t="shared" si="1"/>
        <v>98.010849909584081</v>
      </c>
      <c r="M234" s="87">
        <v>7845</v>
      </c>
      <c r="N234" s="89">
        <f t="shared" si="2"/>
        <v>7.0618228170809427</v>
      </c>
      <c r="O234" s="90"/>
      <c r="P234" s="90"/>
    </row>
    <row r="235" spans="1:16">
      <c r="A235" s="85">
        <v>51203</v>
      </c>
      <c r="B235" s="95" t="s">
        <v>310</v>
      </c>
      <c r="C235" s="87">
        <v>1413</v>
      </c>
      <c r="D235" s="87">
        <v>200</v>
      </c>
      <c r="E235" s="87">
        <v>1653</v>
      </c>
      <c r="F235" s="88">
        <f t="shared" si="5"/>
        <v>87.600743955362674</v>
      </c>
      <c r="G235" s="87">
        <v>10866</v>
      </c>
      <c r="H235" s="89">
        <f t="shared" si="0"/>
        <v>15.212589729431253</v>
      </c>
      <c r="I235" s="90">
        <v>1398</v>
      </c>
      <c r="J235" s="90">
        <v>14</v>
      </c>
      <c r="K235" s="87">
        <v>1417</v>
      </c>
      <c r="L235" s="88">
        <f t="shared" si="1"/>
        <v>99.008498583569406</v>
      </c>
      <c r="M235" s="87">
        <v>14654</v>
      </c>
      <c r="N235" s="89">
        <f t="shared" si="2"/>
        <v>9.6697147536508812</v>
      </c>
      <c r="O235" s="90"/>
      <c r="P235" s="90"/>
    </row>
    <row r="236" spans="1:16">
      <c r="A236" s="85">
        <v>51204</v>
      </c>
      <c r="B236" s="95" t="s">
        <v>469</v>
      </c>
      <c r="C236" s="87">
        <v>642</v>
      </c>
      <c r="D236" s="87">
        <v>66</v>
      </c>
      <c r="E236" s="87">
        <v>724</v>
      </c>
      <c r="F236" s="88">
        <f t="shared" si="5"/>
        <v>90.677966101694921</v>
      </c>
      <c r="G236" s="87">
        <v>5935</v>
      </c>
      <c r="H236" s="89">
        <f t="shared" si="0"/>
        <v>12.198820556023589</v>
      </c>
      <c r="I236" s="90">
        <v>410</v>
      </c>
      <c r="J236" s="90">
        <v>11</v>
      </c>
      <c r="K236" s="87">
        <v>424</v>
      </c>
      <c r="L236" s="88">
        <f t="shared" si="1"/>
        <v>97.387173396674584</v>
      </c>
      <c r="M236" s="87">
        <v>5819</v>
      </c>
      <c r="N236" s="89">
        <f t="shared" si="2"/>
        <v>7.2864753394053956</v>
      </c>
      <c r="O236" s="90"/>
      <c r="P236" s="90"/>
    </row>
    <row r="237" spans="1:16">
      <c r="A237" s="85">
        <v>51301</v>
      </c>
      <c r="B237" s="95" t="s">
        <v>313</v>
      </c>
      <c r="C237" s="87">
        <v>499</v>
      </c>
      <c r="D237" s="87">
        <v>48</v>
      </c>
      <c r="E237" s="87">
        <v>571</v>
      </c>
      <c r="F237" s="88">
        <f t="shared" si="5"/>
        <v>91.224862888482633</v>
      </c>
      <c r="G237" s="87">
        <v>4170</v>
      </c>
      <c r="H237" s="89">
        <f t="shared" si="0"/>
        <v>13.693045563549161</v>
      </c>
      <c r="I237" s="90">
        <v>310</v>
      </c>
      <c r="J237" s="90">
        <v>8</v>
      </c>
      <c r="K237" s="87">
        <v>327</v>
      </c>
      <c r="L237" s="88">
        <f t="shared" si="1"/>
        <v>97.484276729559753</v>
      </c>
      <c r="M237" s="87">
        <v>3666</v>
      </c>
      <c r="N237" s="89">
        <f t="shared" si="2"/>
        <v>8.9198036006546655</v>
      </c>
      <c r="O237" s="90"/>
      <c r="P237" s="90"/>
    </row>
    <row r="238" spans="1:16">
      <c r="A238" s="85">
        <v>51302</v>
      </c>
      <c r="B238" s="95" t="s">
        <v>314</v>
      </c>
      <c r="C238" s="87">
        <v>685</v>
      </c>
      <c r="D238" s="87">
        <v>68</v>
      </c>
      <c r="E238" s="87">
        <v>767</v>
      </c>
      <c r="F238" s="88">
        <f t="shared" si="5"/>
        <v>90.969455511288174</v>
      </c>
      <c r="G238" s="87">
        <v>6161</v>
      </c>
      <c r="H238" s="89">
        <f t="shared" si="0"/>
        <v>12.449277714656711</v>
      </c>
      <c r="I238" s="90">
        <v>288</v>
      </c>
      <c r="J238" s="90">
        <v>6</v>
      </c>
      <c r="K238" s="87">
        <v>300</v>
      </c>
      <c r="L238" s="88">
        <f t="shared" si="1"/>
        <v>97.959183673469383</v>
      </c>
      <c r="M238" s="87">
        <v>4471</v>
      </c>
      <c r="N238" s="89">
        <f t="shared" si="2"/>
        <v>6.7099082979199283</v>
      </c>
      <c r="O238" s="90"/>
      <c r="P238" s="90"/>
    </row>
    <row r="239" spans="1:16">
      <c r="A239" s="85">
        <v>51401</v>
      </c>
      <c r="B239" s="95" t="s">
        <v>316</v>
      </c>
      <c r="C239" s="87">
        <v>388</v>
      </c>
      <c r="D239" s="87">
        <v>27</v>
      </c>
      <c r="E239" s="87">
        <v>428</v>
      </c>
      <c r="F239" s="88">
        <f t="shared" si="5"/>
        <v>93.493975903614455</v>
      </c>
      <c r="G239" s="87">
        <v>4150</v>
      </c>
      <c r="H239" s="89">
        <f t="shared" si="0"/>
        <v>10.313253012048193</v>
      </c>
      <c r="I239" s="90">
        <v>265</v>
      </c>
      <c r="J239" s="90">
        <v>17</v>
      </c>
      <c r="K239" s="87">
        <v>282</v>
      </c>
      <c r="L239" s="88">
        <f t="shared" si="1"/>
        <v>93.971631205673759</v>
      </c>
      <c r="M239" s="87">
        <v>4187</v>
      </c>
      <c r="N239" s="89">
        <f t="shared" si="2"/>
        <v>6.7351325531406738</v>
      </c>
      <c r="O239" s="90"/>
      <c r="P239" s="90"/>
    </row>
    <row r="240" spans="1:16">
      <c r="A240" s="85">
        <v>51402</v>
      </c>
      <c r="B240" s="95" t="s">
        <v>317</v>
      </c>
      <c r="C240" s="87">
        <v>158</v>
      </c>
      <c r="D240" s="87">
        <v>12</v>
      </c>
      <c r="E240" s="87">
        <v>179</v>
      </c>
      <c r="F240" s="88">
        <f t="shared" si="5"/>
        <v>92.941176470588232</v>
      </c>
      <c r="G240" s="87">
        <v>1700</v>
      </c>
      <c r="H240" s="89">
        <f t="shared" si="0"/>
        <v>10.529411764705882</v>
      </c>
      <c r="I240" s="90">
        <v>85</v>
      </c>
      <c r="J240" s="90">
        <v>3</v>
      </c>
      <c r="K240" s="87">
        <v>88</v>
      </c>
      <c r="L240" s="88">
        <f t="shared" si="1"/>
        <v>96.590909090909093</v>
      </c>
      <c r="M240" s="87">
        <v>1546</v>
      </c>
      <c r="N240" s="89">
        <f t="shared" si="2"/>
        <v>5.6921086675291077</v>
      </c>
      <c r="O240" s="90"/>
      <c r="P240" s="90"/>
    </row>
    <row r="241" spans="1:16">
      <c r="A241" s="85">
        <v>51501</v>
      </c>
      <c r="B241" s="95" t="s">
        <v>319</v>
      </c>
      <c r="C241" s="87">
        <v>4184</v>
      </c>
      <c r="D241" s="87">
        <v>483</v>
      </c>
      <c r="E241" s="87">
        <v>4821</v>
      </c>
      <c r="F241" s="88">
        <f t="shared" si="5"/>
        <v>89.650739232911931</v>
      </c>
      <c r="G241" s="87">
        <v>44906</v>
      </c>
      <c r="H241" s="89">
        <f t="shared" si="0"/>
        <v>10.73575914131742</v>
      </c>
      <c r="I241" s="90">
        <v>3446</v>
      </c>
      <c r="J241" s="90">
        <v>333</v>
      </c>
      <c r="K241" s="87">
        <v>3807</v>
      </c>
      <c r="L241" s="88">
        <f t="shared" si="1"/>
        <v>91.18814501190792</v>
      </c>
      <c r="M241" s="87">
        <v>49340</v>
      </c>
      <c r="N241" s="89">
        <f t="shared" si="2"/>
        <v>7.715849209566275</v>
      </c>
      <c r="O241" s="90"/>
      <c r="P241" s="90"/>
    </row>
    <row r="242" spans="1:16">
      <c r="A242" s="85">
        <v>51601</v>
      </c>
      <c r="B242" s="95" t="s">
        <v>321</v>
      </c>
      <c r="C242" s="87">
        <v>139</v>
      </c>
      <c r="D242" s="87">
        <v>15</v>
      </c>
      <c r="E242" s="87">
        <v>156</v>
      </c>
      <c r="F242" s="88">
        <f t="shared" si="5"/>
        <v>90.259740259740255</v>
      </c>
      <c r="G242" s="87">
        <v>1684</v>
      </c>
      <c r="H242" s="89">
        <f t="shared" si="0"/>
        <v>9.2636579572446553</v>
      </c>
      <c r="I242" s="90">
        <v>143</v>
      </c>
      <c r="J242" s="90">
        <v>12</v>
      </c>
      <c r="K242" s="87">
        <v>155</v>
      </c>
      <c r="L242" s="88">
        <f t="shared" si="1"/>
        <v>92.258064516129039</v>
      </c>
      <c r="M242" s="87">
        <v>2126</v>
      </c>
      <c r="N242" s="89">
        <f t="shared" si="2"/>
        <v>7.2906867356538108</v>
      </c>
      <c r="O242" s="90"/>
      <c r="P242" s="90"/>
    </row>
    <row r="243" spans="1:16">
      <c r="A243" s="85">
        <v>60101</v>
      </c>
      <c r="B243" s="95" t="s">
        <v>322</v>
      </c>
      <c r="C243" s="87">
        <v>18802</v>
      </c>
      <c r="D243" s="87">
        <v>1098</v>
      </c>
      <c r="E243" s="87">
        <v>20173</v>
      </c>
      <c r="F243" s="88">
        <f t="shared" si="5"/>
        <v>94.482412060301513</v>
      </c>
      <c r="G243" s="87">
        <v>205375</v>
      </c>
      <c r="H243" s="89">
        <f t="shared" si="0"/>
        <v>9.8225197808886175</v>
      </c>
      <c r="I243" s="90">
        <v>13862</v>
      </c>
      <c r="J243" s="90">
        <v>282</v>
      </c>
      <c r="K243" s="87">
        <v>14198</v>
      </c>
      <c r="L243" s="88">
        <f t="shared" si="1"/>
        <v>98.006221719457017</v>
      </c>
      <c r="M243" s="87">
        <v>238749</v>
      </c>
      <c r="N243" s="89">
        <f t="shared" si="2"/>
        <v>5.946831190915983</v>
      </c>
      <c r="O243" s="90"/>
      <c r="P243" s="90"/>
    </row>
    <row r="244" spans="1:16">
      <c r="A244" s="85">
        <v>60201</v>
      </c>
      <c r="B244" s="95" t="s">
        <v>324</v>
      </c>
      <c r="C244" s="87">
        <v>1760</v>
      </c>
      <c r="D244" s="87">
        <v>120</v>
      </c>
      <c r="E244" s="87">
        <v>1944</v>
      </c>
      <c r="F244" s="88">
        <f t="shared" si="5"/>
        <v>93.61702127659575</v>
      </c>
      <c r="G244" s="87">
        <v>18681</v>
      </c>
      <c r="H244" s="89">
        <f t="shared" si="0"/>
        <v>10.406295166211658</v>
      </c>
      <c r="I244" s="90">
        <v>1060</v>
      </c>
      <c r="J244" s="90">
        <v>36</v>
      </c>
      <c r="K244" s="87">
        <v>1096</v>
      </c>
      <c r="L244" s="88">
        <f t="shared" si="1"/>
        <v>96.715328467153284</v>
      </c>
      <c r="M244" s="87">
        <v>17817</v>
      </c>
      <c r="N244" s="89">
        <f t="shared" si="2"/>
        <v>6.151428411068081</v>
      </c>
      <c r="O244" s="90"/>
      <c r="P244" s="90"/>
    </row>
    <row r="245" spans="1:16">
      <c r="A245" s="85">
        <v>60202</v>
      </c>
      <c r="B245" s="95" t="s">
        <v>325</v>
      </c>
      <c r="C245" s="87">
        <v>3253</v>
      </c>
      <c r="D245" s="87">
        <v>196</v>
      </c>
      <c r="E245" s="87">
        <v>3487</v>
      </c>
      <c r="F245" s="88">
        <f t="shared" si="5"/>
        <v>94.317193389388237</v>
      </c>
      <c r="G245" s="87">
        <v>34505</v>
      </c>
      <c r="H245" s="89">
        <f t="shared" si="0"/>
        <v>10.105781770757861</v>
      </c>
      <c r="I245" s="90">
        <v>2308</v>
      </c>
      <c r="J245" s="90">
        <v>120</v>
      </c>
      <c r="K245" s="87">
        <v>2439</v>
      </c>
      <c r="L245" s="88">
        <f t="shared" si="1"/>
        <v>95.057660626029644</v>
      </c>
      <c r="M245" s="87">
        <v>36970</v>
      </c>
      <c r="N245" s="89">
        <f t="shared" si="2"/>
        <v>6.5972410062212603</v>
      </c>
      <c r="O245" s="90"/>
      <c r="P245" s="90"/>
    </row>
    <row r="246" spans="1:16">
      <c r="A246" s="85">
        <v>60301</v>
      </c>
      <c r="B246" s="95" t="s">
        <v>327</v>
      </c>
      <c r="C246" s="87">
        <v>8755</v>
      </c>
      <c r="D246" s="87">
        <v>1117</v>
      </c>
      <c r="E246" s="87">
        <v>10068</v>
      </c>
      <c r="F246" s="88">
        <f t="shared" si="5"/>
        <v>88.685170178282007</v>
      </c>
      <c r="G246" s="87">
        <v>92245</v>
      </c>
      <c r="H246" s="89">
        <f t="shared" si="0"/>
        <v>10.91441270529568</v>
      </c>
      <c r="I246" s="90">
        <v>6779</v>
      </c>
      <c r="J246" s="90">
        <v>327</v>
      </c>
      <c r="K246" s="87">
        <v>7169</v>
      </c>
      <c r="L246" s="88">
        <f t="shared" si="1"/>
        <v>95.398254995778217</v>
      </c>
      <c r="M246" s="87">
        <v>97634</v>
      </c>
      <c r="N246" s="89">
        <f t="shared" si="2"/>
        <v>7.3427289673679255</v>
      </c>
      <c r="O246" s="90"/>
      <c r="P246" s="90"/>
    </row>
    <row r="247" spans="1:16">
      <c r="A247" s="85">
        <v>60302</v>
      </c>
      <c r="B247" s="95" t="s">
        <v>328</v>
      </c>
      <c r="C247" s="87">
        <v>1446</v>
      </c>
      <c r="D247" s="87">
        <v>168</v>
      </c>
      <c r="E247" s="87">
        <v>1629</v>
      </c>
      <c r="F247" s="88">
        <f t="shared" si="5"/>
        <v>89.591078066914491</v>
      </c>
      <c r="G247" s="87">
        <v>15366</v>
      </c>
      <c r="H247" s="89">
        <f t="shared" si="0"/>
        <v>10.601327606403748</v>
      </c>
      <c r="I247" s="90">
        <v>1175</v>
      </c>
      <c r="J247" s="90">
        <v>35</v>
      </c>
      <c r="K247" s="87">
        <v>1218</v>
      </c>
      <c r="L247" s="88">
        <f t="shared" si="1"/>
        <v>97.107438016528931</v>
      </c>
      <c r="M247" s="87">
        <v>15559</v>
      </c>
      <c r="N247" s="89">
        <f t="shared" si="2"/>
        <v>7.8282665981104183</v>
      </c>
      <c r="O247" s="90"/>
      <c r="P247" s="90"/>
    </row>
    <row r="248" spans="1:16">
      <c r="A248" s="85">
        <v>60303</v>
      </c>
      <c r="B248" s="95" t="s">
        <v>329</v>
      </c>
      <c r="C248" s="87">
        <v>4054</v>
      </c>
      <c r="D248" s="87">
        <v>395</v>
      </c>
      <c r="E248" s="87">
        <v>4548</v>
      </c>
      <c r="F248" s="88">
        <f t="shared" si="5"/>
        <v>91.121600359631387</v>
      </c>
      <c r="G248" s="87">
        <v>39867</v>
      </c>
      <c r="H248" s="89">
        <f t="shared" si="0"/>
        <v>11.407931371811273</v>
      </c>
      <c r="I248" s="90">
        <v>3340</v>
      </c>
      <c r="J248" s="90">
        <v>115</v>
      </c>
      <c r="K248" s="87">
        <v>3486</v>
      </c>
      <c r="L248" s="88">
        <f t="shared" si="1"/>
        <v>96.67149059334298</v>
      </c>
      <c r="M248" s="87">
        <v>46071</v>
      </c>
      <c r="N248" s="89">
        <f t="shared" si="2"/>
        <v>7.5665820147164169</v>
      </c>
      <c r="O248" s="90"/>
      <c r="P248" s="90"/>
    </row>
    <row r="249" spans="1:16">
      <c r="A249" s="85">
        <v>60401</v>
      </c>
      <c r="B249" s="95" t="s">
        <v>331</v>
      </c>
      <c r="C249" s="87">
        <v>1304</v>
      </c>
      <c r="D249" s="87">
        <v>115</v>
      </c>
      <c r="E249" s="87">
        <v>1435</v>
      </c>
      <c r="F249" s="88">
        <f t="shared" si="5"/>
        <v>91.895701198026785</v>
      </c>
      <c r="G249" s="87">
        <v>14781</v>
      </c>
      <c r="H249" s="89">
        <f t="shared" si="0"/>
        <v>9.7084094445572013</v>
      </c>
      <c r="I249" s="90">
        <v>1032</v>
      </c>
      <c r="J249" s="90">
        <v>26</v>
      </c>
      <c r="K249" s="87">
        <v>1065</v>
      </c>
      <c r="L249" s="88">
        <f t="shared" si="1"/>
        <v>97.542533081285441</v>
      </c>
      <c r="M249" s="87">
        <v>15923</v>
      </c>
      <c r="N249" s="89">
        <f t="shared" si="2"/>
        <v>6.6884381083966593</v>
      </c>
      <c r="O249" s="90"/>
      <c r="P249" s="90"/>
    </row>
    <row r="250" spans="1:16">
      <c r="A250" s="85">
        <v>60402</v>
      </c>
      <c r="B250" s="95" t="s">
        <v>332</v>
      </c>
      <c r="C250" s="87">
        <v>583</v>
      </c>
      <c r="D250" s="87">
        <v>54</v>
      </c>
      <c r="E250" s="87">
        <v>645</v>
      </c>
      <c r="F250" s="88">
        <f t="shared" si="5"/>
        <v>91.522762951334386</v>
      </c>
      <c r="G250" s="87">
        <v>5490</v>
      </c>
      <c r="H250" s="89">
        <f t="shared" si="0"/>
        <v>11.748633879781421</v>
      </c>
      <c r="I250" s="90">
        <v>354</v>
      </c>
      <c r="J250" s="90">
        <v>9</v>
      </c>
      <c r="K250" s="87">
        <v>364</v>
      </c>
      <c r="L250" s="88">
        <f t="shared" si="1"/>
        <v>97.52066115702479</v>
      </c>
      <c r="M250" s="87">
        <v>4754</v>
      </c>
      <c r="N250" s="89">
        <f t="shared" si="2"/>
        <v>7.6567101388304586</v>
      </c>
      <c r="O250" s="90"/>
      <c r="P250" s="90"/>
    </row>
    <row r="251" spans="1:16">
      <c r="A251" s="85">
        <v>60501</v>
      </c>
      <c r="B251" s="95" t="s">
        <v>334</v>
      </c>
      <c r="C251" s="87">
        <v>2240</v>
      </c>
      <c r="D251" s="87">
        <v>171</v>
      </c>
      <c r="E251" s="87">
        <v>2491</v>
      </c>
      <c r="F251" s="88">
        <f t="shared" si="5"/>
        <v>92.907507258399008</v>
      </c>
      <c r="G251" s="87">
        <v>23863</v>
      </c>
      <c r="H251" s="89">
        <f t="shared" si="0"/>
        <v>10.438754557264385</v>
      </c>
      <c r="I251" s="90">
        <v>1873</v>
      </c>
      <c r="J251" s="90">
        <v>49</v>
      </c>
      <c r="K251" s="87">
        <v>1933</v>
      </c>
      <c r="L251" s="88">
        <f t="shared" si="1"/>
        <v>97.450572320499489</v>
      </c>
      <c r="M251" s="87">
        <v>30346</v>
      </c>
      <c r="N251" s="89">
        <f t="shared" si="2"/>
        <v>6.3698675278455141</v>
      </c>
      <c r="O251" s="90"/>
      <c r="P251" s="90"/>
    </row>
    <row r="252" spans="1:16">
      <c r="A252" s="85">
        <v>60502</v>
      </c>
      <c r="B252" s="95" t="s">
        <v>335</v>
      </c>
      <c r="C252" s="87">
        <v>1126</v>
      </c>
      <c r="D252" s="87">
        <v>62</v>
      </c>
      <c r="E252" s="87">
        <v>1216</v>
      </c>
      <c r="F252" s="88">
        <f t="shared" si="5"/>
        <v>94.781144781144775</v>
      </c>
      <c r="G252" s="87">
        <v>11354</v>
      </c>
      <c r="H252" s="89">
        <f t="shared" si="0"/>
        <v>10.709881979918972</v>
      </c>
      <c r="I252" s="90">
        <v>591</v>
      </c>
      <c r="J252" s="90">
        <v>11</v>
      </c>
      <c r="K252" s="87">
        <v>605</v>
      </c>
      <c r="L252" s="88">
        <f t="shared" si="1"/>
        <v>98.17275747508306</v>
      </c>
      <c r="M252" s="87">
        <v>9523</v>
      </c>
      <c r="N252" s="89">
        <f t="shared" si="2"/>
        <v>6.3530400084007139</v>
      </c>
      <c r="O252" s="90"/>
      <c r="P252" s="90"/>
    </row>
    <row r="253" spans="1:16">
      <c r="A253" s="85">
        <v>60601</v>
      </c>
      <c r="B253" s="95" t="s">
        <v>206</v>
      </c>
      <c r="C253" s="87">
        <v>2296</v>
      </c>
      <c r="D253" s="87">
        <v>204</v>
      </c>
      <c r="E253" s="87">
        <v>2630</v>
      </c>
      <c r="F253" s="88">
        <f t="shared" si="5"/>
        <v>91.84</v>
      </c>
      <c r="G253" s="87">
        <v>21991</v>
      </c>
      <c r="H253" s="89">
        <f t="shared" si="0"/>
        <v>11.959437951889409</v>
      </c>
      <c r="I253" s="90">
        <v>1474</v>
      </c>
      <c r="J253" s="90">
        <v>34</v>
      </c>
      <c r="K253" s="87">
        <v>1517</v>
      </c>
      <c r="L253" s="88">
        <f t="shared" si="1"/>
        <v>97.745358090185675</v>
      </c>
      <c r="M253" s="87">
        <v>20864</v>
      </c>
      <c r="N253" s="89">
        <f t="shared" si="2"/>
        <v>7.2708972392638032</v>
      </c>
      <c r="O253" s="90"/>
      <c r="P253" s="90"/>
    </row>
    <row r="254" spans="1:16">
      <c r="A254" s="85">
        <v>70101</v>
      </c>
      <c r="B254" s="95" t="s">
        <v>339</v>
      </c>
      <c r="C254" s="87">
        <v>126847</v>
      </c>
      <c r="D254" s="87">
        <v>23072</v>
      </c>
      <c r="E254" s="87">
        <v>151956</v>
      </c>
      <c r="F254" s="88">
        <f t="shared" si="5"/>
        <v>84.610356259046554</v>
      </c>
      <c r="G254" s="87">
        <v>1444425</v>
      </c>
      <c r="H254" s="89">
        <f t="shared" si="0"/>
        <v>10.520172386935977</v>
      </c>
      <c r="I254" s="90">
        <v>108758</v>
      </c>
      <c r="J254" s="90">
        <v>4336</v>
      </c>
      <c r="K254" s="87">
        <v>113880</v>
      </c>
      <c r="L254" s="88">
        <f t="shared" si="1"/>
        <v>96.166021185916136</v>
      </c>
      <c r="M254" s="87">
        <v>1610982</v>
      </c>
      <c r="N254" s="89">
        <f t="shared" si="2"/>
        <v>7.068980286558137</v>
      </c>
      <c r="O254" s="90"/>
      <c r="P254" s="90"/>
    </row>
    <row r="255" spans="1:16">
      <c r="A255" s="85">
        <v>70102</v>
      </c>
      <c r="B255" s="95" t="s">
        <v>340</v>
      </c>
      <c r="C255" s="87">
        <v>5686</v>
      </c>
      <c r="D255" s="87">
        <v>1464</v>
      </c>
      <c r="E255" s="87">
        <v>7222</v>
      </c>
      <c r="F255" s="88">
        <f t="shared" si="5"/>
        <v>79.52447552447552</v>
      </c>
      <c r="G255" s="87">
        <v>55633</v>
      </c>
      <c r="H255" s="89">
        <f t="shared" si="0"/>
        <v>12.981503783725486</v>
      </c>
      <c r="I255" s="90">
        <v>9308</v>
      </c>
      <c r="J255" s="90">
        <v>423</v>
      </c>
      <c r="K255" s="87">
        <v>9820</v>
      </c>
      <c r="L255" s="88">
        <f t="shared" si="1"/>
        <v>95.653067516185388</v>
      </c>
      <c r="M255" s="87">
        <v>106603</v>
      </c>
      <c r="N255" s="89">
        <f t="shared" si="2"/>
        <v>9.2117482622440274</v>
      </c>
      <c r="O255" s="90"/>
      <c r="P255" s="90"/>
    </row>
    <row r="256" spans="1:16">
      <c r="A256" s="85">
        <v>70103</v>
      </c>
      <c r="B256" s="95" t="s">
        <v>341</v>
      </c>
      <c r="C256" s="87">
        <v>1484</v>
      </c>
      <c r="D256" s="87">
        <v>201</v>
      </c>
      <c r="E256" s="87">
        <v>1737</v>
      </c>
      <c r="F256" s="88">
        <f t="shared" si="5"/>
        <v>88.071216617210681</v>
      </c>
      <c r="G256" s="87">
        <v>15317</v>
      </c>
      <c r="H256" s="89">
        <f t="shared" si="0"/>
        <v>11.340340797806359</v>
      </c>
      <c r="I256" s="90">
        <v>1529</v>
      </c>
      <c r="J256" s="90">
        <v>48</v>
      </c>
      <c r="K256" s="87">
        <v>1596</v>
      </c>
      <c r="L256" s="88">
        <f t="shared" si="1"/>
        <v>96.956246036778694</v>
      </c>
      <c r="M256" s="87">
        <v>23126</v>
      </c>
      <c r="N256" s="89">
        <f t="shared" si="2"/>
        <v>6.9013231860243884</v>
      </c>
      <c r="O256" s="90"/>
      <c r="P256" s="90"/>
    </row>
    <row r="257" spans="1:16">
      <c r="A257" s="85">
        <v>70104</v>
      </c>
      <c r="B257" s="95" t="s">
        <v>342</v>
      </c>
      <c r="C257" s="87">
        <v>8734</v>
      </c>
      <c r="D257" s="87">
        <v>1484</v>
      </c>
      <c r="E257" s="87">
        <v>10343</v>
      </c>
      <c r="F257" s="88">
        <f t="shared" ref="F257:F344" si="6">(C257/(C257+D257))*100</f>
        <v>85.476609904090822</v>
      </c>
      <c r="G257" s="87">
        <v>89284</v>
      </c>
      <c r="H257" s="89">
        <f t="shared" ref="H257:H344" si="7">+(E257/G257)*100</f>
        <v>11.584382420142466</v>
      </c>
      <c r="I257" s="90">
        <v>11762</v>
      </c>
      <c r="J257" s="90">
        <v>362</v>
      </c>
      <c r="K257" s="87">
        <v>12206</v>
      </c>
      <c r="L257" s="88">
        <f t="shared" ref="L257:L344" si="8">(I257/(I257+J257))*100</f>
        <v>97.01418673705048</v>
      </c>
      <c r="M257" s="87">
        <v>147726</v>
      </c>
      <c r="N257" s="89">
        <f t="shared" ref="N257:N344" si="9">+(K257/M257)*100</f>
        <v>8.2625942623505679</v>
      </c>
      <c r="O257" s="90"/>
      <c r="P257" s="90"/>
    </row>
    <row r="258" spans="1:16">
      <c r="A258" s="85">
        <v>70105</v>
      </c>
      <c r="B258" s="95" t="s">
        <v>343</v>
      </c>
      <c r="C258" s="87">
        <v>4851</v>
      </c>
      <c r="D258" s="87">
        <v>678</v>
      </c>
      <c r="E258" s="87">
        <v>5598</v>
      </c>
      <c r="F258" s="88">
        <f t="shared" si="6"/>
        <v>87.737384698860552</v>
      </c>
      <c r="G258" s="87">
        <v>49652</v>
      </c>
      <c r="H258" s="89">
        <f t="shared" si="7"/>
        <v>11.274470313381132</v>
      </c>
      <c r="I258" s="90">
        <v>4246</v>
      </c>
      <c r="J258" s="90">
        <v>97</v>
      </c>
      <c r="K258" s="87">
        <v>4377</v>
      </c>
      <c r="L258" s="88">
        <f t="shared" si="8"/>
        <v>97.766520838130319</v>
      </c>
      <c r="M258" s="87">
        <v>55697</v>
      </c>
      <c r="N258" s="89">
        <f t="shared" si="9"/>
        <v>7.8585920247051009</v>
      </c>
      <c r="O258" s="90"/>
      <c r="P258" s="90"/>
    </row>
    <row r="259" spans="1:16">
      <c r="A259" s="85">
        <v>70201</v>
      </c>
      <c r="B259" s="95" t="s">
        <v>344</v>
      </c>
      <c r="C259" s="87">
        <v>9809</v>
      </c>
      <c r="D259" s="87">
        <v>2105</v>
      </c>
      <c r="E259" s="87">
        <v>12085</v>
      </c>
      <c r="F259" s="88">
        <f t="shared" si="6"/>
        <v>82.331710592580151</v>
      </c>
      <c r="G259" s="87">
        <v>96406</v>
      </c>
      <c r="H259" s="89">
        <f t="shared" si="7"/>
        <v>12.535526834429392</v>
      </c>
      <c r="I259" s="90">
        <v>12320</v>
      </c>
      <c r="J259" s="90">
        <v>548</v>
      </c>
      <c r="K259" s="87">
        <v>12983</v>
      </c>
      <c r="L259" s="88">
        <f t="shared" si="8"/>
        <v>95.741373950885915</v>
      </c>
      <c r="M259" s="87">
        <v>151248</v>
      </c>
      <c r="N259" s="89">
        <f t="shared" si="9"/>
        <v>8.5839151592087166</v>
      </c>
      <c r="O259" s="90"/>
      <c r="P259" s="90"/>
    </row>
    <row r="260" spans="1:16">
      <c r="A260" s="85">
        <v>70202</v>
      </c>
      <c r="B260" s="95" t="s">
        <v>345</v>
      </c>
      <c r="C260" s="87">
        <v>1383</v>
      </c>
      <c r="D260" s="87">
        <v>188</v>
      </c>
      <c r="E260" s="87">
        <v>1614</v>
      </c>
      <c r="F260" s="88">
        <f t="shared" si="6"/>
        <v>88.033099936346275</v>
      </c>
      <c r="G260" s="87">
        <v>12482</v>
      </c>
      <c r="H260" s="89">
        <f t="shared" si="7"/>
        <v>12.930620092933825</v>
      </c>
      <c r="I260" s="90">
        <v>886</v>
      </c>
      <c r="J260" s="90">
        <v>56</v>
      </c>
      <c r="K260" s="87">
        <v>952</v>
      </c>
      <c r="L260" s="88">
        <f t="shared" si="8"/>
        <v>94.055201698513798</v>
      </c>
      <c r="M260" s="87">
        <v>10665</v>
      </c>
      <c r="N260" s="89">
        <f t="shared" si="9"/>
        <v>8.9263947491795594</v>
      </c>
      <c r="O260" s="90"/>
      <c r="P260" s="90"/>
    </row>
    <row r="261" spans="1:16">
      <c r="A261" s="85">
        <v>70301</v>
      </c>
      <c r="B261" s="95" t="s">
        <v>347</v>
      </c>
      <c r="C261" s="87">
        <v>5482</v>
      </c>
      <c r="D261" s="87">
        <v>1505</v>
      </c>
      <c r="E261" s="87">
        <v>7118</v>
      </c>
      <c r="F261" s="88">
        <f t="shared" si="6"/>
        <v>78.459997137541151</v>
      </c>
      <c r="G261" s="87">
        <v>52362</v>
      </c>
      <c r="H261" s="89">
        <f t="shared" si="7"/>
        <v>13.593827584889805</v>
      </c>
      <c r="I261" s="90">
        <v>6464</v>
      </c>
      <c r="J261" s="90">
        <v>791</v>
      </c>
      <c r="K261" s="87">
        <v>7340</v>
      </c>
      <c r="L261" s="88">
        <f t="shared" si="8"/>
        <v>89.097174362508611</v>
      </c>
      <c r="M261" s="87">
        <v>67103</v>
      </c>
      <c r="N261" s="89">
        <f t="shared" si="9"/>
        <v>10.938408118862048</v>
      </c>
      <c r="O261" s="90"/>
      <c r="P261" s="90"/>
    </row>
    <row r="262" spans="1:16">
      <c r="A262" s="85">
        <v>70302</v>
      </c>
      <c r="B262" s="95" t="s">
        <v>348</v>
      </c>
      <c r="C262" s="87">
        <v>1249</v>
      </c>
      <c r="D262" s="87">
        <v>152</v>
      </c>
      <c r="E262" s="87">
        <v>1425</v>
      </c>
      <c r="F262" s="88">
        <f t="shared" si="6"/>
        <v>89.150606709493218</v>
      </c>
      <c r="G262" s="87">
        <v>11327</v>
      </c>
      <c r="H262" s="89">
        <f t="shared" si="7"/>
        <v>12.580559724551957</v>
      </c>
      <c r="I262" s="90">
        <v>1221</v>
      </c>
      <c r="J262" s="90">
        <v>253</v>
      </c>
      <c r="K262" s="87">
        <v>1508</v>
      </c>
      <c r="L262" s="88">
        <f t="shared" si="8"/>
        <v>82.835820895522389</v>
      </c>
      <c r="M262" s="87">
        <v>15239</v>
      </c>
      <c r="N262" s="89">
        <f t="shared" si="9"/>
        <v>9.8956624450423263</v>
      </c>
      <c r="O262" s="90"/>
      <c r="P262" s="90"/>
    </row>
    <row r="263" spans="1:16">
      <c r="A263" s="85">
        <v>70303</v>
      </c>
      <c r="B263" s="95" t="s">
        <v>349</v>
      </c>
      <c r="C263" s="87">
        <v>690</v>
      </c>
      <c r="D263" s="87">
        <v>174</v>
      </c>
      <c r="E263" s="87">
        <v>880</v>
      </c>
      <c r="F263" s="88">
        <f t="shared" si="6"/>
        <v>79.861111111111114</v>
      </c>
      <c r="G263" s="87">
        <v>6139</v>
      </c>
      <c r="H263" s="89">
        <f t="shared" si="7"/>
        <v>14.334582179508063</v>
      </c>
      <c r="I263" s="90">
        <v>708</v>
      </c>
      <c r="J263" s="90">
        <v>119</v>
      </c>
      <c r="K263" s="87">
        <v>847</v>
      </c>
      <c r="L263" s="88">
        <f t="shared" si="8"/>
        <v>85.610640870616677</v>
      </c>
      <c r="M263" s="87">
        <v>8842</v>
      </c>
      <c r="N263" s="89">
        <f t="shared" si="9"/>
        <v>9.5792807057226863</v>
      </c>
      <c r="O263" s="90"/>
      <c r="P263" s="90"/>
    </row>
    <row r="264" spans="1:16">
      <c r="A264" s="85">
        <v>70401</v>
      </c>
      <c r="B264" s="95" t="s">
        <v>351</v>
      </c>
      <c r="C264" s="87">
        <v>1199</v>
      </c>
      <c r="D264" s="87">
        <v>259</v>
      </c>
      <c r="E264" s="87">
        <v>1478</v>
      </c>
      <c r="F264" s="88">
        <f t="shared" si="6"/>
        <v>82.235939643347052</v>
      </c>
      <c r="G264" s="87">
        <v>12879</v>
      </c>
      <c r="H264" s="89">
        <f t="shared" si="7"/>
        <v>11.476046276884851</v>
      </c>
      <c r="I264" s="90">
        <v>1054</v>
      </c>
      <c r="J264" s="90">
        <v>48</v>
      </c>
      <c r="K264" s="87">
        <v>1110</v>
      </c>
      <c r="L264" s="88">
        <f t="shared" si="8"/>
        <v>95.644283121597098</v>
      </c>
      <c r="M264" s="87">
        <v>13651</v>
      </c>
      <c r="N264" s="89">
        <f t="shared" si="9"/>
        <v>8.1312724342539013</v>
      </c>
      <c r="O264" s="90"/>
      <c r="P264" s="90"/>
    </row>
    <row r="265" spans="1:16">
      <c r="A265" s="85">
        <v>70402</v>
      </c>
      <c r="B265" s="95" t="s">
        <v>352</v>
      </c>
      <c r="C265" s="87">
        <v>2092</v>
      </c>
      <c r="D265" s="87">
        <v>263</v>
      </c>
      <c r="E265" s="87">
        <v>2435</v>
      </c>
      <c r="F265" s="88">
        <f t="shared" si="6"/>
        <v>88.832271762208066</v>
      </c>
      <c r="G265" s="87">
        <v>20093</v>
      </c>
      <c r="H265" s="89">
        <f t="shared" si="7"/>
        <v>12.118648285472553</v>
      </c>
      <c r="I265" s="90">
        <v>1464</v>
      </c>
      <c r="J265" s="90">
        <v>65</v>
      </c>
      <c r="K265" s="87">
        <v>1539</v>
      </c>
      <c r="L265" s="88">
        <f t="shared" si="8"/>
        <v>95.748855461085682</v>
      </c>
      <c r="M265" s="87">
        <v>18942</v>
      </c>
      <c r="N265" s="89">
        <f t="shared" si="9"/>
        <v>8.1248020272410511</v>
      </c>
      <c r="O265" s="90"/>
      <c r="P265" s="90"/>
    </row>
    <row r="266" spans="1:16">
      <c r="A266" s="85">
        <v>70403</v>
      </c>
      <c r="B266" s="95" t="s">
        <v>353</v>
      </c>
      <c r="C266" s="87">
        <v>4918</v>
      </c>
      <c r="D266" s="87">
        <v>951</v>
      </c>
      <c r="E266" s="87">
        <v>5963</v>
      </c>
      <c r="F266" s="88">
        <f t="shared" si="6"/>
        <v>83.796217413528709</v>
      </c>
      <c r="G266" s="87">
        <v>50558</v>
      </c>
      <c r="H266" s="89">
        <f t="shared" si="7"/>
        <v>11.794374777483286</v>
      </c>
      <c r="I266" s="90">
        <v>4421</v>
      </c>
      <c r="J266" s="90">
        <v>176</v>
      </c>
      <c r="K266" s="87">
        <v>4629</v>
      </c>
      <c r="L266" s="88">
        <f t="shared" si="8"/>
        <v>96.171416140961497</v>
      </c>
      <c r="M266" s="87">
        <v>57794</v>
      </c>
      <c r="N266" s="89">
        <f t="shared" si="9"/>
        <v>8.0094819531439256</v>
      </c>
      <c r="O266" s="90"/>
      <c r="P266" s="90"/>
    </row>
    <row r="267" spans="1:16">
      <c r="A267" s="85">
        <v>70404</v>
      </c>
      <c r="B267" s="95" t="s">
        <v>354</v>
      </c>
      <c r="C267" s="87">
        <v>977</v>
      </c>
      <c r="D267" s="87">
        <v>116</v>
      </c>
      <c r="E267" s="87">
        <v>1108</v>
      </c>
      <c r="F267" s="88">
        <f t="shared" si="6"/>
        <v>89.387008234217745</v>
      </c>
      <c r="G267" s="87">
        <v>9191</v>
      </c>
      <c r="H267" s="89">
        <f t="shared" si="7"/>
        <v>12.055271461212055</v>
      </c>
      <c r="I267" s="90">
        <v>833</v>
      </c>
      <c r="J267" s="90">
        <v>30</v>
      </c>
      <c r="K267" s="87">
        <v>868</v>
      </c>
      <c r="L267" s="88">
        <f t="shared" si="8"/>
        <v>96.523754345307069</v>
      </c>
      <c r="M267" s="87">
        <v>10200</v>
      </c>
      <c r="N267" s="89">
        <f t="shared" si="9"/>
        <v>8.5098039215686274</v>
      </c>
      <c r="O267" s="90"/>
      <c r="P267" s="90"/>
    </row>
    <row r="268" spans="1:16">
      <c r="A268" s="85">
        <v>70501</v>
      </c>
      <c r="B268" s="95" t="s">
        <v>356</v>
      </c>
      <c r="C268" s="87">
        <v>3256</v>
      </c>
      <c r="D268" s="87">
        <v>589</v>
      </c>
      <c r="E268" s="87">
        <v>3883</v>
      </c>
      <c r="F268" s="88">
        <f t="shared" si="6"/>
        <v>84.681404421326405</v>
      </c>
      <c r="G268" s="87">
        <v>28922</v>
      </c>
      <c r="H268" s="89">
        <f t="shared" si="7"/>
        <v>13.425765852983886</v>
      </c>
      <c r="I268" s="90">
        <v>3614</v>
      </c>
      <c r="J268" s="90">
        <v>1173</v>
      </c>
      <c r="K268" s="87">
        <v>4858</v>
      </c>
      <c r="L268" s="88">
        <f t="shared" si="8"/>
        <v>75.496135366617921</v>
      </c>
      <c r="M268" s="87">
        <v>40974</v>
      </c>
      <c r="N268" s="89">
        <f t="shared" si="9"/>
        <v>11.856299116512911</v>
      </c>
      <c r="O268" s="90"/>
      <c r="P268" s="90"/>
    </row>
    <row r="269" spans="1:16">
      <c r="A269" s="85">
        <v>70502</v>
      </c>
      <c r="B269" s="95" t="s">
        <v>357</v>
      </c>
      <c r="C269" s="87">
        <v>4753</v>
      </c>
      <c r="D269" s="87">
        <v>1108</v>
      </c>
      <c r="E269" s="87">
        <v>5948</v>
      </c>
      <c r="F269" s="88">
        <f t="shared" si="6"/>
        <v>81.095376215662853</v>
      </c>
      <c r="G269" s="87">
        <v>37866</v>
      </c>
      <c r="H269" s="89">
        <f t="shared" si="7"/>
        <v>15.708023028574447</v>
      </c>
      <c r="I269" s="90">
        <v>6130</v>
      </c>
      <c r="J269" s="90">
        <v>1040</v>
      </c>
      <c r="K269" s="87">
        <v>7275</v>
      </c>
      <c r="L269" s="88">
        <f t="shared" si="8"/>
        <v>85.495118549511844</v>
      </c>
      <c r="M269" s="87">
        <v>54495</v>
      </c>
      <c r="N269" s="89">
        <f t="shared" si="9"/>
        <v>13.349848609964216</v>
      </c>
      <c r="O269" s="90"/>
      <c r="P269" s="90"/>
    </row>
    <row r="270" spans="1:16">
      <c r="A270" s="85">
        <v>70503</v>
      </c>
      <c r="B270" s="95" t="s">
        <v>358</v>
      </c>
      <c r="C270" s="87">
        <v>1358</v>
      </c>
      <c r="D270" s="87">
        <v>170</v>
      </c>
      <c r="E270" s="87">
        <v>1539</v>
      </c>
      <c r="F270" s="88">
        <f t="shared" si="6"/>
        <v>88.874345549738223</v>
      </c>
      <c r="G270" s="87">
        <v>15641</v>
      </c>
      <c r="H270" s="89">
        <f t="shared" si="7"/>
        <v>9.8395243270890607</v>
      </c>
      <c r="I270" s="90">
        <v>1471</v>
      </c>
      <c r="J270" s="90">
        <v>165</v>
      </c>
      <c r="K270" s="87">
        <v>1645</v>
      </c>
      <c r="L270" s="88">
        <f t="shared" si="8"/>
        <v>89.914425427872857</v>
      </c>
      <c r="M270" s="87">
        <v>18763</v>
      </c>
      <c r="N270" s="89">
        <f t="shared" si="9"/>
        <v>8.7672547034056389</v>
      </c>
      <c r="O270" s="90"/>
      <c r="P270" s="90"/>
    </row>
    <row r="271" spans="1:16">
      <c r="A271" s="85">
        <v>70601</v>
      </c>
      <c r="B271" s="95" t="s">
        <v>360</v>
      </c>
      <c r="C271" s="87">
        <v>1813</v>
      </c>
      <c r="D271" s="87">
        <v>295</v>
      </c>
      <c r="E271" s="87">
        <v>2142</v>
      </c>
      <c r="F271" s="88">
        <f t="shared" si="6"/>
        <v>86.005692599620502</v>
      </c>
      <c r="G271" s="87">
        <v>17885</v>
      </c>
      <c r="H271" s="89">
        <f t="shared" si="7"/>
        <v>11.976516634050881</v>
      </c>
      <c r="I271" s="90">
        <v>1633</v>
      </c>
      <c r="J271" s="90">
        <v>73</v>
      </c>
      <c r="K271" s="87">
        <v>1723</v>
      </c>
      <c r="L271" s="88">
        <f t="shared" si="8"/>
        <v>95.720984759671751</v>
      </c>
      <c r="M271" s="87">
        <v>20743</v>
      </c>
      <c r="N271" s="89">
        <f t="shared" si="9"/>
        <v>8.3064166224750515</v>
      </c>
      <c r="O271" s="90"/>
      <c r="P271" s="90"/>
    </row>
    <row r="272" spans="1:16">
      <c r="A272" s="85">
        <v>70602</v>
      </c>
      <c r="B272" s="95" t="s">
        <v>361</v>
      </c>
      <c r="C272" s="87">
        <v>1866</v>
      </c>
      <c r="D272" s="87">
        <v>410</v>
      </c>
      <c r="E272" s="87">
        <v>2313</v>
      </c>
      <c r="F272" s="88">
        <f t="shared" si="6"/>
        <v>81.985940246045701</v>
      </c>
      <c r="G272" s="87">
        <v>19217</v>
      </c>
      <c r="H272" s="89">
        <f t="shared" si="7"/>
        <v>12.036217932039341</v>
      </c>
      <c r="I272" s="90">
        <v>1319</v>
      </c>
      <c r="J272" s="90">
        <v>51</v>
      </c>
      <c r="K272" s="87">
        <v>1376</v>
      </c>
      <c r="L272" s="88">
        <f t="shared" si="8"/>
        <v>96.277372262773724</v>
      </c>
      <c r="M272" s="87">
        <v>17999</v>
      </c>
      <c r="N272" s="89">
        <f t="shared" si="9"/>
        <v>7.6448691593977447</v>
      </c>
      <c r="O272" s="90"/>
      <c r="P272" s="90"/>
    </row>
    <row r="273" spans="1:16">
      <c r="A273" s="85">
        <v>70603</v>
      </c>
      <c r="B273" s="95" t="s">
        <v>362</v>
      </c>
      <c r="C273" s="87">
        <v>733</v>
      </c>
      <c r="D273" s="87">
        <v>72</v>
      </c>
      <c r="E273" s="87">
        <v>812</v>
      </c>
      <c r="F273" s="88">
        <f t="shared" si="6"/>
        <v>91.055900621118013</v>
      </c>
      <c r="G273" s="87">
        <v>6069</v>
      </c>
      <c r="H273" s="89">
        <f t="shared" si="7"/>
        <v>13.379469434832755</v>
      </c>
      <c r="I273" s="90">
        <v>444</v>
      </c>
      <c r="J273" s="90">
        <v>30</v>
      </c>
      <c r="K273" s="87">
        <v>481</v>
      </c>
      <c r="L273" s="88">
        <f t="shared" si="8"/>
        <v>93.670886075949369</v>
      </c>
      <c r="M273" s="87">
        <v>6007</v>
      </c>
      <c r="N273" s="89">
        <f t="shared" si="9"/>
        <v>8.0073247877476277</v>
      </c>
      <c r="O273" s="90"/>
      <c r="P273" s="90"/>
    </row>
    <row r="274" spans="1:16">
      <c r="A274" s="85">
        <v>70701</v>
      </c>
      <c r="B274" s="95" t="s">
        <v>364</v>
      </c>
      <c r="C274" s="87">
        <v>483</v>
      </c>
      <c r="D274" s="87">
        <v>148</v>
      </c>
      <c r="E274" s="87">
        <v>640</v>
      </c>
      <c r="F274" s="88">
        <f t="shared" si="6"/>
        <v>76.545166402535656</v>
      </c>
      <c r="G274" s="87">
        <v>5366</v>
      </c>
      <c r="H274" s="89">
        <f t="shared" si="7"/>
        <v>11.926947446887812</v>
      </c>
      <c r="I274" s="90">
        <v>543</v>
      </c>
      <c r="J274" s="90">
        <v>17</v>
      </c>
      <c r="K274" s="87">
        <v>567</v>
      </c>
      <c r="L274" s="88">
        <f t="shared" si="8"/>
        <v>96.964285714285708</v>
      </c>
      <c r="M274" s="87">
        <v>5946</v>
      </c>
      <c r="N274" s="89">
        <f t="shared" si="9"/>
        <v>9.5358224016145314</v>
      </c>
      <c r="O274" s="90"/>
      <c r="P274" s="90"/>
    </row>
    <row r="275" spans="1:16">
      <c r="A275" s="85">
        <v>70702</v>
      </c>
      <c r="B275" s="95" t="s">
        <v>365</v>
      </c>
      <c r="C275" s="87">
        <v>3550</v>
      </c>
      <c r="D275" s="87">
        <v>1130</v>
      </c>
      <c r="E275" s="87">
        <v>4762</v>
      </c>
      <c r="F275" s="88">
        <f t="shared" si="6"/>
        <v>75.854700854700852</v>
      </c>
      <c r="G275" s="87">
        <v>32186</v>
      </c>
      <c r="H275" s="89">
        <f t="shared" si="7"/>
        <v>14.795252594295658</v>
      </c>
      <c r="I275" s="90">
        <v>3719</v>
      </c>
      <c r="J275" s="90">
        <v>509</v>
      </c>
      <c r="K275" s="87">
        <v>4341</v>
      </c>
      <c r="L275" s="88">
        <f t="shared" si="8"/>
        <v>87.961210974456009</v>
      </c>
      <c r="M275" s="87">
        <v>38420</v>
      </c>
      <c r="N275" s="89">
        <f t="shared" si="9"/>
        <v>11.298802706923478</v>
      </c>
      <c r="O275" s="90"/>
      <c r="P275" s="90"/>
    </row>
    <row r="276" spans="1:16">
      <c r="A276" s="85">
        <v>70703</v>
      </c>
      <c r="B276" s="95" t="s">
        <v>366</v>
      </c>
      <c r="C276" s="87">
        <v>2877</v>
      </c>
      <c r="D276" s="87">
        <v>698</v>
      </c>
      <c r="E276" s="87">
        <v>3629</v>
      </c>
      <c r="F276" s="88">
        <f t="shared" si="6"/>
        <v>80.47552447552448</v>
      </c>
      <c r="G276" s="87">
        <v>26434</v>
      </c>
      <c r="H276" s="89">
        <f t="shared" si="7"/>
        <v>13.728531436785957</v>
      </c>
      <c r="I276" s="90">
        <v>3059</v>
      </c>
      <c r="J276" s="90">
        <v>436</v>
      </c>
      <c r="K276" s="87">
        <v>3546</v>
      </c>
      <c r="L276" s="88">
        <f t="shared" si="8"/>
        <v>87.525035765379116</v>
      </c>
      <c r="M276" s="87">
        <v>32961</v>
      </c>
      <c r="N276" s="89">
        <f t="shared" si="9"/>
        <v>10.758168744880313</v>
      </c>
      <c r="O276" s="90"/>
      <c r="P276" s="90"/>
    </row>
    <row r="277" spans="1:16">
      <c r="A277" s="85">
        <v>70704</v>
      </c>
      <c r="B277" s="95" t="s">
        <v>367</v>
      </c>
      <c r="C277" s="87">
        <v>530</v>
      </c>
      <c r="D277" s="87">
        <v>97</v>
      </c>
      <c r="E277" s="87">
        <v>641</v>
      </c>
      <c r="F277" s="88">
        <f t="shared" si="6"/>
        <v>84.529505582137162</v>
      </c>
      <c r="G277" s="87">
        <v>5052</v>
      </c>
      <c r="H277" s="89">
        <f t="shared" si="7"/>
        <v>12.688044338875692</v>
      </c>
      <c r="I277" s="90">
        <v>362</v>
      </c>
      <c r="J277" s="90">
        <v>7</v>
      </c>
      <c r="K277" s="87">
        <v>379</v>
      </c>
      <c r="L277" s="88">
        <f t="shared" si="8"/>
        <v>98.102981029810294</v>
      </c>
      <c r="M277" s="87">
        <v>5335</v>
      </c>
      <c r="N277" s="89">
        <f t="shared" si="9"/>
        <v>7.1040299906279287</v>
      </c>
      <c r="O277" s="90"/>
      <c r="P277" s="90"/>
    </row>
    <row r="278" spans="1:16">
      <c r="A278" s="85">
        <v>70705</v>
      </c>
      <c r="B278" s="95" t="s">
        <v>368</v>
      </c>
      <c r="C278" s="87">
        <v>1403</v>
      </c>
      <c r="D278" s="87">
        <v>309</v>
      </c>
      <c r="E278" s="87">
        <v>1733</v>
      </c>
      <c r="F278" s="88">
        <f t="shared" si="6"/>
        <v>81.950934579439249</v>
      </c>
      <c r="G278" s="87">
        <v>12273</v>
      </c>
      <c r="H278" s="89">
        <f t="shared" si="7"/>
        <v>14.120426953475107</v>
      </c>
      <c r="I278" s="90">
        <v>1486</v>
      </c>
      <c r="J278" s="90">
        <v>85</v>
      </c>
      <c r="K278" s="87">
        <v>1602</v>
      </c>
      <c r="L278" s="88">
        <f t="shared" si="8"/>
        <v>94.589433481858691</v>
      </c>
      <c r="M278" s="87">
        <v>14389</v>
      </c>
      <c r="N278" s="89">
        <f t="shared" si="9"/>
        <v>11.133504760580999</v>
      </c>
      <c r="O278" s="90"/>
      <c r="P278" s="90"/>
    </row>
    <row r="279" spans="1:16">
      <c r="A279" s="85">
        <v>70706</v>
      </c>
      <c r="B279" s="95" t="s">
        <v>369</v>
      </c>
      <c r="C279" s="87">
        <v>2962</v>
      </c>
      <c r="D279" s="87">
        <v>387</v>
      </c>
      <c r="E279" s="87">
        <v>3380</v>
      </c>
      <c r="F279" s="88">
        <f t="shared" si="6"/>
        <v>88.444311734846224</v>
      </c>
      <c r="G279" s="87">
        <v>33838</v>
      </c>
      <c r="H279" s="89">
        <f t="shared" si="7"/>
        <v>9.9887700218689055</v>
      </c>
      <c r="I279" s="90">
        <v>2171</v>
      </c>
      <c r="J279" s="90">
        <v>39</v>
      </c>
      <c r="K279" s="87">
        <v>2222</v>
      </c>
      <c r="L279" s="88">
        <f t="shared" si="8"/>
        <v>98.235294117647058</v>
      </c>
      <c r="M279" s="87">
        <v>32285</v>
      </c>
      <c r="N279" s="89">
        <f t="shared" si="9"/>
        <v>6.8824531516183995</v>
      </c>
      <c r="O279" s="90"/>
      <c r="P279" s="90"/>
    </row>
    <row r="280" spans="1:16">
      <c r="A280" s="85">
        <v>70707</v>
      </c>
      <c r="B280" s="95" t="s">
        <v>370</v>
      </c>
      <c r="C280" s="87">
        <v>422</v>
      </c>
      <c r="D280" s="87">
        <v>114</v>
      </c>
      <c r="E280" s="87">
        <v>539</v>
      </c>
      <c r="F280" s="88">
        <f t="shared" si="6"/>
        <v>78.731343283582092</v>
      </c>
      <c r="G280" s="87">
        <v>5087</v>
      </c>
      <c r="H280" s="89">
        <f t="shared" si="7"/>
        <v>10.595635934735601</v>
      </c>
      <c r="I280" s="90">
        <v>474</v>
      </c>
      <c r="J280" s="90">
        <v>105</v>
      </c>
      <c r="K280" s="87">
        <v>591</v>
      </c>
      <c r="L280" s="88">
        <f t="shared" si="8"/>
        <v>81.865284974093271</v>
      </c>
      <c r="M280" s="87">
        <v>5612</v>
      </c>
      <c r="N280" s="89">
        <f t="shared" si="9"/>
        <v>10.531004989308625</v>
      </c>
      <c r="O280" s="90"/>
      <c r="P280" s="90"/>
    </row>
    <row r="281" spans="1:16">
      <c r="A281" s="85">
        <v>70801</v>
      </c>
      <c r="B281" s="95" t="s">
        <v>372</v>
      </c>
      <c r="C281" s="87">
        <v>1533</v>
      </c>
      <c r="D281" s="87">
        <v>143</v>
      </c>
      <c r="E281" s="87">
        <v>1721</v>
      </c>
      <c r="F281" s="88">
        <f t="shared" si="6"/>
        <v>91.467780429594271</v>
      </c>
      <c r="G281" s="87">
        <v>17208</v>
      </c>
      <c r="H281" s="89">
        <f t="shared" si="7"/>
        <v>10.001162250116224</v>
      </c>
      <c r="I281" s="90">
        <v>1064</v>
      </c>
      <c r="J281" s="90">
        <v>10</v>
      </c>
      <c r="K281" s="87">
        <v>1081</v>
      </c>
      <c r="L281" s="88">
        <f t="shared" si="8"/>
        <v>99.068901303538169</v>
      </c>
      <c r="M281" s="87">
        <v>17249</v>
      </c>
      <c r="N281" s="89">
        <f t="shared" si="9"/>
        <v>6.2670299727520433</v>
      </c>
      <c r="O281" s="90"/>
      <c r="P281" s="90"/>
    </row>
    <row r="282" spans="1:16">
      <c r="A282" s="85">
        <v>70802</v>
      </c>
      <c r="B282" s="95" t="s">
        <v>373</v>
      </c>
      <c r="C282" s="87">
        <v>200</v>
      </c>
      <c r="D282" s="87">
        <v>38</v>
      </c>
      <c r="E282" s="87">
        <v>240</v>
      </c>
      <c r="F282" s="88">
        <f t="shared" si="6"/>
        <v>84.033613445378151</v>
      </c>
      <c r="G282" s="87">
        <v>2135</v>
      </c>
      <c r="H282" s="89">
        <f t="shared" si="7"/>
        <v>11.241217798594848</v>
      </c>
      <c r="I282" s="90">
        <v>135</v>
      </c>
      <c r="J282" s="90">
        <v>4</v>
      </c>
      <c r="K282" s="87">
        <v>142</v>
      </c>
      <c r="L282" s="88">
        <f t="shared" si="8"/>
        <v>97.122302158273371</v>
      </c>
      <c r="M282" s="87">
        <v>2359</v>
      </c>
      <c r="N282" s="89">
        <f t="shared" si="9"/>
        <v>6.0194997880457821</v>
      </c>
      <c r="O282" s="90"/>
      <c r="P282" s="90"/>
    </row>
    <row r="283" spans="1:16">
      <c r="A283" s="85">
        <v>70803</v>
      </c>
      <c r="B283" s="95" t="s">
        <v>374</v>
      </c>
      <c r="C283" s="87">
        <v>245</v>
      </c>
      <c r="D283" s="87">
        <v>17</v>
      </c>
      <c r="E283" s="87">
        <v>264</v>
      </c>
      <c r="F283" s="88">
        <f t="shared" si="6"/>
        <v>93.511450381679381</v>
      </c>
      <c r="G283" s="87">
        <v>2767</v>
      </c>
      <c r="H283" s="89">
        <f t="shared" si="7"/>
        <v>9.5410191543187572</v>
      </c>
      <c r="I283" s="90">
        <v>174</v>
      </c>
      <c r="J283" s="90">
        <v>1</v>
      </c>
      <c r="K283" s="87">
        <v>176</v>
      </c>
      <c r="L283" s="88">
        <f t="shared" si="8"/>
        <v>99.428571428571431</v>
      </c>
      <c r="M283" s="87">
        <v>2793</v>
      </c>
      <c r="N283" s="89">
        <f t="shared" si="9"/>
        <v>6.3014679556032949</v>
      </c>
      <c r="O283" s="90"/>
      <c r="P283" s="90"/>
    </row>
    <row r="284" spans="1:16">
      <c r="A284" s="85">
        <v>70804</v>
      </c>
      <c r="B284" s="95" t="s">
        <v>375</v>
      </c>
      <c r="C284" s="87">
        <v>210</v>
      </c>
      <c r="D284" s="87">
        <v>43</v>
      </c>
      <c r="E284" s="87">
        <v>259</v>
      </c>
      <c r="F284" s="88">
        <f t="shared" si="6"/>
        <v>83.003952569169954</v>
      </c>
      <c r="G284" s="87">
        <v>2390</v>
      </c>
      <c r="H284" s="89">
        <f t="shared" si="7"/>
        <v>10.836820083682008</v>
      </c>
      <c r="I284" s="90">
        <v>105</v>
      </c>
      <c r="J284" s="90">
        <v>5</v>
      </c>
      <c r="K284" s="87">
        <v>111</v>
      </c>
      <c r="L284" s="88">
        <f t="shared" si="8"/>
        <v>95.454545454545453</v>
      </c>
      <c r="M284" s="87">
        <v>1806</v>
      </c>
      <c r="N284" s="89">
        <f t="shared" si="9"/>
        <v>6.1461794019933551</v>
      </c>
      <c r="O284" s="90"/>
      <c r="P284" s="90"/>
    </row>
    <row r="285" spans="1:16">
      <c r="A285" s="85">
        <v>70805</v>
      </c>
      <c r="B285" s="95" t="s">
        <v>376</v>
      </c>
      <c r="C285" s="87">
        <v>193</v>
      </c>
      <c r="D285" s="87">
        <v>18</v>
      </c>
      <c r="E285" s="87">
        <v>212</v>
      </c>
      <c r="F285" s="88">
        <f t="shared" si="6"/>
        <v>91.469194312796205</v>
      </c>
      <c r="G285" s="87">
        <v>2076</v>
      </c>
      <c r="H285" s="89">
        <f t="shared" si="7"/>
        <v>10.211946050096339</v>
      </c>
      <c r="I285" s="90">
        <v>140</v>
      </c>
      <c r="J285" s="90">
        <v>1</v>
      </c>
      <c r="K285" s="87">
        <v>141</v>
      </c>
      <c r="L285" s="88">
        <f t="shared" si="8"/>
        <v>99.290780141843967</v>
      </c>
      <c r="M285" s="87">
        <v>2015</v>
      </c>
      <c r="N285" s="89">
        <f t="shared" si="9"/>
        <v>6.9975186104218361</v>
      </c>
      <c r="O285" s="90"/>
      <c r="P285" s="90"/>
    </row>
    <row r="286" spans="1:16">
      <c r="A286" s="85">
        <v>70901</v>
      </c>
      <c r="B286" s="95" t="s">
        <v>378</v>
      </c>
      <c r="C286" s="87">
        <v>988</v>
      </c>
      <c r="D286" s="87">
        <v>106</v>
      </c>
      <c r="E286" s="87">
        <v>1111</v>
      </c>
      <c r="F286" s="88">
        <f t="shared" si="6"/>
        <v>90.310786106032907</v>
      </c>
      <c r="G286" s="87">
        <v>10472</v>
      </c>
      <c r="H286" s="89">
        <f t="shared" si="7"/>
        <v>10.609243697478991</v>
      </c>
      <c r="I286" s="90">
        <v>800</v>
      </c>
      <c r="J286" s="90">
        <v>34</v>
      </c>
      <c r="K286" s="87">
        <v>849</v>
      </c>
      <c r="L286" s="88">
        <f t="shared" si="8"/>
        <v>95.923261390887291</v>
      </c>
      <c r="M286" s="87">
        <v>11843</v>
      </c>
      <c r="N286" s="89">
        <f t="shared" si="9"/>
        <v>7.1687916912944347</v>
      </c>
      <c r="O286" s="90"/>
      <c r="P286" s="90"/>
    </row>
    <row r="287" spans="1:16">
      <c r="A287" s="85">
        <v>70902</v>
      </c>
      <c r="B287" s="95" t="s">
        <v>379</v>
      </c>
      <c r="C287" s="87">
        <v>872</v>
      </c>
      <c r="D287" s="87">
        <v>131</v>
      </c>
      <c r="E287" s="87">
        <v>1008</v>
      </c>
      <c r="F287" s="88">
        <f t="shared" si="6"/>
        <v>86.939182452642072</v>
      </c>
      <c r="G287" s="87">
        <v>9198</v>
      </c>
      <c r="H287" s="89">
        <f t="shared" si="7"/>
        <v>10.95890410958904</v>
      </c>
      <c r="I287" s="90">
        <v>851</v>
      </c>
      <c r="J287" s="90">
        <v>33</v>
      </c>
      <c r="K287" s="87">
        <v>888</v>
      </c>
      <c r="L287" s="88">
        <f t="shared" si="8"/>
        <v>96.266968325791851</v>
      </c>
      <c r="M287" s="87">
        <v>9692</v>
      </c>
      <c r="N287" s="89">
        <f t="shared" si="9"/>
        <v>9.1621956252579455</v>
      </c>
      <c r="O287" s="90"/>
      <c r="P287" s="90"/>
    </row>
    <row r="288" spans="1:16">
      <c r="A288" s="85">
        <v>70903</v>
      </c>
      <c r="B288" s="95" t="s">
        <v>380</v>
      </c>
      <c r="C288" s="87">
        <v>1064</v>
      </c>
      <c r="D288" s="87">
        <v>127</v>
      </c>
      <c r="E288" s="87">
        <v>1203</v>
      </c>
      <c r="F288" s="88">
        <f t="shared" si="6"/>
        <v>89.336691855583538</v>
      </c>
      <c r="G288" s="87">
        <v>10177</v>
      </c>
      <c r="H288" s="89">
        <f t="shared" si="7"/>
        <v>11.820772329763193</v>
      </c>
      <c r="I288" s="90">
        <v>1061</v>
      </c>
      <c r="J288" s="90">
        <v>32</v>
      </c>
      <c r="K288" s="87">
        <v>1102</v>
      </c>
      <c r="L288" s="88">
        <f t="shared" si="8"/>
        <v>97.072278133577299</v>
      </c>
      <c r="M288" s="87">
        <v>12735</v>
      </c>
      <c r="N288" s="89">
        <f t="shared" si="9"/>
        <v>8.6533176285826467</v>
      </c>
      <c r="O288" s="90"/>
      <c r="P288" s="90"/>
    </row>
    <row r="289" spans="1:16">
      <c r="A289" s="85">
        <v>70904</v>
      </c>
      <c r="B289" s="95" t="s">
        <v>381</v>
      </c>
      <c r="C289" s="87">
        <v>287</v>
      </c>
      <c r="D289" s="87">
        <v>33</v>
      </c>
      <c r="E289" s="87">
        <v>327</v>
      </c>
      <c r="F289" s="88">
        <f t="shared" si="6"/>
        <v>89.6875</v>
      </c>
      <c r="G289" s="87">
        <v>2995</v>
      </c>
      <c r="H289" s="89">
        <f t="shared" si="7"/>
        <v>10.918196994991652</v>
      </c>
      <c r="I289" s="90">
        <v>181</v>
      </c>
      <c r="J289" s="90">
        <v>12</v>
      </c>
      <c r="K289" s="87">
        <v>194</v>
      </c>
      <c r="L289" s="88">
        <f t="shared" si="8"/>
        <v>93.782383419689126</v>
      </c>
      <c r="M289" s="87">
        <v>3086</v>
      </c>
      <c r="N289" s="89">
        <f t="shared" si="9"/>
        <v>6.2864549578742714</v>
      </c>
      <c r="O289" s="90"/>
      <c r="P289" s="90"/>
    </row>
    <row r="290" spans="1:16">
      <c r="A290" s="85">
        <v>71001</v>
      </c>
      <c r="B290" s="95" t="s">
        <v>383</v>
      </c>
      <c r="C290" s="87">
        <v>10362</v>
      </c>
      <c r="D290" s="87">
        <v>1523</v>
      </c>
      <c r="E290" s="87">
        <v>12020</v>
      </c>
      <c r="F290" s="88">
        <f t="shared" si="6"/>
        <v>87.185527976440895</v>
      </c>
      <c r="G290" s="87">
        <v>109518</v>
      </c>
      <c r="H290" s="89">
        <f t="shared" si="7"/>
        <v>10.975364780218777</v>
      </c>
      <c r="I290" s="90">
        <v>10307</v>
      </c>
      <c r="J290" s="90">
        <v>253</v>
      </c>
      <c r="K290" s="87">
        <v>10637</v>
      </c>
      <c r="L290" s="88">
        <f t="shared" si="8"/>
        <v>97.604166666666671</v>
      </c>
      <c r="M290" s="87">
        <v>126886</v>
      </c>
      <c r="N290" s="89">
        <f t="shared" si="9"/>
        <v>8.3831155525432273</v>
      </c>
      <c r="O290" s="90"/>
      <c r="P290" s="90"/>
    </row>
    <row r="291" spans="1:16">
      <c r="A291" s="85">
        <v>71002</v>
      </c>
      <c r="B291" s="95" t="s">
        <v>384</v>
      </c>
      <c r="C291" s="87">
        <v>1425</v>
      </c>
      <c r="D291" s="87">
        <v>290</v>
      </c>
      <c r="E291" s="87">
        <v>1744</v>
      </c>
      <c r="F291" s="88">
        <f t="shared" si="6"/>
        <v>83.090379008746353</v>
      </c>
      <c r="G291" s="87">
        <v>14209</v>
      </c>
      <c r="H291" s="89">
        <f t="shared" si="7"/>
        <v>12.273910901541276</v>
      </c>
      <c r="I291" s="90">
        <v>1427</v>
      </c>
      <c r="J291" s="90">
        <v>89</v>
      </c>
      <c r="K291" s="87">
        <v>1540</v>
      </c>
      <c r="L291" s="88">
        <f t="shared" si="8"/>
        <v>94.129287598944586</v>
      </c>
      <c r="M291" s="87">
        <v>16598</v>
      </c>
      <c r="N291" s="89">
        <f t="shared" si="9"/>
        <v>9.2782262923243763</v>
      </c>
      <c r="O291" s="90"/>
      <c r="P291" s="90"/>
    </row>
    <row r="292" spans="1:16">
      <c r="A292" s="85">
        <v>71003</v>
      </c>
      <c r="B292" s="95" t="s">
        <v>385</v>
      </c>
      <c r="C292" s="87">
        <v>2471</v>
      </c>
      <c r="D292" s="87">
        <v>480</v>
      </c>
      <c r="E292" s="87">
        <v>2989</v>
      </c>
      <c r="F292" s="88">
        <f t="shared" si="6"/>
        <v>83.734327346662155</v>
      </c>
      <c r="G292" s="87">
        <v>23251</v>
      </c>
      <c r="H292" s="89">
        <f t="shared" si="7"/>
        <v>12.855361059739364</v>
      </c>
      <c r="I292" s="90">
        <v>1987</v>
      </c>
      <c r="J292" s="90">
        <v>96</v>
      </c>
      <c r="K292" s="87">
        <v>2097</v>
      </c>
      <c r="L292" s="88">
        <f t="shared" si="8"/>
        <v>95.391262602016326</v>
      </c>
      <c r="M292" s="87">
        <v>23110</v>
      </c>
      <c r="N292" s="89">
        <f t="shared" si="9"/>
        <v>9.0739939420164433</v>
      </c>
      <c r="O292" s="90"/>
      <c r="P292" s="90"/>
    </row>
    <row r="293" spans="1:16">
      <c r="A293" s="85">
        <v>71004</v>
      </c>
      <c r="B293" s="95" t="s">
        <v>386</v>
      </c>
      <c r="C293" s="87">
        <v>1446</v>
      </c>
      <c r="D293" s="87">
        <v>265</v>
      </c>
      <c r="E293" s="87">
        <v>1736</v>
      </c>
      <c r="F293" s="88">
        <f t="shared" si="6"/>
        <v>84.511981297486855</v>
      </c>
      <c r="G293" s="87">
        <v>15117</v>
      </c>
      <c r="H293" s="89">
        <f t="shared" si="7"/>
        <v>11.483760005292055</v>
      </c>
      <c r="I293" s="90">
        <v>1095</v>
      </c>
      <c r="J293" s="90">
        <v>43</v>
      </c>
      <c r="K293" s="87">
        <v>1149</v>
      </c>
      <c r="L293" s="88">
        <f t="shared" si="8"/>
        <v>96.221441124780313</v>
      </c>
      <c r="M293" s="87">
        <v>14610</v>
      </c>
      <c r="N293" s="89">
        <f t="shared" si="9"/>
        <v>7.8644763860369613</v>
      </c>
      <c r="O293" s="90"/>
      <c r="P293" s="90"/>
    </row>
    <row r="294" spans="1:16">
      <c r="A294" s="85">
        <v>71005</v>
      </c>
      <c r="B294" s="95" t="s">
        <v>285</v>
      </c>
      <c r="C294" s="87">
        <v>1766</v>
      </c>
      <c r="D294" s="87">
        <v>353</v>
      </c>
      <c r="E294" s="87">
        <v>2145</v>
      </c>
      <c r="F294" s="88">
        <f t="shared" si="6"/>
        <v>83.341198678621993</v>
      </c>
      <c r="G294" s="87">
        <v>19103</v>
      </c>
      <c r="H294" s="89">
        <f t="shared" si="7"/>
        <v>11.228602837250694</v>
      </c>
      <c r="I294" s="90">
        <v>1175</v>
      </c>
      <c r="J294" s="90">
        <v>52</v>
      </c>
      <c r="K294" s="87">
        <v>1235</v>
      </c>
      <c r="L294" s="88">
        <f t="shared" si="8"/>
        <v>95.762021189894057</v>
      </c>
      <c r="M294" s="87">
        <v>15246</v>
      </c>
      <c r="N294" s="89">
        <f t="shared" si="9"/>
        <v>8.1004853732126456</v>
      </c>
      <c r="O294" s="90"/>
      <c r="P294" s="90"/>
    </row>
    <row r="295" spans="1:16">
      <c r="A295" s="85">
        <v>71101</v>
      </c>
      <c r="B295" s="95" t="s">
        <v>388</v>
      </c>
      <c r="C295" s="87">
        <v>1858</v>
      </c>
      <c r="D295" s="87">
        <v>569</v>
      </c>
      <c r="E295" s="87">
        <v>2447</v>
      </c>
      <c r="F295" s="88">
        <f t="shared" si="6"/>
        <v>76.555418211784101</v>
      </c>
      <c r="G295" s="87">
        <v>18800</v>
      </c>
      <c r="H295" s="89">
        <f t="shared" si="7"/>
        <v>13.01595744680851</v>
      </c>
      <c r="I295" s="90">
        <v>2725</v>
      </c>
      <c r="J295" s="90">
        <v>266</v>
      </c>
      <c r="K295" s="87">
        <v>3040</v>
      </c>
      <c r="L295" s="88">
        <f t="shared" si="8"/>
        <v>91.106653293212972</v>
      </c>
      <c r="M295" s="87">
        <v>30118</v>
      </c>
      <c r="N295" s="89">
        <f t="shared" si="9"/>
        <v>10.093631715253338</v>
      </c>
      <c r="O295" s="90"/>
      <c r="P295" s="90"/>
    </row>
    <row r="296" spans="1:16">
      <c r="A296" s="85">
        <v>71102</v>
      </c>
      <c r="B296" s="95" t="s">
        <v>389</v>
      </c>
      <c r="C296" s="87">
        <v>1220</v>
      </c>
      <c r="D296" s="87">
        <v>555</v>
      </c>
      <c r="E296" s="87">
        <v>1788</v>
      </c>
      <c r="F296" s="88">
        <f t="shared" si="6"/>
        <v>68.732394366197184</v>
      </c>
      <c r="G296" s="87">
        <v>13620</v>
      </c>
      <c r="H296" s="89">
        <f t="shared" si="7"/>
        <v>13.127753303964756</v>
      </c>
      <c r="I296" s="90">
        <v>1397</v>
      </c>
      <c r="J296" s="90">
        <v>139</v>
      </c>
      <c r="K296" s="87">
        <v>1557</v>
      </c>
      <c r="L296" s="88">
        <f t="shared" si="8"/>
        <v>90.950520833333343</v>
      </c>
      <c r="M296" s="87">
        <v>14888</v>
      </c>
      <c r="N296" s="89">
        <f t="shared" si="9"/>
        <v>10.458087049973134</v>
      </c>
      <c r="O296" s="90"/>
      <c r="P296" s="90"/>
    </row>
    <row r="297" spans="1:16">
      <c r="A297" s="85">
        <v>71103</v>
      </c>
      <c r="B297" s="95" t="s">
        <v>392</v>
      </c>
      <c r="C297" s="87">
        <v>653</v>
      </c>
      <c r="D297" s="87">
        <v>243</v>
      </c>
      <c r="E297" s="87">
        <v>913</v>
      </c>
      <c r="F297" s="88">
        <f t="shared" si="6"/>
        <v>72.879464285714292</v>
      </c>
      <c r="G297" s="87">
        <v>7490</v>
      </c>
      <c r="H297" s="89">
        <f t="shared" si="7"/>
        <v>12.189586114819759</v>
      </c>
      <c r="I297" s="90">
        <v>719</v>
      </c>
      <c r="J297" s="90">
        <v>67</v>
      </c>
      <c r="K297" s="87">
        <v>806</v>
      </c>
      <c r="L297" s="88">
        <f t="shared" si="8"/>
        <v>91.475826972010182</v>
      </c>
      <c r="M297" s="87">
        <v>8541</v>
      </c>
      <c r="N297" s="89">
        <f t="shared" si="9"/>
        <v>9.43683409436834</v>
      </c>
      <c r="O297" s="90"/>
      <c r="P297" s="90"/>
    </row>
    <row r="298" spans="1:16">
      <c r="A298" s="85">
        <v>71104</v>
      </c>
      <c r="B298" s="95" t="s">
        <v>390</v>
      </c>
      <c r="C298" s="87">
        <v>4931</v>
      </c>
      <c r="D298" s="87">
        <v>924</v>
      </c>
      <c r="E298" s="87">
        <v>6003</v>
      </c>
      <c r="F298" s="88">
        <f t="shared" si="6"/>
        <v>84.218616567036719</v>
      </c>
      <c r="G298" s="87">
        <v>47416</v>
      </c>
      <c r="H298" s="89">
        <f t="shared" si="7"/>
        <v>12.660283448624938</v>
      </c>
      <c r="I298" s="90">
        <v>3887</v>
      </c>
      <c r="J298" s="90">
        <v>174</v>
      </c>
      <c r="K298" s="87">
        <v>4087</v>
      </c>
      <c r="L298" s="88">
        <f t="shared" si="8"/>
        <v>95.715341049002717</v>
      </c>
      <c r="M298" s="87">
        <v>44909</v>
      </c>
      <c r="N298" s="89">
        <f t="shared" si="9"/>
        <v>9.1006257097686429</v>
      </c>
      <c r="O298" s="90"/>
      <c r="P298" s="90"/>
    </row>
    <row r="299" spans="1:16">
      <c r="A299" s="85">
        <v>71105</v>
      </c>
      <c r="B299" s="95" t="s">
        <v>391</v>
      </c>
      <c r="C299" s="87">
        <v>689</v>
      </c>
      <c r="D299" s="87">
        <v>120</v>
      </c>
      <c r="E299" s="87">
        <v>816</v>
      </c>
      <c r="F299" s="88">
        <f t="shared" si="6"/>
        <v>85.166872682323856</v>
      </c>
      <c r="G299" s="87">
        <v>6481</v>
      </c>
      <c r="H299" s="89">
        <f t="shared" si="7"/>
        <v>12.590649591112482</v>
      </c>
      <c r="I299" s="90">
        <v>673</v>
      </c>
      <c r="J299" s="90">
        <v>29</v>
      </c>
      <c r="K299" s="87">
        <v>709</v>
      </c>
      <c r="L299" s="88">
        <f t="shared" si="8"/>
        <v>95.868945868945872</v>
      </c>
      <c r="M299" s="87">
        <v>6364</v>
      </c>
      <c r="N299" s="89">
        <f t="shared" si="9"/>
        <v>11.140791954745444</v>
      </c>
      <c r="O299" s="90"/>
      <c r="P299" s="90"/>
    </row>
    <row r="300" spans="1:16">
      <c r="A300" s="85">
        <v>71106</v>
      </c>
      <c r="B300" s="95" t="s">
        <v>393</v>
      </c>
      <c r="C300" s="87">
        <v>2517</v>
      </c>
      <c r="D300" s="87">
        <v>514</v>
      </c>
      <c r="E300" s="87">
        <v>3071</v>
      </c>
      <c r="F300" s="88">
        <f t="shared" si="6"/>
        <v>83.041900362916536</v>
      </c>
      <c r="G300" s="87">
        <v>22845</v>
      </c>
      <c r="H300" s="89">
        <f t="shared" si="7"/>
        <v>13.442766469687021</v>
      </c>
      <c r="I300" s="90">
        <v>2360</v>
      </c>
      <c r="J300" s="90">
        <v>358</v>
      </c>
      <c r="K300" s="87">
        <v>2746</v>
      </c>
      <c r="L300" s="88">
        <f t="shared" si="8"/>
        <v>86.828550404709347</v>
      </c>
      <c r="M300" s="87">
        <v>25258</v>
      </c>
      <c r="N300" s="89">
        <f t="shared" si="9"/>
        <v>10.871802993111093</v>
      </c>
      <c r="O300" s="90"/>
      <c r="P300" s="90"/>
    </row>
    <row r="301" spans="1:16">
      <c r="A301" s="85">
        <v>71201</v>
      </c>
      <c r="B301" s="95" t="s">
        <v>395</v>
      </c>
      <c r="C301" s="87">
        <v>1114</v>
      </c>
      <c r="D301" s="87">
        <v>541</v>
      </c>
      <c r="E301" s="87">
        <v>1693</v>
      </c>
      <c r="F301" s="88">
        <f t="shared" si="6"/>
        <v>67.311178247734134</v>
      </c>
      <c r="G301" s="87">
        <v>14470</v>
      </c>
      <c r="H301" s="89">
        <f t="shared" si="7"/>
        <v>11.700069108500346</v>
      </c>
      <c r="I301" s="90">
        <v>1317</v>
      </c>
      <c r="J301" s="90">
        <v>212</v>
      </c>
      <c r="K301" s="87">
        <v>1563</v>
      </c>
      <c r="L301" s="88">
        <f t="shared" si="8"/>
        <v>86.13472858077175</v>
      </c>
      <c r="M301" s="87">
        <v>15378</v>
      </c>
      <c r="N301" s="89">
        <f t="shared" si="9"/>
        <v>10.163870464299649</v>
      </c>
      <c r="O301" s="90"/>
      <c r="P301" s="90"/>
    </row>
    <row r="302" spans="1:16">
      <c r="A302" s="85">
        <v>71301</v>
      </c>
      <c r="B302" s="95" t="s">
        <v>397</v>
      </c>
      <c r="C302" s="87">
        <v>1789</v>
      </c>
      <c r="D302" s="87">
        <v>173</v>
      </c>
      <c r="E302" s="87">
        <v>1997</v>
      </c>
      <c r="F302" s="88">
        <f t="shared" si="6"/>
        <v>91.182466870540267</v>
      </c>
      <c r="G302" s="87">
        <v>15919</v>
      </c>
      <c r="H302" s="89">
        <f t="shared" si="7"/>
        <v>12.544757836547522</v>
      </c>
      <c r="I302" s="90">
        <v>1421</v>
      </c>
      <c r="J302" s="90">
        <v>36</v>
      </c>
      <c r="K302" s="87">
        <v>1468</v>
      </c>
      <c r="L302" s="88">
        <f t="shared" si="8"/>
        <v>97.52916952642417</v>
      </c>
      <c r="M302" s="87">
        <v>17195</v>
      </c>
      <c r="N302" s="89">
        <f t="shared" si="9"/>
        <v>8.5373655132305917</v>
      </c>
      <c r="O302" s="90"/>
      <c r="P302" s="90"/>
    </row>
    <row r="303" spans="1:16">
      <c r="A303" s="85">
        <v>71302</v>
      </c>
      <c r="B303" s="95" t="s">
        <v>398</v>
      </c>
      <c r="C303" s="87">
        <v>853</v>
      </c>
      <c r="D303" s="87">
        <v>57</v>
      </c>
      <c r="E303" s="87">
        <v>942</v>
      </c>
      <c r="F303" s="88">
        <f t="shared" si="6"/>
        <v>93.736263736263737</v>
      </c>
      <c r="G303" s="87">
        <v>7390</v>
      </c>
      <c r="H303" s="89">
        <f t="shared" si="7"/>
        <v>12.746955345060892</v>
      </c>
      <c r="I303" s="90">
        <v>478</v>
      </c>
      <c r="J303" s="90">
        <v>13</v>
      </c>
      <c r="K303" s="87">
        <v>491</v>
      </c>
      <c r="L303" s="88">
        <f t="shared" si="8"/>
        <v>97.352342158859472</v>
      </c>
      <c r="M303" s="87">
        <v>6048</v>
      </c>
      <c r="N303" s="89">
        <f t="shared" si="9"/>
        <v>8.1183862433862419</v>
      </c>
      <c r="O303" s="90"/>
      <c r="P303" s="90"/>
    </row>
    <row r="304" spans="1:16">
      <c r="A304" s="85">
        <v>71401</v>
      </c>
      <c r="B304" s="95" t="s">
        <v>400</v>
      </c>
      <c r="C304" s="87">
        <v>1751</v>
      </c>
      <c r="D304" s="87">
        <v>198</v>
      </c>
      <c r="E304" s="87">
        <v>1972</v>
      </c>
      <c r="F304" s="88">
        <f t="shared" si="6"/>
        <v>89.840944073884046</v>
      </c>
      <c r="G304" s="87">
        <v>19829</v>
      </c>
      <c r="H304" s="89">
        <f t="shared" si="7"/>
        <v>9.9450300065560544</v>
      </c>
      <c r="I304" s="90">
        <v>1112</v>
      </c>
      <c r="J304" s="90">
        <v>85</v>
      </c>
      <c r="K304" s="87">
        <v>1215</v>
      </c>
      <c r="L304" s="88">
        <f t="shared" si="8"/>
        <v>92.898913951545524</v>
      </c>
      <c r="M304" s="87">
        <v>17417</v>
      </c>
      <c r="N304" s="89">
        <f t="shared" si="9"/>
        <v>6.975943044152265</v>
      </c>
      <c r="O304" s="90"/>
      <c r="P304" s="90"/>
    </row>
    <row r="305" spans="1:16">
      <c r="A305" s="85">
        <v>71402</v>
      </c>
      <c r="B305" s="95" t="s">
        <v>401</v>
      </c>
      <c r="C305" s="87">
        <v>1586</v>
      </c>
      <c r="D305" s="87">
        <v>202</v>
      </c>
      <c r="E305" s="87">
        <v>1810</v>
      </c>
      <c r="F305" s="88">
        <f t="shared" si="6"/>
        <v>88.702460850111848</v>
      </c>
      <c r="G305" s="87">
        <v>16659</v>
      </c>
      <c r="H305" s="89">
        <f t="shared" si="7"/>
        <v>10.864997899033556</v>
      </c>
      <c r="I305" s="90">
        <v>1139</v>
      </c>
      <c r="J305" s="90">
        <v>149</v>
      </c>
      <c r="K305" s="87">
        <v>1312</v>
      </c>
      <c r="L305" s="88">
        <f t="shared" si="8"/>
        <v>88.431677018633536</v>
      </c>
      <c r="M305" s="87">
        <v>17974</v>
      </c>
      <c r="N305" s="89">
        <f t="shared" si="9"/>
        <v>7.2994325136308005</v>
      </c>
      <c r="O305" s="90"/>
      <c r="P305" s="90"/>
    </row>
    <row r="306" spans="1:16">
      <c r="A306" s="85">
        <v>71403</v>
      </c>
      <c r="B306" s="95" t="s">
        <v>402</v>
      </c>
      <c r="C306" s="87">
        <v>634</v>
      </c>
      <c r="D306" s="87">
        <v>132</v>
      </c>
      <c r="E306" s="87">
        <v>781</v>
      </c>
      <c r="F306" s="88">
        <f t="shared" si="6"/>
        <v>82.767624020887737</v>
      </c>
      <c r="G306" s="87">
        <v>6342</v>
      </c>
      <c r="H306" s="89">
        <f t="shared" si="7"/>
        <v>12.314727215389468</v>
      </c>
      <c r="I306" s="90">
        <v>776</v>
      </c>
      <c r="J306" s="90">
        <v>175</v>
      </c>
      <c r="K306" s="87">
        <v>957</v>
      </c>
      <c r="L306" s="88">
        <f t="shared" si="8"/>
        <v>81.598317560462675</v>
      </c>
      <c r="M306" s="87">
        <v>8816</v>
      </c>
      <c r="N306" s="89">
        <f t="shared" si="9"/>
        <v>10.855263157894738</v>
      </c>
      <c r="O306" s="90"/>
      <c r="P306" s="90"/>
    </row>
    <row r="307" spans="1:16">
      <c r="A307" s="85">
        <v>71501</v>
      </c>
      <c r="B307" s="95" t="s">
        <v>404</v>
      </c>
      <c r="C307" s="87">
        <v>2740</v>
      </c>
      <c r="D307" s="87">
        <v>712</v>
      </c>
      <c r="E307" s="87">
        <v>3564</v>
      </c>
      <c r="F307" s="88">
        <f t="shared" si="6"/>
        <v>79.374275782155266</v>
      </c>
      <c r="G307" s="87">
        <v>27070</v>
      </c>
      <c r="H307" s="89">
        <f t="shared" si="7"/>
        <v>13.165866272626525</v>
      </c>
      <c r="I307" s="90">
        <v>2854</v>
      </c>
      <c r="J307" s="90">
        <v>278</v>
      </c>
      <c r="K307" s="87">
        <v>3187</v>
      </c>
      <c r="L307" s="88">
        <f t="shared" si="8"/>
        <v>91.123882503192846</v>
      </c>
      <c r="M307" s="87">
        <v>34079</v>
      </c>
      <c r="N307" s="89">
        <f t="shared" si="9"/>
        <v>9.3518002288799558</v>
      </c>
      <c r="O307" s="90"/>
      <c r="P307" s="90"/>
    </row>
    <row r="308" spans="1:16">
      <c r="A308" s="85">
        <v>71502</v>
      </c>
      <c r="B308" s="95" t="s">
        <v>405</v>
      </c>
      <c r="C308" s="87">
        <v>822</v>
      </c>
      <c r="D308" s="87">
        <v>93</v>
      </c>
      <c r="E308" s="87">
        <v>947</v>
      </c>
      <c r="F308" s="88">
        <f t="shared" si="6"/>
        <v>89.836065573770497</v>
      </c>
      <c r="G308" s="87">
        <v>7026</v>
      </c>
      <c r="H308" s="89">
        <f t="shared" si="7"/>
        <v>13.478508397381155</v>
      </c>
      <c r="I308" s="90">
        <v>585</v>
      </c>
      <c r="J308" s="90">
        <v>24</v>
      </c>
      <c r="K308" s="87">
        <v>615</v>
      </c>
      <c r="L308" s="88">
        <f t="shared" si="8"/>
        <v>96.059113300492612</v>
      </c>
      <c r="M308" s="87">
        <v>6555</v>
      </c>
      <c r="N308" s="89">
        <f t="shared" si="9"/>
        <v>9.3821510297482842</v>
      </c>
      <c r="O308" s="90"/>
      <c r="P308" s="90"/>
    </row>
    <row r="309" spans="1:16">
      <c r="A309" s="85">
        <v>71503</v>
      </c>
      <c r="B309" s="95" t="s">
        <v>335</v>
      </c>
      <c r="C309" s="87">
        <v>1426</v>
      </c>
      <c r="D309" s="87">
        <v>416</v>
      </c>
      <c r="E309" s="87">
        <v>1869</v>
      </c>
      <c r="F309" s="88">
        <f t="shared" si="6"/>
        <v>77.415852334419114</v>
      </c>
      <c r="G309" s="87">
        <v>14205</v>
      </c>
      <c r="H309" s="89">
        <f t="shared" si="7"/>
        <v>13.157338965153114</v>
      </c>
      <c r="I309" s="90">
        <v>1244</v>
      </c>
      <c r="J309" s="90">
        <v>133</v>
      </c>
      <c r="K309" s="87">
        <v>1397</v>
      </c>
      <c r="L309" s="88">
        <f t="shared" si="8"/>
        <v>90.341321713870741</v>
      </c>
      <c r="M309" s="87">
        <v>17290</v>
      </c>
      <c r="N309" s="89">
        <f t="shared" si="9"/>
        <v>8.0798149219201854</v>
      </c>
      <c r="O309" s="90"/>
      <c r="P309" s="90"/>
    </row>
    <row r="310" spans="1:16">
      <c r="A310" s="85">
        <v>80101</v>
      </c>
      <c r="B310" s="95" t="s">
        <v>407</v>
      </c>
      <c r="C310" s="87">
        <v>10781</v>
      </c>
      <c r="D310" s="87">
        <v>1350</v>
      </c>
      <c r="E310" s="87">
        <v>12333</v>
      </c>
      <c r="F310" s="88">
        <f t="shared" si="6"/>
        <v>88.87148627483306</v>
      </c>
      <c r="G310" s="87">
        <v>106596</v>
      </c>
      <c r="H310" s="89">
        <f t="shared" si="7"/>
        <v>11.569852527299336</v>
      </c>
      <c r="I310" s="90">
        <v>9820</v>
      </c>
      <c r="J310" s="90">
        <v>150</v>
      </c>
      <c r="K310" s="87">
        <v>10042</v>
      </c>
      <c r="L310" s="88">
        <f t="shared" si="8"/>
        <v>98.495486459378128</v>
      </c>
      <c r="M310" s="87">
        <v>128589</v>
      </c>
      <c r="N310" s="89">
        <f t="shared" si="9"/>
        <v>7.8093771628988478</v>
      </c>
      <c r="O310" s="90"/>
      <c r="P310" s="90"/>
    </row>
    <row r="311" spans="1:16">
      <c r="A311" s="85">
        <v>80102</v>
      </c>
      <c r="B311" s="95" t="s">
        <v>389</v>
      </c>
      <c r="C311" s="87">
        <v>623</v>
      </c>
      <c r="D311" s="87">
        <v>132</v>
      </c>
      <c r="E311" s="87">
        <v>765</v>
      </c>
      <c r="F311" s="88">
        <f t="shared" si="6"/>
        <v>82.516556291390728</v>
      </c>
      <c r="G311" s="87">
        <v>5277</v>
      </c>
      <c r="H311" s="89">
        <f t="shared" si="7"/>
        <v>14.4968732234224</v>
      </c>
      <c r="I311" s="90">
        <v>720</v>
      </c>
      <c r="J311" s="90">
        <v>159</v>
      </c>
      <c r="K311" s="87">
        <v>891</v>
      </c>
      <c r="L311" s="88">
        <f t="shared" si="8"/>
        <v>81.911262798634809</v>
      </c>
      <c r="M311" s="87">
        <v>7913</v>
      </c>
      <c r="N311" s="89">
        <f t="shared" si="9"/>
        <v>11.259951977758119</v>
      </c>
      <c r="O311" s="90"/>
      <c r="P311" s="90"/>
    </row>
    <row r="312" spans="1:16">
      <c r="A312" s="85">
        <v>80201</v>
      </c>
      <c r="B312" s="95" t="s">
        <v>409</v>
      </c>
      <c r="C312" s="87">
        <v>10954</v>
      </c>
      <c r="D312" s="87">
        <v>964</v>
      </c>
      <c r="E312" s="87">
        <v>12088</v>
      </c>
      <c r="F312" s="88">
        <f t="shared" si="6"/>
        <v>91.911394529283442</v>
      </c>
      <c r="G312" s="87">
        <v>89022</v>
      </c>
      <c r="H312" s="89">
        <f t="shared" si="7"/>
        <v>13.578665947743254</v>
      </c>
      <c r="I312" s="90">
        <v>9858</v>
      </c>
      <c r="J312" s="90">
        <v>161</v>
      </c>
      <c r="K312" s="87">
        <v>10131</v>
      </c>
      <c r="L312" s="88">
        <f t="shared" si="8"/>
        <v>98.393053198922047</v>
      </c>
      <c r="M312" s="87">
        <v>110302</v>
      </c>
      <c r="N312" s="89">
        <f t="shared" si="9"/>
        <v>9.1847835941324725</v>
      </c>
      <c r="O312" s="90"/>
      <c r="P312" s="90"/>
    </row>
    <row r="313" spans="1:16">
      <c r="A313" s="85">
        <v>80202</v>
      </c>
      <c r="B313" s="95" t="s">
        <v>410</v>
      </c>
      <c r="C313" s="87">
        <v>4283</v>
      </c>
      <c r="D313" s="87">
        <v>671</v>
      </c>
      <c r="E313" s="87">
        <v>5068</v>
      </c>
      <c r="F313" s="88">
        <f t="shared" si="6"/>
        <v>86.455389584174398</v>
      </c>
      <c r="G313" s="87">
        <v>41814</v>
      </c>
      <c r="H313" s="89">
        <f t="shared" si="7"/>
        <v>12.120342469029511</v>
      </c>
      <c r="I313" s="90">
        <v>3353</v>
      </c>
      <c r="J313" s="90">
        <v>190</v>
      </c>
      <c r="K313" s="87">
        <v>3585</v>
      </c>
      <c r="L313" s="88">
        <f t="shared" si="8"/>
        <v>94.637313011572104</v>
      </c>
      <c r="M313" s="87">
        <v>42031</v>
      </c>
      <c r="N313" s="89">
        <f t="shared" si="9"/>
        <v>8.5294187623420807</v>
      </c>
      <c r="O313" s="90"/>
      <c r="P313" s="90"/>
    </row>
    <row r="314" spans="1:16">
      <c r="A314" s="85">
        <v>80301</v>
      </c>
      <c r="B314" s="95" t="s">
        <v>412</v>
      </c>
      <c r="C314" s="87">
        <v>1523</v>
      </c>
      <c r="D314" s="87">
        <v>238</v>
      </c>
      <c r="E314" s="87">
        <v>1781</v>
      </c>
      <c r="F314" s="88">
        <f t="shared" si="6"/>
        <v>86.484951731970469</v>
      </c>
      <c r="G314" s="87">
        <v>13246</v>
      </c>
      <c r="H314" s="89">
        <f t="shared" si="7"/>
        <v>13.445568473501435</v>
      </c>
      <c r="I314" s="90">
        <v>1138</v>
      </c>
      <c r="J314" s="90">
        <v>68</v>
      </c>
      <c r="K314" s="87">
        <v>1214</v>
      </c>
      <c r="L314" s="88">
        <f t="shared" si="8"/>
        <v>94.361525704809296</v>
      </c>
      <c r="M314" s="87">
        <v>11478</v>
      </c>
      <c r="N314" s="89">
        <f t="shared" si="9"/>
        <v>10.576755532322704</v>
      </c>
      <c r="O314" s="90"/>
      <c r="P314" s="90"/>
    </row>
    <row r="315" spans="1:16">
      <c r="A315" s="85">
        <v>80302</v>
      </c>
      <c r="B315" s="95" t="s">
        <v>413</v>
      </c>
      <c r="C315" s="87">
        <v>3927</v>
      </c>
      <c r="D315" s="87">
        <v>1828</v>
      </c>
      <c r="E315" s="87">
        <v>5860</v>
      </c>
      <c r="F315" s="88">
        <f t="shared" si="6"/>
        <v>68.236316246741964</v>
      </c>
      <c r="G315" s="87">
        <v>40864</v>
      </c>
      <c r="H315" s="89">
        <f t="shared" si="7"/>
        <v>14.340250587314019</v>
      </c>
      <c r="I315" s="90">
        <v>4812</v>
      </c>
      <c r="J315" s="90">
        <v>495</v>
      </c>
      <c r="K315" s="87">
        <v>5440</v>
      </c>
      <c r="L315" s="88">
        <f t="shared" si="8"/>
        <v>90.672696438665909</v>
      </c>
      <c r="M315" s="87">
        <v>45798</v>
      </c>
      <c r="N315" s="89">
        <f t="shared" si="9"/>
        <v>11.878247958426131</v>
      </c>
      <c r="O315" s="90"/>
      <c r="P315" s="90"/>
    </row>
    <row r="316" spans="1:16">
      <c r="A316" s="85">
        <v>80303</v>
      </c>
      <c r="B316" s="95" t="s">
        <v>361</v>
      </c>
      <c r="C316" s="87">
        <v>1052</v>
      </c>
      <c r="D316" s="87">
        <v>209</v>
      </c>
      <c r="E316" s="87">
        <v>1271</v>
      </c>
      <c r="F316" s="88">
        <f t="shared" si="6"/>
        <v>83.425852498017449</v>
      </c>
      <c r="G316" s="87">
        <v>9478</v>
      </c>
      <c r="H316" s="89">
        <f t="shared" si="7"/>
        <v>13.410002110149822</v>
      </c>
      <c r="I316" s="90">
        <v>1135</v>
      </c>
      <c r="J316" s="90">
        <v>78</v>
      </c>
      <c r="K316" s="87">
        <v>1221</v>
      </c>
      <c r="L316" s="88">
        <f t="shared" si="8"/>
        <v>93.569661995053593</v>
      </c>
      <c r="M316" s="87">
        <v>11122</v>
      </c>
      <c r="N316" s="89">
        <f t="shared" si="9"/>
        <v>10.978241323502967</v>
      </c>
      <c r="O316" s="90"/>
      <c r="P316" s="90"/>
    </row>
    <row r="317" spans="1:16">
      <c r="A317" s="85">
        <v>80304</v>
      </c>
      <c r="B317" s="95" t="s">
        <v>414</v>
      </c>
      <c r="C317" s="87">
        <v>2076</v>
      </c>
      <c r="D317" s="87">
        <v>319</v>
      </c>
      <c r="E317" s="87">
        <v>2443</v>
      </c>
      <c r="F317" s="88">
        <f t="shared" si="6"/>
        <v>86.680584551148215</v>
      </c>
      <c r="G317" s="87">
        <v>19195</v>
      </c>
      <c r="H317" s="89">
        <f t="shared" si="7"/>
        <v>12.727272727272727</v>
      </c>
      <c r="I317" s="90">
        <v>2006</v>
      </c>
      <c r="J317" s="90">
        <v>82</v>
      </c>
      <c r="K317" s="87">
        <v>2097</v>
      </c>
      <c r="L317" s="88">
        <f t="shared" si="8"/>
        <v>96.072796934865906</v>
      </c>
      <c r="M317" s="87">
        <v>21240</v>
      </c>
      <c r="N317" s="89">
        <f t="shared" si="9"/>
        <v>9.8728813559322024</v>
      </c>
      <c r="O317" s="90"/>
      <c r="P317" s="90"/>
    </row>
    <row r="318" spans="1:16">
      <c r="A318" s="85">
        <v>80401</v>
      </c>
      <c r="B318" s="95" t="s">
        <v>416</v>
      </c>
      <c r="C318" s="87">
        <v>1631</v>
      </c>
      <c r="D318" s="87">
        <v>461</v>
      </c>
      <c r="E318" s="87">
        <v>2132</v>
      </c>
      <c r="F318" s="88">
        <f t="shared" si="6"/>
        <v>77.963671128107066</v>
      </c>
      <c r="G318" s="87">
        <v>17069</v>
      </c>
      <c r="H318" s="89">
        <f t="shared" si="7"/>
        <v>12.49047981721249</v>
      </c>
      <c r="I318" s="90">
        <v>1711</v>
      </c>
      <c r="J318" s="90">
        <v>210</v>
      </c>
      <c r="K318" s="87">
        <v>1939</v>
      </c>
      <c r="L318" s="88">
        <f t="shared" si="8"/>
        <v>89.068193649141065</v>
      </c>
      <c r="M318" s="87">
        <v>18088</v>
      </c>
      <c r="N318" s="89">
        <f t="shared" si="9"/>
        <v>10.719814241486068</v>
      </c>
      <c r="O318" s="90"/>
      <c r="P318" s="90"/>
    </row>
    <row r="319" spans="1:16">
      <c r="A319" s="85">
        <v>80402</v>
      </c>
      <c r="B319" s="95" t="s">
        <v>417</v>
      </c>
      <c r="C319" s="87">
        <v>563</v>
      </c>
      <c r="D319" s="87">
        <v>287</v>
      </c>
      <c r="E319" s="87">
        <v>863</v>
      </c>
      <c r="F319" s="88">
        <f t="shared" si="6"/>
        <v>66.235294117647058</v>
      </c>
      <c r="G319" s="87">
        <v>6362</v>
      </c>
      <c r="H319" s="89">
        <f t="shared" si="7"/>
        <v>13.564916692863878</v>
      </c>
      <c r="I319" s="90">
        <v>713</v>
      </c>
      <c r="J319" s="90">
        <v>115</v>
      </c>
      <c r="K319" s="87">
        <v>837</v>
      </c>
      <c r="L319" s="88">
        <f t="shared" si="8"/>
        <v>86.111111111111114</v>
      </c>
      <c r="M319" s="87">
        <v>8012</v>
      </c>
      <c r="N319" s="89">
        <f t="shared" si="9"/>
        <v>10.44682975536695</v>
      </c>
      <c r="O319" s="90"/>
      <c r="P319" s="90"/>
    </row>
    <row r="320" spans="1:16">
      <c r="A320" s="85">
        <v>80501</v>
      </c>
      <c r="B320" s="95" t="s">
        <v>347</v>
      </c>
      <c r="C320" s="87">
        <v>2358</v>
      </c>
      <c r="D320" s="87">
        <v>386</v>
      </c>
      <c r="E320" s="87">
        <v>2809</v>
      </c>
      <c r="F320" s="88">
        <f t="shared" si="6"/>
        <v>85.932944606413997</v>
      </c>
      <c r="G320" s="87">
        <v>19252</v>
      </c>
      <c r="H320" s="89">
        <f t="shared" si="7"/>
        <v>14.590691876168711</v>
      </c>
      <c r="I320" s="90">
        <v>2366</v>
      </c>
      <c r="J320" s="90">
        <v>159</v>
      </c>
      <c r="K320" s="87">
        <v>2550</v>
      </c>
      <c r="L320" s="88">
        <f t="shared" si="8"/>
        <v>93.702970297029708</v>
      </c>
      <c r="M320" s="87">
        <v>21584</v>
      </c>
      <c r="N320" s="89">
        <f t="shared" si="9"/>
        <v>11.814306893995552</v>
      </c>
      <c r="O320" s="90"/>
      <c r="P320" s="90"/>
    </row>
    <row r="321" spans="1:16">
      <c r="A321" s="85">
        <v>80601</v>
      </c>
      <c r="B321" s="95" t="s">
        <v>420</v>
      </c>
      <c r="C321" s="87">
        <v>508</v>
      </c>
      <c r="D321" s="87">
        <v>114</v>
      </c>
      <c r="E321" s="87">
        <v>623</v>
      </c>
      <c r="F321" s="88">
        <f t="shared" si="6"/>
        <v>81.672025723472672</v>
      </c>
      <c r="G321" s="87">
        <v>3828</v>
      </c>
      <c r="H321" s="89">
        <f t="shared" si="7"/>
        <v>16.274817136886103</v>
      </c>
      <c r="I321" s="90">
        <v>495</v>
      </c>
      <c r="J321" s="90">
        <v>60</v>
      </c>
      <c r="K321" s="87">
        <v>559</v>
      </c>
      <c r="L321" s="88">
        <f t="shared" si="8"/>
        <v>89.189189189189193</v>
      </c>
      <c r="M321" s="87">
        <v>4269</v>
      </c>
      <c r="N321" s="89">
        <f t="shared" si="9"/>
        <v>13.094401499180137</v>
      </c>
      <c r="O321" s="90"/>
      <c r="P321" s="90"/>
    </row>
    <row r="322" spans="1:16">
      <c r="A322" s="85">
        <v>80602</v>
      </c>
      <c r="B322" s="95" t="s">
        <v>421</v>
      </c>
      <c r="C322" s="87">
        <v>1393</v>
      </c>
      <c r="D322" s="87">
        <v>154</v>
      </c>
      <c r="E322" s="87">
        <v>1577</v>
      </c>
      <c r="F322" s="88">
        <f t="shared" si="6"/>
        <v>90.045248868778287</v>
      </c>
      <c r="G322" s="87">
        <v>12503</v>
      </c>
      <c r="H322" s="89">
        <f t="shared" si="7"/>
        <v>12.612972886507237</v>
      </c>
      <c r="I322" s="90">
        <v>1214</v>
      </c>
      <c r="J322" s="90">
        <v>56</v>
      </c>
      <c r="K322" s="87">
        <v>1287</v>
      </c>
      <c r="L322" s="88">
        <f t="shared" si="8"/>
        <v>95.590551181102356</v>
      </c>
      <c r="M322" s="87">
        <v>15570</v>
      </c>
      <c r="N322" s="89">
        <f t="shared" si="9"/>
        <v>8.2658959537572247</v>
      </c>
      <c r="O322" s="90"/>
      <c r="P322" s="90"/>
    </row>
    <row r="323" spans="1:16">
      <c r="A323" s="85">
        <v>80701</v>
      </c>
      <c r="B323" s="95" t="s">
        <v>423</v>
      </c>
      <c r="C323" s="87">
        <v>697</v>
      </c>
      <c r="D323" s="87">
        <v>143</v>
      </c>
      <c r="E323" s="87">
        <v>852</v>
      </c>
      <c r="F323" s="88">
        <f t="shared" si="6"/>
        <v>82.976190476190482</v>
      </c>
      <c r="G323" s="87">
        <v>6917</v>
      </c>
      <c r="H323" s="89">
        <f t="shared" si="7"/>
        <v>12.31747867572647</v>
      </c>
      <c r="I323" s="90">
        <v>602</v>
      </c>
      <c r="J323" s="90">
        <v>55</v>
      </c>
      <c r="K323" s="87">
        <v>669</v>
      </c>
      <c r="L323" s="88">
        <f t="shared" si="8"/>
        <v>91.628614916286139</v>
      </c>
      <c r="M323" s="87">
        <v>6808</v>
      </c>
      <c r="N323" s="89">
        <f t="shared" si="9"/>
        <v>9.8266745005875435</v>
      </c>
      <c r="O323" s="90"/>
      <c r="P323" s="90"/>
    </row>
    <row r="324" spans="1:16">
      <c r="A324" s="85">
        <v>80702</v>
      </c>
      <c r="B324" s="95" t="s">
        <v>392</v>
      </c>
      <c r="C324" s="87">
        <v>622</v>
      </c>
      <c r="D324" s="87">
        <v>57</v>
      </c>
      <c r="E324" s="87">
        <v>684</v>
      </c>
      <c r="F324" s="88">
        <f t="shared" si="6"/>
        <v>91.605301914580266</v>
      </c>
      <c r="G324" s="87">
        <v>4955</v>
      </c>
      <c r="H324" s="89">
        <f t="shared" si="7"/>
        <v>13.804238143289608</v>
      </c>
      <c r="I324" s="90">
        <v>468</v>
      </c>
      <c r="J324" s="90">
        <v>18</v>
      </c>
      <c r="K324" s="87">
        <v>495</v>
      </c>
      <c r="L324" s="88">
        <f t="shared" si="8"/>
        <v>96.296296296296291</v>
      </c>
      <c r="M324" s="87">
        <v>5489</v>
      </c>
      <c r="N324" s="89">
        <f t="shared" si="9"/>
        <v>9.0180360721442892</v>
      </c>
      <c r="O324" s="90"/>
      <c r="P324" s="90"/>
    </row>
    <row r="325" spans="1:16">
      <c r="A325" s="85">
        <v>80703</v>
      </c>
      <c r="B325" s="95" t="s">
        <v>424</v>
      </c>
      <c r="C325" s="87">
        <v>116</v>
      </c>
      <c r="D325" s="87">
        <v>24</v>
      </c>
      <c r="E325" s="87">
        <v>141</v>
      </c>
      <c r="F325" s="88">
        <f t="shared" si="6"/>
        <v>82.857142857142861</v>
      </c>
      <c r="G325" s="96">
        <v>945</v>
      </c>
      <c r="H325" s="89">
        <f t="shared" si="7"/>
        <v>14.920634920634921</v>
      </c>
      <c r="I325" s="90">
        <v>98</v>
      </c>
      <c r="J325" s="90">
        <v>15</v>
      </c>
      <c r="K325" s="87">
        <v>114</v>
      </c>
      <c r="L325" s="88">
        <f t="shared" si="8"/>
        <v>86.725663716814154</v>
      </c>
      <c r="M325" s="87">
        <v>1091</v>
      </c>
      <c r="N325" s="89">
        <f t="shared" si="9"/>
        <v>10.449129239230064</v>
      </c>
      <c r="O325" s="90"/>
      <c r="P325" s="90"/>
    </row>
    <row r="326" spans="1:16">
      <c r="A326" s="85">
        <v>80801</v>
      </c>
      <c r="B326" s="95" t="s">
        <v>426</v>
      </c>
      <c r="C326" s="87">
        <v>1239</v>
      </c>
      <c r="D326" s="87">
        <v>210</v>
      </c>
      <c r="E326" s="87">
        <v>1466</v>
      </c>
      <c r="F326" s="88">
        <f t="shared" si="6"/>
        <v>85.507246376811594</v>
      </c>
      <c r="G326" s="87">
        <v>11377</v>
      </c>
      <c r="H326" s="89">
        <f t="shared" si="7"/>
        <v>12.885646479739826</v>
      </c>
      <c r="I326" s="90">
        <v>1202</v>
      </c>
      <c r="J326" s="90">
        <v>27</v>
      </c>
      <c r="K326" s="87">
        <v>1244</v>
      </c>
      <c r="L326" s="88">
        <f t="shared" si="8"/>
        <v>97.803091944670456</v>
      </c>
      <c r="M326" s="87">
        <v>12785</v>
      </c>
      <c r="N326" s="89">
        <f t="shared" si="9"/>
        <v>9.7301525224872893</v>
      </c>
      <c r="O326" s="90"/>
      <c r="P326" s="90"/>
    </row>
    <row r="327" spans="1:16">
      <c r="A327" s="85">
        <v>80802</v>
      </c>
      <c r="B327" s="95" t="s">
        <v>427</v>
      </c>
      <c r="C327" s="87">
        <v>581</v>
      </c>
      <c r="D327" s="87">
        <v>76</v>
      </c>
      <c r="E327" s="87">
        <v>660</v>
      </c>
      <c r="F327" s="88">
        <f t="shared" si="6"/>
        <v>88.432267884322684</v>
      </c>
      <c r="G327" s="87">
        <v>5965</v>
      </c>
      <c r="H327" s="89">
        <f t="shared" si="7"/>
        <v>11.064543168482817</v>
      </c>
      <c r="I327" s="90">
        <v>478</v>
      </c>
      <c r="J327" s="90">
        <v>36</v>
      </c>
      <c r="K327" s="87">
        <v>522</v>
      </c>
      <c r="L327" s="88">
        <f t="shared" si="8"/>
        <v>92.996108949416339</v>
      </c>
      <c r="M327" s="87">
        <v>7488</v>
      </c>
      <c r="N327" s="89">
        <f t="shared" si="9"/>
        <v>6.9711538461538467</v>
      </c>
      <c r="O327" s="90"/>
      <c r="P327" s="90"/>
    </row>
    <row r="328" spans="1:16">
      <c r="A328" s="85">
        <v>80803</v>
      </c>
      <c r="B328" s="95" t="s">
        <v>428</v>
      </c>
      <c r="C328" s="87">
        <v>460</v>
      </c>
      <c r="D328" s="87">
        <v>41</v>
      </c>
      <c r="E328" s="87">
        <v>508</v>
      </c>
      <c r="F328" s="88">
        <f t="shared" si="6"/>
        <v>91.816367265469054</v>
      </c>
      <c r="G328" s="87">
        <v>4111</v>
      </c>
      <c r="H328" s="89">
        <f t="shared" si="7"/>
        <v>12.35709073218195</v>
      </c>
      <c r="I328" s="90">
        <v>366</v>
      </c>
      <c r="J328" s="90">
        <v>23</v>
      </c>
      <c r="K328" s="87">
        <v>394</v>
      </c>
      <c r="L328" s="88">
        <f t="shared" si="8"/>
        <v>94.087403598971719</v>
      </c>
      <c r="M328" s="87">
        <v>4630</v>
      </c>
      <c r="N328" s="89">
        <f t="shared" si="9"/>
        <v>8.5097192224622038</v>
      </c>
      <c r="O328" s="90"/>
      <c r="P328" s="90"/>
    </row>
    <row r="329" spans="1:16">
      <c r="A329" s="85">
        <v>80901</v>
      </c>
      <c r="B329" s="95" t="s">
        <v>470</v>
      </c>
      <c r="C329" s="87">
        <v>412</v>
      </c>
      <c r="D329" s="87">
        <v>111</v>
      </c>
      <c r="E329" s="87">
        <v>528</v>
      </c>
      <c r="F329" s="88">
        <f t="shared" si="6"/>
        <v>78.77629063097514</v>
      </c>
      <c r="G329" s="87">
        <v>3232</v>
      </c>
      <c r="H329" s="89">
        <f t="shared" si="7"/>
        <v>16.336633663366339</v>
      </c>
      <c r="I329" s="90">
        <v>491</v>
      </c>
      <c r="J329" s="90">
        <v>71</v>
      </c>
      <c r="K329" s="87">
        <v>573</v>
      </c>
      <c r="L329" s="88">
        <f t="shared" si="8"/>
        <v>87.366548042704622</v>
      </c>
      <c r="M329" s="87">
        <v>3973</v>
      </c>
      <c r="N329" s="89">
        <f t="shared" si="9"/>
        <v>14.422350868361439</v>
      </c>
      <c r="O329" s="90"/>
      <c r="P329" s="90"/>
    </row>
    <row r="330" spans="1:16">
      <c r="A330" s="85">
        <v>90101</v>
      </c>
      <c r="B330" s="95" t="s">
        <v>433</v>
      </c>
      <c r="C330" s="87">
        <v>5359</v>
      </c>
      <c r="D330" s="87">
        <v>382</v>
      </c>
      <c r="E330" s="87">
        <v>5797</v>
      </c>
      <c r="F330" s="88">
        <f t="shared" si="6"/>
        <v>93.346106950008718</v>
      </c>
      <c r="G330" s="87">
        <v>46267</v>
      </c>
      <c r="H330" s="89">
        <f t="shared" si="7"/>
        <v>12.529448635096289</v>
      </c>
      <c r="I330" s="90">
        <v>3916</v>
      </c>
      <c r="J330" s="90">
        <v>90</v>
      </c>
      <c r="K330" s="87">
        <v>4024</v>
      </c>
      <c r="L330" s="88">
        <f t="shared" si="8"/>
        <v>97.753369945082383</v>
      </c>
      <c r="M330" s="87">
        <v>55114</v>
      </c>
      <c r="N330" s="89">
        <f t="shared" si="9"/>
        <v>7.3012301774503756</v>
      </c>
      <c r="O330" s="90"/>
      <c r="P330" s="90"/>
    </row>
    <row r="331" spans="1:16">
      <c r="A331" s="85">
        <v>90102</v>
      </c>
      <c r="B331" s="95" t="s">
        <v>434</v>
      </c>
      <c r="C331" s="87">
        <v>877</v>
      </c>
      <c r="D331" s="87">
        <v>107</v>
      </c>
      <c r="E331" s="87">
        <v>990</v>
      </c>
      <c r="F331" s="88">
        <f t="shared" si="6"/>
        <v>89.126016260162601</v>
      </c>
      <c r="G331" s="87">
        <v>7948</v>
      </c>
      <c r="H331" s="89">
        <f t="shared" si="7"/>
        <v>12.455963764469049</v>
      </c>
      <c r="I331" s="90">
        <v>872</v>
      </c>
      <c r="J331" s="90">
        <v>18</v>
      </c>
      <c r="K331" s="87">
        <v>901</v>
      </c>
      <c r="L331" s="88">
        <f t="shared" si="8"/>
        <v>97.977528089887642</v>
      </c>
      <c r="M331" s="87">
        <v>9353</v>
      </c>
      <c r="N331" s="89">
        <f t="shared" si="9"/>
        <v>9.6332727467122847</v>
      </c>
      <c r="O331" s="90"/>
      <c r="P331" s="90"/>
    </row>
    <row r="332" spans="1:16">
      <c r="A332" s="85">
        <v>90103</v>
      </c>
      <c r="B332" s="95" t="s">
        <v>435</v>
      </c>
      <c r="C332" s="87">
        <v>264</v>
      </c>
      <c r="D332" s="87">
        <v>48</v>
      </c>
      <c r="E332" s="87">
        <v>317</v>
      </c>
      <c r="F332" s="88">
        <f t="shared" si="6"/>
        <v>84.615384615384613</v>
      </c>
      <c r="G332" s="87">
        <v>2173</v>
      </c>
      <c r="H332" s="89">
        <f t="shared" si="7"/>
        <v>14.588127013345606</v>
      </c>
      <c r="I332" s="90">
        <v>156</v>
      </c>
      <c r="J332" s="90">
        <v>9</v>
      </c>
      <c r="K332" s="87">
        <v>165</v>
      </c>
      <c r="L332" s="88">
        <f t="shared" si="8"/>
        <v>94.545454545454547</v>
      </c>
      <c r="M332" s="87">
        <v>2437</v>
      </c>
      <c r="N332" s="89">
        <f t="shared" si="9"/>
        <v>6.7706196142798518</v>
      </c>
      <c r="O332" s="90"/>
      <c r="P332" s="90"/>
    </row>
    <row r="333" spans="1:16">
      <c r="A333" s="85">
        <v>90104</v>
      </c>
      <c r="B333" s="95" t="s">
        <v>436</v>
      </c>
      <c r="C333" s="87">
        <v>376</v>
      </c>
      <c r="D333" s="87">
        <v>71</v>
      </c>
      <c r="E333" s="87">
        <v>450</v>
      </c>
      <c r="F333" s="88">
        <f t="shared" si="6"/>
        <v>84.116331096196873</v>
      </c>
      <c r="G333" s="87">
        <v>3909</v>
      </c>
      <c r="H333" s="89">
        <f t="shared" si="7"/>
        <v>11.511895625479662</v>
      </c>
      <c r="I333" s="90">
        <v>258</v>
      </c>
      <c r="J333" s="90">
        <v>22</v>
      </c>
      <c r="K333" s="87">
        <v>281</v>
      </c>
      <c r="L333" s="88">
        <f t="shared" si="8"/>
        <v>92.142857142857139</v>
      </c>
      <c r="M333" s="87">
        <v>3630</v>
      </c>
      <c r="N333" s="89">
        <f t="shared" si="9"/>
        <v>7.7410468319559218</v>
      </c>
      <c r="O333" s="90"/>
      <c r="P333" s="90"/>
    </row>
    <row r="334" spans="1:16">
      <c r="A334" s="85">
        <v>90201</v>
      </c>
      <c r="B334" s="95" t="s">
        <v>438</v>
      </c>
      <c r="C334" s="87">
        <v>722</v>
      </c>
      <c r="D334" s="87">
        <v>153</v>
      </c>
      <c r="E334" s="87">
        <v>880</v>
      </c>
      <c r="F334" s="88">
        <f t="shared" si="6"/>
        <v>82.51428571428572</v>
      </c>
      <c r="G334" s="87">
        <v>6239</v>
      </c>
      <c r="H334" s="89">
        <f t="shared" si="7"/>
        <v>14.104824491104342</v>
      </c>
      <c r="I334" s="90">
        <v>640</v>
      </c>
      <c r="J334" s="90">
        <v>21</v>
      </c>
      <c r="K334" s="87">
        <v>664</v>
      </c>
      <c r="L334" s="88">
        <f t="shared" si="8"/>
        <v>96.822995461422096</v>
      </c>
      <c r="M334" s="87">
        <v>7367</v>
      </c>
      <c r="N334" s="89">
        <f t="shared" si="9"/>
        <v>9.0131668250305417</v>
      </c>
      <c r="O334" s="90"/>
      <c r="P334" s="90"/>
    </row>
    <row r="335" spans="1:16">
      <c r="A335" s="85">
        <v>90202</v>
      </c>
      <c r="B335" s="95" t="s">
        <v>285</v>
      </c>
      <c r="C335" s="87">
        <v>265</v>
      </c>
      <c r="D335" s="87">
        <v>81</v>
      </c>
      <c r="E335" s="87">
        <v>352</v>
      </c>
      <c r="F335" s="88">
        <f t="shared" si="6"/>
        <v>76.589595375722539</v>
      </c>
      <c r="G335" s="87">
        <v>2991</v>
      </c>
      <c r="H335" s="89">
        <f t="shared" si="7"/>
        <v>11.768639251086594</v>
      </c>
      <c r="I335" s="90">
        <v>355</v>
      </c>
      <c r="J335" s="90">
        <v>12</v>
      </c>
      <c r="K335" s="87">
        <v>370</v>
      </c>
      <c r="L335" s="88">
        <f t="shared" si="8"/>
        <v>96.730245231607626</v>
      </c>
      <c r="M335" s="87">
        <v>3518</v>
      </c>
      <c r="N335" s="89">
        <f t="shared" si="9"/>
        <v>10.517339397384879</v>
      </c>
      <c r="O335" s="90"/>
      <c r="P335" s="90"/>
    </row>
    <row r="336" spans="1:16">
      <c r="A336" s="85">
        <v>90203</v>
      </c>
      <c r="B336" s="95" t="s">
        <v>439</v>
      </c>
      <c r="C336" s="87">
        <v>703</v>
      </c>
      <c r="D336" s="87">
        <v>114</v>
      </c>
      <c r="E336" s="87">
        <v>823</v>
      </c>
      <c r="F336" s="88">
        <f t="shared" si="6"/>
        <v>86.04651162790698</v>
      </c>
      <c r="G336" s="87">
        <v>5756</v>
      </c>
      <c r="H336" s="89">
        <f t="shared" si="7"/>
        <v>14.298123697011814</v>
      </c>
      <c r="I336" s="90">
        <v>681</v>
      </c>
      <c r="J336" s="90">
        <v>34</v>
      </c>
      <c r="K336" s="87">
        <v>721</v>
      </c>
      <c r="L336" s="88">
        <f t="shared" si="8"/>
        <v>95.24475524475524</v>
      </c>
      <c r="M336" s="87">
        <v>8045</v>
      </c>
      <c r="N336" s="89">
        <f t="shared" si="9"/>
        <v>8.9620882535736488</v>
      </c>
      <c r="O336" s="90"/>
      <c r="P336" s="90"/>
    </row>
    <row r="337" spans="1:16">
      <c r="A337" s="85">
        <v>90301</v>
      </c>
      <c r="B337" s="95" t="s">
        <v>441</v>
      </c>
      <c r="C337" s="87">
        <v>1021</v>
      </c>
      <c r="D337" s="87">
        <v>153</v>
      </c>
      <c r="E337" s="87">
        <v>1187</v>
      </c>
      <c r="F337" s="88">
        <f t="shared" si="6"/>
        <v>86.967632027257238</v>
      </c>
      <c r="G337" s="87">
        <v>8160</v>
      </c>
      <c r="H337" s="89">
        <f t="shared" si="7"/>
        <v>14.546568627450981</v>
      </c>
      <c r="I337" s="90">
        <v>1438</v>
      </c>
      <c r="J337" s="90">
        <v>31</v>
      </c>
      <c r="K337" s="87">
        <v>1485</v>
      </c>
      <c r="L337" s="88">
        <f t="shared" si="8"/>
        <v>97.889720898570459</v>
      </c>
      <c r="M337" s="87">
        <v>12431</v>
      </c>
      <c r="N337" s="89">
        <f t="shared" si="9"/>
        <v>11.945941597618855</v>
      </c>
      <c r="O337" s="90"/>
      <c r="P337" s="90"/>
    </row>
    <row r="338" spans="1:16">
      <c r="A338" s="85">
        <v>90302</v>
      </c>
      <c r="B338" s="95" t="s">
        <v>334</v>
      </c>
      <c r="C338" s="87">
        <v>969</v>
      </c>
      <c r="D338" s="87">
        <v>178</v>
      </c>
      <c r="E338" s="87">
        <v>1154</v>
      </c>
      <c r="F338" s="88">
        <f t="shared" si="6"/>
        <v>84.481255448997388</v>
      </c>
      <c r="G338" s="87">
        <v>7652</v>
      </c>
      <c r="H338" s="89">
        <f t="shared" si="7"/>
        <v>15.081024568740197</v>
      </c>
      <c r="I338" s="90">
        <v>1185</v>
      </c>
      <c r="J338" s="90">
        <v>75</v>
      </c>
      <c r="K338" s="87">
        <v>1276</v>
      </c>
      <c r="L338" s="88">
        <f t="shared" si="8"/>
        <v>94.047619047619051</v>
      </c>
      <c r="M338" s="87">
        <v>9832</v>
      </c>
      <c r="N338" s="89">
        <f t="shared" si="9"/>
        <v>12.978030919446704</v>
      </c>
      <c r="O338" s="90"/>
      <c r="P338" s="90"/>
    </row>
    <row r="339" spans="1:16">
      <c r="A339" s="85">
        <v>90303</v>
      </c>
      <c r="B339" s="95" t="s">
        <v>442</v>
      </c>
      <c r="C339" s="87">
        <v>1189</v>
      </c>
      <c r="D339" s="87">
        <v>153</v>
      </c>
      <c r="E339" s="87">
        <v>1358</v>
      </c>
      <c r="F339" s="88">
        <f t="shared" si="6"/>
        <v>88.599105812220571</v>
      </c>
      <c r="G339" s="87">
        <v>8258</v>
      </c>
      <c r="H339" s="89">
        <f t="shared" si="7"/>
        <v>16.444659723904092</v>
      </c>
      <c r="I339" s="90">
        <v>1111</v>
      </c>
      <c r="J339" s="90">
        <v>45</v>
      </c>
      <c r="K339" s="87">
        <v>1161</v>
      </c>
      <c r="L339" s="88">
        <f t="shared" si="8"/>
        <v>96.107266435986162</v>
      </c>
      <c r="M339" s="87">
        <v>10522</v>
      </c>
      <c r="N339" s="89">
        <f t="shared" si="9"/>
        <v>11.034023949819426</v>
      </c>
      <c r="O339" s="90"/>
      <c r="P339" s="90"/>
    </row>
    <row r="340" spans="1:16">
      <c r="A340" s="85">
        <v>90401</v>
      </c>
      <c r="B340" s="95" t="s">
        <v>361</v>
      </c>
      <c r="C340" s="87">
        <v>274</v>
      </c>
      <c r="D340" s="87">
        <v>57</v>
      </c>
      <c r="E340" s="87">
        <v>334</v>
      </c>
      <c r="F340" s="88">
        <f t="shared" si="6"/>
        <v>82.779456193353468</v>
      </c>
      <c r="G340" s="87">
        <v>2395</v>
      </c>
      <c r="H340" s="89">
        <f t="shared" si="7"/>
        <v>13.945720250521919</v>
      </c>
      <c r="I340" s="90">
        <v>245</v>
      </c>
      <c r="J340" s="90">
        <v>17</v>
      </c>
      <c r="K340" s="87">
        <v>263</v>
      </c>
      <c r="L340" s="88">
        <f t="shared" si="8"/>
        <v>93.511450381679381</v>
      </c>
      <c r="M340" s="87">
        <v>2889</v>
      </c>
      <c r="N340" s="89">
        <f t="shared" si="9"/>
        <v>9.1034960193838685</v>
      </c>
      <c r="O340" s="90"/>
      <c r="P340" s="90"/>
    </row>
    <row r="341" spans="1:16">
      <c r="A341" s="85">
        <v>90402</v>
      </c>
      <c r="B341" s="95" t="s">
        <v>104</v>
      </c>
      <c r="C341" s="87">
        <v>214</v>
      </c>
      <c r="D341" s="87">
        <v>79</v>
      </c>
      <c r="E341" s="87">
        <v>294</v>
      </c>
      <c r="F341" s="88">
        <f t="shared" si="6"/>
        <v>73.037542662116039</v>
      </c>
      <c r="G341" s="87">
        <v>1654</v>
      </c>
      <c r="H341" s="89">
        <f t="shared" si="7"/>
        <v>17.775090689238208</v>
      </c>
      <c r="I341" s="90">
        <v>246</v>
      </c>
      <c r="J341" s="90">
        <v>11</v>
      </c>
      <c r="K341" s="87">
        <v>258</v>
      </c>
      <c r="L341" s="88">
        <f t="shared" si="8"/>
        <v>95.719844357976655</v>
      </c>
      <c r="M341" s="87">
        <v>2600</v>
      </c>
      <c r="N341" s="89">
        <f t="shared" si="9"/>
        <v>9.9230769230769234</v>
      </c>
      <c r="O341" s="90"/>
      <c r="P341" s="90"/>
    </row>
    <row r="342" spans="1:16">
      <c r="A342" s="85">
        <v>90501</v>
      </c>
      <c r="B342" s="95" t="s">
        <v>445</v>
      </c>
      <c r="C342" s="87">
        <v>215</v>
      </c>
      <c r="D342" s="87">
        <v>40</v>
      </c>
      <c r="E342" s="87">
        <v>256</v>
      </c>
      <c r="F342" s="88">
        <f t="shared" si="6"/>
        <v>84.313725490196077</v>
      </c>
      <c r="G342" s="87">
        <v>2068</v>
      </c>
      <c r="H342" s="89">
        <f t="shared" si="7"/>
        <v>12.379110251450678</v>
      </c>
      <c r="I342" s="90">
        <v>152</v>
      </c>
      <c r="J342" s="90">
        <v>4</v>
      </c>
      <c r="K342" s="87">
        <v>158</v>
      </c>
      <c r="L342" s="88">
        <f t="shared" si="8"/>
        <v>97.435897435897431</v>
      </c>
      <c r="M342" s="87">
        <v>1598</v>
      </c>
      <c r="N342" s="89">
        <f t="shared" si="9"/>
        <v>9.8873591989987482</v>
      </c>
      <c r="O342" s="90"/>
      <c r="P342" s="90"/>
    </row>
    <row r="343" spans="1:16">
      <c r="A343" s="85">
        <v>90502</v>
      </c>
      <c r="B343" s="95" t="s">
        <v>446</v>
      </c>
      <c r="C343" s="87">
        <v>372</v>
      </c>
      <c r="D343" s="87">
        <v>72</v>
      </c>
      <c r="E343" s="87">
        <v>446</v>
      </c>
      <c r="F343" s="88">
        <f t="shared" si="6"/>
        <v>83.78378378378379</v>
      </c>
      <c r="G343" s="87">
        <v>2801</v>
      </c>
      <c r="H343" s="89">
        <f t="shared" si="7"/>
        <v>15.922884684041414</v>
      </c>
      <c r="I343" s="90">
        <v>234</v>
      </c>
      <c r="J343" s="90">
        <v>8</v>
      </c>
      <c r="K343" s="87">
        <v>245</v>
      </c>
      <c r="L343" s="88">
        <f t="shared" si="8"/>
        <v>96.694214876033058</v>
      </c>
      <c r="M343" s="87">
        <v>2511</v>
      </c>
      <c r="N343" s="89">
        <f t="shared" si="9"/>
        <v>9.757068896853843</v>
      </c>
      <c r="O343" s="90"/>
      <c r="P343" s="90"/>
    </row>
    <row r="344" spans="1:16">
      <c r="A344" s="85">
        <v>90503</v>
      </c>
      <c r="B344" s="95" t="s">
        <v>447</v>
      </c>
      <c r="C344" s="87">
        <v>243</v>
      </c>
      <c r="D344" s="87">
        <v>59</v>
      </c>
      <c r="E344" s="87">
        <v>309</v>
      </c>
      <c r="F344" s="88">
        <f t="shared" si="6"/>
        <v>80.463576158940398</v>
      </c>
      <c r="G344" s="87">
        <v>2165</v>
      </c>
      <c r="H344" s="89">
        <f t="shared" si="7"/>
        <v>14.272517321016167</v>
      </c>
      <c r="I344" s="90">
        <v>196</v>
      </c>
      <c r="J344" s="90">
        <v>10</v>
      </c>
      <c r="K344" s="87">
        <v>209</v>
      </c>
      <c r="L344" s="88">
        <f t="shared" si="8"/>
        <v>95.145631067961162</v>
      </c>
      <c r="M344" s="87">
        <v>2347</v>
      </c>
      <c r="N344" s="89">
        <f t="shared" si="9"/>
        <v>8.9049850873455476</v>
      </c>
      <c r="O344" s="90"/>
      <c r="P344" s="90"/>
    </row>
    <row r="345" spans="1:16">
      <c r="B345" s="86"/>
      <c r="E345" s="87"/>
      <c r="H345" s="89"/>
      <c r="K345" s="87"/>
      <c r="N345" s="89"/>
    </row>
    <row r="346" spans="1:16">
      <c r="B346" s="86"/>
      <c r="E346" s="87"/>
      <c r="H346" s="89"/>
      <c r="K346" s="87"/>
      <c r="N346" s="89"/>
    </row>
    <row r="347" spans="1:16">
      <c r="B347" s="86"/>
      <c r="E347" s="87"/>
      <c r="H347" s="89"/>
      <c r="K347" s="87"/>
      <c r="N347" s="89"/>
    </row>
    <row r="348" spans="1:16">
      <c r="B348" s="86"/>
      <c r="E348" s="87"/>
      <c r="H348" s="89"/>
      <c r="K348" s="87"/>
      <c r="N348" s="89"/>
    </row>
    <row r="349" spans="1:16">
      <c r="B349" s="86"/>
      <c r="E349" s="87"/>
      <c r="H349" s="89"/>
      <c r="K349" s="87"/>
      <c r="N349" s="89"/>
    </row>
    <row r="350" spans="1:16">
      <c r="B350" s="86"/>
      <c r="E350" s="87"/>
      <c r="H350" s="89"/>
      <c r="K350" s="87"/>
      <c r="N350" s="89"/>
    </row>
    <row r="351" spans="1:16">
      <c r="B351" s="86"/>
      <c r="E351" s="87"/>
      <c r="H351" s="89"/>
      <c r="K351" s="87"/>
      <c r="N351" s="89"/>
    </row>
    <row r="352" spans="1:16">
      <c r="B352" s="86"/>
      <c r="E352" s="87"/>
      <c r="H352" s="89"/>
      <c r="K352" s="87"/>
      <c r="N352" s="89"/>
    </row>
    <row r="353" spans="2:14">
      <c r="B353" s="86"/>
      <c r="E353" s="87"/>
      <c r="H353" s="89"/>
      <c r="K353" s="87"/>
      <c r="N353" s="89"/>
    </row>
    <row r="354" spans="2:14">
      <c r="B354" s="86"/>
      <c r="E354" s="87"/>
      <c r="H354" s="89"/>
      <c r="K354" s="87"/>
      <c r="N354" s="89"/>
    </row>
    <row r="355" spans="2:14">
      <c r="B355" s="86"/>
      <c r="E355" s="87"/>
      <c r="H355" s="89"/>
      <c r="K355" s="87"/>
      <c r="N355" s="89"/>
    </row>
    <row r="356" spans="2:14">
      <c r="B356" s="86"/>
      <c r="E356" s="87"/>
      <c r="H356" s="89"/>
      <c r="K356" s="87"/>
      <c r="N356" s="89"/>
    </row>
    <row r="357" spans="2:14">
      <c r="B357" s="86"/>
      <c r="E357" s="87"/>
      <c r="H357" s="89"/>
      <c r="K357" s="87"/>
      <c r="N357" s="89"/>
    </row>
    <row r="358" spans="2:14">
      <c r="B358" s="86"/>
      <c r="E358" s="87"/>
      <c r="H358" s="89"/>
      <c r="K358" s="87"/>
      <c r="N358" s="89"/>
    </row>
    <row r="359" spans="2:14">
      <c r="B359" s="86"/>
      <c r="E359" s="87"/>
      <c r="H359" s="89"/>
      <c r="K359" s="87"/>
      <c r="N359" s="89"/>
    </row>
    <row r="360" spans="2:14">
      <c r="B360" s="86"/>
      <c r="E360" s="87"/>
      <c r="H360" s="89"/>
      <c r="K360" s="87"/>
      <c r="N360" s="89"/>
    </row>
    <row r="361" spans="2:14">
      <c r="B361" s="86"/>
      <c r="E361" s="87"/>
      <c r="H361" s="89"/>
      <c r="K361" s="87"/>
      <c r="N361" s="89"/>
    </row>
    <row r="362" spans="2:14">
      <c r="B362" s="86"/>
      <c r="E362" s="87"/>
      <c r="H362" s="89"/>
      <c r="K362" s="87"/>
      <c r="N362" s="89"/>
    </row>
    <row r="363" spans="2:14">
      <c r="B363" s="86"/>
      <c r="E363" s="87"/>
      <c r="H363" s="89"/>
      <c r="K363" s="87"/>
      <c r="N363" s="89"/>
    </row>
    <row r="364" spans="2:14">
      <c r="B364" s="86"/>
      <c r="E364" s="87"/>
      <c r="H364" s="89"/>
      <c r="K364" s="87"/>
      <c r="N364" s="89"/>
    </row>
    <row r="365" spans="2:14">
      <c r="B365" s="86"/>
      <c r="E365" s="87"/>
      <c r="H365" s="89"/>
      <c r="K365" s="87"/>
      <c r="N365" s="89"/>
    </row>
    <row r="366" spans="2:14">
      <c r="B366" s="86"/>
      <c r="E366" s="87"/>
      <c r="H366" s="89"/>
      <c r="K366" s="87"/>
      <c r="N366" s="89"/>
    </row>
    <row r="367" spans="2:14">
      <c r="B367" s="86"/>
      <c r="E367" s="87"/>
      <c r="H367" s="89"/>
      <c r="K367" s="87"/>
      <c r="N367" s="89"/>
    </row>
    <row r="368" spans="2:14">
      <c r="B368" s="86"/>
      <c r="E368" s="87"/>
      <c r="H368" s="89"/>
      <c r="K368" s="87"/>
      <c r="N368" s="89"/>
    </row>
    <row r="369" spans="2:14">
      <c r="B369" s="86"/>
      <c r="E369" s="87"/>
      <c r="H369" s="89"/>
      <c r="K369" s="87"/>
      <c r="N369" s="89"/>
    </row>
    <row r="370" spans="2:14">
      <c r="B370" s="86"/>
      <c r="E370" s="87"/>
      <c r="H370" s="89"/>
      <c r="K370" s="87"/>
      <c r="N370" s="89"/>
    </row>
    <row r="371" spans="2:14">
      <c r="B371" s="86"/>
      <c r="E371" s="87"/>
      <c r="H371" s="89"/>
      <c r="K371" s="87"/>
      <c r="N371" s="89"/>
    </row>
    <row r="372" spans="2:14">
      <c r="B372" s="86"/>
      <c r="E372" s="87"/>
      <c r="H372" s="89"/>
      <c r="K372" s="87"/>
      <c r="N372" s="89"/>
    </row>
    <row r="373" spans="2:14">
      <c r="B373" s="86"/>
      <c r="E373" s="87"/>
      <c r="H373" s="89"/>
      <c r="K373" s="87"/>
      <c r="N373" s="89"/>
    </row>
    <row r="374" spans="2:14">
      <c r="B374" s="86"/>
      <c r="E374" s="87"/>
      <c r="H374" s="89"/>
      <c r="K374" s="87"/>
      <c r="N374" s="89"/>
    </row>
    <row r="375" spans="2:14">
      <c r="B375" s="86"/>
      <c r="E375" s="87"/>
      <c r="H375" s="89"/>
      <c r="K375" s="87"/>
      <c r="N375" s="89"/>
    </row>
    <row r="376" spans="2:14">
      <c r="B376" s="86"/>
      <c r="E376" s="87"/>
      <c r="H376" s="89"/>
      <c r="K376" s="87"/>
      <c r="N376" s="89"/>
    </row>
    <row r="377" spans="2:14">
      <c r="B377" s="86"/>
      <c r="E377" s="87"/>
      <c r="H377" s="89"/>
      <c r="K377" s="87"/>
      <c r="N377" s="89"/>
    </row>
    <row r="378" spans="2:14">
      <c r="B378" s="86"/>
      <c r="E378" s="87"/>
      <c r="H378" s="89"/>
      <c r="K378" s="87"/>
      <c r="N378" s="89"/>
    </row>
    <row r="379" spans="2:14">
      <c r="B379" s="86"/>
      <c r="E379" s="87"/>
      <c r="H379" s="89"/>
      <c r="K379" s="87"/>
      <c r="N379" s="89"/>
    </row>
    <row r="380" spans="2:14">
      <c r="B380" s="86"/>
      <c r="E380" s="87"/>
      <c r="H380" s="89"/>
      <c r="K380" s="87"/>
      <c r="N380" s="89"/>
    </row>
    <row r="381" spans="2:14">
      <c r="B381" s="86"/>
      <c r="E381" s="87"/>
      <c r="H381" s="89"/>
      <c r="K381" s="87"/>
      <c r="N381" s="89"/>
    </row>
    <row r="382" spans="2:14">
      <c r="B382" s="86"/>
      <c r="E382" s="87"/>
      <c r="H382" s="89"/>
      <c r="K382" s="87"/>
      <c r="N382" s="89"/>
    </row>
    <row r="383" spans="2:14">
      <c r="B383" s="86"/>
      <c r="E383" s="87"/>
      <c r="H383" s="89"/>
      <c r="K383" s="87"/>
      <c r="N383" s="89"/>
    </row>
    <row r="384" spans="2:14">
      <c r="B384" s="86"/>
      <c r="E384" s="87"/>
      <c r="H384" s="89"/>
      <c r="K384" s="87"/>
      <c r="N384" s="89"/>
    </row>
    <row r="385" spans="2:14">
      <c r="B385" s="86"/>
      <c r="E385" s="87"/>
      <c r="H385" s="89"/>
      <c r="K385" s="87"/>
      <c r="N385" s="89"/>
    </row>
    <row r="386" spans="2:14">
      <c r="B386" s="86"/>
      <c r="E386" s="87"/>
      <c r="H386" s="89"/>
      <c r="K386" s="87"/>
      <c r="N386" s="89"/>
    </row>
    <row r="387" spans="2:14">
      <c r="B387" s="86"/>
      <c r="E387" s="87"/>
      <c r="H387" s="89"/>
      <c r="K387" s="87"/>
      <c r="N387" s="89"/>
    </row>
    <row r="388" spans="2:14">
      <c r="B388" s="86"/>
      <c r="E388" s="87"/>
      <c r="H388" s="89"/>
      <c r="K388" s="87"/>
      <c r="N388" s="89"/>
    </row>
    <row r="389" spans="2:14">
      <c r="B389" s="86"/>
      <c r="E389" s="87"/>
      <c r="H389" s="89"/>
      <c r="K389" s="87"/>
      <c r="N389" s="89"/>
    </row>
    <row r="390" spans="2:14">
      <c r="B390" s="86"/>
      <c r="E390" s="87"/>
      <c r="H390" s="89"/>
      <c r="K390" s="87"/>
      <c r="N390" s="89"/>
    </row>
    <row r="391" spans="2:14">
      <c r="B391" s="86"/>
      <c r="E391" s="87"/>
      <c r="H391" s="89"/>
      <c r="K391" s="87"/>
      <c r="N391" s="89"/>
    </row>
    <row r="392" spans="2:14">
      <c r="B392" s="86"/>
      <c r="E392" s="87"/>
      <c r="H392" s="89"/>
      <c r="K392" s="87"/>
      <c r="N392" s="89"/>
    </row>
    <row r="393" spans="2:14">
      <c r="B393" s="86"/>
      <c r="E393" s="87"/>
      <c r="H393" s="89"/>
      <c r="K393" s="87"/>
      <c r="N393" s="89"/>
    </row>
    <row r="394" spans="2:14">
      <c r="B394" s="86"/>
      <c r="E394" s="87"/>
      <c r="H394" s="89"/>
      <c r="K394" s="87"/>
      <c r="N394" s="89"/>
    </row>
    <row r="395" spans="2:14">
      <c r="B395" s="86"/>
      <c r="E395" s="87"/>
      <c r="H395" s="89"/>
      <c r="K395" s="87"/>
      <c r="N395" s="89"/>
    </row>
    <row r="396" spans="2:14">
      <c r="B396" s="86"/>
      <c r="E396" s="87"/>
      <c r="H396" s="89"/>
      <c r="K396" s="87"/>
      <c r="N396" s="89"/>
    </row>
    <row r="397" spans="2:14">
      <c r="B397" s="86"/>
      <c r="E397" s="87"/>
      <c r="H397" s="89"/>
      <c r="K397" s="87"/>
      <c r="N397" s="89"/>
    </row>
    <row r="398" spans="2:14">
      <c r="B398" s="86"/>
      <c r="E398" s="87"/>
      <c r="H398" s="89"/>
      <c r="K398" s="87"/>
      <c r="N398" s="89"/>
    </row>
    <row r="399" spans="2:14">
      <c r="B399" s="86"/>
      <c r="E399" s="87"/>
      <c r="H399" s="89"/>
      <c r="K399" s="87"/>
      <c r="N399" s="89"/>
    </row>
    <row r="400" spans="2:14">
      <c r="B400" s="86"/>
      <c r="E400" s="87"/>
      <c r="H400" s="89"/>
      <c r="K400" s="87"/>
      <c r="N400" s="89"/>
    </row>
    <row r="401" spans="2:14">
      <c r="B401" s="86"/>
      <c r="E401" s="87"/>
      <c r="H401" s="89"/>
      <c r="K401" s="87"/>
      <c r="N401" s="89"/>
    </row>
    <row r="402" spans="2:14">
      <c r="B402" s="86"/>
      <c r="E402" s="87"/>
      <c r="H402" s="89"/>
      <c r="K402" s="87"/>
      <c r="N402" s="89"/>
    </row>
    <row r="403" spans="2:14">
      <c r="B403" s="86"/>
      <c r="E403" s="87"/>
      <c r="H403" s="89"/>
      <c r="K403" s="87"/>
      <c r="N403" s="89"/>
    </row>
    <row r="404" spans="2:14">
      <c r="B404" s="86"/>
      <c r="E404" s="87"/>
      <c r="H404" s="89"/>
      <c r="K404" s="87"/>
      <c r="N404" s="89"/>
    </row>
    <row r="405" spans="2:14">
      <c r="B405" s="86"/>
      <c r="E405" s="87"/>
      <c r="H405" s="89"/>
      <c r="K405" s="87"/>
      <c r="N405" s="89"/>
    </row>
    <row r="406" spans="2:14">
      <c r="B406" s="86"/>
      <c r="E406" s="87"/>
      <c r="H406" s="89"/>
      <c r="K406" s="87"/>
      <c r="N406" s="89"/>
    </row>
    <row r="407" spans="2:14">
      <c r="B407" s="86"/>
      <c r="E407" s="87"/>
      <c r="H407" s="89"/>
      <c r="K407" s="87"/>
      <c r="N407" s="89"/>
    </row>
    <row r="408" spans="2:14">
      <c r="B408" s="86"/>
      <c r="E408" s="87"/>
      <c r="H408" s="89"/>
      <c r="K408" s="87"/>
      <c r="N408" s="89"/>
    </row>
    <row r="409" spans="2:14">
      <c r="B409" s="86"/>
      <c r="E409" s="87"/>
      <c r="H409" s="89"/>
      <c r="K409" s="87"/>
      <c r="N409" s="89"/>
    </row>
    <row r="410" spans="2:14">
      <c r="B410" s="86"/>
      <c r="E410" s="87"/>
      <c r="H410" s="89"/>
      <c r="K410" s="87"/>
      <c r="N410" s="89"/>
    </row>
    <row r="411" spans="2:14">
      <c r="B411" s="86"/>
      <c r="E411" s="87"/>
      <c r="H411" s="89"/>
      <c r="K411" s="87"/>
      <c r="N411" s="89"/>
    </row>
    <row r="412" spans="2:14">
      <c r="B412" s="86"/>
      <c r="E412" s="87"/>
      <c r="H412" s="89"/>
      <c r="K412" s="87"/>
      <c r="N412" s="89"/>
    </row>
    <row r="413" spans="2:14">
      <c r="B413" s="86"/>
      <c r="E413" s="87"/>
      <c r="H413" s="89"/>
      <c r="K413" s="87"/>
      <c r="N413" s="89"/>
    </row>
    <row r="414" spans="2:14">
      <c r="B414" s="86"/>
      <c r="E414" s="87"/>
      <c r="H414" s="89"/>
      <c r="K414" s="87"/>
      <c r="N414" s="89"/>
    </row>
    <row r="415" spans="2:14">
      <c r="B415" s="86"/>
      <c r="E415" s="87"/>
      <c r="H415" s="89"/>
      <c r="K415" s="87"/>
      <c r="N415" s="89"/>
    </row>
    <row r="416" spans="2:14">
      <c r="B416" s="86"/>
      <c r="E416" s="87"/>
      <c r="H416" s="89"/>
      <c r="K416" s="87"/>
      <c r="N416" s="89"/>
    </row>
    <row r="417" spans="2:14">
      <c r="B417" s="86"/>
      <c r="E417" s="87"/>
      <c r="H417" s="89"/>
      <c r="K417" s="87"/>
      <c r="N417" s="89"/>
    </row>
    <row r="418" spans="2:14">
      <c r="B418" s="86"/>
      <c r="E418" s="87"/>
      <c r="H418" s="89"/>
      <c r="K418" s="87"/>
      <c r="N418" s="89"/>
    </row>
    <row r="419" spans="2:14">
      <c r="B419" s="86"/>
      <c r="E419" s="87"/>
      <c r="H419" s="89"/>
      <c r="K419" s="87"/>
      <c r="N419" s="89"/>
    </row>
    <row r="420" spans="2:14">
      <c r="B420" s="86"/>
      <c r="E420" s="87"/>
      <c r="H420" s="89"/>
      <c r="K420" s="87"/>
      <c r="N420" s="89"/>
    </row>
    <row r="421" spans="2:14">
      <c r="B421" s="86"/>
      <c r="E421" s="87"/>
      <c r="H421" s="89"/>
      <c r="K421" s="87"/>
      <c r="N421" s="89"/>
    </row>
    <row r="422" spans="2:14">
      <c r="B422" s="86"/>
      <c r="E422" s="87"/>
      <c r="H422" s="89"/>
      <c r="K422" s="87"/>
      <c r="N422" s="89"/>
    </row>
    <row r="423" spans="2:14">
      <c r="B423" s="86"/>
      <c r="E423" s="87"/>
      <c r="H423" s="89"/>
      <c r="K423" s="87"/>
      <c r="N423" s="89"/>
    </row>
    <row r="424" spans="2:14">
      <c r="B424" s="86"/>
      <c r="E424" s="87"/>
      <c r="H424" s="89"/>
      <c r="K424" s="87"/>
      <c r="N424" s="89"/>
    </row>
    <row r="425" spans="2:14">
      <c r="B425" s="86"/>
      <c r="E425" s="87"/>
      <c r="H425" s="89"/>
      <c r="K425" s="87"/>
      <c r="N425" s="89"/>
    </row>
    <row r="426" spans="2:14">
      <c r="B426" s="86"/>
      <c r="E426" s="87"/>
      <c r="H426" s="89"/>
      <c r="K426" s="87"/>
      <c r="N426" s="89"/>
    </row>
    <row r="427" spans="2:14">
      <c r="B427" s="86"/>
      <c r="E427" s="87"/>
      <c r="H427" s="89"/>
      <c r="K427" s="87"/>
      <c r="N427" s="89"/>
    </row>
    <row r="428" spans="2:14">
      <c r="B428" s="86"/>
      <c r="E428" s="87"/>
      <c r="H428" s="89"/>
      <c r="K428" s="87"/>
      <c r="N428" s="89"/>
    </row>
    <row r="429" spans="2:14">
      <c r="B429" s="86"/>
      <c r="E429" s="87"/>
      <c r="H429" s="89"/>
      <c r="K429" s="87"/>
      <c r="N429" s="89"/>
    </row>
    <row r="430" spans="2:14">
      <c r="B430" s="86"/>
      <c r="E430" s="87"/>
      <c r="H430" s="89"/>
      <c r="K430" s="87"/>
      <c r="N430" s="89"/>
    </row>
    <row r="431" spans="2:14">
      <c r="B431" s="86"/>
      <c r="E431" s="87"/>
      <c r="H431" s="89"/>
      <c r="K431" s="87"/>
      <c r="N431" s="89"/>
    </row>
    <row r="432" spans="2:14">
      <c r="B432" s="86"/>
      <c r="E432" s="87"/>
      <c r="H432" s="89"/>
      <c r="K432" s="87"/>
      <c r="N432" s="89"/>
    </row>
    <row r="433" spans="2:14">
      <c r="B433" s="86"/>
      <c r="E433" s="87"/>
      <c r="H433" s="89"/>
      <c r="K433" s="87"/>
      <c r="N433" s="89"/>
    </row>
    <row r="434" spans="2:14">
      <c r="B434" s="86"/>
      <c r="E434" s="87"/>
      <c r="H434" s="89"/>
      <c r="K434" s="87"/>
      <c r="N434" s="89"/>
    </row>
    <row r="435" spans="2:14">
      <c r="B435" s="86"/>
      <c r="E435" s="87"/>
      <c r="H435" s="89"/>
      <c r="K435" s="87"/>
      <c r="N435" s="89"/>
    </row>
    <row r="436" spans="2:14">
      <c r="B436" s="86"/>
      <c r="E436" s="87"/>
      <c r="H436" s="89"/>
      <c r="K436" s="87"/>
      <c r="N436" s="89"/>
    </row>
    <row r="437" spans="2:14">
      <c r="B437" s="86"/>
      <c r="E437" s="87"/>
      <c r="H437" s="89"/>
      <c r="K437" s="87"/>
      <c r="N437" s="89"/>
    </row>
    <row r="438" spans="2:14">
      <c r="B438" s="86"/>
      <c r="E438" s="87"/>
      <c r="H438" s="89"/>
      <c r="K438" s="87"/>
      <c r="N438" s="89"/>
    </row>
    <row r="439" spans="2:14">
      <c r="B439" s="86"/>
      <c r="E439" s="87"/>
      <c r="H439" s="89"/>
      <c r="K439" s="87"/>
      <c r="N439" s="89"/>
    </row>
    <row r="440" spans="2:14">
      <c r="B440" s="86"/>
      <c r="E440" s="87"/>
      <c r="H440" s="89"/>
      <c r="K440" s="87"/>
      <c r="N440" s="89"/>
    </row>
    <row r="441" spans="2:14">
      <c r="B441" s="86"/>
      <c r="E441" s="87"/>
      <c r="H441" s="89"/>
      <c r="K441" s="87"/>
      <c r="N441" s="89"/>
    </row>
    <row r="442" spans="2:14">
      <c r="B442" s="86"/>
      <c r="E442" s="87"/>
      <c r="H442" s="89"/>
      <c r="K442" s="87"/>
      <c r="N442" s="89"/>
    </row>
    <row r="443" spans="2:14">
      <c r="B443" s="86"/>
      <c r="E443" s="87"/>
      <c r="H443" s="89"/>
      <c r="K443" s="87"/>
      <c r="N443" s="89"/>
    </row>
    <row r="444" spans="2:14">
      <c r="B444" s="86"/>
      <c r="E444" s="87"/>
      <c r="H444" s="89"/>
      <c r="K444" s="87"/>
      <c r="N444" s="89"/>
    </row>
    <row r="445" spans="2:14">
      <c r="B445" s="86"/>
      <c r="E445" s="87"/>
      <c r="H445" s="89"/>
      <c r="K445" s="87"/>
      <c r="N445" s="89"/>
    </row>
    <row r="446" spans="2:14">
      <c r="B446" s="86"/>
      <c r="E446" s="87"/>
      <c r="H446" s="89"/>
      <c r="K446" s="87"/>
      <c r="N446" s="89"/>
    </row>
    <row r="447" spans="2:14">
      <c r="B447" s="86"/>
      <c r="E447" s="87"/>
      <c r="H447" s="89"/>
      <c r="K447" s="87"/>
      <c r="N447" s="89"/>
    </row>
    <row r="448" spans="2:14">
      <c r="B448" s="86"/>
      <c r="E448" s="87"/>
      <c r="H448" s="89"/>
      <c r="K448" s="87"/>
      <c r="N448" s="89"/>
    </row>
    <row r="449" spans="2:14">
      <c r="B449" s="86"/>
      <c r="E449" s="87"/>
      <c r="H449" s="89"/>
      <c r="K449" s="87"/>
      <c r="N449" s="89"/>
    </row>
    <row r="450" spans="2:14">
      <c r="B450" s="86"/>
      <c r="E450" s="87"/>
      <c r="H450" s="89"/>
      <c r="K450" s="87"/>
      <c r="N450" s="89"/>
    </row>
    <row r="451" spans="2:14">
      <c r="B451" s="86"/>
      <c r="E451" s="87"/>
      <c r="H451" s="89"/>
      <c r="K451" s="87"/>
      <c r="N451" s="89"/>
    </row>
    <row r="452" spans="2:14">
      <c r="B452" s="86"/>
      <c r="E452" s="87"/>
      <c r="H452" s="89"/>
      <c r="K452" s="87"/>
      <c r="N452" s="89"/>
    </row>
    <row r="453" spans="2:14">
      <c r="B453" s="86"/>
      <c r="E453" s="87"/>
      <c r="H453" s="89"/>
      <c r="K453" s="87"/>
      <c r="N453" s="89"/>
    </row>
    <row r="454" spans="2:14">
      <c r="B454" s="86"/>
      <c r="E454" s="87"/>
      <c r="H454" s="89"/>
      <c r="K454" s="87"/>
      <c r="N454" s="89"/>
    </row>
    <row r="455" spans="2:14">
      <c r="B455" s="86"/>
      <c r="E455" s="87"/>
      <c r="H455" s="89"/>
      <c r="K455" s="87"/>
      <c r="N455" s="89"/>
    </row>
    <row r="456" spans="2:14">
      <c r="B456" s="86"/>
      <c r="E456" s="87"/>
      <c r="H456" s="89"/>
      <c r="K456" s="87"/>
      <c r="N456" s="89"/>
    </row>
    <row r="457" spans="2:14">
      <c r="B457" s="86"/>
      <c r="E457" s="87"/>
      <c r="H457" s="89"/>
      <c r="K457" s="87"/>
      <c r="N457" s="89"/>
    </row>
    <row r="458" spans="2:14">
      <c r="B458" s="86"/>
      <c r="E458" s="87"/>
      <c r="H458" s="89"/>
      <c r="K458" s="87"/>
      <c r="N458" s="89"/>
    </row>
    <row r="459" spans="2:14">
      <c r="B459" s="86"/>
      <c r="E459" s="87"/>
      <c r="H459" s="89"/>
      <c r="K459" s="87"/>
      <c r="N459" s="89"/>
    </row>
    <row r="460" spans="2:14">
      <c r="B460" s="86"/>
      <c r="E460" s="87"/>
      <c r="H460" s="89"/>
      <c r="K460" s="87"/>
      <c r="N460" s="89"/>
    </row>
    <row r="461" spans="2:14">
      <c r="B461" s="86"/>
      <c r="E461" s="87"/>
      <c r="H461" s="89"/>
      <c r="K461" s="87"/>
      <c r="N461" s="89"/>
    </row>
    <row r="462" spans="2:14">
      <c r="B462" s="86"/>
      <c r="E462" s="87"/>
      <c r="H462" s="89"/>
      <c r="K462" s="87"/>
      <c r="N462" s="89"/>
    </row>
    <row r="463" spans="2:14">
      <c r="B463" s="86"/>
      <c r="E463" s="87"/>
      <c r="H463" s="89"/>
      <c r="K463" s="87"/>
      <c r="N463" s="89"/>
    </row>
    <row r="464" spans="2:14">
      <c r="B464" s="86"/>
      <c r="E464" s="87"/>
      <c r="H464" s="89"/>
      <c r="K464" s="87"/>
      <c r="N464" s="89"/>
    </row>
    <row r="465" spans="2:14">
      <c r="B465" s="86"/>
      <c r="E465" s="87"/>
      <c r="H465" s="89"/>
      <c r="K465" s="87"/>
      <c r="N465" s="89"/>
    </row>
    <row r="466" spans="2:14">
      <c r="B466" s="86"/>
      <c r="E466" s="87"/>
      <c r="H466" s="89"/>
      <c r="K466" s="87"/>
      <c r="N466" s="89"/>
    </row>
    <row r="467" spans="2:14">
      <c r="B467" s="86"/>
      <c r="E467" s="87"/>
      <c r="H467" s="89"/>
      <c r="K467" s="87"/>
      <c r="N467" s="89"/>
    </row>
    <row r="468" spans="2:14">
      <c r="B468" s="86"/>
      <c r="E468" s="87"/>
      <c r="H468" s="89"/>
      <c r="K468" s="87"/>
      <c r="N468" s="89"/>
    </row>
    <row r="469" spans="2:14">
      <c r="B469" s="86"/>
      <c r="E469" s="87"/>
      <c r="H469" s="89"/>
      <c r="K469" s="87"/>
      <c r="N469" s="89"/>
    </row>
    <row r="470" spans="2:14">
      <c r="B470" s="86"/>
      <c r="E470" s="87"/>
      <c r="H470" s="89"/>
      <c r="K470" s="87"/>
      <c r="N470" s="89"/>
    </row>
    <row r="471" spans="2:14">
      <c r="B471" s="86"/>
      <c r="E471" s="87"/>
      <c r="H471" s="89"/>
      <c r="K471" s="87"/>
      <c r="N471" s="89"/>
    </row>
    <row r="472" spans="2:14">
      <c r="B472" s="86"/>
      <c r="E472" s="87"/>
      <c r="H472" s="89"/>
      <c r="K472" s="87"/>
      <c r="N472" s="89"/>
    </row>
    <row r="473" spans="2:14">
      <c r="B473" s="86"/>
      <c r="E473" s="87"/>
      <c r="H473" s="89"/>
      <c r="K473" s="87"/>
      <c r="N473" s="89"/>
    </row>
    <row r="474" spans="2:14">
      <c r="B474" s="86"/>
      <c r="E474" s="87"/>
      <c r="H474" s="89"/>
      <c r="K474" s="87"/>
      <c r="N474" s="89"/>
    </row>
    <row r="475" spans="2:14">
      <c r="B475" s="86"/>
      <c r="E475" s="87"/>
      <c r="H475" s="89"/>
      <c r="K475" s="87"/>
      <c r="N475" s="89"/>
    </row>
    <row r="476" spans="2:14">
      <c r="B476" s="86"/>
      <c r="E476" s="87"/>
      <c r="H476" s="89"/>
      <c r="K476" s="87"/>
      <c r="N476" s="89"/>
    </row>
    <row r="477" spans="2:14">
      <c r="B477" s="86"/>
      <c r="E477" s="87"/>
      <c r="H477" s="89"/>
      <c r="K477" s="87"/>
      <c r="N477" s="89"/>
    </row>
    <row r="478" spans="2:14">
      <c r="B478" s="86"/>
      <c r="E478" s="87"/>
      <c r="H478" s="89"/>
      <c r="K478" s="87"/>
      <c r="N478" s="89"/>
    </row>
    <row r="479" spans="2:14">
      <c r="B479" s="86"/>
      <c r="E479" s="87"/>
      <c r="H479" s="89"/>
      <c r="K479" s="87"/>
      <c r="N479" s="89"/>
    </row>
    <row r="480" spans="2:14">
      <c r="B480" s="86"/>
      <c r="E480" s="87"/>
      <c r="H480" s="89"/>
      <c r="K480" s="87"/>
      <c r="N480" s="89"/>
    </row>
    <row r="481" spans="2:14">
      <c r="B481" s="86"/>
      <c r="E481" s="87"/>
      <c r="H481" s="89"/>
      <c r="K481" s="87"/>
      <c r="N481" s="89"/>
    </row>
    <row r="482" spans="2:14">
      <c r="B482" s="86"/>
      <c r="E482" s="87"/>
      <c r="H482" s="89"/>
      <c r="K482" s="87"/>
      <c r="N482" s="89"/>
    </row>
    <row r="483" spans="2:14">
      <c r="B483" s="86"/>
      <c r="E483" s="87"/>
      <c r="H483" s="89"/>
      <c r="K483" s="87"/>
      <c r="N483" s="89"/>
    </row>
    <row r="484" spans="2:14">
      <c r="B484" s="86"/>
      <c r="E484" s="87"/>
      <c r="H484" s="89"/>
      <c r="K484" s="87"/>
      <c r="N484" s="89"/>
    </row>
    <row r="485" spans="2:14">
      <c r="B485" s="86"/>
      <c r="E485" s="87"/>
      <c r="H485" s="89"/>
      <c r="K485" s="87"/>
      <c r="N485" s="89"/>
    </row>
    <row r="486" spans="2:14">
      <c r="B486" s="86"/>
      <c r="E486" s="87"/>
      <c r="H486" s="89"/>
      <c r="K486" s="87"/>
      <c r="N486" s="89"/>
    </row>
    <row r="487" spans="2:14">
      <c r="B487" s="86"/>
      <c r="E487" s="87"/>
      <c r="H487" s="89"/>
      <c r="K487" s="87"/>
      <c r="N487" s="89"/>
    </row>
    <row r="488" spans="2:14">
      <c r="B488" s="86"/>
      <c r="E488" s="87"/>
      <c r="H488" s="89"/>
      <c r="K488" s="87"/>
      <c r="N488" s="89"/>
    </row>
    <row r="489" spans="2:14">
      <c r="B489" s="86"/>
      <c r="E489" s="87"/>
      <c r="H489" s="89"/>
      <c r="K489" s="87"/>
      <c r="N489" s="89"/>
    </row>
    <row r="490" spans="2:14">
      <c r="B490" s="86"/>
      <c r="E490" s="87"/>
      <c r="H490" s="89"/>
      <c r="K490" s="87"/>
      <c r="N490" s="89"/>
    </row>
    <row r="491" spans="2:14">
      <c r="B491" s="86"/>
      <c r="E491" s="87"/>
      <c r="H491" s="89"/>
      <c r="K491" s="87"/>
      <c r="N491" s="89"/>
    </row>
    <row r="492" spans="2:14">
      <c r="B492" s="86"/>
      <c r="E492" s="87"/>
      <c r="H492" s="89"/>
      <c r="K492" s="87"/>
      <c r="N492" s="89"/>
    </row>
    <row r="493" spans="2:14">
      <c r="B493" s="86"/>
      <c r="E493" s="87"/>
      <c r="H493" s="89"/>
      <c r="K493" s="87"/>
      <c r="N493" s="89"/>
    </row>
    <row r="494" spans="2:14">
      <c r="B494" s="86"/>
      <c r="E494" s="87"/>
      <c r="H494" s="89"/>
      <c r="K494" s="87"/>
      <c r="N494" s="89"/>
    </row>
    <row r="495" spans="2:14">
      <c r="B495" s="86"/>
      <c r="E495" s="87"/>
      <c r="H495" s="89"/>
      <c r="K495" s="87"/>
      <c r="N495" s="89"/>
    </row>
    <row r="496" spans="2:14">
      <c r="B496" s="86"/>
      <c r="E496" s="87"/>
      <c r="H496" s="89"/>
      <c r="K496" s="87"/>
      <c r="N496" s="89"/>
    </row>
    <row r="497" spans="2:14">
      <c r="B497" s="86"/>
      <c r="E497" s="87"/>
      <c r="H497" s="89"/>
      <c r="K497" s="87"/>
      <c r="N497" s="89"/>
    </row>
    <row r="498" spans="2:14">
      <c r="B498" s="86"/>
      <c r="E498" s="87"/>
      <c r="H498" s="89"/>
      <c r="K498" s="87"/>
      <c r="N498" s="89"/>
    </row>
    <row r="499" spans="2:14">
      <c r="B499" s="86"/>
      <c r="E499" s="87"/>
      <c r="H499" s="89"/>
      <c r="K499" s="87"/>
      <c r="N499" s="89"/>
    </row>
    <row r="500" spans="2:14">
      <c r="B500" s="86"/>
      <c r="E500" s="87"/>
      <c r="H500" s="89"/>
      <c r="K500" s="87"/>
      <c r="N500" s="89"/>
    </row>
    <row r="501" spans="2:14">
      <c r="B501" s="86"/>
      <c r="E501" s="87"/>
      <c r="H501" s="89"/>
      <c r="K501" s="87"/>
      <c r="N501" s="89"/>
    </row>
    <row r="502" spans="2:14">
      <c r="B502" s="86"/>
      <c r="E502" s="87"/>
      <c r="H502" s="89"/>
      <c r="K502" s="87"/>
      <c r="N502" s="89"/>
    </row>
    <row r="503" spans="2:14">
      <c r="B503" s="86"/>
      <c r="E503" s="87"/>
      <c r="H503" s="89"/>
      <c r="K503" s="87"/>
      <c r="N503" s="89"/>
    </row>
    <row r="504" spans="2:14">
      <c r="B504" s="86"/>
      <c r="E504" s="87"/>
      <c r="H504" s="89"/>
      <c r="K504" s="87"/>
      <c r="N504" s="89"/>
    </row>
    <row r="505" spans="2:14">
      <c r="B505" s="86"/>
      <c r="E505" s="87"/>
      <c r="H505" s="89"/>
      <c r="K505" s="87"/>
      <c r="N505" s="89"/>
    </row>
    <row r="506" spans="2:14">
      <c r="B506" s="86"/>
      <c r="E506" s="87"/>
      <c r="H506" s="89"/>
      <c r="K506" s="87"/>
      <c r="N506" s="89"/>
    </row>
    <row r="507" spans="2:14">
      <c r="B507" s="86"/>
      <c r="E507" s="87"/>
      <c r="H507" s="89"/>
      <c r="K507" s="87"/>
      <c r="N507" s="89"/>
    </row>
    <row r="508" spans="2:14">
      <c r="B508" s="86"/>
      <c r="E508" s="87"/>
      <c r="H508" s="89"/>
      <c r="K508" s="87"/>
      <c r="N508" s="89"/>
    </row>
    <row r="509" spans="2:14">
      <c r="B509" s="86"/>
      <c r="E509" s="87"/>
      <c r="H509" s="89"/>
      <c r="K509" s="87"/>
      <c r="N509" s="89"/>
    </row>
    <row r="510" spans="2:14">
      <c r="B510" s="86"/>
      <c r="E510" s="87"/>
      <c r="H510" s="89"/>
      <c r="K510" s="87"/>
      <c r="N510" s="89"/>
    </row>
    <row r="511" spans="2:14">
      <c r="B511" s="86"/>
      <c r="E511" s="87"/>
      <c r="H511" s="89"/>
      <c r="K511" s="87"/>
      <c r="N511" s="89"/>
    </row>
    <row r="512" spans="2:14">
      <c r="B512" s="86"/>
      <c r="E512" s="87"/>
      <c r="H512" s="89"/>
      <c r="K512" s="87"/>
      <c r="N512" s="89"/>
    </row>
    <row r="513" spans="2:14">
      <c r="B513" s="86"/>
      <c r="E513" s="87"/>
      <c r="H513" s="89"/>
      <c r="K513" s="87"/>
      <c r="N513" s="89"/>
    </row>
    <row r="514" spans="2:14">
      <c r="B514" s="86"/>
      <c r="E514" s="87"/>
      <c r="H514" s="89"/>
      <c r="K514" s="87"/>
      <c r="N514" s="89"/>
    </row>
    <row r="515" spans="2:14">
      <c r="B515" s="86"/>
      <c r="E515" s="87"/>
      <c r="H515" s="89"/>
      <c r="K515" s="87"/>
      <c r="N515" s="89"/>
    </row>
    <row r="516" spans="2:14">
      <c r="B516" s="86"/>
      <c r="E516" s="87"/>
      <c r="H516" s="89"/>
      <c r="K516" s="87"/>
      <c r="N516" s="89"/>
    </row>
    <row r="517" spans="2:14">
      <c r="B517" s="86"/>
      <c r="E517" s="87"/>
      <c r="H517" s="89"/>
      <c r="K517" s="87"/>
      <c r="N517" s="89"/>
    </row>
    <row r="518" spans="2:14">
      <c r="B518" s="86"/>
      <c r="E518" s="87"/>
      <c r="H518" s="89"/>
      <c r="K518" s="87"/>
      <c r="N518" s="89"/>
    </row>
    <row r="519" spans="2:14">
      <c r="B519" s="86"/>
      <c r="E519" s="87"/>
      <c r="H519" s="89"/>
      <c r="K519" s="87"/>
      <c r="N519" s="89"/>
    </row>
    <row r="520" spans="2:14">
      <c r="B520" s="86"/>
      <c r="E520" s="87"/>
      <c r="H520" s="89"/>
      <c r="K520" s="87"/>
      <c r="N520" s="89"/>
    </row>
    <row r="521" spans="2:14">
      <c r="B521" s="86"/>
      <c r="E521" s="87"/>
      <c r="H521" s="89"/>
      <c r="K521" s="87"/>
      <c r="N521" s="89"/>
    </row>
    <row r="522" spans="2:14">
      <c r="B522" s="86"/>
      <c r="E522" s="87"/>
      <c r="H522" s="89"/>
      <c r="K522" s="87"/>
      <c r="N522" s="89"/>
    </row>
    <row r="523" spans="2:14">
      <c r="B523" s="86"/>
      <c r="E523" s="87"/>
      <c r="H523" s="89"/>
      <c r="K523" s="87"/>
      <c r="N523" s="89"/>
    </row>
    <row r="524" spans="2:14">
      <c r="B524" s="86"/>
      <c r="E524" s="87"/>
      <c r="H524" s="89"/>
      <c r="K524" s="87"/>
      <c r="N524" s="89"/>
    </row>
    <row r="525" spans="2:14">
      <c r="B525" s="86"/>
      <c r="E525" s="87"/>
      <c r="H525" s="89"/>
      <c r="K525" s="87"/>
      <c r="N525" s="89"/>
    </row>
    <row r="526" spans="2:14">
      <c r="B526" s="86"/>
      <c r="E526" s="87"/>
      <c r="H526" s="89"/>
      <c r="K526" s="87"/>
      <c r="N526" s="89"/>
    </row>
    <row r="527" spans="2:14">
      <c r="B527" s="86"/>
      <c r="E527" s="87"/>
      <c r="H527" s="89"/>
      <c r="K527" s="87"/>
      <c r="N527" s="89"/>
    </row>
    <row r="528" spans="2:14">
      <c r="B528" s="86"/>
      <c r="E528" s="87"/>
      <c r="H528" s="89"/>
      <c r="K528" s="87"/>
      <c r="N528" s="89"/>
    </row>
    <row r="529" spans="2:14">
      <c r="B529" s="86"/>
      <c r="E529" s="87"/>
      <c r="H529" s="89"/>
      <c r="K529" s="87"/>
      <c r="N529" s="89"/>
    </row>
    <row r="530" spans="2:14">
      <c r="B530" s="86"/>
      <c r="E530" s="87"/>
      <c r="H530" s="89"/>
      <c r="K530" s="87"/>
      <c r="N530" s="89"/>
    </row>
    <row r="531" spans="2:14">
      <c r="B531" s="86"/>
      <c r="E531" s="87"/>
      <c r="H531" s="89"/>
      <c r="K531" s="87"/>
      <c r="N531" s="89"/>
    </row>
    <row r="532" spans="2:14">
      <c r="B532" s="86"/>
      <c r="E532" s="87"/>
      <c r="H532" s="89"/>
      <c r="K532" s="87"/>
      <c r="N532" s="89"/>
    </row>
    <row r="533" spans="2:14">
      <c r="B533" s="86"/>
      <c r="E533" s="87"/>
      <c r="H533" s="89"/>
      <c r="K533" s="87"/>
      <c r="N533" s="89"/>
    </row>
    <row r="534" spans="2:14">
      <c r="B534" s="86"/>
      <c r="E534" s="87"/>
      <c r="H534" s="89"/>
      <c r="K534" s="87"/>
      <c r="N534" s="89"/>
    </row>
    <row r="535" spans="2:14">
      <c r="B535" s="86"/>
      <c r="E535" s="87"/>
      <c r="H535" s="89"/>
      <c r="K535" s="87"/>
      <c r="N535" s="89"/>
    </row>
    <row r="536" spans="2:14">
      <c r="B536" s="86"/>
      <c r="E536" s="87"/>
      <c r="H536" s="89"/>
      <c r="K536" s="87"/>
      <c r="N536" s="89"/>
    </row>
    <row r="537" spans="2:14">
      <c r="B537" s="86"/>
      <c r="E537" s="87"/>
      <c r="H537" s="89"/>
      <c r="K537" s="87"/>
      <c r="N537" s="89"/>
    </row>
    <row r="538" spans="2:14">
      <c r="B538" s="86"/>
      <c r="E538" s="87"/>
      <c r="H538" s="89"/>
      <c r="K538" s="87"/>
      <c r="N538" s="89"/>
    </row>
    <row r="539" spans="2:14">
      <c r="B539" s="86"/>
      <c r="E539" s="87"/>
      <c r="H539" s="89"/>
      <c r="K539" s="87"/>
      <c r="N539" s="89"/>
    </row>
    <row r="540" spans="2:14">
      <c r="B540" s="86"/>
      <c r="E540" s="87"/>
      <c r="H540" s="89"/>
      <c r="K540" s="87"/>
      <c r="N540" s="89"/>
    </row>
    <row r="541" spans="2:14">
      <c r="B541" s="86"/>
      <c r="E541" s="87"/>
      <c r="H541" s="89"/>
      <c r="K541" s="87"/>
      <c r="N541" s="89"/>
    </row>
    <row r="542" spans="2:14">
      <c r="B542" s="86"/>
      <c r="E542" s="87"/>
      <c r="H542" s="89"/>
      <c r="K542" s="87"/>
      <c r="N542" s="89"/>
    </row>
    <row r="543" spans="2:14">
      <c r="B543" s="86"/>
      <c r="E543" s="87"/>
      <c r="H543" s="89"/>
      <c r="K543" s="87"/>
      <c r="N543" s="89"/>
    </row>
    <row r="544" spans="2:14">
      <c r="B544" s="86"/>
      <c r="E544" s="87"/>
      <c r="H544" s="89"/>
      <c r="K544" s="87"/>
      <c r="N544" s="89"/>
    </row>
    <row r="545" spans="2:14">
      <c r="B545" s="86"/>
      <c r="E545" s="87"/>
      <c r="H545" s="89"/>
      <c r="K545" s="87"/>
      <c r="N545" s="89"/>
    </row>
    <row r="546" spans="2:14">
      <c r="B546" s="86"/>
      <c r="E546" s="87"/>
      <c r="H546" s="89"/>
      <c r="K546" s="87"/>
      <c r="N546" s="89"/>
    </row>
    <row r="547" spans="2:14">
      <c r="B547" s="86"/>
      <c r="E547" s="87"/>
      <c r="H547" s="89"/>
      <c r="K547" s="87"/>
      <c r="N547" s="89"/>
    </row>
    <row r="548" spans="2:14">
      <c r="B548" s="86"/>
      <c r="E548" s="87"/>
      <c r="H548" s="89"/>
      <c r="K548" s="87"/>
      <c r="N548" s="89"/>
    </row>
    <row r="549" spans="2:14">
      <c r="B549" s="86"/>
      <c r="E549" s="87"/>
      <c r="H549" s="89"/>
      <c r="K549" s="87"/>
      <c r="N549" s="89"/>
    </row>
    <row r="550" spans="2:14">
      <c r="B550" s="86"/>
      <c r="E550" s="87"/>
      <c r="H550" s="89"/>
      <c r="K550" s="87"/>
      <c r="N550" s="89"/>
    </row>
    <row r="551" spans="2:14">
      <c r="B551" s="86"/>
      <c r="E551" s="87"/>
      <c r="H551" s="89"/>
      <c r="K551" s="87"/>
      <c r="N551" s="89"/>
    </row>
    <row r="552" spans="2:14">
      <c r="B552" s="86"/>
      <c r="E552" s="87"/>
      <c r="H552" s="89"/>
      <c r="K552" s="87"/>
      <c r="N552" s="89"/>
    </row>
    <row r="553" spans="2:14">
      <c r="B553" s="86"/>
      <c r="E553" s="87"/>
      <c r="H553" s="89"/>
      <c r="K553" s="87"/>
      <c r="N553" s="89"/>
    </row>
    <row r="554" spans="2:14">
      <c r="B554" s="86"/>
      <c r="E554" s="87"/>
      <c r="H554" s="89"/>
      <c r="K554" s="87"/>
      <c r="N554" s="89"/>
    </row>
    <row r="555" spans="2:14">
      <c r="B555" s="86"/>
      <c r="E555" s="87"/>
      <c r="H555" s="89"/>
      <c r="K555" s="87"/>
      <c r="N555" s="89"/>
    </row>
    <row r="556" spans="2:14">
      <c r="B556" s="86"/>
      <c r="E556" s="87"/>
      <c r="H556" s="89"/>
      <c r="K556" s="87"/>
      <c r="N556" s="89"/>
    </row>
    <row r="557" spans="2:14">
      <c r="B557" s="86"/>
      <c r="E557" s="87"/>
      <c r="H557" s="89"/>
      <c r="K557" s="87"/>
      <c r="N557" s="89"/>
    </row>
    <row r="558" spans="2:14">
      <c r="B558" s="86"/>
      <c r="E558" s="87"/>
      <c r="H558" s="89"/>
      <c r="K558" s="87"/>
      <c r="N558" s="89"/>
    </row>
    <row r="559" spans="2:14">
      <c r="B559" s="86"/>
      <c r="E559" s="87"/>
      <c r="H559" s="89"/>
      <c r="K559" s="87"/>
      <c r="N559" s="89"/>
    </row>
    <row r="560" spans="2:14">
      <c r="B560" s="86"/>
      <c r="E560" s="87"/>
      <c r="H560" s="89"/>
      <c r="K560" s="87"/>
      <c r="N560" s="89"/>
    </row>
    <row r="561" spans="2:14">
      <c r="B561" s="86"/>
      <c r="E561" s="87"/>
      <c r="H561" s="89"/>
      <c r="K561" s="87"/>
      <c r="N561" s="89"/>
    </row>
    <row r="562" spans="2:14">
      <c r="B562" s="86"/>
      <c r="E562" s="87"/>
      <c r="H562" s="89"/>
      <c r="K562" s="87"/>
      <c r="N562" s="89"/>
    </row>
    <row r="563" spans="2:14">
      <c r="B563" s="86"/>
      <c r="E563" s="87"/>
      <c r="H563" s="89"/>
      <c r="K563" s="87"/>
      <c r="N563" s="89"/>
    </row>
    <row r="564" spans="2:14">
      <c r="B564" s="86"/>
      <c r="E564" s="87"/>
      <c r="H564" s="89"/>
      <c r="K564" s="87"/>
      <c r="N564" s="89"/>
    </row>
    <row r="565" spans="2:14">
      <c r="B565" s="86"/>
      <c r="E565" s="87"/>
      <c r="H565" s="89"/>
      <c r="K565" s="87"/>
      <c r="N565" s="89"/>
    </row>
    <row r="566" spans="2:14">
      <c r="B566" s="86"/>
      <c r="E566" s="87"/>
      <c r="H566" s="89"/>
      <c r="K566" s="87"/>
      <c r="N566" s="89"/>
    </row>
    <row r="567" spans="2:14">
      <c r="B567" s="86"/>
      <c r="E567" s="87"/>
      <c r="H567" s="89"/>
      <c r="K567" s="87"/>
      <c r="N567" s="89"/>
    </row>
    <row r="568" spans="2:14">
      <c r="B568" s="86"/>
      <c r="E568" s="87"/>
      <c r="H568" s="89"/>
      <c r="K568" s="87"/>
      <c r="N568" s="89"/>
    </row>
    <row r="569" spans="2:14">
      <c r="B569" s="86"/>
      <c r="E569" s="87"/>
      <c r="H569" s="89"/>
      <c r="K569" s="87"/>
      <c r="N569" s="89"/>
    </row>
    <row r="570" spans="2:14">
      <c r="B570" s="86"/>
      <c r="E570" s="87"/>
      <c r="H570" s="89"/>
      <c r="K570" s="87"/>
      <c r="N570" s="89"/>
    </row>
    <row r="571" spans="2:14">
      <c r="B571" s="86"/>
      <c r="E571" s="87"/>
      <c r="H571" s="89"/>
      <c r="K571" s="87"/>
      <c r="N571" s="89"/>
    </row>
    <row r="572" spans="2:14">
      <c r="B572" s="86"/>
      <c r="E572" s="87"/>
      <c r="H572" s="89"/>
      <c r="K572" s="87"/>
      <c r="N572" s="89"/>
    </row>
    <row r="573" spans="2:14">
      <c r="B573" s="86"/>
      <c r="E573" s="87"/>
      <c r="H573" s="89"/>
      <c r="K573" s="87"/>
      <c r="N573" s="89"/>
    </row>
    <row r="574" spans="2:14">
      <c r="B574" s="86"/>
      <c r="E574" s="87"/>
      <c r="H574" s="89"/>
      <c r="K574" s="87"/>
      <c r="N574" s="89"/>
    </row>
    <row r="575" spans="2:14">
      <c r="B575" s="86"/>
      <c r="E575" s="87"/>
      <c r="H575" s="89"/>
      <c r="K575" s="87"/>
      <c r="N575" s="89"/>
    </row>
    <row r="576" spans="2:14">
      <c r="B576" s="86"/>
      <c r="E576" s="87"/>
      <c r="H576" s="89"/>
      <c r="K576" s="87"/>
      <c r="N576" s="89"/>
    </row>
    <row r="577" spans="2:14">
      <c r="B577" s="86"/>
      <c r="E577" s="87"/>
      <c r="H577" s="89"/>
      <c r="K577" s="87"/>
      <c r="N577" s="89"/>
    </row>
    <row r="578" spans="2:14">
      <c r="B578" s="86"/>
      <c r="E578" s="87"/>
      <c r="H578" s="89"/>
      <c r="K578" s="87"/>
      <c r="N578" s="89"/>
    </row>
    <row r="579" spans="2:14">
      <c r="B579" s="86"/>
      <c r="E579" s="87"/>
      <c r="H579" s="89"/>
      <c r="K579" s="87"/>
      <c r="N579" s="89"/>
    </row>
    <row r="580" spans="2:14">
      <c r="B580" s="86"/>
      <c r="E580" s="87"/>
      <c r="H580" s="89"/>
      <c r="K580" s="87"/>
      <c r="N580" s="89"/>
    </row>
    <row r="581" spans="2:14">
      <c r="B581" s="86"/>
      <c r="E581" s="87"/>
      <c r="H581" s="89"/>
      <c r="K581" s="87"/>
      <c r="N581" s="89"/>
    </row>
    <row r="582" spans="2:14">
      <c r="B582" s="86"/>
      <c r="E582" s="87"/>
      <c r="H582" s="89"/>
      <c r="K582" s="87"/>
      <c r="N582" s="89"/>
    </row>
    <row r="583" spans="2:14">
      <c r="B583" s="86"/>
      <c r="E583" s="87"/>
      <c r="H583" s="89"/>
      <c r="K583" s="87"/>
      <c r="N583" s="89"/>
    </row>
    <row r="584" spans="2:14">
      <c r="B584" s="86"/>
      <c r="E584" s="87"/>
      <c r="H584" s="89"/>
      <c r="K584" s="87"/>
      <c r="N584" s="89"/>
    </row>
    <row r="585" spans="2:14">
      <c r="B585" s="86"/>
      <c r="E585" s="87"/>
      <c r="H585" s="89"/>
      <c r="K585" s="87"/>
      <c r="N585" s="89"/>
    </row>
    <row r="586" spans="2:14">
      <c r="B586" s="86"/>
      <c r="E586" s="87"/>
      <c r="H586" s="89"/>
      <c r="K586" s="87"/>
      <c r="N586" s="89"/>
    </row>
    <row r="587" spans="2:14">
      <c r="B587" s="86"/>
      <c r="E587" s="87"/>
      <c r="H587" s="89"/>
      <c r="K587" s="87"/>
      <c r="N587" s="89"/>
    </row>
    <row r="588" spans="2:14">
      <c r="B588" s="86"/>
      <c r="E588" s="87"/>
      <c r="H588" s="89"/>
      <c r="K588" s="87"/>
      <c r="N588" s="89"/>
    </row>
    <row r="589" spans="2:14">
      <c r="B589" s="86"/>
      <c r="E589" s="87"/>
      <c r="H589" s="89"/>
      <c r="K589" s="87"/>
      <c r="N589" s="89"/>
    </row>
    <row r="590" spans="2:14">
      <c r="B590" s="86"/>
      <c r="E590" s="87"/>
      <c r="H590" s="89"/>
      <c r="K590" s="87"/>
      <c r="N590" s="89"/>
    </row>
    <row r="591" spans="2:14">
      <c r="B591" s="86"/>
      <c r="E591" s="87"/>
      <c r="H591" s="89"/>
      <c r="K591" s="87"/>
      <c r="N591" s="89"/>
    </row>
    <row r="592" spans="2:14">
      <c r="B592" s="86"/>
      <c r="E592" s="87"/>
      <c r="H592" s="89"/>
      <c r="K592" s="87"/>
      <c r="N592" s="89"/>
    </row>
    <row r="593" spans="2:14">
      <c r="B593" s="86"/>
      <c r="E593" s="87"/>
      <c r="H593" s="89"/>
      <c r="K593" s="87"/>
      <c r="N593" s="89"/>
    </row>
    <row r="594" spans="2:14">
      <c r="B594" s="86"/>
      <c r="E594" s="87"/>
      <c r="H594" s="89"/>
      <c r="K594" s="87"/>
      <c r="N594" s="89"/>
    </row>
    <row r="595" spans="2:14">
      <c r="B595" s="86"/>
      <c r="E595" s="87"/>
      <c r="H595" s="89"/>
      <c r="K595" s="87"/>
      <c r="N595" s="89"/>
    </row>
    <row r="596" spans="2:14">
      <c r="B596" s="86"/>
      <c r="E596" s="87"/>
      <c r="H596" s="89"/>
      <c r="K596" s="87"/>
      <c r="N596" s="89"/>
    </row>
    <row r="597" spans="2:14">
      <c r="B597" s="86"/>
      <c r="E597" s="87"/>
      <c r="H597" s="89"/>
      <c r="K597" s="87"/>
      <c r="N597" s="89"/>
    </row>
    <row r="598" spans="2:14">
      <c r="B598" s="86"/>
      <c r="E598" s="87"/>
      <c r="H598" s="89"/>
      <c r="K598" s="87"/>
      <c r="N598" s="89"/>
    </row>
    <row r="599" spans="2:14">
      <c r="B599" s="86"/>
      <c r="E599" s="87"/>
      <c r="H599" s="89"/>
      <c r="K599" s="87"/>
      <c r="N599" s="89"/>
    </row>
    <row r="600" spans="2:14">
      <c r="B600" s="86"/>
      <c r="E600" s="87"/>
      <c r="H600" s="89"/>
      <c r="K600" s="87"/>
      <c r="N600" s="89"/>
    </row>
    <row r="601" spans="2:14">
      <c r="B601" s="86"/>
      <c r="E601" s="87"/>
      <c r="H601" s="89"/>
      <c r="K601" s="87"/>
      <c r="N601" s="89"/>
    </row>
    <row r="602" spans="2:14">
      <c r="B602" s="86"/>
      <c r="E602" s="87"/>
      <c r="H602" s="89"/>
      <c r="K602" s="87"/>
      <c r="N602" s="89"/>
    </row>
    <row r="603" spans="2:14">
      <c r="B603" s="86"/>
      <c r="E603" s="87"/>
      <c r="H603" s="89"/>
      <c r="K603" s="87"/>
      <c r="N603" s="89"/>
    </row>
    <row r="604" spans="2:14">
      <c r="B604" s="86"/>
      <c r="E604" s="87"/>
      <c r="H604" s="89"/>
      <c r="K604" s="87"/>
      <c r="N604" s="89"/>
    </row>
    <row r="605" spans="2:14">
      <c r="B605" s="86"/>
      <c r="E605" s="87"/>
      <c r="H605" s="89"/>
      <c r="K605" s="87"/>
      <c r="N605" s="89"/>
    </row>
    <row r="606" spans="2:14">
      <c r="B606" s="86"/>
      <c r="E606" s="87"/>
      <c r="H606" s="89"/>
      <c r="K606" s="87"/>
      <c r="N606" s="89"/>
    </row>
    <row r="607" spans="2:14">
      <c r="B607" s="86"/>
      <c r="E607" s="87"/>
      <c r="H607" s="89"/>
      <c r="K607" s="87"/>
      <c r="N607" s="89"/>
    </row>
    <row r="608" spans="2:14">
      <c r="B608" s="86"/>
      <c r="E608" s="87"/>
      <c r="H608" s="89"/>
      <c r="K608" s="87"/>
      <c r="N608" s="89"/>
    </row>
    <row r="609" spans="2:14">
      <c r="B609" s="86"/>
      <c r="E609" s="87"/>
      <c r="H609" s="89"/>
      <c r="K609" s="87"/>
      <c r="N609" s="89"/>
    </row>
    <row r="610" spans="2:14">
      <c r="B610" s="86"/>
      <c r="E610" s="87"/>
      <c r="H610" s="89"/>
      <c r="K610" s="87"/>
      <c r="N610" s="89"/>
    </row>
    <row r="611" spans="2:14">
      <c r="B611" s="86"/>
      <c r="E611" s="87"/>
      <c r="H611" s="89"/>
      <c r="K611" s="87"/>
      <c r="N611" s="89"/>
    </row>
    <row r="612" spans="2:14">
      <c r="B612" s="86"/>
      <c r="E612" s="87"/>
      <c r="H612" s="89"/>
      <c r="K612" s="87"/>
      <c r="N612" s="89"/>
    </row>
    <row r="613" spans="2:14">
      <c r="B613" s="86"/>
      <c r="E613" s="87"/>
      <c r="H613" s="89"/>
      <c r="K613" s="87"/>
      <c r="N613" s="89"/>
    </row>
    <row r="614" spans="2:14">
      <c r="B614" s="86"/>
      <c r="E614" s="87"/>
      <c r="H614" s="89"/>
      <c r="K614" s="87"/>
      <c r="N614" s="89"/>
    </row>
    <row r="615" spans="2:14">
      <c r="B615" s="86"/>
      <c r="E615" s="87"/>
      <c r="H615" s="89"/>
      <c r="K615" s="87"/>
      <c r="N615" s="89"/>
    </row>
    <row r="616" spans="2:14">
      <c r="B616" s="86"/>
      <c r="E616" s="87"/>
      <c r="H616" s="89"/>
      <c r="K616" s="87"/>
      <c r="N616" s="89"/>
    </row>
    <row r="617" spans="2:14">
      <c r="B617" s="86"/>
      <c r="E617" s="87"/>
      <c r="H617" s="89"/>
      <c r="K617" s="87"/>
      <c r="N617" s="89"/>
    </row>
    <row r="618" spans="2:14">
      <c r="B618" s="86"/>
      <c r="E618" s="87"/>
      <c r="H618" s="89"/>
      <c r="K618" s="87"/>
      <c r="N618" s="89"/>
    </row>
    <row r="619" spans="2:14">
      <c r="B619" s="86"/>
      <c r="E619" s="87"/>
      <c r="H619" s="89"/>
      <c r="K619" s="87"/>
      <c r="N619" s="89"/>
    </row>
    <row r="620" spans="2:14">
      <c r="B620" s="86"/>
      <c r="E620" s="87"/>
      <c r="H620" s="89"/>
      <c r="K620" s="87"/>
      <c r="N620" s="89"/>
    </row>
    <row r="621" spans="2:14">
      <c r="B621" s="86"/>
      <c r="E621" s="87"/>
      <c r="H621" s="89"/>
      <c r="K621" s="87"/>
      <c r="N621" s="89"/>
    </row>
    <row r="622" spans="2:14">
      <c r="B622" s="86"/>
      <c r="E622" s="87"/>
      <c r="H622" s="89"/>
      <c r="K622" s="87"/>
      <c r="N622" s="89"/>
    </row>
    <row r="623" spans="2:14">
      <c r="B623" s="86"/>
      <c r="E623" s="87"/>
      <c r="H623" s="89"/>
      <c r="K623" s="87"/>
      <c r="N623" s="89"/>
    </row>
    <row r="624" spans="2:14">
      <c r="B624" s="86"/>
      <c r="E624" s="87"/>
      <c r="H624" s="89"/>
      <c r="K624" s="87"/>
      <c r="N624" s="89"/>
    </row>
    <row r="625" spans="2:14">
      <c r="B625" s="86"/>
      <c r="E625" s="87"/>
      <c r="H625" s="89"/>
      <c r="K625" s="87"/>
      <c r="N625" s="89"/>
    </row>
    <row r="626" spans="2:14">
      <c r="B626" s="86"/>
      <c r="E626" s="87"/>
      <c r="H626" s="89"/>
      <c r="K626" s="87"/>
      <c r="N626" s="89"/>
    </row>
    <row r="627" spans="2:14">
      <c r="B627" s="86"/>
      <c r="E627" s="87"/>
      <c r="H627" s="89"/>
      <c r="K627" s="87"/>
      <c r="N627" s="89"/>
    </row>
    <row r="628" spans="2:14">
      <c r="B628" s="86"/>
      <c r="E628" s="87"/>
      <c r="H628" s="89"/>
      <c r="K628" s="87"/>
      <c r="N628" s="89"/>
    </row>
    <row r="629" spans="2:14">
      <c r="B629" s="86"/>
      <c r="E629" s="87"/>
      <c r="H629" s="89"/>
      <c r="K629" s="87"/>
      <c r="N629" s="89"/>
    </row>
    <row r="630" spans="2:14">
      <c r="B630" s="86"/>
      <c r="E630" s="87"/>
      <c r="H630" s="89"/>
      <c r="K630" s="87"/>
      <c r="N630" s="89"/>
    </row>
    <row r="631" spans="2:14">
      <c r="B631" s="86"/>
      <c r="E631" s="87"/>
      <c r="H631" s="89"/>
      <c r="K631" s="87"/>
      <c r="N631" s="89"/>
    </row>
    <row r="632" spans="2:14">
      <c r="B632" s="86"/>
      <c r="E632" s="87"/>
      <c r="H632" s="89"/>
      <c r="K632" s="87"/>
      <c r="N632" s="89"/>
    </row>
    <row r="633" spans="2:14">
      <c r="B633" s="86"/>
      <c r="E633" s="87"/>
      <c r="H633" s="89"/>
      <c r="K633" s="87"/>
      <c r="N633" s="89"/>
    </row>
    <row r="634" spans="2:14">
      <c r="B634" s="86"/>
      <c r="E634" s="87"/>
      <c r="H634" s="89"/>
      <c r="K634" s="87"/>
      <c r="N634" s="89"/>
    </row>
    <row r="635" spans="2:14">
      <c r="B635" s="86"/>
      <c r="E635" s="87"/>
      <c r="H635" s="89"/>
      <c r="K635" s="87"/>
      <c r="N635" s="89"/>
    </row>
    <row r="636" spans="2:14">
      <c r="B636" s="86"/>
      <c r="E636" s="87"/>
      <c r="H636" s="89"/>
      <c r="K636" s="87"/>
      <c r="N636" s="89"/>
    </row>
    <row r="637" spans="2:14">
      <c r="B637" s="86"/>
      <c r="E637" s="87"/>
      <c r="H637" s="89"/>
      <c r="K637" s="87"/>
      <c r="N637" s="89"/>
    </row>
    <row r="638" spans="2:14">
      <c r="B638" s="86"/>
      <c r="E638" s="87"/>
      <c r="H638" s="89"/>
      <c r="K638" s="87"/>
      <c r="N638" s="89"/>
    </row>
    <row r="639" spans="2:14">
      <c r="B639" s="86"/>
      <c r="E639" s="87"/>
      <c r="H639" s="89"/>
      <c r="K639" s="87"/>
      <c r="N639" s="89"/>
    </row>
    <row r="640" spans="2:14">
      <c r="B640" s="86"/>
      <c r="E640" s="87"/>
      <c r="H640" s="89"/>
      <c r="K640" s="87"/>
      <c r="N640" s="89"/>
    </row>
    <row r="641" spans="2:14">
      <c r="B641" s="86"/>
      <c r="E641" s="87"/>
      <c r="H641" s="89"/>
      <c r="K641" s="87"/>
      <c r="N641" s="89"/>
    </row>
    <row r="642" spans="2:14">
      <c r="B642" s="86"/>
      <c r="E642" s="87"/>
      <c r="H642" s="89"/>
      <c r="K642" s="87"/>
      <c r="N642" s="89"/>
    </row>
    <row r="643" spans="2:14">
      <c r="B643" s="86"/>
      <c r="E643" s="87"/>
      <c r="H643" s="89"/>
      <c r="K643" s="87"/>
      <c r="N643" s="89"/>
    </row>
    <row r="644" spans="2:14">
      <c r="B644" s="86"/>
      <c r="E644" s="87"/>
      <c r="H644" s="89"/>
      <c r="K644" s="87"/>
      <c r="N644" s="89"/>
    </row>
    <row r="645" spans="2:14">
      <c r="B645" s="86"/>
      <c r="E645" s="87"/>
      <c r="H645" s="89"/>
      <c r="K645" s="87"/>
      <c r="N645" s="89"/>
    </row>
    <row r="646" spans="2:14">
      <c r="B646" s="86"/>
      <c r="E646" s="87"/>
      <c r="H646" s="89"/>
      <c r="K646" s="87"/>
      <c r="N646" s="89"/>
    </row>
    <row r="647" spans="2:14">
      <c r="B647" s="86"/>
      <c r="E647" s="87"/>
      <c r="H647" s="89"/>
      <c r="K647" s="87"/>
      <c r="N647" s="89"/>
    </row>
    <row r="648" spans="2:14">
      <c r="B648" s="86"/>
      <c r="E648" s="87"/>
      <c r="H648" s="89"/>
      <c r="K648" s="87"/>
      <c r="N648" s="89"/>
    </row>
    <row r="649" spans="2:14">
      <c r="B649" s="86"/>
      <c r="E649" s="87"/>
      <c r="H649" s="89"/>
      <c r="K649" s="87"/>
      <c r="N649" s="89"/>
    </row>
    <row r="650" spans="2:14">
      <c r="B650" s="86"/>
      <c r="E650" s="87"/>
      <c r="H650" s="89"/>
      <c r="K650" s="87"/>
      <c r="N650" s="89"/>
    </row>
    <row r="651" spans="2:14">
      <c r="B651" s="86"/>
      <c r="E651" s="87"/>
      <c r="H651" s="89"/>
      <c r="K651" s="87"/>
      <c r="N651" s="89"/>
    </row>
    <row r="652" spans="2:14">
      <c r="B652" s="86"/>
      <c r="E652" s="87"/>
      <c r="H652" s="89"/>
      <c r="K652" s="87"/>
      <c r="N652" s="89"/>
    </row>
    <row r="653" spans="2:14">
      <c r="B653" s="86"/>
      <c r="E653" s="87"/>
      <c r="H653" s="89"/>
      <c r="K653" s="87"/>
      <c r="N653" s="89"/>
    </row>
    <row r="654" spans="2:14">
      <c r="B654" s="86"/>
      <c r="E654" s="87"/>
      <c r="H654" s="89"/>
      <c r="K654" s="87"/>
      <c r="N654" s="89"/>
    </row>
    <row r="655" spans="2:14">
      <c r="B655" s="86"/>
      <c r="E655" s="87"/>
      <c r="H655" s="89"/>
      <c r="K655" s="87"/>
      <c r="N655" s="89"/>
    </row>
    <row r="656" spans="2:14">
      <c r="B656" s="86"/>
      <c r="E656" s="87"/>
      <c r="H656" s="89"/>
      <c r="K656" s="87"/>
      <c r="N656" s="89"/>
    </row>
    <row r="657" spans="2:14">
      <c r="B657" s="86"/>
      <c r="E657" s="87"/>
      <c r="H657" s="89"/>
      <c r="K657" s="87"/>
      <c r="N657" s="89"/>
    </row>
    <row r="658" spans="2:14">
      <c r="B658" s="86"/>
      <c r="E658" s="87"/>
      <c r="H658" s="89"/>
      <c r="K658" s="87"/>
      <c r="N658" s="89"/>
    </row>
    <row r="659" spans="2:14">
      <c r="B659" s="86"/>
      <c r="E659" s="87"/>
      <c r="H659" s="89"/>
      <c r="K659" s="87"/>
      <c r="N659" s="89"/>
    </row>
    <row r="660" spans="2:14">
      <c r="B660" s="86"/>
      <c r="E660" s="87"/>
      <c r="H660" s="89"/>
      <c r="K660" s="87"/>
      <c r="N660" s="89"/>
    </row>
    <row r="661" spans="2:14">
      <c r="B661" s="86"/>
      <c r="E661" s="87"/>
      <c r="H661" s="89"/>
      <c r="K661" s="87"/>
      <c r="N661" s="89"/>
    </row>
    <row r="662" spans="2:14">
      <c r="B662" s="86"/>
      <c r="E662" s="87"/>
      <c r="H662" s="89"/>
      <c r="K662" s="87"/>
      <c r="N662" s="89"/>
    </row>
    <row r="663" spans="2:14">
      <c r="B663" s="86"/>
      <c r="E663" s="87"/>
      <c r="H663" s="89"/>
      <c r="K663" s="87"/>
      <c r="N663" s="89"/>
    </row>
    <row r="664" spans="2:14">
      <c r="B664" s="86"/>
      <c r="E664" s="87"/>
      <c r="H664" s="89"/>
      <c r="K664" s="87"/>
      <c r="N664" s="89"/>
    </row>
    <row r="665" spans="2:14">
      <c r="B665" s="86"/>
      <c r="E665" s="87"/>
      <c r="H665" s="89"/>
      <c r="K665" s="87"/>
      <c r="N665" s="89"/>
    </row>
    <row r="666" spans="2:14">
      <c r="B666" s="86"/>
      <c r="E666" s="87"/>
      <c r="H666" s="89"/>
      <c r="K666" s="87"/>
      <c r="N666" s="89"/>
    </row>
    <row r="667" spans="2:14">
      <c r="B667" s="86"/>
      <c r="E667" s="87"/>
      <c r="H667" s="89"/>
      <c r="K667" s="87"/>
      <c r="N667" s="89"/>
    </row>
    <row r="668" spans="2:14">
      <c r="B668" s="86"/>
      <c r="E668" s="87"/>
      <c r="H668" s="89"/>
      <c r="K668" s="87"/>
      <c r="N668" s="89"/>
    </row>
    <row r="669" spans="2:14">
      <c r="B669" s="86"/>
      <c r="E669" s="87"/>
      <c r="H669" s="89"/>
      <c r="K669" s="87"/>
      <c r="N669" s="89"/>
    </row>
    <row r="670" spans="2:14">
      <c r="B670" s="86"/>
      <c r="E670" s="87"/>
      <c r="H670" s="89"/>
      <c r="K670" s="87"/>
      <c r="N670" s="89"/>
    </row>
    <row r="671" spans="2:14">
      <c r="B671" s="86"/>
      <c r="E671" s="87"/>
      <c r="H671" s="89"/>
      <c r="K671" s="87"/>
      <c r="N671" s="89"/>
    </row>
    <row r="672" spans="2:14">
      <c r="B672" s="86"/>
      <c r="E672" s="87"/>
      <c r="H672" s="89"/>
      <c r="K672" s="87"/>
      <c r="N672" s="89"/>
    </row>
    <row r="673" spans="2:14">
      <c r="B673" s="86"/>
      <c r="E673" s="87"/>
      <c r="H673" s="89"/>
      <c r="K673" s="87"/>
      <c r="N673" s="89"/>
    </row>
    <row r="674" spans="2:14">
      <c r="B674" s="86"/>
      <c r="E674" s="87"/>
      <c r="H674" s="89"/>
      <c r="K674" s="87"/>
      <c r="N674" s="89"/>
    </row>
    <row r="675" spans="2:14">
      <c r="B675" s="86"/>
      <c r="E675" s="87"/>
      <c r="H675" s="89"/>
      <c r="K675" s="87"/>
      <c r="N675" s="89"/>
    </row>
    <row r="676" spans="2:14">
      <c r="B676" s="86"/>
      <c r="E676" s="87"/>
      <c r="H676" s="89"/>
      <c r="K676" s="87"/>
      <c r="N676" s="89"/>
    </row>
    <row r="677" spans="2:14">
      <c r="B677" s="86"/>
      <c r="E677" s="87"/>
      <c r="H677" s="89"/>
      <c r="K677" s="87"/>
      <c r="N677" s="89"/>
    </row>
    <row r="678" spans="2:14">
      <c r="B678" s="86"/>
      <c r="E678" s="87"/>
      <c r="H678" s="89"/>
      <c r="K678" s="87"/>
      <c r="N678" s="89"/>
    </row>
    <row r="679" spans="2:14">
      <c r="B679" s="86"/>
      <c r="E679" s="87"/>
      <c r="H679" s="89"/>
      <c r="K679" s="87"/>
      <c r="N679" s="89"/>
    </row>
    <row r="680" spans="2:14">
      <c r="B680" s="86"/>
      <c r="E680" s="87"/>
      <c r="H680" s="89"/>
      <c r="K680" s="87"/>
      <c r="N680" s="89"/>
    </row>
    <row r="681" spans="2:14">
      <c r="B681" s="86"/>
      <c r="E681" s="87"/>
      <c r="H681" s="89"/>
      <c r="K681" s="87"/>
      <c r="N681" s="89"/>
    </row>
    <row r="682" spans="2:14">
      <c r="B682" s="86"/>
      <c r="E682" s="87"/>
      <c r="H682" s="89"/>
      <c r="K682" s="87"/>
      <c r="N682" s="89"/>
    </row>
    <row r="683" spans="2:14">
      <c r="B683" s="86"/>
      <c r="E683" s="87"/>
      <c r="H683" s="89"/>
      <c r="K683" s="87"/>
      <c r="N683" s="89"/>
    </row>
    <row r="684" spans="2:14">
      <c r="B684" s="86"/>
      <c r="E684" s="87"/>
      <c r="H684" s="89"/>
      <c r="K684" s="87"/>
      <c r="N684" s="89"/>
    </row>
    <row r="685" spans="2:14">
      <c r="B685" s="86"/>
      <c r="E685" s="87"/>
      <c r="H685" s="89"/>
      <c r="K685" s="87"/>
      <c r="N685" s="89"/>
    </row>
    <row r="686" spans="2:14">
      <c r="B686" s="86"/>
      <c r="E686" s="87"/>
      <c r="H686" s="89"/>
      <c r="K686" s="87"/>
      <c r="N686" s="89"/>
    </row>
    <row r="687" spans="2:14">
      <c r="B687" s="86"/>
      <c r="E687" s="87"/>
      <c r="H687" s="89"/>
      <c r="K687" s="87"/>
      <c r="N687" s="89"/>
    </row>
    <row r="688" spans="2:14">
      <c r="B688" s="86"/>
      <c r="E688" s="87"/>
      <c r="H688" s="89"/>
      <c r="K688" s="87"/>
      <c r="N688" s="89"/>
    </row>
    <row r="689" spans="2:14">
      <c r="B689" s="86"/>
      <c r="E689" s="87"/>
      <c r="H689" s="89"/>
      <c r="K689" s="87"/>
      <c r="N689" s="89"/>
    </row>
    <row r="690" spans="2:14">
      <c r="B690" s="86"/>
      <c r="E690" s="87"/>
      <c r="H690" s="89"/>
      <c r="K690" s="87"/>
      <c r="N690" s="89"/>
    </row>
    <row r="691" spans="2:14">
      <c r="B691" s="86"/>
      <c r="E691" s="87"/>
      <c r="H691" s="89"/>
      <c r="K691" s="87"/>
      <c r="N691" s="89"/>
    </row>
    <row r="692" spans="2:14">
      <c r="B692" s="86"/>
      <c r="E692" s="87"/>
      <c r="H692" s="89"/>
      <c r="K692" s="87"/>
      <c r="N692" s="89"/>
    </row>
    <row r="693" spans="2:14">
      <c r="B693" s="86"/>
      <c r="E693" s="87"/>
      <c r="H693" s="89"/>
      <c r="K693" s="87"/>
      <c r="N693" s="89"/>
    </row>
    <row r="694" spans="2:14">
      <c r="B694" s="86"/>
      <c r="E694" s="87"/>
      <c r="H694" s="89"/>
      <c r="K694" s="87"/>
      <c r="N694" s="89"/>
    </row>
    <row r="695" spans="2:14">
      <c r="B695" s="86"/>
      <c r="E695" s="87"/>
      <c r="H695" s="89"/>
      <c r="K695" s="87"/>
      <c r="N695" s="89"/>
    </row>
    <row r="696" spans="2:14">
      <c r="B696" s="86"/>
      <c r="E696" s="87"/>
      <c r="H696" s="89"/>
      <c r="K696" s="87"/>
      <c r="N696" s="89"/>
    </row>
    <row r="697" spans="2:14">
      <c r="B697" s="86"/>
      <c r="E697" s="87"/>
      <c r="H697" s="89"/>
      <c r="K697" s="87"/>
      <c r="N697" s="89"/>
    </row>
    <row r="698" spans="2:14">
      <c r="B698" s="86"/>
      <c r="E698" s="87"/>
      <c r="H698" s="89"/>
      <c r="K698" s="87"/>
      <c r="N698" s="89"/>
    </row>
    <row r="699" spans="2:14">
      <c r="B699" s="86"/>
      <c r="E699" s="87"/>
      <c r="H699" s="89"/>
      <c r="K699" s="87"/>
      <c r="N699" s="89"/>
    </row>
    <row r="700" spans="2:14">
      <c r="B700" s="86"/>
      <c r="E700" s="87"/>
      <c r="H700" s="89"/>
      <c r="K700" s="87"/>
      <c r="N700" s="89"/>
    </row>
    <row r="701" spans="2:14">
      <c r="B701" s="86"/>
      <c r="E701" s="87"/>
      <c r="H701" s="89"/>
      <c r="K701" s="87"/>
      <c r="N701" s="89"/>
    </row>
    <row r="702" spans="2:14">
      <c r="B702" s="86"/>
      <c r="E702" s="87"/>
      <c r="H702" s="89"/>
      <c r="K702" s="87"/>
      <c r="N702" s="89"/>
    </row>
    <row r="703" spans="2:14">
      <c r="B703" s="86"/>
      <c r="E703" s="87"/>
      <c r="H703" s="89"/>
      <c r="K703" s="87"/>
      <c r="N703" s="89"/>
    </row>
    <row r="704" spans="2:14">
      <c r="B704" s="86"/>
      <c r="E704" s="87"/>
      <c r="H704" s="89"/>
      <c r="K704" s="87"/>
      <c r="N704" s="89"/>
    </row>
    <row r="705" spans="2:14">
      <c r="B705" s="86"/>
      <c r="E705" s="87"/>
      <c r="H705" s="89"/>
      <c r="K705" s="87"/>
      <c r="N705" s="89"/>
    </row>
    <row r="706" spans="2:14">
      <c r="B706" s="86"/>
      <c r="E706" s="87"/>
      <c r="H706" s="89"/>
      <c r="K706" s="87"/>
      <c r="N706" s="89"/>
    </row>
    <row r="707" spans="2:14">
      <c r="B707" s="86"/>
      <c r="E707" s="87"/>
      <c r="H707" s="89"/>
      <c r="K707" s="87"/>
      <c r="N707" s="89"/>
    </row>
    <row r="708" spans="2:14">
      <c r="B708" s="86"/>
      <c r="E708" s="87"/>
      <c r="H708" s="89"/>
      <c r="K708" s="87"/>
      <c r="N708" s="89"/>
    </row>
    <row r="709" spans="2:14">
      <c r="B709" s="86"/>
      <c r="E709" s="87"/>
      <c r="H709" s="89"/>
      <c r="K709" s="87"/>
      <c r="N709" s="89"/>
    </row>
    <row r="710" spans="2:14">
      <c r="B710" s="86"/>
      <c r="E710" s="87"/>
      <c r="H710" s="89"/>
      <c r="K710" s="87"/>
      <c r="N710" s="89"/>
    </row>
    <row r="711" spans="2:14">
      <c r="B711" s="86"/>
      <c r="E711" s="87"/>
      <c r="H711" s="89"/>
      <c r="K711" s="87"/>
      <c r="N711" s="89"/>
    </row>
    <row r="712" spans="2:14">
      <c r="B712" s="86"/>
      <c r="E712" s="87"/>
      <c r="H712" s="89"/>
      <c r="K712" s="87"/>
      <c r="N712" s="89"/>
    </row>
    <row r="713" spans="2:14">
      <c r="B713" s="86"/>
      <c r="E713" s="87"/>
      <c r="H713" s="89"/>
      <c r="K713" s="87"/>
      <c r="N713" s="89"/>
    </row>
    <row r="714" spans="2:14">
      <c r="B714" s="86"/>
      <c r="E714" s="87"/>
      <c r="H714" s="89"/>
      <c r="K714" s="87"/>
      <c r="N714" s="89"/>
    </row>
    <row r="715" spans="2:14">
      <c r="B715" s="86"/>
      <c r="E715" s="87"/>
      <c r="H715" s="89"/>
      <c r="K715" s="87"/>
      <c r="N715" s="89"/>
    </row>
    <row r="716" spans="2:14">
      <c r="B716" s="86"/>
      <c r="E716" s="87"/>
      <c r="H716" s="89"/>
      <c r="K716" s="87"/>
      <c r="N716" s="89"/>
    </row>
    <row r="717" spans="2:14">
      <c r="B717" s="86"/>
      <c r="E717" s="87"/>
      <c r="H717" s="89"/>
      <c r="K717" s="87"/>
      <c r="N717" s="89"/>
    </row>
    <row r="718" spans="2:14">
      <c r="B718" s="86"/>
      <c r="E718" s="87"/>
      <c r="H718" s="89"/>
      <c r="K718" s="87"/>
      <c r="N718" s="89"/>
    </row>
    <row r="719" spans="2:14">
      <c r="B719" s="86"/>
      <c r="E719" s="87"/>
      <c r="H719" s="89"/>
      <c r="K719" s="87"/>
      <c r="N719" s="89"/>
    </row>
    <row r="720" spans="2:14">
      <c r="B720" s="86"/>
      <c r="E720" s="87"/>
      <c r="H720" s="89"/>
      <c r="K720" s="87"/>
      <c r="N720" s="89"/>
    </row>
    <row r="721" spans="2:14">
      <c r="B721" s="86"/>
      <c r="E721" s="87"/>
      <c r="H721" s="89"/>
      <c r="K721" s="87"/>
      <c r="N721" s="89"/>
    </row>
    <row r="722" spans="2:14">
      <c r="B722" s="86"/>
      <c r="E722" s="87"/>
      <c r="H722" s="89"/>
      <c r="K722" s="87"/>
      <c r="N722" s="89"/>
    </row>
    <row r="723" spans="2:14">
      <c r="B723" s="86"/>
      <c r="E723" s="87"/>
      <c r="H723" s="89"/>
      <c r="K723" s="87"/>
      <c r="N723" s="89"/>
    </row>
    <row r="724" spans="2:14">
      <c r="B724" s="86"/>
      <c r="E724" s="87"/>
      <c r="H724" s="89"/>
      <c r="K724" s="87"/>
      <c r="N724" s="89"/>
    </row>
    <row r="725" spans="2:14">
      <c r="B725" s="86"/>
      <c r="E725" s="87"/>
      <c r="H725" s="89"/>
      <c r="K725" s="87"/>
      <c r="N725" s="89"/>
    </row>
    <row r="726" spans="2:14">
      <c r="B726" s="86"/>
      <c r="E726" s="87"/>
      <c r="H726" s="89"/>
      <c r="K726" s="87"/>
      <c r="N726" s="89"/>
    </row>
    <row r="727" spans="2:14">
      <c r="B727" s="86"/>
      <c r="E727" s="87"/>
      <c r="H727" s="89"/>
      <c r="K727" s="87"/>
      <c r="N727" s="89"/>
    </row>
    <row r="728" spans="2:14">
      <c r="B728" s="86"/>
      <c r="E728" s="87"/>
      <c r="H728" s="89"/>
      <c r="K728" s="87"/>
      <c r="N728" s="89"/>
    </row>
    <row r="729" spans="2:14">
      <c r="B729" s="86"/>
      <c r="E729" s="87"/>
      <c r="H729" s="89"/>
      <c r="K729" s="87"/>
      <c r="N729" s="89"/>
    </row>
    <row r="730" spans="2:14">
      <c r="B730" s="86"/>
      <c r="E730" s="87"/>
      <c r="H730" s="89"/>
      <c r="K730" s="87"/>
      <c r="N730" s="89"/>
    </row>
    <row r="731" spans="2:14">
      <c r="B731" s="86"/>
      <c r="E731" s="87"/>
      <c r="H731" s="89"/>
      <c r="K731" s="87"/>
      <c r="N731" s="89"/>
    </row>
    <row r="732" spans="2:14">
      <c r="B732" s="86"/>
      <c r="E732" s="87"/>
      <c r="H732" s="89"/>
      <c r="K732" s="87"/>
      <c r="N732" s="89"/>
    </row>
    <row r="733" spans="2:14">
      <c r="B733" s="86"/>
      <c r="E733" s="87"/>
      <c r="H733" s="89"/>
      <c r="K733" s="87"/>
      <c r="N733" s="89"/>
    </row>
    <row r="734" spans="2:14">
      <c r="B734" s="86"/>
      <c r="E734" s="87"/>
      <c r="H734" s="89"/>
      <c r="K734" s="87"/>
      <c r="N734" s="89"/>
    </row>
    <row r="735" spans="2:14">
      <c r="B735" s="86"/>
      <c r="E735" s="87"/>
      <c r="H735" s="89"/>
      <c r="K735" s="87"/>
      <c r="N735" s="89"/>
    </row>
    <row r="736" spans="2:14">
      <c r="B736" s="86"/>
      <c r="E736" s="87"/>
      <c r="H736" s="89"/>
      <c r="K736" s="87"/>
      <c r="N736" s="89"/>
    </row>
    <row r="737" spans="2:14">
      <c r="B737" s="86"/>
      <c r="E737" s="87"/>
      <c r="H737" s="89"/>
      <c r="K737" s="87"/>
      <c r="N737" s="89"/>
    </row>
    <row r="738" spans="2:14">
      <c r="B738" s="86"/>
      <c r="E738" s="87"/>
      <c r="H738" s="89"/>
      <c r="K738" s="87"/>
      <c r="N738" s="89"/>
    </row>
    <row r="739" spans="2:14">
      <c r="B739" s="86"/>
      <c r="E739" s="87"/>
      <c r="H739" s="89"/>
      <c r="K739" s="87"/>
      <c r="N739" s="89"/>
    </row>
    <row r="740" spans="2:14">
      <c r="B740" s="86"/>
      <c r="E740" s="87"/>
      <c r="H740" s="89"/>
      <c r="K740" s="87"/>
      <c r="N740" s="89"/>
    </row>
    <row r="741" spans="2:14">
      <c r="B741" s="86"/>
      <c r="E741" s="87"/>
      <c r="H741" s="89"/>
      <c r="K741" s="87"/>
      <c r="N741" s="89"/>
    </row>
    <row r="742" spans="2:14">
      <c r="B742" s="86"/>
      <c r="E742" s="87"/>
      <c r="H742" s="89"/>
      <c r="K742" s="87"/>
      <c r="N742" s="89"/>
    </row>
    <row r="743" spans="2:14">
      <c r="B743" s="86"/>
      <c r="E743" s="87"/>
      <c r="H743" s="89"/>
      <c r="K743" s="87"/>
      <c r="N743" s="89"/>
    </row>
    <row r="744" spans="2:14">
      <c r="B744" s="86"/>
      <c r="E744" s="87"/>
      <c r="H744" s="89"/>
      <c r="K744" s="87"/>
      <c r="N744" s="89"/>
    </row>
    <row r="745" spans="2:14">
      <c r="B745" s="86"/>
      <c r="E745" s="87"/>
      <c r="H745" s="89"/>
      <c r="K745" s="87"/>
      <c r="N745" s="89"/>
    </row>
    <row r="746" spans="2:14">
      <c r="B746" s="86"/>
      <c r="E746" s="87"/>
      <c r="H746" s="89"/>
      <c r="K746" s="87"/>
      <c r="N746" s="89"/>
    </row>
    <row r="747" spans="2:14">
      <c r="B747" s="86"/>
      <c r="E747" s="87"/>
      <c r="H747" s="89"/>
      <c r="K747" s="87"/>
      <c r="N747" s="89"/>
    </row>
    <row r="748" spans="2:14">
      <c r="B748" s="86"/>
      <c r="E748" s="87"/>
      <c r="H748" s="89"/>
      <c r="K748" s="87"/>
      <c r="N748" s="89"/>
    </row>
    <row r="749" spans="2:14">
      <c r="B749" s="86"/>
      <c r="E749" s="87"/>
      <c r="H749" s="89"/>
      <c r="K749" s="87"/>
      <c r="N749" s="89"/>
    </row>
    <row r="750" spans="2:14">
      <c r="B750" s="86"/>
      <c r="E750" s="87"/>
      <c r="H750" s="89"/>
      <c r="K750" s="87"/>
      <c r="N750" s="89"/>
    </row>
    <row r="751" spans="2:14">
      <c r="B751" s="86"/>
      <c r="E751" s="87"/>
      <c r="H751" s="89"/>
      <c r="K751" s="87"/>
      <c r="N751" s="89"/>
    </row>
    <row r="752" spans="2:14">
      <c r="B752" s="86"/>
      <c r="E752" s="87"/>
      <c r="H752" s="89"/>
      <c r="K752" s="87"/>
      <c r="N752" s="89"/>
    </row>
    <row r="753" spans="2:14">
      <c r="B753" s="86"/>
      <c r="E753" s="87"/>
      <c r="H753" s="89"/>
      <c r="K753" s="87"/>
      <c r="N753" s="89"/>
    </row>
    <row r="754" spans="2:14">
      <c r="B754" s="86"/>
      <c r="E754" s="87"/>
      <c r="H754" s="89"/>
      <c r="K754" s="87"/>
      <c r="N754" s="89"/>
    </row>
    <row r="755" spans="2:14">
      <c r="B755" s="86"/>
      <c r="E755" s="87"/>
      <c r="H755" s="89"/>
      <c r="K755" s="87"/>
      <c r="N755" s="89"/>
    </row>
    <row r="756" spans="2:14">
      <c r="B756" s="86"/>
      <c r="E756" s="87"/>
      <c r="H756" s="89"/>
      <c r="K756" s="87"/>
      <c r="N756" s="89"/>
    </row>
    <row r="757" spans="2:14">
      <c r="B757" s="86"/>
      <c r="E757" s="87"/>
      <c r="H757" s="89"/>
      <c r="K757" s="87"/>
      <c r="N757" s="89"/>
    </row>
    <row r="758" spans="2:14">
      <c r="B758" s="86"/>
      <c r="E758" s="87"/>
      <c r="H758" s="89"/>
      <c r="K758" s="87"/>
      <c r="N758" s="89"/>
    </row>
    <row r="759" spans="2:14">
      <c r="B759" s="86"/>
      <c r="E759" s="87"/>
      <c r="H759" s="89"/>
      <c r="K759" s="87"/>
      <c r="N759" s="89"/>
    </row>
    <row r="760" spans="2:14">
      <c r="B760" s="86"/>
      <c r="E760" s="87"/>
      <c r="H760" s="89"/>
      <c r="K760" s="87"/>
      <c r="N760" s="89"/>
    </row>
    <row r="761" spans="2:14">
      <c r="B761" s="86"/>
      <c r="E761" s="87"/>
      <c r="H761" s="89"/>
      <c r="K761" s="87"/>
      <c r="N761" s="89"/>
    </row>
    <row r="762" spans="2:14">
      <c r="B762" s="86"/>
      <c r="E762" s="87"/>
      <c r="H762" s="89"/>
      <c r="K762" s="87"/>
      <c r="N762" s="89"/>
    </row>
    <row r="763" spans="2:14">
      <c r="B763" s="86"/>
      <c r="E763" s="87"/>
      <c r="H763" s="89"/>
      <c r="K763" s="87"/>
      <c r="N763" s="89"/>
    </row>
    <row r="764" spans="2:14">
      <c r="B764" s="86"/>
      <c r="E764" s="87"/>
      <c r="H764" s="89"/>
      <c r="K764" s="87"/>
      <c r="N764" s="89"/>
    </row>
    <row r="765" spans="2:14">
      <c r="B765" s="86"/>
      <c r="E765" s="87"/>
      <c r="H765" s="89"/>
      <c r="K765" s="87"/>
      <c r="N765" s="89"/>
    </row>
    <row r="766" spans="2:14">
      <c r="B766" s="86"/>
      <c r="E766" s="87"/>
      <c r="H766" s="89"/>
      <c r="K766" s="87"/>
      <c r="N766" s="89"/>
    </row>
    <row r="767" spans="2:14">
      <c r="B767" s="86"/>
      <c r="E767" s="87"/>
      <c r="H767" s="89"/>
      <c r="K767" s="87"/>
      <c r="N767" s="89"/>
    </row>
    <row r="768" spans="2:14">
      <c r="B768" s="86"/>
      <c r="E768" s="87"/>
      <c r="H768" s="89"/>
      <c r="K768" s="87"/>
      <c r="N768" s="89"/>
    </row>
    <row r="769" spans="2:14">
      <c r="B769" s="86"/>
      <c r="E769" s="87"/>
      <c r="H769" s="89"/>
      <c r="K769" s="87"/>
      <c r="N769" s="89"/>
    </row>
    <row r="770" spans="2:14">
      <c r="B770" s="86"/>
      <c r="E770" s="87"/>
      <c r="H770" s="89"/>
      <c r="K770" s="87"/>
      <c r="N770" s="89"/>
    </row>
    <row r="771" spans="2:14">
      <c r="B771" s="86"/>
      <c r="E771" s="87"/>
      <c r="H771" s="89"/>
      <c r="K771" s="87"/>
      <c r="N771" s="89"/>
    </row>
    <row r="772" spans="2:14">
      <c r="B772" s="86"/>
      <c r="E772" s="87"/>
      <c r="H772" s="89"/>
      <c r="K772" s="87"/>
      <c r="N772" s="89"/>
    </row>
    <row r="773" spans="2:14">
      <c r="B773" s="86"/>
      <c r="E773" s="87"/>
      <c r="H773" s="89"/>
      <c r="K773" s="87"/>
      <c r="N773" s="89"/>
    </row>
    <row r="774" spans="2:14">
      <c r="B774" s="86"/>
      <c r="E774" s="87"/>
      <c r="H774" s="89"/>
      <c r="K774" s="87"/>
      <c r="N774" s="89"/>
    </row>
    <row r="775" spans="2:14">
      <c r="B775" s="86"/>
      <c r="E775" s="87"/>
      <c r="H775" s="89"/>
      <c r="K775" s="87"/>
      <c r="N775" s="89"/>
    </row>
    <row r="776" spans="2:14">
      <c r="B776" s="86"/>
      <c r="E776" s="87"/>
      <c r="H776" s="89"/>
      <c r="K776" s="87"/>
      <c r="N776" s="89"/>
    </row>
    <row r="777" spans="2:14">
      <c r="B777" s="86"/>
      <c r="E777" s="87"/>
      <c r="H777" s="89"/>
      <c r="K777" s="87"/>
      <c r="N777" s="89"/>
    </row>
    <row r="778" spans="2:14">
      <c r="B778" s="86"/>
      <c r="E778" s="87"/>
      <c r="H778" s="89"/>
      <c r="K778" s="87"/>
      <c r="N778" s="89"/>
    </row>
    <row r="779" spans="2:14">
      <c r="B779" s="86"/>
      <c r="E779" s="87"/>
      <c r="H779" s="89"/>
      <c r="K779" s="87"/>
      <c r="N779" s="89"/>
    </row>
    <row r="780" spans="2:14">
      <c r="B780" s="86"/>
      <c r="E780" s="87"/>
      <c r="H780" s="89"/>
      <c r="K780" s="87"/>
      <c r="N780" s="89"/>
    </row>
    <row r="781" spans="2:14">
      <c r="B781" s="86"/>
      <c r="E781" s="87"/>
      <c r="H781" s="89"/>
      <c r="K781" s="87"/>
      <c r="N781" s="89"/>
    </row>
    <row r="782" spans="2:14">
      <c r="B782" s="86"/>
      <c r="E782" s="87"/>
      <c r="H782" s="89"/>
      <c r="K782" s="87"/>
      <c r="N782" s="89"/>
    </row>
    <row r="783" spans="2:14">
      <c r="B783" s="86"/>
      <c r="E783" s="87"/>
      <c r="H783" s="89"/>
      <c r="K783" s="87"/>
      <c r="N783" s="89"/>
    </row>
    <row r="784" spans="2:14">
      <c r="B784" s="86"/>
      <c r="E784" s="87"/>
      <c r="H784" s="89"/>
      <c r="K784" s="87"/>
      <c r="N784" s="89"/>
    </row>
    <row r="785" spans="2:14">
      <c r="B785" s="86"/>
      <c r="E785" s="87"/>
      <c r="H785" s="89"/>
      <c r="K785" s="87"/>
      <c r="N785" s="89"/>
    </row>
    <row r="786" spans="2:14">
      <c r="B786" s="86"/>
      <c r="E786" s="87"/>
      <c r="H786" s="89"/>
      <c r="K786" s="87"/>
      <c r="N786" s="89"/>
    </row>
    <row r="787" spans="2:14">
      <c r="B787" s="86"/>
      <c r="E787" s="87"/>
      <c r="H787" s="89"/>
      <c r="K787" s="87"/>
      <c r="N787" s="89"/>
    </row>
    <row r="788" spans="2:14">
      <c r="B788" s="86"/>
      <c r="E788" s="87"/>
      <c r="H788" s="89"/>
      <c r="K788" s="87"/>
      <c r="N788" s="89"/>
    </row>
    <row r="789" spans="2:14">
      <c r="B789" s="86"/>
      <c r="E789" s="87"/>
      <c r="H789" s="89"/>
      <c r="K789" s="87"/>
      <c r="N789" s="89"/>
    </row>
    <row r="790" spans="2:14">
      <c r="B790" s="86"/>
      <c r="E790" s="87"/>
      <c r="H790" s="89"/>
      <c r="K790" s="87"/>
      <c r="N790" s="89"/>
    </row>
    <row r="791" spans="2:14">
      <c r="B791" s="86"/>
      <c r="E791" s="87"/>
      <c r="H791" s="89"/>
      <c r="K791" s="87"/>
      <c r="N791" s="89"/>
    </row>
    <row r="792" spans="2:14">
      <c r="B792" s="86"/>
      <c r="E792" s="87"/>
      <c r="H792" s="89"/>
      <c r="K792" s="87"/>
      <c r="N792" s="89"/>
    </row>
    <row r="793" spans="2:14">
      <c r="B793" s="86"/>
      <c r="E793" s="87"/>
      <c r="H793" s="89"/>
      <c r="K793" s="87"/>
      <c r="N793" s="89"/>
    </row>
    <row r="794" spans="2:14">
      <c r="B794" s="86"/>
      <c r="E794" s="87"/>
      <c r="H794" s="89"/>
      <c r="K794" s="87"/>
      <c r="N794" s="89"/>
    </row>
    <row r="795" spans="2:14">
      <c r="B795" s="86"/>
      <c r="E795" s="87"/>
      <c r="H795" s="89"/>
      <c r="K795" s="87"/>
      <c r="N795" s="89"/>
    </row>
    <row r="796" spans="2:14">
      <c r="B796" s="86"/>
      <c r="E796" s="87"/>
      <c r="H796" s="89"/>
      <c r="K796" s="87"/>
      <c r="N796" s="89"/>
    </row>
    <row r="797" spans="2:14">
      <c r="B797" s="86"/>
      <c r="E797" s="87"/>
      <c r="H797" s="89"/>
      <c r="K797" s="87"/>
      <c r="N797" s="89"/>
    </row>
    <row r="798" spans="2:14">
      <c r="B798" s="86"/>
      <c r="E798" s="87"/>
      <c r="H798" s="89"/>
      <c r="K798" s="87"/>
      <c r="N798" s="89"/>
    </row>
    <row r="799" spans="2:14">
      <c r="B799" s="86"/>
      <c r="E799" s="87"/>
      <c r="H799" s="89"/>
      <c r="K799" s="87"/>
      <c r="N799" s="89"/>
    </row>
    <row r="800" spans="2:14">
      <c r="B800" s="86"/>
      <c r="E800" s="87"/>
      <c r="H800" s="89"/>
      <c r="K800" s="87"/>
      <c r="N800" s="89"/>
    </row>
    <row r="801" spans="2:14">
      <c r="B801" s="86"/>
      <c r="E801" s="87"/>
      <c r="H801" s="89"/>
      <c r="K801" s="87"/>
      <c r="N801" s="89"/>
    </row>
    <row r="802" spans="2:14">
      <c r="B802" s="86"/>
      <c r="E802" s="87"/>
      <c r="H802" s="89"/>
      <c r="K802" s="87"/>
      <c r="N802" s="89"/>
    </row>
    <row r="803" spans="2:14">
      <c r="B803" s="86"/>
      <c r="E803" s="87"/>
      <c r="H803" s="89"/>
      <c r="K803" s="87"/>
      <c r="N803" s="89"/>
    </row>
    <row r="804" spans="2:14">
      <c r="B804" s="86"/>
      <c r="E804" s="87"/>
      <c r="H804" s="89"/>
      <c r="K804" s="87"/>
      <c r="N804" s="89"/>
    </row>
    <row r="805" spans="2:14">
      <c r="B805" s="86"/>
      <c r="E805" s="87"/>
      <c r="H805" s="89"/>
      <c r="K805" s="87"/>
      <c r="N805" s="89"/>
    </row>
    <row r="806" spans="2:14">
      <c r="B806" s="86"/>
      <c r="E806" s="87"/>
      <c r="H806" s="89"/>
      <c r="K806" s="87"/>
      <c r="N806" s="89"/>
    </row>
    <row r="807" spans="2:14">
      <c r="B807" s="86"/>
      <c r="E807" s="87"/>
      <c r="H807" s="89"/>
      <c r="K807" s="87"/>
      <c r="N807" s="89"/>
    </row>
    <row r="808" spans="2:14">
      <c r="B808" s="86"/>
      <c r="E808" s="87"/>
      <c r="H808" s="89"/>
      <c r="K808" s="87"/>
      <c r="N808" s="89"/>
    </row>
    <row r="809" spans="2:14">
      <c r="B809" s="86"/>
      <c r="E809" s="87"/>
      <c r="H809" s="89"/>
      <c r="K809" s="87"/>
      <c r="N809" s="89"/>
    </row>
    <row r="810" spans="2:14">
      <c r="B810" s="86"/>
      <c r="E810" s="87"/>
      <c r="H810" s="89"/>
      <c r="K810" s="87"/>
      <c r="N810" s="89"/>
    </row>
    <row r="811" spans="2:14">
      <c r="B811" s="86"/>
      <c r="E811" s="87"/>
      <c r="H811" s="89"/>
      <c r="K811" s="87"/>
      <c r="N811" s="89"/>
    </row>
    <row r="812" spans="2:14">
      <c r="B812" s="86"/>
      <c r="E812" s="87"/>
      <c r="H812" s="89"/>
      <c r="K812" s="87"/>
      <c r="N812" s="89"/>
    </row>
    <row r="813" spans="2:14">
      <c r="B813" s="86"/>
      <c r="E813" s="87"/>
      <c r="H813" s="89"/>
      <c r="K813" s="87"/>
      <c r="N813" s="89"/>
    </row>
    <row r="814" spans="2:14">
      <c r="B814" s="86"/>
      <c r="E814" s="87"/>
      <c r="H814" s="89"/>
      <c r="K814" s="87"/>
      <c r="N814" s="89"/>
    </row>
    <row r="815" spans="2:14">
      <c r="B815" s="86"/>
      <c r="E815" s="87"/>
      <c r="H815" s="89"/>
      <c r="K815" s="87"/>
      <c r="N815" s="89"/>
    </row>
    <row r="816" spans="2:14">
      <c r="B816" s="86"/>
      <c r="E816" s="87"/>
      <c r="H816" s="89"/>
      <c r="K816" s="87"/>
      <c r="N816" s="89"/>
    </row>
    <row r="817" spans="2:14">
      <c r="B817" s="86"/>
      <c r="E817" s="87"/>
      <c r="H817" s="89"/>
      <c r="K817" s="87"/>
      <c r="N817" s="89"/>
    </row>
    <row r="818" spans="2:14">
      <c r="B818" s="86"/>
      <c r="E818" s="87"/>
      <c r="H818" s="89"/>
      <c r="K818" s="87"/>
      <c r="N818" s="89"/>
    </row>
    <row r="819" spans="2:14">
      <c r="B819" s="86"/>
      <c r="E819" s="87"/>
      <c r="H819" s="89"/>
      <c r="K819" s="87"/>
      <c r="N819" s="89"/>
    </row>
    <row r="820" spans="2:14">
      <c r="B820" s="86"/>
      <c r="E820" s="87"/>
      <c r="H820" s="89"/>
      <c r="K820" s="87"/>
      <c r="N820" s="89"/>
    </row>
    <row r="821" spans="2:14">
      <c r="B821" s="86"/>
      <c r="E821" s="87"/>
      <c r="H821" s="89"/>
      <c r="K821" s="87"/>
      <c r="N821" s="89"/>
    </row>
    <row r="822" spans="2:14">
      <c r="B822" s="86"/>
      <c r="E822" s="87"/>
      <c r="H822" s="89"/>
      <c r="K822" s="87"/>
      <c r="N822" s="89"/>
    </row>
    <row r="823" spans="2:14">
      <c r="B823" s="86"/>
      <c r="E823" s="87"/>
      <c r="H823" s="89"/>
      <c r="K823" s="87"/>
      <c r="N823" s="89"/>
    </row>
    <row r="824" spans="2:14">
      <c r="B824" s="86"/>
      <c r="E824" s="87"/>
      <c r="H824" s="89"/>
      <c r="K824" s="87"/>
      <c r="N824" s="89"/>
    </row>
    <row r="825" spans="2:14">
      <c r="B825" s="86"/>
      <c r="E825" s="87"/>
      <c r="H825" s="89"/>
      <c r="K825" s="87"/>
      <c r="N825" s="89"/>
    </row>
    <row r="826" spans="2:14">
      <c r="B826" s="86"/>
      <c r="E826" s="87"/>
      <c r="H826" s="89"/>
      <c r="K826" s="87"/>
      <c r="N826" s="89"/>
    </row>
    <row r="827" spans="2:14">
      <c r="B827" s="86"/>
      <c r="E827" s="87"/>
      <c r="H827" s="89"/>
      <c r="K827" s="87"/>
      <c r="N827" s="89"/>
    </row>
    <row r="828" spans="2:14">
      <c r="B828" s="86"/>
      <c r="E828" s="87"/>
      <c r="H828" s="89"/>
      <c r="K828" s="87"/>
      <c r="N828" s="89"/>
    </row>
    <row r="829" spans="2:14">
      <c r="B829" s="86"/>
      <c r="E829" s="87"/>
      <c r="H829" s="89"/>
      <c r="K829" s="87"/>
      <c r="N829" s="89"/>
    </row>
    <row r="830" spans="2:14">
      <c r="B830" s="86"/>
      <c r="E830" s="87"/>
      <c r="H830" s="89"/>
      <c r="K830" s="87"/>
      <c r="N830" s="89"/>
    </row>
    <row r="831" spans="2:14">
      <c r="B831" s="86"/>
      <c r="E831" s="87"/>
      <c r="H831" s="89"/>
      <c r="K831" s="87"/>
      <c r="N831" s="89"/>
    </row>
    <row r="832" spans="2:14">
      <c r="B832" s="86"/>
      <c r="E832" s="87"/>
      <c r="H832" s="89"/>
      <c r="K832" s="87"/>
      <c r="N832" s="89"/>
    </row>
    <row r="833" spans="2:14">
      <c r="B833" s="86"/>
      <c r="E833" s="87"/>
      <c r="H833" s="89"/>
      <c r="K833" s="87"/>
      <c r="N833" s="89"/>
    </row>
    <row r="834" spans="2:14">
      <c r="B834" s="86"/>
      <c r="E834" s="87"/>
      <c r="H834" s="89"/>
      <c r="K834" s="87"/>
      <c r="N834" s="89"/>
    </row>
    <row r="835" spans="2:14">
      <c r="B835" s="86"/>
      <c r="E835" s="87"/>
      <c r="H835" s="89"/>
      <c r="K835" s="87"/>
      <c r="N835" s="89"/>
    </row>
    <row r="836" spans="2:14">
      <c r="B836" s="86"/>
      <c r="E836" s="87"/>
      <c r="H836" s="89"/>
      <c r="K836" s="87"/>
      <c r="N836" s="89"/>
    </row>
    <row r="837" spans="2:14">
      <c r="B837" s="86"/>
      <c r="E837" s="87"/>
      <c r="H837" s="89"/>
      <c r="K837" s="87"/>
      <c r="N837" s="89"/>
    </row>
    <row r="838" spans="2:14">
      <c r="B838" s="86"/>
      <c r="E838" s="87"/>
      <c r="H838" s="89"/>
      <c r="K838" s="87"/>
      <c r="N838" s="89"/>
    </row>
    <row r="839" spans="2:14">
      <c r="B839" s="86"/>
      <c r="E839" s="87"/>
      <c r="H839" s="89"/>
      <c r="K839" s="87"/>
      <c r="N839" s="89"/>
    </row>
    <row r="840" spans="2:14">
      <c r="B840" s="86"/>
      <c r="E840" s="87"/>
      <c r="H840" s="89"/>
      <c r="K840" s="87"/>
      <c r="N840" s="89"/>
    </row>
    <row r="841" spans="2:14">
      <c r="B841" s="86"/>
      <c r="E841" s="87"/>
      <c r="H841" s="89"/>
      <c r="K841" s="87"/>
      <c r="N841" s="89"/>
    </row>
    <row r="842" spans="2:14">
      <c r="B842" s="86"/>
      <c r="E842" s="87"/>
      <c r="H842" s="89"/>
      <c r="K842" s="87"/>
      <c r="N842" s="89"/>
    </row>
    <row r="843" spans="2:14">
      <c r="B843" s="86"/>
      <c r="E843" s="87"/>
      <c r="H843" s="89"/>
      <c r="K843" s="87"/>
      <c r="N843" s="89"/>
    </row>
    <row r="844" spans="2:14">
      <c r="B844" s="86"/>
      <c r="E844" s="87"/>
      <c r="H844" s="89"/>
      <c r="K844" s="87"/>
      <c r="N844" s="89"/>
    </row>
    <row r="845" spans="2:14">
      <c r="B845" s="86"/>
      <c r="E845" s="87"/>
      <c r="H845" s="89"/>
      <c r="K845" s="87"/>
      <c r="N845" s="89"/>
    </row>
    <row r="846" spans="2:14">
      <c r="B846" s="86"/>
      <c r="E846" s="87"/>
      <c r="H846" s="89"/>
      <c r="K846" s="87"/>
      <c r="N846" s="89"/>
    </row>
    <row r="847" spans="2:14">
      <c r="B847" s="86"/>
      <c r="E847" s="87"/>
      <c r="H847" s="89"/>
      <c r="K847" s="87"/>
      <c r="N847" s="89"/>
    </row>
    <row r="848" spans="2:14">
      <c r="B848" s="86"/>
      <c r="E848" s="87"/>
      <c r="H848" s="89"/>
      <c r="K848" s="87"/>
      <c r="N848" s="89"/>
    </row>
    <row r="849" spans="2:14">
      <c r="B849" s="86"/>
      <c r="E849" s="87"/>
      <c r="H849" s="89"/>
      <c r="K849" s="87"/>
      <c r="N849" s="89"/>
    </row>
    <row r="850" spans="2:14">
      <c r="B850" s="86"/>
      <c r="E850" s="87"/>
      <c r="H850" s="89"/>
      <c r="K850" s="87"/>
      <c r="N850" s="89"/>
    </row>
    <row r="851" spans="2:14">
      <c r="B851" s="86"/>
      <c r="E851" s="87"/>
      <c r="H851" s="89"/>
      <c r="K851" s="87"/>
      <c r="N851" s="89"/>
    </row>
    <row r="852" spans="2:14">
      <c r="B852" s="86"/>
      <c r="E852" s="87"/>
      <c r="H852" s="89"/>
      <c r="K852" s="87"/>
      <c r="N852" s="89"/>
    </row>
    <row r="853" spans="2:14">
      <c r="B853" s="86"/>
      <c r="E853" s="87"/>
      <c r="H853" s="89"/>
      <c r="K853" s="87"/>
      <c r="N853" s="89"/>
    </row>
    <row r="854" spans="2:14">
      <c r="B854" s="86"/>
      <c r="E854" s="87"/>
      <c r="H854" s="89"/>
      <c r="K854" s="87"/>
      <c r="N854" s="89"/>
    </row>
    <row r="855" spans="2:14">
      <c r="B855" s="86"/>
      <c r="E855" s="87"/>
      <c r="H855" s="89"/>
      <c r="K855" s="87"/>
      <c r="N855" s="89"/>
    </row>
    <row r="856" spans="2:14">
      <c r="B856" s="86"/>
      <c r="E856" s="87"/>
      <c r="H856" s="89"/>
      <c r="K856" s="87"/>
      <c r="N856" s="89"/>
    </row>
    <row r="857" spans="2:14">
      <c r="B857" s="86"/>
      <c r="E857" s="87"/>
      <c r="H857" s="89"/>
      <c r="K857" s="87"/>
      <c r="N857" s="89"/>
    </row>
    <row r="858" spans="2:14">
      <c r="B858" s="86"/>
      <c r="E858" s="87"/>
      <c r="H858" s="89"/>
      <c r="K858" s="87"/>
      <c r="N858" s="89"/>
    </row>
    <row r="859" spans="2:14">
      <c r="B859" s="86"/>
      <c r="E859" s="87"/>
      <c r="H859" s="89"/>
      <c r="K859" s="87"/>
      <c r="N859" s="89"/>
    </row>
    <row r="860" spans="2:14">
      <c r="B860" s="86"/>
      <c r="E860" s="87"/>
      <c r="H860" s="89"/>
      <c r="K860" s="87"/>
      <c r="N860" s="89"/>
    </row>
    <row r="861" spans="2:14">
      <c r="B861" s="86"/>
      <c r="E861" s="87"/>
      <c r="H861" s="89"/>
      <c r="K861" s="87"/>
      <c r="N861" s="89"/>
    </row>
    <row r="862" spans="2:14">
      <c r="B862" s="86"/>
      <c r="E862" s="87"/>
      <c r="H862" s="89"/>
      <c r="K862" s="87"/>
      <c r="N862" s="89"/>
    </row>
    <row r="863" spans="2:14">
      <c r="B863" s="86"/>
      <c r="E863" s="87"/>
      <c r="H863" s="89"/>
      <c r="K863" s="87"/>
      <c r="N863" s="89"/>
    </row>
    <row r="864" spans="2:14">
      <c r="B864" s="86"/>
      <c r="E864" s="87"/>
      <c r="H864" s="89"/>
      <c r="K864" s="87"/>
      <c r="N864" s="89"/>
    </row>
    <row r="865" spans="2:14">
      <c r="B865" s="86"/>
      <c r="E865" s="87"/>
      <c r="H865" s="89"/>
      <c r="K865" s="87"/>
      <c r="N865" s="89"/>
    </row>
    <row r="866" spans="2:14">
      <c r="B866" s="86"/>
      <c r="E866" s="87"/>
      <c r="H866" s="89"/>
      <c r="K866" s="87"/>
      <c r="N866" s="89"/>
    </row>
    <row r="867" spans="2:14">
      <c r="B867" s="86"/>
      <c r="E867" s="87"/>
      <c r="H867" s="89"/>
      <c r="K867" s="87"/>
      <c r="N867" s="89"/>
    </row>
    <row r="868" spans="2:14">
      <c r="B868" s="86"/>
      <c r="E868" s="87"/>
      <c r="H868" s="89"/>
      <c r="K868" s="87"/>
      <c r="N868" s="89"/>
    </row>
    <row r="869" spans="2:14">
      <c r="B869" s="86"/>
      <c r="E869" s="87"/>
      <c r="H869" s="89"/>
      <c r="K869" s="87"/>
      <c r="N869" s="89"/>
    </row>
    <row r="870" spans="2:14">
      <c r="B870" s="86"/>
      <c r="E870" s="87"/>
      <c r="H870" s="89"/>
      <c r="K870" s="87"/>
      <c r="N870" s="89"/>
    </row>
    <row r="871" spans="2:14">
      <c r="B871" s="86"/>
      <c r="E871" s="87"/>
      <c r="H871" s="89"/>
      <c r="K871" s="87"/>
      <c r="N871" s="89"/>
    </row>
    <row r="872" spans="2:14">
      <c r="B872" s="86"/>
      <c r="E872" s="87"/>
      <c r="H872" s="89"/>
      <c r="K872" s="87"/>
      <c r="N872" s="89"/>
    </row>
    <row r="873" spans="2:14">
      <c r="B873" s="86"/>
      <c r="E873" s="87"/>
      <c r="H873" s="89"/>
      <c r="K873" s="87"/>
      <c r="N873" s="89"/>
    </row>
    <row r="874" spans="2:14">
      <c r="B874" s="86"/>
      <c r="E874" s="87"/>
      <c r="H874" s="89"/>
      <c r="K874" s="87"/>
      <c r="N874" s="89"/>
    </row>
    <row r="875" spans="2:14">
      <c r="B875" s="86"/>
      <c r="E875" s="87"/>
      <c r="H875" s="89"/>
      <c r="K875" s="87"/>
      <c r="N875" s="89"/>
    </row>
    <row r="876" spans="2:14">
      <c r="B876" s="86"/>
      <c r="E876" s="87"/>
      <c r="H876" s="89"/>
      <c r="K876" s="87"/>
      <c r="N876" s="89"/>
    </row>
    <row r="877" spans="2:14">
      <c r="B877" s="86"/>
      <c r="E877" s="87"/>
      <c r="H877" s="89"/>
      <c r="K877" s="87"/>
      <c r="N877" s="89"/>
    </row>
    <row r="878" spans="2:14">
      <c r="B878" s="86"/>
      <c r="E878" s="87"/>
      <c r="H878" s="89"/>
      <c r="K878" s="87"/>
      <c r="N878" s="89"/>
    </row>
    <row r="879" spans="2:14">
      <c r="B879" s="86"/>
      <c r="E879" s="87"/>
      <c r="H879" s="89"/>
      <c r="K879" s="87"/>
      <c r="N879" s="89"/>
    </row>
    <row r="880" spans="2:14">
      <c r="B880" s="86"/>
      <c r="E880" s="87"/>
      <c r="H880" s="89"/>
      <c r="K880" s="87"/>
      <c r="N880" s="89"/>
    </row>
    <row r="881" spans="2:14">
      <c r="B881" s="86"/>
      <c r="E881" s="87"/>
      <c r="H881" s="89"/>
      <c r="K881" s="87"/>
      <c r="N881" s="89"/>
    </row>
    <row r="882" spans="2:14">
      <c r="B882" s="86"/>
      <c r="E882" s="87"/>
      <c r="H882" s="89"/>
      <c r="K882" s="87"/>
      <c r="N882" s="89"/>
    </row>
    <row r="883" spans="2:14">
      <c r="B883" s="86"/>
      <c r="E883" s="87"/>
      <c r="H883" s="89"/>
      <c r="K883" s="87"/>
      <c r="N883" s="89"/>
    </row>
    <row r="884" spans="2:14">
      <c r="B884" s="86"/>
      <c r="E884" s="87"/>
      <c r="H884" s="89"/>
      <c r="K884" s="87"/>
      <c r="N884" s="89"/>
    </row>
    <row r="885" spans="2:14">
      <c r="B885" s="86"/>
      <c r="E885" s="87"/>
      <c r="H885" s="89"/>
      <c r="K885" s="87"/>
      <c r="N885" s="89"/>
    </row>
    <row r="886" spans="2:14">
      <c r="B886" s="86"/>
      <c r="E886" s="87"/>
      <c r="H886" s="89"/>
      <c r="K886" s="87"/>
      <c r="N886" s="89"/>
    </row>
    <row r="887" spans="2:14">
      <c r="B887" s="86"/>
      <c r="E887" s="87"/>
      <c r="H887" s="89"/>
      <c r="K887" s="87"/>
      <c r="N887" s="89"/>
    </row>
    <row r="888" spans="2:14">
      <c r="B888" s="86"/>
      <c r="E888" s="87"/>
      <c r="H888" s="89"/>
      <c r="K888" s="87"/>
      <c r="N888" s="89"/>
    </row>
    <row r="889" spans="2:14">
      <c r="B889" s="86"/>
      <c r="E889" s="87"/>
      <c r="H889" s="89"/>
      <c r="K889" s="87"/>
      <c r="N889" s="89"/>
    </row>
    <row r="890" spans="2:14">
      <c r="B890" s="86"/>
      <c r="E890" s="87"/>
      <c r="H890" s="89"/>
      <c r="K890" s="87"/>
      <c r="N890" s="89"/>
    </row>
    <row r="891" spans="2:14">
      <c r="B891" s="86"/>
      <c r="E891" s="87"/>
      <c r="H891" s="89"/>
      <c r="K891" s="87"/>
      <c r="N891" s="89"/>
    </row>
    <row r="892" spans="2:14">
      <c r="B892" s="86"/>
      <c r="E892" s="87"/>
      <c r="H892" s="89"/>
      <c r="K892" s="87"/>
      <c r="N892" s="89"/>
    </row>
    <row r="893" spans="2:14">
      <c r="B893" s="86"/>
      <c r="E893" s="87"/>
      <c r="H893" s="89"/>
      <c r="K893" s="87"/>
      <c r="N893" s="89"/>
    </row>
    <row r="894" spans="2:14">
      <c r="B894" s="86"/>
      <c r="E894" s="87"/>
      <c r="H894" s="89"/>
      <c r="K894" s="87"/>
      <c r="N894" s="89"/>
    </row>
    <row r="895" spans="2:14">
      <c r="B895" s="86"/>
      <c r="E895" s="87"/>
      <c r="H895" s="89"/>
      <c r="K895" s="87"/>
      <c r="N895" s="89"/>
    </row>
    <row r="896" spans="2:14">
      <c r="B896" s="86"/>
      <c r="E896" s="87"/>
      <c r="H896" s="89"/>
      <c r="K896" s="87"/>
      <c r="N896" s="89"/>
    </row>
    <row r="897" spans="2:14">
      <c r="B897" s="86"/>
      <c r="E897" s="87"/>
      <c r="H897" s="89"/>
      <c r="K897" s="87"/>
      <c r="N897" s="89"/>
    </row>
    <row r="898" spans="2:14">
      <c r="B898" s="86"/>
      <c r="E898" s="87"/>
      <c r="H898" s="89"/>
      <c r="K898" s="87"/>
      <c r="N898" s="89"/>
    </row>
    <row r="899" spans="2:14">
      <c r="B899" s="86"/>
      <c r="E899" s="87"/>
      <c r="H899" s="89"/>
      <c r="K899" s="87"/>
      <c r="N899" s="89"/>
    </row>
    <row r="900" spans="2:14">
      <c r="B900" s="86"/>
      <c r="E900" s="87"/>
      <c r="H900" s="89"/>
      <c r="K900" s="87"/>
      <c r="N900" s="89"/>
    </row>
    <row r="901" spans="2:14">
      <c r="B901" s="86"/>
      <c r="E901" s="87"/>
      <c r="H901" s="89"/>
      <c r="K901" s="87"/>
      <c r="N901" s="89"/>
    </row>
    <row r="902" spans="2:14">
      <c r="B902" s="86"/>
      <c r="E902" s="87"/>
      <c r="H902" s="89"/>
      <c r="K902" s="87"/>
      <c r="N902" s="89"/>
    </row>
    <row r="903" spans="2:14">
      <c r="B903" s="86"/>
      <c r="E903" s="87"/>
      <c r="H903" s="89"/>
      <c r="K903" s="87"/>
      <c r="N903" s="89"/>
    </row>
    <row r="904" spans="2:14">
      <c r="B904" s="86"/>
      <c r="E904" s="87"/>
      <c r="H904" s="89"/>
      <c r="K904" s="87"/>
      <c r="N904" s="89"/>
    </row>
    <row r="905" spans="2:14">
      <c r="B905" s="86"/>
      <c r="E905" s="87"/>
      <c r="H905" s="89"/>
      <c r="K905" s="87"/>
      <c r="N905" s="89"/>
    </row>
    <row r="906" spans="2:14">
      <c r="B906" s="86"/>
      <c r="E906" s="87"/>
      <c r="H906" s="89"/>
      <c r="K906" s="87"/>
      <c r="N906" s="89"/>
    </row>
    <row r="907" spans="2:14">
      <c r="B907" s="86"/>
      <c r="E907" s="87"/>
      <c r="H907" s="89"/>
      <c r="K907" s="87"/>
      <c r="N907" s="89"/>
    </row>
    <row r="908" spans="2:14">
      <c r="B908" s="86"/>
      <c r="E908" s="87"/>
      <c r="H908" s="89"/>
      <c r="K908" s="87"/>
      <c r="N908" s="89"/>
    </row>
    <row r="909" spans="2:14">
      <c r="B909" s="86"/>
      <c r="E909" s="87"/>
      <c r="H909" s="89"/>
      <c r="K909" s="87"/>
      <c r="N909" s="89"/>
    </row>
    <row r="910" spans="2:14">
      <c r="B910" s="86"/>
      <c r="E910" s="87"/>
      <c r="H910" s="89"/>
      <c r="K910" s="87"/>
      <c r="N910" s="89"/>
    </row>
    <row r="911" spans="2:14">
      <c r="B911" s="86"/>
      <c r="E911" s="87"/>
      <c r="H911" s="89"/>
      <c r="K911" s="87"/>
      <c r="N911" s="89"/>
    </row>
    <row r="912" spans="2:14">
      <c r="B912" s="86"/>
      <c r="E912" s="87"/>
      <c r="H912" s="89"/>
      <c r="K912" s="87"/>
      <c r="N912" s="89"/>
    </row>
    <row r="913" spans="2:14">
      <c r="B913" s="86"/>
      <c r="E913" s="87"/>
      <c r="H913" s="89"/>
      <c r="K913" s="87"/>
      <c r="N913" s="89"/>
    </row>
    <row r="914" spans="2:14">
      <c r="B914" s="86"/>
      <c r="E914" s="87"/>
      <c r="H914" s="89"/>
      <c r="K914" s="87"/>
      <c r="N914" s="89"/>
    </row>
    <row r="915" spans="2:14">
      <c r="B915" s="86"/>
      <c r="E915" s="87"/>
      <c r="H915" s="89"/>
      <c r="K915" s="87"/>
      <c r="N915" s="89"/>
    </row>
    <row r="916" spans="2:14">
      <c r="B916" s="86"/>
      <c r="E916" s="87"/>
      <c r="H916" s="89"/>
      <c r="K916" s="87"/>
      <c r="N916" s="89"/>
    </row>
    <row r="917" spans="2:14">
      <c r="B917" s="86"/>
      <c r="E917" s="87"/>
      <c r="H917" s="89"/>
      <c r="K917" s="87"/>
      <c r="N917" s="89"/>
    </row>
    <row r="918" spans="2:14">
      <c r="B918" s="86"/>
      <c r="E918" s="87"/>
      <c r="H918" s="89"/>
      <c r="K918" s="87"/>
      <c r="N918" s="89"/>
    </row>
    <row r="919" spans="2:14">
      <c r="B919" s="86"/>
      <c r="E919" s="87"/>
      <c r="H919" s="89"/>
      <c r="K919" s="87"/>
      <c r="N919" s="89"/>
    </row>
    <row r="920" spans="2:14">
      <c r="B920" s="86"/>
      <c r="E920" s="87"/>
      <c r="H920" s="89"/>
      <c r="K920" s="87"/>
      <c r="N920" s="89"/>
    </row>
    <row r="921" spans="2:14">
      <c r="B921" s="86"/>
      <c r="E921" s="87"/>
      <c r="H921" s="89"/>
      <c r="K921" s="87"/>
      <c r="N921" s="89"/>
    </row>
    <row r="922" spans="2:14">
      <c r="B922" s="86"/>
      <c r="E922" s="87"/>
      <c r="H922" s="89"/>
      <c r="K922" s="87"/>
      <c r="N922" s="89"/>
    </row>
    <row r="923" spans="2:14">
      <c r="B923" s="86"/>
      <c r="E923" s="87"/>
      <c r="H923" s="89"/>
      <c r="K923" s="87"/>
      <c r="N923" s="89"/>
    </row>
    <row r="924" spans="2:14">
      <c r="B924" s="86"/>
      <c r="E924" s="87"/>
      <c r="H924" s="89"/>
      <c r="K924" s="87"/>
      <c r="N924" s="89"/>
    </row>
    <row r="925" spans="2:14">
      <c r="B925" s="86"/>
      <c r="E925" s="87"/>
      <c r="H925" s="89"/>
      <c r="K925" s="87"/>
      <c r="N925" s="89"/>
    </row>
    <row r="926" spans="2:14">
      <c r="B926" s="86"/>
      <c r="E926" s="87"/>
      <c r="H926" s="89"/>
      <c r="K926" s="87"/>
      <c r="N926" s="89"/>
    </row>
    <row r="927" spans="2:14">
      <c r="B927" s="86"/>
      <c r="E927" s="87"/>
      <c r="H927" s="89"/>
      <c r="K927" s="87"/>
      <c r="N927" s="89"/>
    </row>
    <row r="928" spans="2:14">
      <c r="B928" s="86"/>
      <c r="E928" s="87"/>
      <c r="H928" s="89"/>
      <c r="K928" s="87"/>
      <c r="N928" s="89"/>
    </row>
    <row r="929" spans="2:14">
      <c r="B929" s="86"/>
      <c r="E929" s="87"/>
      <c r="H929" s="89"/>
      <c r="K929" s="87"/>
      <c r="N929" s="89"/>
    </row>
    <row r="930" spans="2:14">
      <c r="B930" s="86"/>
      <c r="E930" s="87"/>
      <c r="H930" s="89"/>
      <c r="K930" s="87"/>
      <c r="N930" s="89"/>
    </row>
    <row r="931" spans="2:14">
      <c r="B931" s="86"/>
      <c r="E931" s="87"/>
      <c r="H931" s="89"/>
      <c r="K931" s="87"/>
      <c r="N931" s="89"/>
    </row>
    <row r="932" spans="2:14">
      <c r="B932" s="86"/>
      <c r="E932" s="87"/>
      <c r="H932" s="89"/>
      <c r="K932" s="87"/>
      <c r="N932" s="89"/>
    </row>
    <row r="933" spans="2:14">
      <c r="B933" s="86"/>
      <c r="E933" s="87"/>
      <c r="H933" s="89"/>
      <c r="K933" s="87"/>
      <c r="N933" s="89"/>
    </row>
    <row r="934" spans="2:14">
      <c r="B934" s="86"/>
      <c r="E934" s="87"/>
      <c r="H934" s="89"/>
      <c r="K934" s="87"/>
      <c r="N934" s="89"/>
    </row>
    <row r="935" spans="2:14">
      <c r="B935" s="86"/>
      <c r="E935" s="87"/>
      <c r="H935" s="89"/>
      <c r="K935" s="87"/>
      <c r="N935" s="89"/>
    </row>
    <row r="936" spans="2:14">
      <c r="B936" s="86"/>
      <c r="E936" s="87"/>
      <c r="H936" s="89"/>
      <c r="K936" s="87"/>
      <c r="N936" s="89"/>
    </row>
    <row r="937" spans="2:14">
      <c r="B937" s="86"/>
      <c r="E937" s="87"/>
      <c r="H937" s="89"/>
      <c r="K937" s="87"/>
      <c r="N937" s="89"/>
    </row>
    <row r="938" spans="2:14">
      <c r="B938" s="86"/>
      <c r="E938" s="87"/>
      <c r="H938" s="89"/>
      <c r="K938" s="87"/>
      <c r="N938" s="89"/>
    </row>
    <row r="939" spans="2:14">
      <c r="B939" s="86"/>
      <c r="E939" s="87"/>
      <c r="H939" s="89"/>
      <c r="K939" s="87"/>
      <c r="N939" s="89"/>
    </row>
    <row r="940" spans="2:14">
      <c r="B940" s="86"/>
      <c r="E940" s="87"/>
      <c r="H940" s="89"/>
      <c r="K940" s="87"/>
      <c r="N940" s="89"/>
    </row>
    <row r="941" spans="2:14">
      <c r="B941" s="86"/>
      <c r="E941" s="87"/>
      <c r="H941" s="89"/>
      <c r="K941" s="87"/>
      <c r="N941" s="89"/>
    </row>
    <row r="942" spans="2:14">
      <c r="B942" s="86"/>
      <c r="E942" s="87"/>
      <c r="H942" s="89"/>
      <c r="K942" s="87"/>
      <c r="N942" s="89"/>
    </row>
    <row r="943" spans="2:14">
      <c r="B943" s="86"/>
      <c r="E943" s="87"/>
      <c r="H943" s="89"/>
      <c r="K943" s="87"/>
      <c r="N943" s="89"/>
    </row>
    <row r="944" spans="2:14">
      <c r="B944" s="86"/>
      <c r="E944" s="87"/>
      <c r="H944" s="89"/>
      <c r="K944" s="87"/>
      <c r="N944" s="89"/>
    </row>
    <row r="945" spans="2:14">
      <c r="B945" s="86"/>
      <c r="E945" s="87"/>
      <c r="H945" s="89"/>
      <c r="K945" s="87"/>
      <c r="N945" s="89"/>
    </row>
    <row r="946" spans="2:14">
      <c r="B946" s="86"/>
      <c r="E946" s="87"/>
      <c r="H946" s="89"/>
      <c r="K946" s="87"/>
      <c r="N946" s="89"/>
    </row>
    <row r="947" spans="2:14">
      <c r="B947" s="86"/>
      <c r="E947" s="87"/>
      <c r="H947" s="89"/>
      <c r="K947" s="87"/>
      <c r="N947" s="89"/>
    </row>
    <row r="948" spans="2:14">
      <c r="B948" s="86"/>
      <c r="E948" s="87"/>
      <c r="H948" s="89"/>
      <c r="K948" s="87"/>
      <c r="N948" s="89"/>
    </row>
    <row r="949" spans="2:14">
      <c r="B949" s="86"/>
      <c r="E949" s="87"/>
      <c r="H949" s="89"/>
      <c r="K949" s="87"/>
      <c r="N949" s="89"/>
    </row>
    <row r="950" spans="2:14">
      <c r="B950" s="86"/>
      <c r="E950" s="87"/>
      <c r="H950" s="89"/>
      <c r="K950" s="87"/>
      <c r="N950" s="89"/>
    </row>
    <row r="951" spans="2:14">
      <c r="B951" s="86"/>
      <c r="E951" s="87"/>
      <c r="H951" s="89"/>
      <c r="K951" s="87"/>
      <c r="N951" s="89"/>
    </row>
    <row r="952" spans="2:14">
      <c r="B952" s="86"/>
      <c r="E952" s="87"/>
      <c r="H952" s="89"/>
      <c r="K952" s="87"/>
      <c r="N952" s="89"/>
    </row>
    <row r="953" spans="2:14">
      <c r="B953" s="86"/>
      <c r="E953" s="87"/>
      <c r="H953" s="89"/>
      <c r="K953" s="87"/>
      <c r="N953" s="89"/>
    </row>
    <row r="954" spans="2:14">
      <c r="B954" s="86"/>
      <c r="E954" s="87"/>
      <c r="H954" s="89"/>
      <c r="K954" s="87"/>
      <c r="N954" s="89"/>
    </row>
    <row r="955" spans="2:14">
      <c r="B955" s="86"/>
      <c r="E955" s="87"/>
      <c r="H955" s="89"/>
      <c r="K955" s="87"/>
      <c r="N955" s="89"/>
    </row>
    <row r="956" spans="2:14">
      <c r="B956" s="86"/>
      <c r="E956" s="87"/>
      <c r="H956" s="89"/>
      <c r="K956" s="87"/>
      <c r="N956" s="89"/>
    </row>
    <row r="957" spans="2:14">
      <c r="B957" s="86"/>
      <c r="E957" s="87"/>
      <c r="H957" s="89"/>
      <c r="K957" s="87"/>
      <c r="N957" s="89"/>
    </row>
    <row r="958" spans="2:14">
      <c r="B958" s="86"/>
      <c r="E958" s="87"/>
      <c r="H958" s="89"/>
      <c r="K958" s="87"/>
      <c r="N958" s="89"/>
    </row>
    <row r="959" spans="2:14">
      <c r="B959" s="86"/>
      <c r="E959" s="87"/>
      <c r="H959" s="89"/>
      <c r="K959" s="87"/>
      <c r="N959" s="89"/>
    </row>
    <row r="960" spans="2:14">
      <c r="B960" s="86"/>
      <c r="E960" s="87"/>
      <c r="H960" s="89"/>
      <c r="K960" s="87"/>
      <c r="N960" s="89"/>
    </row>
    <row r="961" spans="2:14">
      <c r="B961" s="86"/>
      <c r="E961" s="87"/>
      <c r="H961" s="89"/>
      <c r="K961" s="87"/>
      <c r="N961" s="89"/>
    </row>
    <row r="962" spans="2:14">
      <c r="B962" s="86"/>
      <c r="E962" s="87"/>
      <c r="H962" s="89"/>
      <c r="K962" s="87"/>
      <c r="N962" s="89"/>
    </row>
    <row r="963" spans="2:14">
      <c r="B963" s="86"/>
      <c r="E963" s="87"/>
      <c r="H963" s="89"/>
      <c r="K963" s="87"/>
      <c r="N963" s="89"/>
    </row>
    <row r="964" spans="2:14">
      <c r="B964" s="86"/>
      <c r="E964" s="87"/>
      <c r="H964" s="89"/>
      <c r="K964" s="87"/>
      <c r="N964" s="89"/>
    </row>
    <row r="965" spans="2:14">
      <c r="B965" s="86"/>
      <c r="E965" s="87"/>
      <c r="H965" s="89"/>
      <c r="K965" s="87"/>
      <c r="N965" s="89"/>
    </row>
    <row r="966" spans="2:14">
      <c r="B966" s="86"/>
      <c r="E966" s="87"/>
      <c r="H966" s="89"/>
      <c r="K966" s="87"/>
      <c r="N966" s="89"/>
    </row>
    <row r="967" spans="2:14">
      <c r="B967" s="86"/>
      <c r="E967" s="87"/>
      <c r="H967" s="89"/>
      <c r="K967" s="87"/>
      <c r="N967" s="89"/>
    </row>
    <row r="968" spans="2:14">
      <c r="B968" s="86"/>
      <c r="E968" s="87"/>
      <c r="H968" s="89"/>
      <c r="K968" s="87"/>
      <c r="N968" s="89"/>
    </row>
    <row r="969" spans="2:14">
      <c r="B969" s="86"/>
      <c r="E969" s="87"/>
      <c r="H969" s="89"/>
      <c r="K969" s="87"/>
      <c r="N969" s="89"/>
    </row>
    <row r="970" spans="2:14">
      <c r="B970" s="86"/>
      <c r="E970" s="87"/>
      <c r="H970" s="89"/>
      <c r="K970" s="87"/>
      <c r="N970" s="89"/>
    </row>
    <row r="971" spans="2:14">
      <c r="B971" s="86"/>
      <c r="E971" s="87"/>
      <c r="H971" s="89"/>
      <c r="K971" s="87"/>
      <c r="N971" s="89"/>
    </row>
    <row r="972" spans="2:14">
      <c r="B972" s="86"/>
      <c r="E972" s="87"/>
      <c r="H972" s="89"/>
      <c r="K972" s="87"/>
      <c r="N972" s="89"/>
    </row>
    <row r="973" spans="2:14">
      <c r="B973" s="86"/>
      <c r="E973" s="87"/>
      <c r="H973" s="89"/>
      <c r="K973" s="87"/>
      <c r="N973" s="89"/>
    </row>
    <row r="974" spans="2:14">
      <c r="B974" s="86"/>
      <c r="E974" s="87"/>
      <c r="H974" s="89"/>
      <c r="K974" s="87"/>
      <c r="N974" s="89"/>
    </row>
    <row r="975" spans="2:14">
      <c r="B975" s="86"/>
      <c r="E975" s="87"/>
      <c r="H975" s="89"/>
      <c r="K975" s="87"/>
      <c r="N975" s="89"/>
    </row>
    <row r="976" spans="2:14">
      <c r="B976" s="86"/>
      <c r="E976" s="87"/>
      <c r="H976" s="89"/>
      <c r="K976" s="87"/>
      <c r="N976" s="89"/>
    </row>
    <row r="977" spans="2:14">
      <c r="B977" s="86"/>
      <c r="E977" s="87"/>
      <c r="H977" s="89"/>
      <c r="K977" s="87"/>
      <c r="N977" s="89"/>
    </row>
    <row r="978" spans="2:14">
      <c r="B978" s="86"/>
      <c r="E978" s="87"/>
      <c r="H978" s="89"/>
      <c r="K978" s="87"/>
      <c r="N978" s="89"/>
    </row>
    <row r="979" spans="2:14">
      <c r="B979" s="86"/>
      <c r="E979" s="87"/>
      <c r="H979" s="89"/>
      <c r="K979" s="87"/>
      <c r="N979" s="89"/>
    </row>
    <row r="980" spans="2:14">
      <c r="B980" s="86"/>
      <c r="E980" s="87"/>
      <c r="H980" s="89"/>
      <c r="K980" s="87"/>
      <c r="N980" s="89"/>
    </row>
    <row r="981" spans="2:14">
      <c r="B981" s="86"/>
      <c r="E981" s="87"/>
      <c r="H981" s="89"/>
      <c r="K981" s="87"/>
      <c r="N981" s="89"/>
    </row>
    <row r="982" spans="2:14">
      <c r="B982" s="86"/>
      <c r="E982" s="87"/>
      <c r="H982" s="89"/>
      <c r="K982" s="87"/>
      <c r="N982" s="89"/>
    </row>
    <row r="983" spans="2:14">
      <c r="B983" s="86"/>
      <c r="E983" s="87"/>
      <c r="H983" s="89"/>
      <c r="K983" s="87"/>
      <c r="N983" s="89"/>
    </row>
    <row r="984" spans="2:14">
      <c r="B984" s="86"/>
      <c r="E984" s="87"/>
      <c r="H984" s="89"/>
      <c r="K984" s="87"/>
      <c r="N984" s="89"/>
    </row>
    <row r="985" spans="2:14">
      <c r="B985" s="86"/>
      <c r="E985" s="87"/>
      <c r="H985" s="89"/>
      <c r="K985" s="87"/>
      <c r="N985" s="89"/>
    </row>
    <row r="986" spans="2:14">
      <c r="B986" s="86"/>
      <c r="E986" s="87"/>
      <c r="H986" s="89"/>
      <c r="K986" s="87"/>
      <c r="N986" s="89"/>
    </row>
    <row r="987" spans="2:14">
      <c r="B987" s="86"/>
      <c r="E987" s="87"/>
      <c r="H987" s="89"/>
      <c r="K987" s="87"/>
      <c r="N987" s="89"/>
    </row>
    <row r="988" spans="2:14">
      <c r="B988" s="86"/>
      <c r="E988" s="87"/>
      <c r="H988" s="89"/>
      <c r="K988" s="87"/>
      <c r="N988" s="89"/>
    </row>
    <row r="989" spans="2:14">
      <c r="B989" s="86"/>
      <c r="E989" s="87"/>
      <c r="H989" s="89"/>
      <c r="K989" s="87"/>
      <c r="N989" s="89"/>
    </row>
    <row r="990" spans="2:14">
      <c r="B990" s="86"/>
      <c r="E990" s="87"/>
      <c r="H990" s="89"/>
      <c r="K990" s="87"/>
      <c r="N990" s="89"/>
    </row>
    <row r="991" spans="2:14">
      <c r="B991" s="86"/>
      <c r="E991" s="87"/>
      <c r="H991" s="89"/>
      <c r="K991" s="87"/>
      <c r="N991" s="89"/>
    </row>
    <row r="992" spans="2:14">
      <c r="B992" s="86"/>
      <c r="E992" s="87"/>
      <c r="H992" s="89"/>
      <c r="K992" s="87"/>
      <c r="N992" s="89"/>
    </row>
    <row r="993" spans="2:14">
      <c r="B993" s="86"/>
      <c r="E993" s="87"/>
      <c r="H993" s="89"/>
      <c r="K993" s="87"/>
      <c r="N993" s="89"/>
    </row>
    <row r="994" spans="2:14">
      <c r="B994" s="86"/>
      <c r="E994" s="87"/>
      <c r="H994" s="89"/>
      <c r="K994" s="87"/>
      <c r="N994" s="89"/>
    </row>
    <row r="995" spans="2:14">
      <c r="B995" s="86"/>
      <c r="E995" s="87"/>
      <c r="H995" s="89"/>
      <c r="K995" s="87"/>
      <c r="N995" s="89"/>
    </row>
    <row r="996" spans="2:14">
      <c r="B996" s="86"/>
      <c r="E996" s="87"/>
      <c r="H996" s="89"/>
      <c r="K996" s="87"/>
      <c r="N996" s="89"/>
    </row>
    <row r="997" spans="2:14">
      <c r="B997" s="86"/>
      <c r="E997" s="87"/>
      <c r="H997" s="89"/>
      <c r="K997" s="87"/>
      <c r="N997" s="89"/>
    </row>
    <row r="998" spans="2:14">
      <c r="B998" s="86"/>
      <c r="E998" s="87"/>
      <c r="H998" s="89"/>
      <c r="K998" s="87"/>
      <c r="N998" s="89"/>
    </row>
    <row r="999" spans="2:14">
      <c r="B999" s="86"/>
      <c r="E999" s="87"/>
      <c r="H999" s="89"/>
      <c r="K999" s="87"/>
      <c r="N999" s="89"/>
    </row>
    <row r="1000" spans="2:14">
      <c r="B1000" s="86"/>
      <c r="E1000" s="87"/>
      <c r="H1000" s="89"/>
      <c r="K1000" s="87"/>
      <c r="N1000" s="8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Z344"/>
  <sheetViews>
    <sheetView workbookViewId="0">
      <selection activeCell="D1" sqref="D1"/>
    </sheetView>
  </sheetViews>
  <sheetFormatPr baseColWidth="10" defaultColWidth="14.42578125" defaultRowHeight="15" customHeight="1"/>
  <sheetData>
    <row r="1" spans="1:26">
      <c r="A1" s="97" t="s">
        <v>452</v>
      </c>
      <c r="B1" s="97" t="s">
        <v>453</v>
      </c>
      <c r="C1" s="81" t="s">
        <v>471</v>
      </c>
      <c r="D1" s="81" t="s">
        <v>472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>
      <c r="A2" s="91">
        <v>10101</v>
      </c>
      <c r="B2" s="91" t="s">
        <v>25</v>
      </c>
      <c r="C2" s="93">
        <v>95.129313557427096</v>
      </c>
      <c r="D2" s="93">
        <v>98.801106670765407</v>
      </c>
    </row>
    <row r="3" spans="1:26">
      <c r="A3" s="91">
        <v>10102</v>
      </c>
      <c r="B3" s="91" t="s">
        <v>26</v>
      </c>
      <c r="C3" s="93">
        <v>96.300326441784506</v>
      </c>
      <c r="D3" s="93">
        <v>98.564593301435394</v>
      </c>
    </row>
    <row r="4" spans="1:26">
      <c r="A4" s="91">
        <v>10103</v>
      </c>
      <c r="B4" s="91" t="s">
        <v>27</v>
      </c>
      <c r="C4" s="93">
        <v>85.734200743494398</v>
      </c>
      <c r="D4" s="93">
        <v>98.486197684772904</v>
      </c>
    </row>
    <row r="5" spans="1:26">
      <c r="A5" s="91">
        <v>10201</v>
      </c>
      <c r="B5" s="91" t="s">
        <v>28</v>
      </c>
      <c r="C5" s="93">
        <v>88.947766843300499</v>
      </c>
      <c r="D5" s="93">
        <v>97.752808988764002</v>
      </c>
    </row>
    <row r="6" spans="1:26">
      <c r="A6" s="91">
        <v>10202</v>
      </c>
      <c r="B6" s="91" t="s">
        <v>29</v>
      </c>
      <c r="C6" s="93">
        <v>87.185929648241199</v>
      </c>
      <c r="D6" s="93">
        <v>96.749654218533905</v>
      </c>
    </row>
    <row r="7" spans="1:26">
      <c r="A7" s="91">
        <v>10301</v>
      </c>
      <c r="B7" s="91" t="s">
        <v>30</v>
      </c>
      <c r="C7" s="93">
        <v>91.059907834101395</v>
      </c>
      <c r="D7" s="93">
        <v>98.094170403587398</v>
      </c>
    </row>
    <row r="8" spans="1:26">
      <c r="A8" s="91">
        <v>10302</v>
      </c>
      <c r="B8" s="91" t="s">
        <v>31</v>
      </c>
      <c r="C8" s="93">
        <v>85.016501650164997</v>
      </c>
      <c r="D8" s="93">
        <v>96.3285024154589</v>
      </c>
    </row>
    <row r="9" spans="1:26">
      <c r="A9" s="91">
        <v>10303</v>
      </c>
      <c r="B9" s="91" t="s">
        <v>32</v>
      </c>
      <c r="C9" s="93">
        <v>91.836734693877602</v>
      </c>
      <c r="D9" s="93">
        <v>96.068152031454801</v>
      </c>
    </row>
    <row r="10" spans="1:26">
      <c r="A10" s="91">
        <v>10304</v>
      </c>
      <c r="B10" s="91" t="s">
        <v>33</v>
      </c>
      <c r="C10" s="93">
        <v>88.235294117647101</v>
      </c>
      <c r="D10" s="93">
        <v>98.4509466437177</v>
      </c>
    </row>
    <row r="11" spans="1:26">
      <c r="A11" s="91">
        <v>10401</v>
      </c>
      <c r="B11" s="91" t="s">
        <v>35</v>
      </c>
      <c r="C11" s="93">
        <v>89.468405215646897</v>
      </c>
      <c r="D11" s="93">
        <v>97.664233576642303</v>
      </c>
    </row>
    <row r="12" spans="1:26">
      <c r="A12" s="91">
        <v>10402</v>
      </c>
      <c r="B12" s="91" t="s">
        <v>34</v>
      </c>
      <c r="C12" s="93">
        <v>90.415335463258799</v>
      </c>
      <c r="D12" s="93">
        <v>97.9166666666667</v>
      </c>
    </row>
    <row r="13" spans="1:26">
      <c r="A13" s="91">
        <v>10403</v>
      </c>
      <c r="B13" s="91" t="s">
        <v>36</v>
      </c>
      <c r="C13" s="93">
        <v>89.683470105509997</v>
      </c>
      <c r="D13" s="93">
        <v>97.237569060773495</v>
      </c>
    </row>
    <row r="14" spans="1:26">
      <c r="A14" s="91">
        <v>10404</v>
      </c>
      <c r="B14" s="91" t="s">
        <v>37</v>
      </c>
      <c r="C14" s="93">
        <v>87.272727272727295</v>
      </c>
      <c r="D14" s="93">
        <v>97.854077253218904</v>
      </c>
    </row>
    <row r="15" spans="1:26">
      <c r="A15" s="91">
        <v>10405</v>
      </c>
      <c r="B15" s="91" t="s">
        <v>38</v>
      </c>
      <c r="C15" s="93">
        <v>95.744680851063805</v>
      </c>
      <c r="D15" s="93">
        <v>96.713615023474205</v>
      </c>
    </row>
    <row r="16" spans="1:26">
      <c r="A16" s="91">
        <v>10501</v>
      </c>
      <c r="B16" s="91" t="s">
        <v>40</v>
      </c>
      <c r="C16" s="93">
        <v>91.292246520874798</v>
      </c>
      <c r="D16" s="93">
        <v>98.306074766355096</v>
      </c>
    </row>
    <row r="17" spans="1:4">
      <c r="A17" s="91">
        <v>10502</v>
      </c>
      <c r="B17" s="91" t="s">
        <v>41</v>
      </c>
      <c r="C17" s="93">
        <v>90.992835209825998</v>
      </c>
      <c r="D17" s="93">
        <v>95.394736842105303</v>
      </c>
    </row>
    <row r="18" spans="1:4">
      <c r="A18" s="91">
        <v>10601</v>
      </c>
      <c r="B18" s="91" t="s">
        <v>43</v>
      </c>
      <c r="C18" s="93">
        <v>91.977715877437305</v>
      </c>
      <c r="D18" s="93">
        <v>98.434004474272896</v>
      </c>
    </row>
    <row r="19" spans="1:4">
      <c r="A19" s="91">
        <v>10602</v>
      </c>
      <c r="B19" s="91" t="s">
        <v>42</v>
      </c>
      <c r="C19" s="93">
        <v>95.126903553299499</v>
      </c>
      <c r="D19" s="93">
        <v>98.876404494382001</v>
      </c>
    </row>
    <row r="20" spans="1:4">
      <c r="A20" s="91">
        <v>10701</v>
      </c>
      <c r="B20" s="91" t="s">
        <v>45</v>
      </c>
      <c r="C20" s="93">
        <v>92.024169184290002</v>
      </c>
      <c r="D20" s="93">
        <v>97.077244258872696</v>
      </c>
    </row>
    <row r="21" spans="1:4">
      <c r="A21" s="91">
        <v>10702</v>
      </c>
      <c r="B21" s="91" t="s">
        <v>46</v>
      </c>
      <c r="C21" s="93">
        <v>87.550295857988203</v>
      </c>
      <c r="D21" s="93">
        <v>95.895196506550207</v>
      </c>
    </row>
    <row r="22" spans="1:4">
      <c r="A22" s="91">
        <v>10703</v>
      </c>
      <c r="B22" s="91" t="s">
        <v>47</v>
      </c>
      <c r="C22" s="93">
        <v>79.852857951329895</v>
      </c>
      <c r="D22" s="93">
        <v>96.3944076526858</v>
      </c>
    </row>
    <row r="23" spans="1:4">
      <c r="A23" s="91">
        <v>10704</v>
      </c>
      <c r="B23" s="91" t="s">
        <v>48</v>
      </c>
      <c r="C23" s="93">
        <v>86.868686868686893</v>
      </c>
      <c r="D23" s="93">
        <v>92.570951585976601</v>
      </c>
    </row>
    <row r="24" spans="1:4">
      <c r="A24" s="91">
        <v>10801</v>
      </c>
      <c r="B24" s="91" t="s">
        <v>50</v>
      </c>
      <c r="C24" s="93">
        <v>92.1929824561403</v>
      </c>
      <c r="D24" s="93">
        <v>98.185117967332104</v>
      </c>
    </row>
    <row r="25" spans="1:4">
      <c r="A25" s="91">
        <v>10901</v>
      </c>
      <c r="B25" s="91" t="s">
        <v>52</v>
      </c>
      <c r="C25" s="93">
        <v>94.416243654822296</v>
      </c>
      <c r="D25" s="93">
        <v>94.397759103641405</v>
      </c>
    </row>
    <row r="26" spans="1:4">
      <c r="A26" s="91">
        <v>10902</v>
      </c>
      <c r="B26" s="91" t="s">
        <v>53</v>
      </c>
      <c r="C26" s="93">
        <v>85.321528424976705</v>
      </c>
      <c r="D26" s="93">
        <v>95.440494590417302</v>
      </c>
    </row>
    <row r="27" spans="1:4">
      <c r="A27" s="91">
        <v>10903</v>
      </c>
      <c r="B27" s="91" t="s">
        <v>54</v>
      </c>
      <c r="C27" s="93">
        <v>91.9270833333333</v>
      </c>
      <c r="D27" s="93">
        <v>98.692810457516302</v>
      </c>
    </row>
    <row r="28" spans="1:4">
      <c r="A28" s="91">
        <v>11001</v>
      </c>
      <c r="B28" s="91" t="s">
        <v>56</v>
      </c>
      <c r="C28" s="93">
        <v>88.268156424580994</v>
      </c>
      <c r="D28" s="93">
        <v>97.167487684729096</v>
      </c>
    </row>
    <row r="29" spans="1:4">
      <c r="A29" s="91">
        <v>11002</v>
      </c>
      <c r="B29" s="91" t="s">
        <v>57</v>
      </c>
      <c r="C29" s="93">
        <v>88.815789473684205</v>
      </c>
      <c r="D29" s="93">
        <v>96.172248803827799</v>
      </c>
    </row>
    <row r="30" spans="1:4">
      <c r="A30" s="91">
        <v>11003</v>
      </c>
      <c r="B30" s="91" t="s">
        <v>58</v>
      </c>
      <c r="C30" s="93">
        <v>92.400482509046995</v>
      </c>
      <c r="D30" s="93">
        <v>89.443378119001906</v>
      </c>
    </row>
    <row r="31" spans="1:4">
      <c r="A31" s="91">
        <v>20101</v>
      </c>
      <c r="B31" s="91" t="s">
        <v>61</v>
      </c>
      <c r="C31" s="93">
        <v>95.768843739517905</v>
      </c>
      <c r="D31" s="93">
        <v>98.463732242789504</v>
      </c>
    </row>
    <row r="32" spans="1:4">
      <c r="A32" s="91">
        <v>20102</v>
      </c>
      <c r="B32" s="99" t="s">
        <v>62</v>
      </c>
      <c r="C32" s="93">
        <v>86.602870813397104</v>
      </c>
      <c r="D32" s="93">
        <v>96.604414261460093</v>
      </c>
    </row>
    <row r="33" spans="1:4">
      <c r="A33" s="91">
        <v>20103</v>
      </c>
      <c r="B33" s="99" t="s">
        <v>63</v>
      </c>
      <c r="C33" s="93">
        <v>92.759146341463406</v>
      </c>
      <c r="D33" s="93">
        <v>98.449612403100801</v>
      </c>
    </row>
    <row r="34" spans="1:4">
      <c r="A34" s="91">
        <v>20104</v>
      </c>
      <c r="B34" s="99" t="s">
        <v>64</v>
      </c>
      <c r="C34" s="93">
        <v>93.228421554601795</v>
      </c>
      <c r="D34" s="93">
        <v>98.584615384615404</v>
      </c>
    </row>
    <row r="35" spans="1:4">
      <c r="A35" s="91">
        <v>20105</v>
      </c>
      <c r="B35" s="99" t="s">
        <v>65</v>
      </c>
      <c r="C35" s="93">
        <v>93.207817745282298</v>
      </c>
      <c r="D35" s="93">
        <v>98.023864547469699</v>
      </c>
    </row>
    <row r="36" spans="1:4">
      <c r="A36" s="91">
        <v>20201</v>
      </c>
      <c r="B36" s="99" t="s">
        <v>67</v>
      </c>
      <c r="C36" s="93">
        <v>91.774662787622304</v>
      </c>
      <c r="D36" s="93">
        <v>97.920338385618606</v>
      </c>
    </row>
    <row r="37" spans="1:4">
      <c r="A37" s="91">
        <v>20202</v>
      </c>
      <c r="B37" s="99" t="s">
        <v>68</v>
      </c>
      <c r="C37" s="93">
        <v>92.857142857142904</v>
      </c>
      <c r="D37" s="93">
        <v>98.483316481294196</v>
      </c>
    </row>
    <row r="38" spans="1:4">
      <c r="A38" s="91">
        <v>20203</v>
      </c>
      <c r="B38" s="99" t="s">
        <v>72</v>
      </c>
      <c r="C38" s="93">
        <v>95.412844036697294</v>
      </c>
      <c r="D38" s="93">
        <v>98.704663212435193</v>
      </c>
    </row>
    <row r="39" spans="1:4">
      <c r="A39" s="91">
        <v>20204</v>
      </c>
      <c r="B39" s="99" t="s">
        <v>69</v>
      </c>
      <c r="C39" s="93">
        <v>97.2222222222222</v>
      </c>
      <c r="D39" s="93">
        <v>98.064516129032299</v>
      </c>
    </row>
    <row r="40" spans="1:4">
      <c r="A40" s="91">
        <v>20205</v>
      </c>
      <c r="B40" s="99" t="s">
        <v>70</v>
      </c>
      <c r="C40" s="93">
        <v>96.147403685092101</v>
      </c>
      <c r="D40" s="93">
        <v>97.995545657015597</v>
      </c>
    </row>
    <row r="41" spans="1:4">
      <c r="A41" s="91">
        <v>20206</v>
      </c>
      <c r="B41" s="99" t="s">
        <v>71</v>
      </c>
      <c r="C41" s="93">
        <v>98.240469208211195</v>
      </c>
      <c r="D41" s="93">
        <v>94.576271186440707</v>
      </c>
    </row>
    <row r="42" spans="1:4">
      <c r="A42" s="91">
        <v>20301</v>
      </c>
      <c r="B42" s="99" t="s">
        <v>74</v>
      </c>
      <c r="C42" s="93">
        <v>95.513577331759194</v>
      </c>
      <c r="D42" s="93">
        <v>98.747152619589997</v>
      </c>
    </row>
    <row r="43" spans="1:4">
      <c r="A43" s="91">
        <v>20302</v>
      </c>
      <c r="B43" s="99" t="s">
        <v>75</v>
      </c>
      <c r="C43" s="93">
        <v>95.4318936877076</v>
      </c>
      <c r="D43" s="93">
        <v>97.882579403272402</v>
      </c>
    </row>
    <row r="44" spans="1:4">
      <c r="A44" s="91">
        <v>20303</v>
      </c>
      <c r="B44" s="99" t="s">
        <v>76</v>
      </c>
      <c r="C44" s="93">
        <v>95.577746077032799</v>
      </c>
      <c r="D44" s="93">
        <v>97.545219638242898</v>
      </c>
    </row>
    <row r="45" spans="1:4">
      <c r="A45" s="91">
        <v>20304</v>
      </c>
      <c r="B45" s="99" t="s">
        <v>77</v>
      </c>
      <c r="C45" s="93">
        <v>93.808049535603701</v>
      </c>
      <c r="D45" s="93">
        <v>98.663101604278097</v>
      </c>
    </row>
    <row r="46" spans="1:4">
      <c r="A46" s="91">
        <v>20305</v>
      </c>
      <c r="B46" s="99" t="s">
        <v>78</v>
      </c>
      <c r="C46" s="93">
        <v>97.153024911032006</v>
      </c>
      <c r="D46" s="93">
        <v>94.346289752650193</v>
      </c>
    </row>
    <row r="47" spans="1:4">
      <c r="A47" s="91">
        <v>20306</v>
      </c>
      <c r="B47" s="99" t="s">
        <v>79</v>
      </c>
      <c r="C47" s="93">
        <v>93.798449612403104</v>
      </c>
      <c r="D47" s="93">
        <v>98.022598870056498</v>
      </c>
    </row>
    <row r="48" spans="1:4">
      <c r="A48" s="91">
        <v>20307</v>
      </c>
      <c r="B48" s="99" t="s">
        <v>80</v>
      </c>
      <c r="C48" s="93">
        <v>96.491228070175396</v>
      </c>
      <c r="D48" s="93">
        <v>98.859315589353599</v>
      </c>
    </row>
    <row r="49" spans="1:4">
      <c r="A49" s="91">
        <v>20308</v>
      </c>
      <c r="B49" s="99" t="s">
        <v>81</v>
      </c>
      <c r="C49" s="93">
        <v>95.094339622641499</v>
      </c>
      <c r="D49" s="93">
        <v>98.214285714285694</v>
      </c>
    </row>
    <row r="50" spans="1:4">
      <c r="A50" s="91">
        <v>20401</v>
      </c>
      <c r="B50" s="99" t="s">
        <v>83</v>
      </c>
      <c r="C50" s="93">
        <v>92.287917737789201</v>
      </c>
      <c r="D50" s="93">
        <v>98.186889818688996</v>
      </c>
    </row>
    <row r="51" spans="1:4">
      <c r="A51" s="91">
        <v>20402</v>
      </c>
      <c r="B51" s="99" t="s">
        <v>84</v>
      </c>
      <c r="C51" s="93">
        <v>93.555724033358601</v>
      </c>
      <c r="D51" s="93">
        <v>97.560975609756099</v>
      </c>
    </row>
    <row r="52" spans="1:4">
      <c r="A52" s="91">
        <v>20403</v>
      </c>
      <c r="B52" s="99" t="s">
        <v>85</v>
      </c>
      <c r="C52" s="93">
        <v>93.852140077821005</v>
      </c>
      <c r="D52" s="93">
        <v>97.918834547346506</v>
      </c>
    </row>
    <row r="53" spans="1:4">
      <c r="A53" s="91">
        <v>20404</v>
      </c>
      <c r="B53" s="99" t="s">
        <v>86</v>
      </c>
      <c r="C53" s="93">
        <v>88.077858880778606</v>
      </c>
      <c r="D53" s="93">
        <v>98.837209302325604</v>
      </c>
    </row>
    <row r="54" spans="1:4">
      <c r="A54" s="91">
        <v>20405</v>
      </c>
      <c r="B54" s="99" t="s">
        <v>87</v>
      </c>
      <c r="C54" s="93">
        <v>90.496760259179297</v>
      </c>
      <c r="D54" s="93">
        <v>96.412556053811699</v>
      </c>
    </row>
    <row r="55" spans="1:4">
      <c r="A55" s="91">
        <v>20501</v>
      </c>
      <c r="B55" s="99" t="s">
        <v>89</v>
      </c>
      <c r="C55" s="93">
        <v>89.882121807465595</v>
      </c>
      <c r="D55" s="93">
        <v>94.8888888888889</v>
      </c>
    </row>
    <row r="56" spans="1:4">
      <c r="A56" s="91">
        <v>20502</v>
      </c>
      <c r="B56" s="99" t="s">
        <v>90</v>
      </c>
      <c r="C56" s="93">
        <v>85.437997724687094</v>
      </c>
      <c r="D56" s="93">
        <v>94.674556213017794</v>
      </c>
    </row>
    <row r="57" spans="1:4">
      <c r="A57" s="91">
        <v>20503</v>
      </c>
      <c r="B57" s="99" t="s">
        <v>91</v>
      </c>
      <c r="C57" s="93">
        <v>91.457286432160799</v>
      </c>
      <c r="D57" s="93">
        <v>97.586206896551701</v>
      </c>
    </row>
    <row r="58" spans="1:4">
      <c r="A58" s="91">
        <v>20601</v>
      </c>
      <c r="B58" s="99" t="s">
        <v>93</v>
      </c>
      <c r="C58" s="93">
        <v>89.574944071588405</v>
      </c>
      <c r="D58" s="93">
        <v>96.578605456907795</v>
      </c>
    </row>
    <row r="59" spans="1:4">
      <c r="A59" s="91">
        <v>20602</v>
      </c>
      <c r="B59" s="99" t="s">
        <v>94</v>
      </c>
      <c r="C59" s="93">
        <v>83.467992541951503</v>
      </c>
      <c r="D59" s="93">
        <v>95.376584638329604</v>
      </c>
    </row>
    <row r="60" spans="1:4">
      <c r="A60" s="91">
        <v>20603</v>
      </c>
      <c r="B60" s="99" t="s">
        <v>95</v>
      </c>
      <c r="C60" s="93">
        <v>84.772727272727295</v>
      </c>
      <c r="D60" s="93">
        <v>95.471698113207594</v>
      </c>
    </row>
    <row r="61" spans="1:4">
      <c r="A61" s="91">
        <v>20604</v>
      </c>
      <c r="B61" s="99" t="s">
        <v>96</v>
      </c>
      <c r="C61" s="93">
        <v>90.188679245282998</v>
      </c>
      <c r="D61" s="93">
        <v>96.551724137931004</v>
      </c>
    </row>
    <row r="62" spans="1:4">
      <c r="A62" s="91">
        <v>20605</v>
      </c>
      <c r="B62" s="99" t="s">
        <v>97</v>
      </c>
      <c r="C62" s="93">
        <v>94.4444444444444</v>
      </c>
      <c r="D62" s="93">
        <v>98.104265402843595</v>
      </c>
    </row>
    <row r="63" spans="1:4">
      <c r="A63" s="91">
        <v>20606</v>
      </c>
      <c r="B63" s="99" t="s">
        <v>98</v>
      </c>
      <c r="C63" s="93">
        <v>85.570776255707798</v>
      </c>
      <c r="D63" s="93">
        <v>91.265060240963905</v>
      </c>
    </row>
    <row r="64" spans="1:4">
      <c r="A64" s="91">
        <v>20607</v>
      </c>
      <c r="B64" s="99" t="s">
        <v>99</v>
      </c>
      <c r="C64" s="93">
        <v>79.375696767001102</v>
      </c>
      <c r="D64" s="93">
        <v>91.277890466531403</v>
      </c>
    </row>
    <row r="65" spans="1:4">
      <c r="A65" s="91">
        <v>20608</v>
      </c>
      <c r="B65" s="99" t="s">
        <v>100</v>
      </c>
      <c r="C65" s="93">
        <v>88.931665062560199</v>
      </c>
      <c r="D65" s="93">
        <v>93.504273504273499</v>
      </c>
    </row>
    <row r="66" spans="1:4">
      <c r="A66" s="91">
        <v>20701</v>
      </c>
      <c r="B66" s="99" t="s">
        <v>102</v>
      </c>
      <c r="C66" s="93">
        <v>86.448220064724893</v>
      </c>
      <c r="D66" s="93">
        <v>92.218717139852799</v>
      </c>
    </row>
    <row r="67" spans="1:4">
      <c r="A67" s="91">
        <v>20702</v>
      </c>
      <c r="B67" s="99" t="s">
        <v>103</v>
      </c>
      <c r="C67" s="93">
        <v>90.243902439024396</v>
      </c>
      <c r="D67" s="93">
        <v>96.197183098591594</v>
      </c>
    </row>
    <row r="68" spans="1:4">
      <c r="A68" s="91">
        <v>20801</v>
      </c>
      <c r="B68" s="99" t="s">
        <v>105</v>
      </c>
      <c r="C68" s="93">
        <v>94.901621086499205</v>
      </c>
      <c r="D68" s="93">
        <v>98.4132796289515</v>
      </c>
    </row>
    <row r="69" spans="1:4">
      <c r="A69" s="91">
        <v>20802</v>
      </c>
      <c r="B69" s="99" t="s">
        <v>106</v>
      </c>
      <c r="C69" s="93">
        <v>93.497757847533606</v>
      </c>
      <c r="D69" s="93">
        <v>97.510373443983397</v>
      </c>
    </row>
    <row r="70" spans="1:4">
      <c r="A70" s="91">
        <v>20803</v>
      </c>
      <c r="B70" s="99" t="s">
        <v>107</v>
      </c>
      <c r="C70" s="93">
        <v>93.928128872366798</v>
      </c>
      <c r="D70" s="93">
        <v>97.791798107255502</v>
      </c>
    </row>
    <row r="71" spans="1:4">
      <c r="A71" s="91">
        <v>20804</v>
      </c>
      <c r="B71" s="99" t="s">
        <v>108</v>
      </c>
      <c r="C71" s="93">
        <v>90.895061728395106</v>
      </c>
      <c r="D71" s="93">
        <v>96.317829457364297</v>
      </c>
    </row>
    <row r="72" spans="1:4">
      <c r="A72" s="91">
        <v>20805</v>
      </c>
      <c r="B72" s="99" t="s">
        <v>109</v>
      </c>
      <c r="C72" s="93">
        <v>89.830508474576305</v>
      </c>
      <c r="D72" s="93">
        <v>97.598253275109201</v>
      </c>
    </row>
    <row r="73" spans="1:4">
      <c r="A73" s="91">
        <v>20806</v>
      </c>
      <c r="B73" s="99" t="s">
        <v>110</v>
      </c>
      <c r="C73" s="93">
        <v>94.930069930069905</v>
      </c>
      <c r="D73" s="93">
        <v>98.239436619718305</v>
      </c>
    </row>
    <row r="74" spans="1:4">
      <c r="A74" s="91">
        <v>20807</v>
      </c>
      <c r="B74" s="99" t="s">
        <v>111</v>
      </c>
      <c r="C74" s="93">
        <v>93.150684931506802</v>
      </c>
      <c r="D74" s="93">
        <v>98.910675381263601</v>
      </c>
    </row>
    <row r="75" spans="1:4">
      <c r="A75" s="91">
        <v>20901</v>
      </c>
      <c r="B75" s="99" t="s">
        <v>113</v>
      </c>
      <c r="C75" s="93">
        <v>92.735527809307598</v>
      </c>
      <c r="D75" s="93">
        <v>97.289156626505999</v>
      </c>
    </row>
    <row r="76" spans="1:4">
      <c r="A76" s="91">
        <v>20902</v>
      </c>
      <c r="B76" s="99" t="s">
        <v>114</v>
      </c>
      <c r="C76" s="93">
        <v>90.845771144278601</v>
      </c>
      <c r="D76" s="93">
        <v>96.753246753246799</v>
      </c>
    </row>
    <row r="77" spans="1:4">
      <c r="A77" s="91">
        <v>20903</v>
      </c>
      <c r="B77" s="99" t="s">
        <v>115</v>
      </c>
      <c r="C77" s="93">
        <v>90.962099125364404</v>
      </c>
      <c r="D77" s="93">
        <v>96.108108108108098</v>
      </c>
    </row>
    <row r="78" spans="1:4">
      <c r="A78" s="91">
        <v>20904</v>
      </c>
      <c r="B78" s="99" t="s">
        <v>116</v>
      </c>
      <c r="C78" s="93">
        <v>83.677298311444602</v>
      </c>
      <c r="D78" s="93">
        <v>91.493383742911107</v>
      </c>
    </row>
    <row r="79" spans="1:4">
      <c r="A79" s="91">
        <v>20905</v>
      </c>
      <c r="B79" s="99" t="s">
        <v>117</v>
      </c>
      <c r="C79" s="93">
        <v>85.162950257289907</v>
      </c>
      <c r="D79" s="93">
        <v>95.169946332736998</v>
      </c>
    </row>
    <row r="80" spans="1:4">
      <c r="A80" s="91">
        <v>21001</v>
      </c>
      <c r="B80" s="99" t="s">
        <v>118</v>
      </c>
      <c r="C80" s="93">
        <v>79.348534201954394</v>
      </c>
      <c r="D80" s="93">
        <v>95.755305867665399</v>
      </c>
    </row>
    <row r="81" spans="1:4">
      <c r="A81" s="91">
        <v>21002</v>
      </c>
      <c r="B81" s="99" t="s">
        <v>119</v>
      </c>
      <c r="C81" s="93">
        <v>89.375830013280193</v>
      </c>
      <c r="D81" s="93">
        <v>95.706214689265494</v>
      </c>
    </row>
    <row r="82" spans="1:4">
      <c r="A82" s="91">
        <v>21003</v>
      </c>
      <c r="B82" s="99" t="s">
        <v>120</v>
      </c>
      <c r="C82" s="93">
        <v>84.514435695538097</v>
      </c>
      <c r="D82" s="93">
        <v>95.214979195561696</v>
      </c>
    </row>
    <row r="83" spans="1:4">
      <c r="A83" s="91">
        <v>21004</v>
      </c>
      <c r="B83" s="99" t="s">
        <v>121</v>
      </c>
      <c r="C83" s="93">
        <v>89.761248852157905</v>
      </c>
      <c r="D83" s="93">
        <v>98.870636550308006</v>
      </c>
    </row>
    <row r="84" spans="1:4">
      <c r="A84" s="91">
        <v>21005</v>
      </c>
      <c r="B84" s="99" t="s">
        <v>122</v>
      </c>
      <c r="C84" s="93">
        <v>84.817351598173502</v>
      </c>
      <c r="D84" s="93">
        <v>97.256515775034302</v>
      </c>
    </row>
    <row r="85" spans="1:4">
      <c r="A85" s="91">
        <v>21006</v>
      </c>
      <c r="B85" s="99" t="s">
        <v>123</v>
      </c>
      <c r="C85" s="93">
        <v>92.874692874692897</v>
      </c>
      <c r="D85" s="93">
        <v>94.372801875732705</v>
      </c>
    </row>
    <row r="86" spans="1:4">
      <c r="A86" s="91">
        <v>21101</v>
      </c>
      <c r="B86" s="99" t="s">
        <v>125</v>
      </c>
      <c r="C86" s="93">
        <v>91.850594227504203</v>
      </c>
      <c r="D86" s="93">
        <v>97.600619195046406</v>
      </c>
    </row>
    <row r="87" spans="1:4">
      <c r="A87" s="91">
        <v>21102</v>
      </c>
      <c r="B87" s="99" t="s">
        <v>126</v>
      </c>
      <c r="C87" s="93">
        <v>89.526038619075507</v>
      </c>
      <c r="D87" s="93">
        <v>97.084367245657603</v>
      </c>
    </row>
    <row r="88" spans="1:4">
      <c r="A88" s="91">
        <v>21103</v>
      </c>
      <c r="B88" s="99" t="s">
        <v>127</v>
      </c>
      <c r="C88" s="93">
        <v>92.6544240400668</v>
      </c>
      <c r="D88" s="93">
        <v>96.761133603238903</v>
      </c>
    </row>
    <row r="89" spans="1:4">
      <c r="A89" s="91">
        <v>21104</v>
      </c>
      <c r="B89" s="99" t="s">
        <v>128</v>
      </c>
      <c r="C89" s="93">
        <v>88.980432543769297</v>
      </c>
      <c r="D89" s="93">
        <v>94.296909011754494</v>
      </c>
    </row>
    <row r="90" spans="1:4">
      <c r="A90" s="91">
        <v>21105</v>
      </c>
      <c r="B90" s="99" t="s">
        <v>129</v>
      </c>
      <c r="C90" s="93">
        <v>83.520730850316198</v>
      </c>
      <c r="D90" s="93">
        <v>94.730481024897301</v>
      </c>
    </row>
    <row r="91" spans="1:4">
      <c r="A91" s="91">
        <v>21201</v>
      </c>
      <c r="B91" s="99" t="s">
        <v>131</v>
      </c>
      <c r="C91" s="93">
        <v>94.693438508425999</v>
      </c>
      <c r="D91" s="93">
        <v>98.216245883644305</v>
      </c>
    </row>
    <row r="92" spans="1:4">
      <c r="A92" s="91">
        <v>21202</v>
      </c>
      <c r="B92" s="99" t="s">
        <v>132</v>
      </c>
      <c r="C92" s="93">
        <v>95.533141210374595</v>
      </c>
      <c r="D92" s="93">
        <v>96.448275862068996</v>
      </c>
    </row>
    <row r="93" spans="1:4">
      <c r="A93" s="91">
        <v>21203</v>
      </c>
      <c r="B93" s="99" t="s">
        <v>133</v>
      </c>
      <c r="C93" s="93">
        <v>94.579945799458002</v>
      </c>
      <c r="D93" s="93">
        <v>97.684515195369002</v>
      </c>
    </row>
    <row r="94" spans="1:4">
      <c r="A94" s="91">
        <v>21204</v>
      </c>
      <c r="B94" s="99" t="s">
        <v>134</v>
      </c>
      <c r="C94" s="93">
        <v>93.587174348697403</v>
      </c>
      <c r="D94" s="93">
        <v>97.345132743362797</v>
      </c>
    </row>
    <row r="95" spans="1:4">
      <c r="A95" s="91">
        <v>21301</v>
      </c>
      <c r="B95" s="99" t="s">
        <v>136</v>
      </c>
      <c r="C95" s="93">
        <v>90.203029326458307</v>
      </c>
      <c r="D95" s="93">
        <v>96.658986175115203</v>
      </c>
    </row>
    <row r="96" spans="1:4">
      <c r="A96" s="91">
        <v>21302</v>
      </c>
      <c r="B96" s="99" t="s">
        <v>137</v>
      </c>
      <c r="C96" s="93">
        <v>90.450928381962896</v>
      </c>
      <c r="D96" s="93">
        <v>96.730769230769198</v>
      </c>
    </row>
    <row r="97" spans="1:4">
      <c r="A97" s="91">
        <v>21303</v>
      </c>
      <c r="B97" s="99" t="s">
        <v>138</v>
      </c>
      <c r="C97" s="93">
        <v>94.505494505494497</v>
      </c>
      <c r="D97" s="93">
        <v>98.064516129032299</v>
      </c>
    </row>
    <row r="98" spans="1:4">
      <c r="A98" s="91">
        <v>21304</v>
      </c>
      <c r="B98" s="99" t="s">
        <v>139</v>
      </c>
      <c r="C98" s="93">
        <v>94.288480154888703</v>
      </c>
      <c r="D98" s="93">
        <v>97.868561278863197</v>
      </c>
    </row>
    <row r="99" spans="1:4">
      <c r="A99" s="91">
        <v>21305</v>
      </c>
      <c r="B99" s="99" t="s">
        <v>140</v>
      </c>
      <c r="C99" s="93">
        <v>90.759075907590798</v>
      </c>
      <c r="D99" s="93">
        <v>97.284595300261103</v>
      </c>
    </row>
    <row r="100" spans="1:4">
      <c r="A100" s="91">
        <v>21306</v>
      </c>
      <c r="B100" s="99" t="s">
        <v>141</v>
      </c>
      <c r="C100" s="93">
        <v>95.424107142857096</v>
      </c>
      <c r="D100" s="93">
        <v>92.641843971631204</v>
      </c>
    </row>
    <row r="101" spans="1:4">
      <c r="A101" s="91">
        <v>21307</v>
      </c>
      <c r="B101" s="99" t="s">
        <v>142</v>
      </c>
      <c r="C101" s="93">
        <v>95.588235294117695</v>
      </c>
      <c r="D101" s="93">
        <v>96.019900497512396</v>
      </c>
    </row>
    <row r="102" spans="1:4">
      <c r="A102" s="91">
        <v>21401</v>
      </c>
      <c r="B102" s="99" t="s">
        <v>144</v>
      </c>
      <c r="C102" s="93">
        <v>91.842397336293004</v>
      </c>
      <c r="D102" s="93">
        <v>97.761194029850799</v>
      </c>
    </row>
    <row r="103" spans="1:4">
      <c r="A103" s="91">
        <v>21402</v>
      </c>
      <c r="B103" s="99" t="s">
        <v>145</v>
      </c>
      <c r="C103" s="93">
        <v>89.253187613843394</v>
      </c>
      <c r="D103" s="93">
        <v>96.772265391512306</v>
      </c>
    </row>
    <row r="104" spans="1:4">
      <c r="A104" s="91">
        <v>21501</v>
      </c>
      <c r="B104" s="99" t="s">
        <v>147</v>
      </c>
      <c r="C104" s="93">
        <v>82.235834609494603</v>
      </c>
      <c r="D104" s="93">
        <v>91.510204081632693</v>
      </c>
    </row>
    <row r="105" spans="1:4">
      <c r="A105" s="91">
        <v>21502</v>
      </c>
      <c r="B105" s="99" t="s">
        <v>148</v>
      </c>
      <c r="C105" s="93">
        <v>90.683760683760696</v>
      </c>
      <c r="D105" s="93">
        <v>93.960396039603907</v>
      </c>
    </row>
    <row r="106" spans="1:4">
      <c r="A106" s="91">
        <v>21601</v>
      </c>
      <c r="B106" s="99" t="s">
        <v>150</v>
      </c>
      <c r="C106" s="93">
        <v>90.720311486048004</v>
      </c>
      <c r="D106" s="93">
        <v>94.9677419354839</v>
      </c>
    </row>
    <row r="107" spans="1:4">
      <c r="A107" s="91">
        <v>21602</v>
      </c>
      <c r="B107" s="99" t="s">
        <v>151</v>
      </c>
      <c r="C107" s="93">
        <v>87</v>
      </c>
      <c r="D107" s="93">
        <v>86.974219810040694</v>
      </c>
    </row>
    <row r="108" spans="1:4">
      <c r="A108" s="91">
        <v>21701</v>
      </c>
      <c r="B108" s="99" t="s">
        <v>153</v>
      </c>
      <c r="C108" s="93">
        <v>88.778054862842893</v>
      </c>
      <c r="D108" s="93">
        <v>92.887029288702905</v>
      </c>
    </row>
    <row r="109" spans="1:4">
      <c r="A109" s="91">
        <v>21702</v>
      </c>
      <c r="B109" s="99" t="s">
        <v>154</v>
      </c>
      <c r="C109" s="93">
        <v>94.647887323943706</v>
      </c>
      <c r="D109" s="93">
        <v>97.935779816513801</v>
      </c>
    </row>
    <row r="110" spans="1:4">
      <c r="A110" s="91">
        <v>21703</v>
      </c>
      <c r="B110" s="99" t="s">
        <v>155</v>
      </c>
      <c r="C110" s="93">
        <v>89.627659574468098</v>
      </c>
      <c r="D110" s="93">
        <v>94.594594594594597</v>
      </c>
    </row>
    <row r="111" spans="1:4">
      <c r="A111" s="91">
        <v>21801</v>
      </c>
      <c r="B111" s="99" t="s">
        <v>157</v>
      </c>
      <c r="C111" s="93">
        <v>94.294770206022207</v>
      </c>
      <c r="D111" s="93">
        <v>96.755725190839698</v>
      </c>
    </row>
    <row r="112" spans="1:4">
      <c r="A112" s="91">
        <v>21802</v>
      </c>
      <c r="B112" s="99" t="s">
        <v>158</v>
      </c>
      <c r="C112" s="93">
        <v>94.701986754966896</v>
      </c>
      <c r="D112" s="93">
        <v>98.172323759791098</v>
      </c>
    </row>
    <row r="113" spans="1:4">
      <c r="A113" s="91">
        <v>21803</v>
      </c>
      <c r="B113" s="99" t="s">
        <v>159</v>
      </c>
      <c r="C113" s="93">
        <v>90.816326530612201</v>
      </c>
      <c r="D113" s="93">
        <v>100</v>
      </c>
    </row>
    <row r="114" spans="1:4">
      <c r="A114" s="91">
        <v>21901</v>
      </c>
      <c r="B114" s="99" t="s">
        <v>161</v>
      </c>
      <c r="C114" s="93">
        <v>95.176848874598093</v>
      </c>
      <c r="D114" s="93">
        <v>97.554347826086996</v>
      </c>
    </row>
    <row r="115" spans="1:4">
      <c r="A115" s="91">
        <v>21902</v>
      </c>
      <c r="B115" s="99" t="s">
        <v>162</v>
      </c>
      <c r="C115" s="93">
        <v>86.6666666666667</v>
      </c>
      <c r="D115" s="93">
        <v>91.257995735607693</v>
      </c>
    </row>
    <row r="116" spans="1:4">
      <c r="A116" s="91">
        <v>22001</v>
      </c>
      <c r="B116" s="99" t="s">
        <v>163</v>
      </c>
      <c r="C116" s="93">
        <v>87.936335684572299</v>
      </c>
      <c r="D116" s="93">
        <v>95.521472392638003</v>
      </c>
    </row>
    <row r="117" spans="1:4">
      <c r="A117" s="91">
        <v>22002</v>
      </c>
      <c r="B117" s="99" t="s">
        <v>164</v>
      </c>
      <c r="C117" s="93">
        <v>91.402013942680099</v>
      </c>
      <c r="D117" s="93">
        <v>96.704689480354901</v>
      </c>
    </row>
    <row r="118" spans="1:4">
      <c r="A118" s="91">
        <v>30101</v>
      </c>
      <c r="B118" s="99" t="s">
        <v>165</v>
      </c>
      <c r="C118" s="93">
        <v>91.472893165762798</v>
      </c>
      <c r="D118" s="93">
        <v>97.741059837129697</v>
      </c>
    </row>
    <row r="119" spans="1:4">
      <c r="A119" s="91">
        <v>30201</v>
      </c>
      <c r="B119" s="99" t="s">
        <v>168</v>
      </c>
      <c r="C119" s="93">
        <v>86.501901140684396</v>
      </c>
      <c r="D119" s="93">
        <v>97.785547785547806</v>
      </c>
    </row>
    <row r="120" spans="1:4">
      <c r="A120" s="91">
        <v>30202</v>
      </c>
      <c r="B120" s="99" t="s">
        <v>169</v>
      </c>
      <c r="C120" s="93">
        <v>93.577981651376106</v>
      </c>
      <c r="D120" s="93">
        <v>98.588235294117595</v>
      </c>
    </row>
    <row r="121" spans="1:4">
      <c r="A121" s="91">
        <v>30203</v>
      </c>
      <c r="B121" s="99" t="s">
        <v>170</v>
      </c>
      <c r="C121" s="93">
        <v>81.818181818181799</v>
      </c>
      <c r="D121" s="93">
        <v>95.575221238938099</v>
      </c>
    </row>
    <row r="122" spans="1:4">
      <c r="A122" s="91">
        <v>30301</v>
      </c>
      <c r="B122" s="99" t="s">
        <v>171</v>
      </c>
      <c r="C122" s="93">
        <v>83.525423728813607</v>
      </c>
      <c r="D122" s="93">
        <v>96.687697160883303</v>
      </c>
    </row>
    <row r="123" spans="1:4">
      <c r="A123" s="91">
        <v>30302</v>
      </c>
      <c r="B123" s="99" t="s">
        <v>172</v>
      </c>
      <c r="C123" s="93">
        <v>79.265805574439199</v>
      </c>
      <c r="D123" s="93">
        <v>98.517872711421106</v>
      </c>
    </row>
    <row r="124" spans="1:4">
      <c r="A124" s="91">
        <v>30303</v>
      </c>
      <c r="B124" s="99" t="s">
        <v>173</v>
      </c>
      <c r="C124" s="93">
        <v>75.093555093555096</v>
      </c>
      <c r="D124" s="93">
        <v>97.353399065905506</v>
      </c>
    </row>
    <row r="125" spans="1:4">
      <c r="A125" s="91">
        <v>30401</v>
      </c>
      <c r="B125" s="99" t="s">
        <v>175</v>
      </c>
      <c r="C125" s="93">
        <v>92.847682119205302</v>
      </c>
      <c r="D125" s="93">
        <v>97.911547911547899</v>
      </c>
    </row>
    <row r="126" spans="1:4">
      <c r="A126" s="91">
        <v>30402</v>
      </c>
      <c r="B126" s="99" t="s">
        <v>176</v>
      </c>
      <c r="C126" s="93">
        <v>89.740420271940707</v>
      </c>
      <c r="D126" s="93">
        <v>98.464912280701796</v>
      </c>
    </row>
    <row r="127" spans="1:4">
      <c r="A127" s="91">
        <v>30403</v>
      </c>
      <c r="B127" s="99" t="s">
        <v>177</v>
      </c>
      <c r="C127" s="93">
        <v>90.855803048065695</v>
      </c>
      <c r="D127" s="93">
        <v>97.324544397053103</v>
      </c>
    </row>
    <row r="128" spans="1:4">
      <c r="A128" s="91">
        <v>30404</v>
      </c>
      <c r="B128" s="99" t="s">
        <v>178</v>
      </c>
      <c r="C128" s="93">
        <v>88.503253796095393</v>
      </c>
      <c r="D128" s="93">
        <v>97.096774193548399</v>
      </c>
    </row>
    <row r="129" spans="1:4">
      <c r="A129" s="91">
        <v>30501</v>
      </c>
      <c r="B129" s="99" t="s">
        <v>179</v>
      </c>
      <c r="C129" s="93">
        <v>95.151515151515198</v>
      </c>
      <c r="D129" s="93">
        <v>97.661623108665793</v>
      </c>
    </row>
    <row r="130" spans="1:4">
      <c r="A130" s="91">
        <v>30502</v>
      </c>
      <c r="B130" s="99" t="s">
        <v>180</v>
      </c>
      <c r="C130" s="93">
        <v>92.385218365061604</v>
      </c>
      <c r="D130" s="93">
        <v>97.185741088180094</v>
      </c>
    </row>
    <row r="131" spans="1:4">
      <c r="A131" s="91">
        <v>30601</v>
      </c>
      <c r="B131" s="99" t="s">
        <v>181</v>
      </c>
      <c r="C131" s="93">
        <v>87.648159700561493</v>
      </c>
      <c r="D131" s="93">
        <v>99.029982363315696</v>
      </c>
    </row>
    <row r="132" spans="1:4">
      <c r="A132" s="91">
        <v>30602</v>
      </c>
      <c r="B132" s="99" t="s">
        <v>182</v>
      </c>
      <c r="C132" s="93">
        <v>91.279069767441896</v>
      </c>
      <c r="D132" s="93">
        <v>98.746867167919802</v>
      </c>
    </row>
    <row r="133" spans="1:4">
      <c r="A133" s="91">
        <v>30701</v>
      </c>
      <c r="B133" s="99" t="s">
        <v>183</v>
      </c>
      <c r="C133" s="93">
        <v>93.869209809264305</v>
      </c>
      <c r="D133" s="93">
        <v>98.702141466580102</v>
      </c>
    </row>
    <row r="134" spans="1:4">
      <c r="A134" s="91">
        <v>30702</v>
      </c>
      <c r="B134" s="99" t="s">
        <v>184</v>
      </c>
      <c r="C134" s="93">
        <v>95.3125</v>
      </c>
      <c r="D134" s="93">
        <v>98.236331569664898</v>
      </c>
    </row>
    <row r="135" spans="1:4">
      <c r="A135" s="91">
        <v>30703</v>
      </c>
      <c r="B135" s="99" t="s">
        <v>185</v>
      </c>
      <c r="C135" s="93">
        <v>93.234672304439698</v>
      </c>
      <c r="D135" s="93">
        <v>98.187311178247697</v>
      </c>
    </row>
    <row r="136" spans="1:4">
      <c r="A136" s="91">
        <v>30801</v>
      </c>
      <c r="B136" s="99" t="s">
        <v>187</v>
      </c>
      <c r="C136" s="93">
        <v>89.906103286385004</v>
      </c>
      <c r="D136" s="93">
        <v>96.799477465708705</v>
      </c>
    </row>
    <row r="137" spans="1:4">
      <c r="A137" s="91">
        <v>30802</v>
      </c>
      <c r="B137" s="99" t="s">
        <v>188</v>
      </c>
      <c r="C137" s="93">
        <v>91.089108910891099</v>
      </c>
      <c r="D137" s="93">
        <v>97.565922920892504</v>
      </c>
    </row>
    <row r="138" spans="1:4">
      <c r="A138" s="91">
        <v>30803</v>
      </c>
      <c r="B138" s="99" t="s">
        <v>189</v>
      </c>
      <c r="C138" s="93">
        <v>92.798353909465007</v>
      </c>
      <c r="D138" s="93">
        <v>97.386759581881506</v>
      </c>
    </row>
    <row r="139" spans="1:4">
      <c r="A139" s="91">
        <v>30901</v>
      </c>
      <c r="B139" s="99" t="s">
        <v>190</v>
      </c>
      <c r="C139" s="93">
        <v>91.398450045381594</v>
      </c>
      <c r="D139" s="93">
        <v>97.932175351530205</v>
      </c>
    </row>
    <row r="140" spans="1:4">
      <c r="A140" s="91">
        <v>30902</v>
      </c>
      <c r="B140" s="99" t="s">
        <v>191</v>
      </c>
      <c r="C140" s="93">
        <v>88.995215311004799</v>
      </c>
      <c r="D140" s="93">
        <v>97.981579463060896</v>
      </c>
    </row>
    <row r="141" spans="1:4">
      <c r="A141" s="91">
        <v>30903</v>
      </c>
      <c r="B141" s="99" t="s">
        <v>192</v>
      </c>
      <c r="C141" s="93">
        <v>89.841946368318204</v>
      </c>
      <c r="D141" s="93">
        <v>97.734174258350805</v>
      </c>
    </row>
    <row r="142" spans="1:4">
      <c r="A142" s="91">
        <v>30904</v>
      </c>
      <c r="B142" s="99" t="s">
        <v>193</v>
      </c>
      <c r="C142" s="93">
        <v>89.522524042517304</v>
      </c>
      <c r="D142" s="93">
        <v>97.512883710508603</v>
      </c>
    </row>
    <row r="143" spans="1:4">
      <c r="A143" s="91">
        <v>30905</v>
      </c>
      <c r="B143" s="99" t="s">
        <v>194</v>
      </c>
      <c r="C143" s="93">
        <v>92.834645669291305</v>
      </c>
      <c r="D143" s="93">
        <v>98.400376382027801</v>
      </c>
    </row>
    <row r="144" spans="1:4">
      <c r="A144" s="91">
        <v>31001</v>
      </c>
      <c r="B144" s="99" t="s">
        <v>196</v>
      </c>
      <c r="C144" s="93">
        <v>91.198895027624303</v>
      </c>
      <c r="D144" s="93">
        <v>97.950686357426306</v>
      </c>
    </row>
    <row r="145" spans="1:4">
      <c r="A145" s="91">
        <v>31002</v>
      </c>
      <c r="B145" s="99" t="s">
        <v>197</v>
      </c>
      <c r="C145" s="93">
        <v>89.385474860335194</v>
      </c>
      <c r="D145" s="93">
        <v>97.861564434440098</v>
      </c>
    </row>
    <row r="146" spans="1:4">
      <c r="A146" s="91">
        <v>31003</v>
      </c>
      <c r="B146" s="99" t="s">
        <v>198</v>
      </c>
      <c r="C146" s="93">
        <v>86.6630901287554</v>
      </c>
      <c r="D146" s="93">
        <v>97.345468335229398</v>
      </c>
    </row>
    <row r="147" spans="1:4">
      <c r="A147" s="91">
        <v>31101</v>
      </c>
      <c r="B147" s="99" t="s">
        <v>199</v>
      </c>
      <c r="C147" s="93">
        <v>90.905923344947695</v>
      </c>
      <c r="D147" s="93">
        <v>98.369058713886304</v>
      </c>
    </row>
    <row r="148" spans="1:4">
      <c r="A148" s="91">
        <v>31201</v>
      </c>
      <c r="B148" s="99" t="s">
        <v>201</v>
      </c>
      <c r="C148" s="93">
        <v>89.214092140921395</v>
      </c>
      <c r="D148" s="93">
        <v>97.255689424364107</v>
      </c>
    </row>
    <row r="149" spans="1:4">
      <c r="A149" s="91">
        <v>31202</v>
      </c>
      <c r="B149" s="99" t="s">
        <v>202</v>
      </c>
      <c r="C149" s="93">
        <v>90.254872563718095</v>
      </c>
      <c r="D149" s="93">
        <v>96.441605839416098</v>
      </c>
    </row>
    <row r="150" spans="1:4">
      <c r="A150" s="91">
        <v>31203</v>
      </c>
      <c r="B150" s="99" t="s">
        <v>203</v>
      </c>
      <c r="C150" s="93">
        <v>90.811775200713697</v>
      </c>
      <c r="D150" s="93">
        <v>97.483588621444198</v>
      </c>
    </row>
    <row r="151" spans="1:4">
      <c r="A151" s="91">
        <v>31204</v>
      </c>
      <c r="B151" s="99" t="s">
        <v>204</v>
      </c>
      <c r="C151" s="93">
        <v>83.603667136812405</v>
      </c>
      <c r="D151" s="93">
        <v>96.491228070175396</v>
      </c>
    </row>
    <row r="152" spans="1:4">
      <c r="A152" s="91">
        <v>31205</v>
      </c>
      <c r="B152" s="99" t="s">
        <v>205</v>
      </c>
      <c r="C152" s="93">
        <v>87.285100286532995</v>
      </c>
      <c r="D152" s="93">
        <v>96.991576413959095</v>
      </c>
    </row>
    <row r="153" spans="1:4">
      <c r="A153" s="91">
        <v>31206</v>
      </c>
      <c r="B153" s="99" t="s">
        <v>206</v>
      </c>
      <c r="C153" s="93">
        <v>88.853161843515494</v>
      </c>
      <c r="D153" s="93">
        <v>95.943952802359902</v>
      </c>
    </row>
    <row r="154" spans="1:4">
      <c r="A154" s="91">
        <v>31301</v>
      </c>
      <c r="B154" s="99" t="s">
        <v>207</v>
      </c>
      <c r="C154" s="93">
        <v>83.214849921011094</v>
      </c>
      <c r="D154" s="93">
        <v>97.425149700598794</v>
      </c>
    </row>
    <row r="155" spans="1:4">
      <c r="A155" s="91">
        <v>31302</v>
      </c>
      <c r="B155" s="99" t="s">
        <v>208</v>
      </c>
      <c r="C155" s="93">
        <v>73.466666666666697</v>
      </c>
      <c r="D155" s="93">
        <v>71.225071225071204</v>
      </c>
    </row>
    <row r="156" spans="1:4">
      <c r="A156" s="91">
        <v>31303</v>
      </c>
      <c r="B156" s="99" t="s">
        <v>209</v>
      </c>
      <c r="C156" s="93">
        <v>81.055155875299803</v>
      </c>
      <c r="D156" s="93">
        <v>95.505617977528104</v>
      </c>
    </row>
    <row r="157" spans="1:4">
      <c r="A157" s="91">
        <v>31304</v>
      </c>
      <c r="B157" s="99" t="s">
        <v>468</v>
      </c>
      <c r="C157" s="93">
        <v>87.980769230769198</v>
      </c>
      <c r="D157" s="93">
        <v>95.471236230110193</v>
      </c>
    </row>
    <row r="158" spans="1:4">
      <c r="A158" s="91">
        <v>31401</v>
      </c>
      <c r="B158" s="99" t="s">
        <v>211</v>
      </c>
      <c r="C158" s="93">
        <v>91.551401869158894</v>
      </c>
      <c r="D158" s="93">
        <v>97.368421052631604</v>
      </c>
    </row>
    <row r="159" spans="1:4">
      <c r="A159" s="91">
        <v>31402</v>
      </c>
      <c r="B159" s="99" t="s">
        <v>212</v>
      </c>
      <c r="C159" s="93">
        <v>91.843575418994405</v>
      </c>
      <c r="D159" s="93">
        <v>95.962732919254705</v>
      </c>
    </row>
    <row r="160" spans="1:4">
      <c r="A160" s="91">
        <v>31403</v>
      </c>
      <c r="B160" s="99" t="s">
        <v>213</v>
      </c>
      <c r="C160" s="93">
        <v>93.7550040032026</v>
      </c>
      <c r="D160" s="93">
        <v>97.826086956521706</v>
      </c>
    </row>
    <row r="161" spans="1:4">
      <c r="A161" s="91">
        <v>31404</v>
      </c>
      <c r="B161" s="99" t="s">
        <v>214</v>
      </c>
      <c r="C161" s="93">
        <v>92.452830188679201</v>
      </c>
      <c r="D161" s="93">
        <v>100</v>
      </c>
    </row>
    <row r="162" spans="1:4">
      <c r="A162" s="91">
        <v>31405</v>
      </c>
      <c r="B162" s="99" t="s">
        <v>215</v>
      </c>
      <c r="C162" s="93">
        <v>90.559440559440603</v>
      </c>
      <c r="D162" s="93">
        <v>97.058823529411796</v>
      </c>
    </row>
    <row r="163" spans="1:4">
      <c r="A163" s="91">
        <v>31501</v>
      </c>
      <c r="B163" s="99" t="s">
        <v>216</v>
      </c>
      <c r="C163" s="93">
        <v>90.676883780332005</v>
      </c>
      <c r="D163" s="93">
        <v>98.189415041782695</v>
      </c>
    </row>
    <row r="164" spans="1:4">
      <c r="A164" s="91">
        <v>31601</v>
      </c>
      <c r="B164" s="99" t="s">
        <v>217</v>
      </c>
      <c r="C164" s="93">
        <v>91.961023142509106</v>
      </c>
      <c r="D164" s="93">
        <v>97.7470930232558</v>
      </c>
    </row>
    <row r="165" spans="1:4">
      <c r="A165" s="91">
        <v>31602</v>
      </c>
      <c r="B165" s="99" t="s">
        <v>218</v>
      </c>
      <c r="C165" s="93">
        <v>85.873015873015902</v>
      </c>
      <c r="D165" s="93">
        <v>97.028423772609798</v>
      </c>
    </row>
    <row r="166" spans="1:4">
      <c r="A166" s="91">
        <v>40101</v>
      </c>
      <c r="B166" s="99" t="s">
        <v>219</v>
      </c>
      <c r="C166" s="93">
        <v>92.3866843483287</v>
      </c>
      <c r="D166" s="93">
        <v>98.537687978595798</v>
      </c>
    </row>
    <row r="167" spans="1:4">
      <c r="A167" s="91">
        <v>40102</v>
      </c>
      <c r="B167" s="99" t="s">
        <v>220</v>
      </c>
      <c r="C167" s="93">
        <v>89.1507517269403</v>
      </c>
      <c r="D167" s="93">
        <v>98.519834221432802</v>
      </c>
    </row>
    <row r="168" spans="1:4">
      <c r="A168" s="91">
        <v>40103</v>
      </c>
      <c r="B168" s="99" t="s">
        <v>221</v>
      </c>
      <c r="C168" s="93">
        <v>90.348837209302303</v>
      </c>
      <c r="D168" s="93">
        <v>91.634980988593199</v>
      </c>
    </row>
    <row r="169" spans="1:4">
      <c r="A169" s="91">
        <v>40104</v>
      </c>
      <c r="B169" s="99" t="s">
        <v>222</v>
      </c>
      <c r="C169" s="93">
        <v>89.6979085979861</v>
      </c>
      <c r="D169" s="93">
        <v>98.949070331447004</v>
      </c>
    </row>
    <row r="170" spans="1:4">
      <c r="A170" s="91">
        <v>40201</v>
      </c>
      <c r="B170" s="99" t="s">
        <v>224</v>
      </c>
      <c r="C170" s="93">
        <v>89.720194647202007</v>
      </c>
      <c r="D170" s="93">
        <v>96.277665995975894</v>
      </c>
    </row>
    <row r="171" spans="1:4">
      <c r="A171" s="91">
        <v>40202</v>
      </c>
      <c r="B171" s="99" t="s">
        <v>225</v>
      </c>
      <c r="C171" s="93">
        <v>89.709172259507795</v>
      </c>
      <c r="D171" s="93">
        <v>97.849462365591407</v>
      </c>
    </row>
    <row r="172" spans="1:4">
      <c r="A172" s="91">
        <v>40301</v>
      </c>
      <c r="B172" s="99" t="s">
        <v>227</v>
      </c>
      <c r="C172" s="93">
        <v>92.077087794432501</v>
      </c>
      <c r="D172" s="93">
        <v>96.494464944649494</v>
      </c>
    </row>
    <row r="173" spans="1:4">
      <c r="A173" s="91">
        <v>40302</v>
      </c>
      <c r="B173" s="99" t="s">
        <v>228</v>
      </c>
      <c r="C173" s="93">
        <v>93.8888888888889</v>
      </c>
      <c r="D173" s="93">
        <v>96.363636363636402</v>
      </c>
    </row>
    <row r="174" spans="1:4">
      <c r="A174" s="91">
        <v>40401</v>
      </c>
      <c r="B174" s="99" t="s">
        <v>230</v>
      </c>
      <c r="C174" s="93">
        <v>95.396419437340199</v>
      </c>
      <c r="D174" s="93">
        <v>93.617021276595807</v>
      </c>
    </row>
    <row r="175" spans="1:4">
      <c r="A175" s="91">
        <v>40402</v>
      </c>
      <c r="B175" s="99" t="s">
        <v>231</v>
      </c>
      <c r="C175" s="93">
        <v>94.390715667311397</v>
      </c>
      <c r="D175" s="93">
        <v>96.134020618556704</v>
      </c>
    </row>
    <row r="176" spans="1:4">
      <c r="A176" s="91">
        <v>40501</v>
      </c>
      <c r="B176" s="99" t="s">
        <v>233</v>
      </c>
      <c r="C176" s="93">
        <v>93.023255813953497</v>
      </c>
      <c r="D176" s="93">
        <v>92.307692307692307</v>
      </c>
    </row>
    <row r="177" spans="1:4">
      <c r="A177" s="91">
        <v>40502</v>
      </c>
      <c r="B177" s="99" t="s">
        <v>234</v>
      </c>
      <c r="C177" s="93">
        <v>85.620915032679704</v>
      </c>
      <c r="D177" s="93">
        <v>91.812865497076004</v>
      </c>
    </row>
    <row r="178" spans="1:4">
      <c r="A178" s="91">
        <v>40503</v>
      </c>
      <c r="B178" s="99" t="s">
        <v>235</v>
      </c>
      <c r="C178" s="93">
        <v>79.268292682926798</v>
      </c>
      <c r="D178" s="93">
        <v>84.210526315789494</v>
      </c>
    </row>
    <row r="179" spans="1:4">
      <c r="A179" s="91">
        <v>40504</v>
      </c>
      <c r="B179" s="99" t="s">
        <v>236</v>
      </c>
      <c r="C179" s="93">
        <v>86.538461538461505</v>
      </c>
      <c r="D179" s="93">
        <v>85.3333333333333</v>
      </c>
    </row>
    <row r="180" spans="1:4">
      <c r="A180" s="91">
        <v>40505</v>
      </c>
      <c r="B180" s="99" t="s">
        <v>237</v>
      </c>
      <c r="C180" s="93">
        <v>86.4</v>
      </c>
      <c r="D180" s="93">
        <v>85.046728971962594</v>
      </c>
    </row>
    <row r="181" spans="1:4">
      <c r="A181" s="91">
        <v>40601</v>
      </c>
      <c r="B181" s="99" t="s">
        <v>238</v>
      </c>
      <c r="C181" s="93">
        <v>96.5277777777778</v>
      </c>
      <c r="D181" s="93">
        <v>94.953519256308098</v>
      </c>
    </row>
    <row r="182" spans="1:4">
      <c r="A182" s="91">
        <v>40602</v>
      </c>
      <c r="B182" s="99" t="s">
        <v>239</v>
      </c>
      <c r="C182" s="93">
        <v>92.592592592592595</v>
      </c>
      <c r="D182" s="93">
        <v>91.304347826086996</v>
      </c>
    </row>
    <row r="183" spans="1:4">
      <c r="A183" s="91">
        <v>40603</v>
      </c>
      <c r="B183" s="99" t="s">
        <v>240</v>
      </c>
      <c r="C183" s="93">
        <v>92.385786802030495</v>
      </c>
      <c r="D183" s="93">
        <v>97.967479674796706</v>
      </c>
    </row>
    <row r="184" spans="1:4">
      <c r="A184" s="91">
        <v>40701</v>
      </c>
      <c r="B184" s="99" t="s">
        <v>242</v>
      </c>
      <c r="C184" s="93">
        <v>96.067415730337103</v>
      </c>
      <c r="D184" s="93">
        <v>98.8452655889146</v>
      </c>
    </row>
    <row r="185" spans="1:4">
      <c r="A185" s="91">
        <v>40702</v>
      </c>
      <c r="B185" s="99" t="s">
        <v>243</v>
      </c>
      <c r="C185" s="93">
        <v>91.412213740458</v>
      </c>
      <c r="D185" s="93">
        <v>98.839907192575396</v>
      </c>
    </row>
    <row r="186" spans="1:4">
      <c r="A186" s="91">
        <v>40801</v>
      </c>
      <c r="B186" s="99" t="s">
        <v>245</v>
      </c>
      <c r="C186" s="93">
        <v>88.510007412898403</v>
      </c>
      <c r="D186" s="93">
        <v>97.403685092127304</v>
      </c>
    </row>
    <row r="187" spans="1:4">
      <c r="A187" s="91">
        <v>40802</v>
      </c>
      <c r="B187" s="99" t="s">
        <v>246</v>
      </c>
      <c r="C187" s="93">
        <v>87.431693989070993</v>
      </c>
      <c r="D187" s="93">
        <v>98.617511520737295</v>
      </c>
    </row>
    <row r="188" spans="1:4">
      <c r="A188" s="91">
        <v>40901</v>
      </c>
      <c r="B188" s="99" t="s">
        <v>247</v>
      </c>
      <c r="C188" s="93">
        <v>86.932344763670102</v>
      </c>
      <c r="D188" s="93">
        <v>89.525993883792097</v>
      </c>
    </row>
    <row r="189" spans="1:4">
      <c r="A189" s="91">
        <v>40902</v>
      </c>
      <c r="B189" s="99" t="s">
        <v>248</v>
      </c>
      <c r="C189" s="93">
        <v>86.486486486486498</v>
      </c>
      <c r="D189" s="93">
        <v>91.758241758241795</v>
      </c>
    </row>
    <row r="190" spans="1:4">
      <c r="A190" s="91">
        <v>40903</v>
      </c>
      <c r="B190" s="99" t="s">
        <v>249</v>
      </c>
      <c r="C190" s="93">
        <v>83.794466403162104</v>
      </c>
      <c r="D190" s="93">
        <v>80.465116279069804</v>
      </c>
    </row>
    <row r="191" spans="1:4">
      <c r="A191" s="91">
        <v>41001</v>
      </c>
      <c r="B191" s="99" t="s">
        <v>251</v>
      </c>
      <c r="C191" s="93">
        <v>88.360323886639705</v>
      </c>
      <c r="D191" s="93">
        <v>97.266881028938897</v>
      </c>
    </row>
    <row r="192" spans="1:4">
      <c r="A192" s="91">
        <v>41101</v>
      </c>
      <c r="B192" s="99" t="s">
        <v>253</v>
      </c>
      <c r="C192" s="93">
        <v>92.124542124542103</v>
      </c>
      <c r="D192" s="93">
        <v>97.9381443298969</v>
      </c>
    </row>
    <row r="193" spans="1:4">
      <c r="A193" s="91">
        <v>41201</v>
      </c>
      <c r="B193" s="99" t="s">
        <v>255</v>
      </c>
      <c r="C193" s="93">
        <v>92.4568965517241</v>
      </c>
      <c r="D193" s="93">
        <v>98.873239436619698</v>
      </c>
    </row>
    <row r="194" spans="1:4">
      <c r="A194" s="91">
        <v>41202</v>
      </c>
      <c r="B194" s="99" t="s">
        <v>256</v>
      </c>
      <c r="C194" s="93">
        <v>92.626728110599103</v>
      </c>
      <c r="D194" s="93">
        <v>98.9690721649485</v>
      </c>
    </row>
    <row r="195" spans="1:4">
      <c r="A195" s="91">
        <v>41301</v>
      </c>
      <c r="B195" s="99" t="s">
        <v>201</v>
      </c>
      <c r="C195" s="93">
        <v>92.307692307692307</v>
      </c>
      <c r="D195" s="93">
        <v>95.454545454545496</v>
      </c>
    </row>
    <row r="196" spans="1:4">
      <c r="A196" s="91">
        <v>41401</v>
      </c>
      <c r="B196" s="99" t="s">
        <v>259</v>
      </c>
      <c r="C196" s="93">
        <v>90.928882438316407</v>
      </c>
      <c r="D196" s="93">
        <v>95.576923076923094</v>
      </c>
    </row>
    <row r="197" spans="1:4">
      <c r="A197" s="91">
        <v>41501</v>
      </c>
      <c r="B197" s="99" t="s">
        <v>261</v>
      </c>
      <c r="C197" s="93">
        <v>82.857142857142904</v>
      </c>
      <c r="D197" s="93">
        <v>75</v>
      </c>
    </row>
    <row r="198" spans="1:4">
      <c r="A198" s="91">
        <v>41502</v>
      </c>
      <c r="B198" s="99" t="s">
        <v>262</v>
      </c>
      <c r="C198" s="93">
        <v>79.545454545454504</v>
      </c>
      <c r="D198" s="93">
        <v>94.117647058823493</v>
      </c>
    </row>
    <row r="199" spans="1:4">
      <c r="A199" s="91">
        <v>41503</v>
      </c>
      <c r="B199" s="99" t="s">
        <v>226</v>
      </c>
      <c r="C199" s="93">
        <v>79.646017699115006</v>
      </c>
      <c r="D199" s="93">
        <v>86.363636363636402</v>
      </c>
    </row>
    <row r="200" spans="1:4">
      <c r="A200" s="91">
        <v>41601</v>
      </c>
      <c r="B200" s="99" t="s">
        <v>264</v>
      </c>
      <c r="C200" s="93">
        <v>90.067720090293506</v>
      </c>
      <c r="D200" s="93">
        <v>97.972972972972997</v>
      </c>
    </row>
    <row r="201" spans="1:4">
      <c r="A201" s="91">
        <v>50101</v>
      </c>
      <c r="B201" s="99" t="s">
        <v>265</v>
      </c>
      <c r="C201" s="93">
        <v>92.102501311876907</v>
      </c>
      <c r="D201" s="93">
        <v>98.458739163009696</v>
      </c>
    </row>
    <row r="202" spans="1:4">
      <c r="A202" s="91">
        <v>50102</v>
      </c>
      <c r="B202" s="99" t="s">
        <v>267</v>
      </c>
      <c r="C202" s="93">
        <v>87.330316742081493</v>
      </c>
      <c r="D202" s="93">
        <v>98.270893371757893</v>
      </c>
    </row>
    <row r="203" spans="1:4">
      <c r="A203" s="91">
        <v>50103</v>
      </c>
      <c r="B203" s="99" t="s">
        <v>268</v>
      </c>
      <c r="C203" s="93">
        <v>92.664092664092706</v>
      </c>
      <c r="D203" s="93">
        <v>97.755331088664406</v>
      </c>
    </row>
    <row r="204" spans="1:4">
      <c r="A204" s="91">
        <v>50104</v>
      </c>
      <c r="B204" s="99" t="s">
        <v>269</v>
      </c>
      <c r="C204" s="93">
        <v>84.042553191489404</v>
      </c>
      <c r="D204" s="93">
        <v>97.5</v>
      </c>
    </row>
    <row r="205" spans="1:4">
      <c r="A205" s="91">
        <v>50201</v>
      </c>
      <c r="B205" s="99" t="s">
        <v>271</v>
      </c>
      <c r="C205" s="93">
        <v>93.910121797564003</v>
      </c>
      <c r="D205" s="93">
        <v>97.7777777777778</v>
      </c>
    </row>
    <row r="206" spans="1:4">
      <c r="A206" s="91">
        <v>50202</v>
      </c>
      <c r="B206" s="99" t="s">
        <v>272</v>
      </c>
      <c r="C206" s="93">
        <v>93.769633507853399</v>
      </c>
      <c r="D206" s="93">
        <v>98.942598187311205</v>
      </c>
    </row>
    <row r="207" spans="1:4">
      <c r="A207" s="91">
        <v>50203</v>
      </c>
      <c r="B207" s="99" t="s">
        <v>273</v>
      </c>
      <c r="C207" s="93">
        <v>94.176790950984497</v>
      </c>
      <c r="D207" s="93">
        <v>98.812199036918102</v>
      </c>
    </row>
    <row r="208" spans="1:4">
      <c r="A208" s="91">
        <v>50204</v>
      </c>
      <c r="B208" s="99" t="s">
        <v>274</v>
      </c>
      <c r="C208" s="93">
        <v>89.365504915102804</v>
      </c>
      <c r="D208" s="93">
        <v>98.380566801619395</v>
      </c>
    </row>
    <row r="209" spans="1:4">
      <c r="A209" s="91">
        <v>50301</v>
      </c>
      <c r="B209" s="99" t="s">
        <v>276</v>
      </c>
      <c r="C209" s="93">
        <v>90.792107520732102</v>
      </c>
      <c r="D209" s="93">
        <v>96.938775510204096</v>
      </c>
    </row>
    <row r="210" spans="1:4">
      <c r="A210" s="91">
        <v>50302</v>
      </c>
      <c r="B210" s="99" t="s">
        <v>277</v>
      </c>
      <c r="C210" s="93">
        <v>94.401756311745302</v>
      </c>
      <c r="D210" s="93">
        <v>97.246376811594203</v>
      </c>
    </row>
    <row r="211" spans="1:4">
      <c r="A211" s="91">
        <v>50303</v>
      </c>
      <c r="B211" s="99" t="s">
        <v>278</v>
      </c>
      <c r="C211" s="93">
        <v>82.311320754717002</v>
      </c>
      <c r="D211" s="93">
        <v>97.370517928286802</v>
      </c>
    </row>
    <row r="212" spans="1:4">
      <c r="A212" s="91">
        <v>50401</v>
      </c>
      <c r="B212" s="99" t="s">
        <v>279</v>
      </c>
      <c r="C212" s="93">
        <v>81.784188034188006</v>
      </c>
      <c r="D212" s="93">
        <v>97.215025906735704</v>
      </c>
    </row>
    <row r="213" spans="1:4">
      <c r="A213" s="91">
        <v>50402</v>
      </c>
      <c r="B213" s="99" t="s">
        <v>280</v>
      </c>
      <c r="C213" s="93">
        <v>87.771032090199498</v>
      </c>
      <c r="D213" s="93">
        <v>98.744394618834093</v>
      </c>
    </row>
    <row r="214" spans="1:4">
      <c r="A214" s="91">
        <v>50403</v>
      </c>
      <c r="B214" s="99" t="s">
        <v>281</v>
      </c>
      <c r="C214" s="93">
        <v>88</v>
      </c>
      <c r="D214" s="93">
        <v>97.667238421955403</v>
      </c>
    </row>
    <row r="215" spans="1:4">
      <c r="A215" s="91">
        <v>50404</v>
      </c>
      <c r="B215" s="99" t="s">
        <v>282</v>
      </c>
      <c r="C215" s="93">
        <v>80.547409579667601</v>
      </c>
      <c r="D215" s="93">
        <v>97.565071368597799</v>
      </c>
    </row>
    <row r="216" spans="1:4">
      <c r="A216" s="91">
        <v>50405</v>
      </c>
      <c r="B216" s="99" t="s">
        <v>283</v>
      </c>
      <c r="C216" s="93">
        <v>89.8527656187823</v>
      </c>
      <c r="D216" s="93">
        <v>96.471226927252999</v>
      </c>
    </row>
    <row r="217" spans="1:4">
      <c r="A217" s="91">
        <v>50501</v>
      </c>
      <c r="B217" s="99" t="s">
        <v>285</v>
      </c>
      <c r="C217" s="93">
        <v>75.506241331484006</v>
      </c>
      <c r="D217" s="93">
        <v>97.285559174810004</v>
      </c>
    </row>
    <row r="218" spans="1:4">
      <c r="A218" s="91">
        <v>50502</v>
      </c>
      <c r="B218" s="99" t="s">
        <v>286</v>
      </c>
      <c r="C218" s="93">
        <v>76.281560826319804</v>
      </c>
      <c r="D218" s="93">
        <v>97.130712008501604</v>
      </c>
    </row>
    <row r="219" spans="1:4">
      <c r="A219" s="91">
        <v>50601</v>
      </c>
      <c r="B219" s="99" t="s">
        <v>288</v>
      </c>
      <c r="C219" s="93">
        <v>91.308440539692498</v>
      </c>
      <c r="D219" s="93">
        <v>94.179104477611901</v>
      </c>
    </row>
    <row r="220" spans="1:4">
      <c r="A220" s="91">
        <v>50602</v>
      </c>
      <c r="B220" s="99" t="s">
        <v>289</v>
      </c>
      <c r="C220" s="93">
        <v>91.252485089463207</v>
      </c>
      <c r="D220" s="93">
        <v>95.389507154213007</v>
      </c>
    </row>
    <row r="221" spans="1:4">
      <c r="A221" s="91">
        <v>50701</v>
      </c>
      <c r="B221" s="99" t="s">
        <v>291</v>
      </c>
      <c r="C221" s="93">
        <v>90.898203592814397</v>
      </c>
      <c r="D221" s="93">
        <v>98.662613981762902</v>
      </c>
    </row>
    <row r="222" spans="1:4">
      <c r="A222" s="91">
        <v>50702</v>
      </c>
      <c r="B222" s="99" t="s">
        <v>292</v>
      </c>
      <c r="C222" s="93">
        <v>94.642857142857096</v>
      </c>
      <c r="D222" s="93">
        <v>97.647058823529406</v>
      </c>
    </row>
    <row r="223" spans="1:4">
      <c r="A223" s="91">
        <v>50801</v>
      </c>
      <c r="B223" s="99" t="s">
        <v>294</v>
      </c>
      <c r="C223" s="93">
        <v>93.180881747012805</v>
      </c>
      <c r="D223" s="93">
        <v>97.415865384615401</v>
      </c>
    </row>
    <row r="224" spans="1:4">
      <c r="A224" s="91">
        <v>50802</v>
      </c>
      <c r="B224" s="99" t="s">
        <v>295</v>
      </c>
      <c r="C224" s="93">
        <v>97.643797643797697</v>
      </c>
      <c r="D224" s="93">
        <v>99.354005167958704</v>
      </c>
    </row>
    <row r="225" spans="1:4">
      <c r="A225" s="91">
        <v>50901</v>
      </c>
      <c r="B225" s="99" t="s">
        <v>297</v>
      </c>
      <c r="C225" s="93">
        <v>92.814814814814795</v>
      </c>
      <c r="D225" s="93">
        <v>97.553516819571897</v>
      </c>
    </row>
    <row r="226" spans="1:4">
      <c r="A226" s="91">
        <v>50902</v>
      </c>
      <c r="B226" s="99" t="s">
        <v>298</v>
      </c>
      <c r="C226" s="93">
        <v>83.544303797468402</v>
      </c>
      <c r="D226" s="93">
        <v>95.049504950495006</v>
      </c>
    </row>
    <row r="227" spans="1:4">
      <c r="A227" s="91">
        <v>51001</v>
      </c>
      <c r="B227" s="99" t="s">
        <v>300</v>
      </c>
      <c r="C227" s="93">
        <v>93.396226415094304</v>
      </c>
      <c r="D227" s="93">
        <v>98</v>
      </c>
    </row>
    <row r="228" spans="1:4">
      <c r="A228" s="91">
        <v>51002</v>
      </c>
      <c r="B228" s="99" t="s">
        <v>301</v>
      </c>
      <c r="C228" s="93">
        <v>84.105960264900702</v>
      </c>
      <c r="D228" s="93">
        <v>85.526315789473699</v>
      </c>
    </row>
    <row r="229" spans="1:4">
      <c r="A229" s="91">
        <v>51003</v>
      </c>
      <c r="B229" s="99" t="s">
        <v>302</v>
      </c>
      <c r="C229" s="93">
        <v>90.706319702602201</v>
      </c>
      <c r="D229" s="93">
        <v>90.849673202614397</v>
      </c>
    </row>
    <row r="230" spans="1:4">
      <c r="A230" s="91">
        <v>51101</v>
      </c>
      <c r="B230" s="99" t="s">
        <v>304</v>
      </c>
      <c r="C230" s="93">
        <v>90.627885503231795</v>
      </c>
      <c r="D230" s="93">
        <v>95.934172313649597</v>
      </c>
    </row>
    <row r="231" spans="1:4">
      <c r="A231" s="91">
        <v>51102</v>
      </c>
      <c r="B231" s="99" t="s">
        <v>305</v>
      </c>
      <c r="C231" s="93">
        <v>91.681415929203496</v>
      </c>
      <c r="D231" s="93">
        <v>95.736434108527106</v>
      </c>
    </row>
    <row r="232" spans="1:4">
      <c r="A232" s="91">
        <v>51103</v>
      </c>
      <c r="B232" s="99" t="s">
        <v>306</v>
      </c>
      <c r="C232" s="93">
        <v>85.425898572131999</v>
      </c>
      <c r="D232" s="93">
        <v>96.745562130177504</v>
      </c>
    </row>
    <row r="233" spans="1:4">
      <c r="A233" s="91">
        <v>51201</v>
      </c>
      <c r="B233" s="99" t="s">
        <v>308</v>
      </c>
      <c r="C233" s="93">
        <v>92.867332382311005</v>
      </c>
      <c r="D233" s="93">
        <v>98.101972459992595</v>
      </c>
    </row>
    <row r="234" spans="1:4">
      <c r="A234" s="91">
        <v>51202</v>
      </c>
      <c r="B234" s="99" t="s">
        <v>309</v>
      </c>
      <c r="C234" s="93">
        <v>92.826086956521706</v>
      </c>
      <c r="D234" s="93">
        <v>98.010849909584095</v>
      </c>
    </row>
    <row r="235" spans="1:4">
      <c r="A235" s="91">
        <v>51203</v>
      </c>
      <c r="B235" s="99" t="s">
        <v>310</v>
      </c>
      <c r="C235" s="93">
        <v>87.600743955362702</v>
      </c>
      <c r="D235" s="93">
        <v>99.008498583569406</v>
      </c>
    </row>
    <row r="236" spans="1:4">
      <c r="A236" s="91">
        <v>51204</v>
      </c>
      <c r="B236" s="99" t="s">
        <v>469</v>
      </c>
      <c r="C236" s="93">
        <v>90.677966101694906</v>
      </c>
      <c r="D236" s="93">
        <v>97.387173396674598</v>
      </c>
    </row>
    <row r="237" spans="1:4">
      <c r="A237" s="91">
        <v>51301</v>
      </c>
      <c r="B237" s="99" t="s">
        <v>313</v>
      </c>
      <c r="C237" s="93">
        <v>91.224862888482605</v>
      </c>
      <c r="D237" s="93">
        <v>97.484276729559795</v>
      </c>
    </row>
    <row r="238" spans="1:4">
      <c r="A238" s="91">
        <v>51302</v>
      </c>
      <c r="B238" s="99" t="s">
        <v>314</v>
      </c>
      <c r="C238" s="93">
        <v>90.969455511288203</v>
      </c>
      <c r="D238" s="93">
        <v>97.959183673469397</v>
      </c>
    </row>
    <row r="239" spans="1:4">
      <c r="A239" s="91">
        <v>51401</v>
      </c>
      <c r="B239" s="99" t="s">
        <v>316</v>
      </c>
      <c r="C239" s="93">
        <v>93.493975903614498</v>
      </c>
      <c r="D239" s="93">
        <v>93.971631205673802</v>
      </c>
    </row>
    <row r="240" spans="1:4">
      <c r="A240" s="91">
        <v>51402</v>
      </c>
      <c r="B240" s="99" t="s">
        <v>317</v>
      </c>
      <c r="C240" s="93">
        <v>92.941176470588204</v>
      </c>
      <c r="D240" s="93">
        <v>96.590909090909093</v>
      </c>
    </row>
    <row r="241" spans="1:4">
      <c r="A241" s="91">
        <v>51501</v>
      </c>
      <c r="B241" s="99" t="s">
        <v>319</v>
      </c>
      <c r="C241" s="93">
        <v>89.650739232911903</v>
      </c>
      <c r="D241" s="93">
        <v>91.188145011907906</v>
      </c>
    </row>
    <row r="242" spans="1:4">
      <c r="A242" s="91">
        <v>51601</v>
      </c>
      <c r="B242" s="99" t="s">
        <v>321</v>
      </c>
      <c r="C242" s="93">
        <v>90.259740259740298</v>
      </c>
      <c r="D242" s="93">
        <v>92.258064516128997</v>
      </c>
    </row>
    <row r="243" spans="1:4">
      <c r="A243" s="91">
        <v>60101</v>
      </c>
      <c r="B243" s="99" t="s">
        <v>322</v>
      </c>
      <c r="C243" s="93">
        <v>94.482412060301499</v>
      </c>
      <c r="D243" s="93">
        <v>98.006221719457002</v>
      </c>
    </row>
    <row r="244" spans="1:4">
      <c r="A244" s="91">
        <v>60201</v>
      </c>
      <c r="B244" s="99" t="s">
        <v>324</v>
      </c>
      <c r="C244" s="93">
        <v>93.617021276595807</v>
      </c>
      <c r="D244" s="93">
        <v>96.715328467153299</v>
      </c>
    </row>
    <row r="245" spans="1:4">
      <c r="A245" s="91">
        <v>60202</v>
      </c>
      <c r="B245" s="99" t="s">
        <v>325</v>
      </c>
      <c r="C245" s="93">
        <v>94.317193389388194</v>
      </c>
      <c r="D245" s="93">
        <v>95.057660626029602</v>
      </c>
    </row>
    <row r="246" spans="1:4">
      <c r="A246" s="91">
        <v>60301</v>
      </c>
      <c r="B246" s="99" t="s">
        <v>327</v>
      </c>
      <c r="C246" s="93">
        <v>88.685170178281993</v>
      </c>
      <c r="D246" s="93">
        <v>95.398254995778203</v>
      </c>
    </row>
    <row r="247" spans="1:4">
      <c r="A247" s="91">
        <v>60302</v>
      </c>
      <c r="B247" s="99" t="s">
        <v>328</v>
      </c>
      <c r="C247" s="93">
        <v>89.591078066914505</v>
      </c>
      <c r="D247" s="93">
        <v>97.107438016528903</v>
      </c>
    </row>
    <row r="248" spans="1:4">
      <c r="A248" s="91">
        <v>60303</v>
      </c>
      <c r="B248" s="99" t="s">
        <v>329</v>
      </c>
      <c r="C248" s="93">
        <v>91.121600359631401</v>
      </c>
      <c r="D248" s="93">
        <v>96.671490593342995</v>
      </c>
    </row>
    <row r="249" spans="1:4">
      <c r="A249" s="91">
        <v>60401</v>
      </c>
      <c r="B249" s="99" t="s">
        <v>331</v>
      </c>
      <c r="C249" s="93">
        <v>91.895701198026799</v>
      </c>
      <c r="D249" s="93">
        <v>97.542533081285399</v>
      </c>
    </row>
    <row r="250" spans="1:4">
      <c r="A250" s="91">
        <v>60402</v>
      </c>
      <c r="B250" s="99" t="s">
        <v>332</v>
      </c>
      <c r="C250" s="93">
        <v>91.5227629513344</v>
      </c>
      <c r="D250" s="93">
        <v>97.520661157024804</v>
      </c>
    </row>
    <row r="251" spans="1:4">
      <c r="A251" s="91">
        <v>60501</v>
      </c>
      <c r="B251" s="99" t="s">
        <v>334</v>
      </c>
      <c r="C251" s="93">
        <v>92.907507258398994</v>
      </c>
      <c r="D251" s="93">
        <v>97.450572320499504</v>
      </c>
    </row>
    <row r="252" spans="1:4">
      <c r="A252" s="91">
        <v>60502</v>
      </c>
      <c r="B252" s="99" t="s">
        <v>335</v>
      </c>
      <c r="C252" s="93">
        <v>94.781144781144803</v>
      </c>
      <c r="D252" s="93">
        <v>98.172757475083102</v>
      </c>
    </row>
    <row r="253" spans="1:4">
      <c r="A253" s="91">
        <v>60601</v>
      </c>
      <c r="B253" s="99" t="s">
        <v>206</v>
      </c>
      <c r="C253" s="93">
        <v>91.84</v>
      </c>
      <c r="D253" s="93">
        <v>97.745358090185704</v>
      </c>
    </row>
    <row r="254" spans="1:4">
      <c r="A254" s="91">
        <v>70101</v>
      </c>
      <c r="B254" s="99" t="s">
        <v>339</v>
      </c>
      <c r="C254" s="93">
        <v>84.610356259046597</v>
      </c>
      <c r="D254" s="93">
        <v>96.166021185916094</v>
      </c>
    </row>
    <row r="255" spans="1:4">
      <c r="A255" s="91">
        <v>70102</v>
      </c>
      <c r="B255" s="99" t="s">
        <v>340</v>
      </c>
      <c r="C255" s="93">
        <v>79.524475524475505</v>
      </c>
      <c r="D255" s="93">
        <v>95.653067516185402</v>
      </c>
    </row>
    <row r="256" spans="1:4">
      <c r="A256" s="91">
        <v>70103</v>
      </c>
      <c r="B256" s="99" t="s">
        <v>341</v>
      </c>
      <c r="C256" s="93">
        <v>88.071216617210695</v>
      </c>
      <c r="D256" s="93">
        <v>96.956246036778694</v>
      </c>
    </row>
    <row r="257" spans="1:4">
      <c r="A257" s="91">
        <v>70104</v>
      </c>
      <c r="B257" s="99" t="s">
        <v>342</v>
      </c>
      <c r="C257" s="93">
        <v>85.476609904090793</v>
      </c>
      <c r="D257" s="93">
        <v>97.014186737050494</v>
      </c>
    </row>
    <row r="258" spans="1:4">
      <c r="A258" s="91">
        <v>70105</v>
      </c>
      <c r="B258" s="99" t="s">
        <v>343</v>
      </c>
      <c r="C258" s="93">
        <v>87.737384698860595</v>
      </c>
      <c r="D258" s="93">
        <v>97.766520838130305</v>
      </c>
    </row>
    <row r="259" spans="1:4">
      <c r="A259" s="91">
        <v>70201</v>
      </c>
      <c r="B259" s="99" t="s">
        <v>344</v>
      </c>
      <c r="C259" s="93">
        <v>82.331710592580194</v>
      </c>
      <c r="D259" s="93">
        <v>95.741373950885901</v>
      </c>
    </row>
    <row r="260" spans="1:4">
      <c r="A260" s="91">
        <v>70202</v>
      </c>
      <c r="B260" s="99" t="s">
        <v>345</v>
      </c>
      <c r="C260" s="93">
        <v>88.033099936346304</v>
      </c>
      <c r="D260" s="93">
        <v>94.055201698513798</v>
      </c>
    </row>
    <row r="261" spans="1:4">
      <c r="A261" s="91">
        <v>70301</v>
      </c>
      <c r="B261" s="99" t="s">
        <v>347</v>
      </c>
      <c r="C261" s="93">
        <v>78.459997137541194</v>
      </c>
      <c r="D261" s="93">
        <v>89.097174362508596</v>
      </c>
    </row>
    <row r="262" spans="1:4">
      <c r="A262" s="91">
        <v>70302</v>
      </c>
      <c r="B262" s="99" t="s">
        <v>348</v>
      </c>
      <c r="C262" s="93">
        <v>89.150606709493204</v>
      </c>
      <c r="D262" s="93">
        <v>82.835820895522403</v>
      </c>
    </row>
    <row r="263" spans="1:4">
      <c r="A263" s="91">
        <v>70303</v>
      </c>
      <c r="B263" s="99" t="s">
        <v>349</v>
      </c>
      <c r="C263" s="93">
        <v>79.8611111111111</v>
      </c>
      <c r="D263" s="93">
        <v>85.610640870616706</v>
      </c>
    </row>
    <row r="264" spans="1:4">
      <c r="A264" s="91">
        <v>70401</v>
      </c>
      <c r="B264" s="99" t="s">
        <v>351</v>
      </c>
      <c r="C264" s="93">
        <v>82.235939643347095</v>
      </c>
      <c r="D264" s="93">
        <v>95.644283121597098</v>
      </c>
    </row>
    <row r="265" spans="1:4">
      <c r="A265" s="91">
        <v>70402</v>
      </c>
      <c r="B265" s="99" t="s">
        <v>352</v>
      </c>
      <c r="C265" s="93">
        <v>88.832271762208094</v>
      </c>
      <c r="D265" s="93">
        <v>95.748855461085697</v>
      </c>
    </row>
    <row r="266" spans="1:4">
      <c r="A266" s="91">
        <v>70403</v>
      </c>
      <c r="B266" s="99" t="s">
        <v>353</v>
      </c>
      <c r="C266" s="93">
        <v>83.796217413528694</v>
      </c>
      <c r="D266" s="93">
        <v>96.171416140961497</v>
      </c>
    </row>
    <row r="267" spans="1:4">
      <c r="A267" s="91">
        <v>70404</v>
      </c>
      <c r="B267" s="99" t="s">
        <v>354</v>
      </c>
      <c r="C267" s="93">
        <v>89.387008234217703</v>
      </c>
      <c r="D267" s="93">
        <v>96.523754345307097</v>
      </c>
    </row>
    <row r="268" spans="1:4">
      <c r="A268" s="91">
        <v>70501</v>
      </c>
      <c r="B268" s="99" t="s">
        <v>356</v>
      </c>
      <c r="C268" s="93">
        <v>84.681404421326405</v>
      </c>
      <c r="D268" s="93">
        <v>75.496135366617906</v>
      </c>
    </row>
    <row r="269" spans="1:4">
      <c r="A269" s="91">
        <v>70502</v>
      </c>
      <c r="B269" s="99" t="s">
        <v>357</v>
      </c>
      <c r="C269" s="93">
        <v>81.095376215662895</v>
      </c>
      <c r="D269" s="93">
        <v>85.495118549511801</v>
      </c>
    </row>
    <row r="270" spans="1:4">
      <c r="A270" s="91">
        <v>70503</v>
      </c>
      <c r="B270" s="99" t="s">
        <v>358</v>
      </c>
      <c r="C270" s="93">
        <v>88.874345549738194</v>
      </c>
      <c r="D270" s="93">
        <v>89.914425427872899</v>
      </c>
    </row>
    <row r="271" spans="1:4">
      <c r="A271" s="91">
        <v>70601</v>
      </c>
      <c r="B271" s="99" t="s">
        <v>360</v>
      </c>
      <c r="C271" s="93">
        <v>86.005692599620502</v>
      </c>
      <c r="D271" s="93">
        <v>95.720984759671794</v>
      </c>
    </row>
    <row r="272" spans="1:4">
      <c r="A272" s="91">
        <v>70602</v>
      </c>
      <c r="B272" s="99" t="s">
        <v>361</v>
      </c>
      <c r="C272" s="93">
        <v>81.985940246045701</v>
      </c>
      <c r="D272" s="93">
        <v>96.277372262773696</v>
      </c>
    </row>
    <row r="273" spans="1:4">
      <c r="A273" s="91">
        <v>70603</v>
      </c>
      <c r="B273" s="99" t="s">
        <v>362</v>
      </c>
      <c r="C273" s="93">
        <v>91.055900621117999</v>
      </c>
      <c r="D273" s="93">
        <v>93.670886075949397</v>
      </c>
    </row>
    <row r="274" spans="1:4">
      <c r="A274" s="91">
        <v>70701</v>
      </c>
      <c r="B274" s="99" t="s">
        <v>364</v>
      </c>
      <c r="C274" s="93">
        <v>76.545166402535699</v>
      </c>
      <c r="D274" s="93">
        <v>96.964285714285694</v>
      </c>
    </row>
    <row r="275" spans="1:4">
      <c r="A275" s="91">
        <v>70702</v>
      </c>
      <c r="B275" s="99" t="s">
        <v>365</v>
      </c>
      <c r="C275" s="93">
        <v>75.854700854700894</v>
      </c>
      <c r="D275" s="93">
        <v>87.961210974455994</v>
      </c>
    </row>
    <row r="276" spans="1:4">
      <c r="A276" s="91">
        <v>70703</v>
      </c>
      <c r="B276" s="99" t="s">
        <v>366</v>
      </c>
      <c r="C276" s="93">
        <v>80.475524475524495</v>
      </c>
      <c r="D276" s="93">
        <v>87.525035765379101</v>
      </c>
    </row>
    <row r="277" spans="1:4">
      <c r="A277" s="91">
        <v>70704</v>
      </c>
      <c r="B277" s="99" t="s">
        <v>367</v>
      </c>
      <c r="C277" s="93">
        <v>84.529505582137205</v>
      </c>
      <c r="D277" s="93">
        <v>98.102981029810294</v>
      </c>
    </row>
    <row r="278" spans="1:4">
      <c r="A278" s="91">
        <v>70705</v>
      </c>
      <c r="B278" s="99" t="s">
        <v>368</v>
      </c>
      <c r="C278" s="93">
        <v>81.950934579439206</v>
      </c>
      <c r="D278" s="93">
        <v>94.589433481858705</v>
      </c>
    </row>
    <row r="279" spans="1:4">
      <c r="A279" s="91">
        <v>70706</v>
      </c>
      <c r="B279" s="99" t="s">
        <v>369</v>
      </c>
      <c r="C279" s="93">
        <v>88.444311734846195</v>
      </c>
      <c r="D279" s="93">
        <v>98.235294117647101</v>
      </c>
    </row>
    <row r="280" spans="1:4">
      <c r="A280" s="91">
        <v>70707</v>
      </c>
      <c r="B280" s="99" t="s">
        <v>370</v>
      </c>
      <c r="C280" s="93">
        <v>78.731343283582106</v>
      </c>
      <c r="D280" s="93">
        <v>81.865284974093299</v>
      </c>
    </row>
    <row r="281" spans="1:4">
      <c r="A281" s="91">
        <v>70801</v>
      </c>
      <c r="B281" s="99" t="s">
        <v>372</v>
      </c>
      <c r="C281" s="93">
        <v>91.467780429594299</v>
      </c>
      <c r="D281" s="93">
        <v>99.068901303538198</v>
      </c>
    </row>
    <row r="282" spans="1:4">
      <c r="A282" s="91">
        <v>70802</v>
      </c>
      <c r="B282" s="99" t="s">
        <v>373</v>
      </c>
      <c r="C282" s="93">
        <v>84.033613445378194</v>
      </c>
      <c r="D282" s="93">
        <v>97.122302158273399</v>
      </c>
    </row>
    <row r="283" spans="1:4">
      <c r="A283" s="91">
        <v>70803</v>
      </c>
      <c r="B283" s="99" t="s">
        <v>374</v>
      </c>
      <c r="C283" s="93">
        <v>93.511450381679396</v>
      </c>
      <c r="D283" s="93">
        <v>99.428571428571402</v>
      </c>
    </row>
    <row r="284" spans="1:4">
      <c r="A284" s="91">
        <v>70804</v>
      </c>
      <c r="B284" s="99" t="s">
        <v>375</v>
      </c>
      <c r="C284" s="93">
        <v>83.003952569169996</v>
      </c>
      <c r="D284" s="93">
        <v>95.454545454545496</v>
      </c>
    </row>
    <row r="285" spans="1:4">
      <c r="A285" s="91">
        <v>70805</v>
      </c>
      <c r="B285" s="99" t="s">
        <v>376</v>
      </c>
      <c r="C285" s="93">
        <v>91.469194312796205</v>
      </c>
      <c r="D285" s="93">
        <v>99.290780141843996</v>
      </c>
    </row>
    <row r="286" spans="1:4">
      <c r="A286" s="91">
        <v>70901</v>
      </c>
      <c r="B286" s="99" t="s">
        <v>378</v>
      </c>
      <c r="C286" s="93">
        <v>90.310786106032893</v>
      </c>
      <c r="D286" s="93">
        <v>95.923261390887305</v>
      </c>
    </row>
    <row r="287" spans="1:4">
      <c r="A287" s="91">
        <v>70902</v>
      </c>
      <c r="B287" s="99" t="s">
        <v>379</v>
      </c>
      <c r="C287" s="93">
        <v>86.9391824526421</v>
      </c>
      <c r="D287" s="93">
        <v>96.266968325791893</v>
      </c>
    </row>
    <row r="288" spans="1:4">
      <c r="A288" s="91">
        <v>70903</v>
      </c>
      <c r="B288" s="99" t="s">
        <v>380</v>
      </c>
      <c r="C288" s="93">
        <v>89.336691855583496</v>
      </c>
      <c r="D288" s="93">
        <v>97.072278133577299</v>
      </c>
    </row>
    <row r="289" spans="1:4">
      <c r="A289" s="91">
        <v>70904</v>
      </c>
      <c r="B289" s="99" t="s">
        <v>381</v>
      </c>
      <c r="C289" s="93">
        <v>89.6875</v>
      </c>
      <c r="D289" s="93">
        <v>93.782383419689097</v>
      </c>
    </row>
    <row r="290" spans="1:4">
      <c r="A290" s="91">
        <v>71001</v>
      </c>
      <c r="B290" s="99" t="s">
        <v>383</v>
      </c>
      <c r="C290" s="93">
        <v>87.185527976440895</v>
      </c>
      <c r="D290" s="93">
        <v>97.6041666666667</v>
      </c>
    </row>
    <row r="291" spans="1:4">
      <c r="A291" s="91">
        <v>71002</v>
      </c>
      <c r="B291" s="99" t="s">
        <v>384</v>
      </c>
      <c r="C291" s="93">
        <v>83.090379008746396</v>
      </c>
      <c r="D291" s="93">
        <v>94.1292875989446</v>
      </c>
    </row>
    <row r="292" spans="1:4">
      <c r="A292" s="91">
        <v>71003</v>
      </c>
      <c r="B292" s="99" t="s">
        <v>385</v>
      </c>
      <c r="C292" s="93">
        <v>83.734327346662198</v>
      </c>
      <c r="D292" s="93">
        <v>95.391262602016297</v>
      </c>
    </row>
    <row r="293" spans="1:4">
      <c r="A293" s="91">
        <v>71004</v>
      </c>
      <c r="B293" s="99" t="s">
        <v>386</v>
      </c>
      <c r="C293" s="93">
        <v>84.511981297486898</v>
      </c>
      <c r="D293" s="93">
        <v>96.221441124780299</v>
      </c>
    </row>
    <row r="294" spans="1:4">
      <c r="A294" s="91">
        <v>71005</v>
      </c>
      <c r="B294" s="99" t="s">
        <v>285</v>
      </c>
      <c r="C294" s="93">
        <v>83.341198678622007</v>
      </c>
      <c r="D294" s="93">
        <v>95.762021189894099</v>
      </c>
    </row>
    <row r="295" spans="1:4">
      <c r="A295" s="91">
        <v>71101</v>
      </c>
      <c r="B295" s="99" t="s">
        <v>388</v>
      </c>
      <c r="C295" s="93">
        <v>76.555418211784101</v>
      </c>
      <c r="D295" s="93">
        <v>91.106653293213</v>
      </c>
    </row>
    <row r="296" spans="1:4">
      <c r="A296" s="91">
        <v>71102</v>
      </c>
      <c r="B296" s="99" t="s">
        <v>389</v>
      </c>
      <c r="C296" s="93">
        <v>68.732394366197198</v>
      </c>
      <c r="D296" s="93">
        <v>90.9505208333333</v>
      </c>
    </row>
    <row r="297" spans="1:4">
      <c r="A297" s="91">
        <v>71103</v>
      </c>
      <c r="B297" s="99" t="s">
        <v>392</v>
      </c>
      <c r="C297" s="93">
        <v>72.879464285714306</v>
      </c>
      <c r="D297" s="93">
        <v>91.475826972010196</v>
      </c>
    </row>
    <row r="298" spans="1:4">
      <c r="A298" s="91">
        <v>71104</v>
      </c>
      <c r="B298" s="99" t="s">
        <v>390</v>
      </c>
      <c r="C298" s="93">
        <v>84.218616567036705</v>
      </c>
      <c r="D298" s="93">
        <v>95.715341049002703</v>
      </c>
    </row>
    <row r="299" spans="1:4">
      <c r="A299" s="91">
        <v>71105</v>
      </c>
      <c r="B299" s="99" t="s">
        <v>391</v>
      </c>
      <c r="C299" s="93">
        <v>85.166872682323898</v>
      </c>
      <c r="D299" s="93">
        <v>95.8689458689459</v>
      </c>
    </row>
    <row r="300" spans="1:4">
      <c r="A300" s="91">
        <v>71106</v>
      </c>
      <c r="B300" s="99" t="s">
        <v>393</v>
      </c>
      <c r="C300" s="93">
        <v>83.041900362916493</v>
      </c>
      <c r="D300" s="93">
        <v>86.828550404709304</v>
      </c>
    </row>
    <row r="301" spans="1:4">
      <c r="A301" s="91">
        <v>71201</v>
      </c>
      <c r="B301" s="99" t="s">
        <v>395</v>
      </c>
      <c r="C301" s="93">
        <v>67.311178247734105</v>
      </c>
      <c r="D301" s="93">
        <v>86.134728580771693</v>
      </c>
    </row>
    <row r="302" spans="1:4">
      <c r="A302" s="91">
        <v>71301</v>
      </c>
      <c r="B302" s="99" t="s">
        <v>397</v>
      </c>
      <c r="C302" s="93">
        <v>91.182466870540296</v>
      </c>
      <c r="D302" s="93">
        <v>97.529169526424198</v>
      </c>
    </row>
    <row r="303" spans="1:4">
      <c r="A303" s="91">
        <v>71302</v>
      </c>
      <c r="B303" s="99" t="s">
        <v>398</v>
      </c>
      <c r="C303" s="93">
        <v>93.736263736263695</v>
      </c>
      <c r="D303" s="93">
        <v>97.3523421588595</v>
      </c>
    </row>
    <row r="304" spans="1:4">
      <c r="A304" s="91">
        <v>71401</v>
      </c>
      <c r="B304" s="99" t="s">
        <v>400</v>
      </c>
      <c r="C304" s="93">
        <v>89.840944073884003</v>
      </c>
      <c r="D304" s="93">
        <v>92.898913951545495</v>
      </c>
    </row>
    <row r="305" spans="1:4">
      <c r="A305" s="91">
        <v>71402</v>
      </c>
      <c r="B305" s="99" t="s">
        <v>401</v>
      </c>
      <c r="C305" s="93">
        <v>88.702460850111805</v>
      </c>
      <c r="D305" s="93">
        <v>88.431677018633494</v>
      </c>
    </row>
    <row r="306" spans="1:4">
      <c r="A306" s="91">
        <v>71403</v>
      </c>
      <c r="B306" s="99" t="s">
        <v>402</v>
      </c>
      <c r="C306" s="93">
        <v>82.767624020887695</v>
      </c>
      <c r="D306" s="93">
        <v>81.598317560462704</v>
      </c>
    </row>
    <row r="307" spans="1:4">
      <c r="A307" s="91">
        <v>71501</v>
      </c>
      <c r="B307" s="99" t="s">
        <v>404</v>
      </c>
      <c r="C307" s="93">
        <v>79.374275782155294</v>
      </c>
      <c r="D307" s="93">
        <v>91.123882503192803</v>
      </c>
    </row>
    <row r="308" spans="1:4">
      <c r="A308" s="91">
        <v>71502</v>
      </c>
      <c r="B308" s="99" t="s">
        <v>405</v>
      </c>
      <c r="C308" s="93">
        <v>89.836065573770497</v>
      </c>
      <c r="D308" s="93">
        <v>96.059113300492598</v>
      </c>
    </row>
    <row r="309" spans="1:4">
      <c r="A309" s="91">
        <v>71503</v>
      </c>
      <c r="B309" s="99" t="s">
        <v>335</v>
      </c>
      <c r="C309" s="93">
        <v>77.4158523344191</v>
      </c>
      <c r="D309" s="93">
        <v>90.341321713870698</v>
      </c>
    </row>
    <row r="310" spans="1:4">
      <c r="A310" s="91">
        <v>80101</v>
      </c>
      <c r="B310" s="99" t="s">
        <v>407</v>
      </c>
      <c r="C310" s="93">
        <v>88.871486274833103</v>
      </c>
      <c r="D310" s="93">
        <v>98.4954864593781</v>
      </c>
    </row>
    <row r="311" spans="1:4">
      <c r="A311" s="91">
        <v>80102</v>
      </c>
      <c r="B311" s="99" t="s">
        <v>389</v>
      </c>
      <c r="C311" s="93">
        <v>82.5165562913907</v>
      </c>
      <c r="D311" s="93">
        <v>81.911262798634795</v>
      </c>
    </row>
    <row r="312" spans="1:4">
      <c r="A312" s="91">
        <v>80201</v>
      </c>
      <c r="B312" s="99" t="s">
        <v>409</v>
      </c>
      <c r="C312" s="93">
        <v>91.911394529283399</v>
      </c>
      <c r="D312" s="93">
        <v>98.393053198922004</v>
      </c>
    </row>
    <row r="313" spans="1:4">
      <c r="A313" s="91">
        <v>80202</v>
      </c>
      <c r="B313" s="99" t="s">
        <v>410</v>
      </c>
      <c r="C313" s="93">
        <v>86.455389584174398</v>
      </c>
      <c r="D313" s="93">
        <v>94.637313011572104</v>
      </c>
    </row>
    <row r="314" spans="1:4">
      <c r="A314" s="91">
        <v>80301</v>
      </c>
      <c r="B314" s="99" t="s">
        <v>412</v>
      </c>
      <c r="C314" s="93">
        <v>86.484951731970497</v>
      </c>
      <c r="D314" s="93">
        <v>94.361525704809296</v>
      </c>
    </row>
    <row r="315" spans="1:4">
      <c r="A315" s="91">
        <v>80302</v>
      </c>
      <c r="B315" s="99" t="s">
        <v>413</v>
      </c>
      <c r="C315" s="93">
        <v>68.236316246742007</v>
      </c>
      <c r="D315" s="93">
        <v>90.672696438665895</v>
      </c>
    </row>
    <row r="316" spans="1:4">
      <c r="A316" s="91">
        <v>80303</v>
      </c>
      <c r="B316" s="99" t="s">
        <v>361</v>
      </c>
      <c r="C316" s="93">
        <v>83.425852498017406</v>
      </c>
      <c r="D316" s="93">
        <v>93.569661995053593</v>
      </c>
    </row>
    <row r="317" spans="1:4">
      <c r="A317" s="91">
        <v>80304</v>
      </c>
      <c r="B317" s="99" t="s">
        <v>414</v>
      </c>
      <c r="C317" s="93">
        <v>86.6805845511482</v>
      </c>
      <c r="D317" s="93">
        <v>96.072796934865906</v>
      </c>
    </row>
    <row r="318" spans="1:4">
      <c r="A318" s="91">
        <v>80401</v>
      </c>
      <c r="B318" s="99" t="s">
        <v>416</v>
      </c>
      <c r="C318" s="93">
        <v>77.963671128107094</v>
      </c>
      <c r="D318" s="93">
        <v>89.068193649141094</v>
      </c>
    </row>
    <row r="319" spans="1:4">
      <c r="A319" s="91">
        <v>80402</v>
      </c>
      <c r="B319" s="99" t="s">
        <v>417</v>
      </c>
      <c r="C319" s="93">
        <v>66.235294117647101</v>
      </c>
      <c r="D319" s="93">
        <v>86.1111111111111</v>
      </c>
    </row>
    <row r="320" spans="1:4">
      <c r="A320" s="91">
        <v>80501</v>
      </c>
      <c r="B320" s="99" t="s">
        <v>347</v>
      </c>
      <c r="C320" s="93">
        <v>85.932944606413997</v>
      </c>
      <c r="D320" s="93">
        <v>93.702970297029694</v>
      </c>
    </row>
    <row r="321" spans="1:4">
      <c r="A321" s="91">
        <v>80601</v>
      </c>
      <c r="B321" s="99" t="s">
        <v>420</v>
      </c>
      <c r="C321" s="93">
        <v>81.6720257234727</v>
      </c>
      <c r="D321" s="93">
        <v>89.189189189189193</v>
      </c>
    </row>
    <row r="322" spans="1:4">
      <c r="A322" s="91">
        <v>80602</v>
      </c>
      <c r="B322" s="99" t="s">
        <v>421</v>
      </c>
      <c r="C322" s="93">
        <v>90.045248868778302</v>
      </c>
      <c r="D322" s="93">
        <v>95.590551181102398</v>
      </c>
    </row>
    <row r="323" spans="1:4">
      <c r="A323" s="91">
        <v>80701</v>
      </c>
      <c r="B323" s="99" t="s">
        <v>423</v>
      </c>
      <c r="C323" s="93">
        <v>82.976190476190496</v>
      </c>
      <c r="D323" s="93">
        <v>91.628614916286097</v>
      </c>
    </row>
    <row r="324" spans="1:4">
      <c r="A324" s="91">
        <v>80702</v>
      </c>
      <c r="B324" s="99" t="s">
        <v>392</v>
      </c>
      <c r="C324" s="93">
        <v>91.605301914580295</v>
      </c>
      <c r="D324" s="93">
        <v>96.296296296296305</v>
      </c>
    </row>
    <row r="325" spans="1:4">
      <c r="A325" s="91">
        <v>80703</v>
      </c>
      <c r="B325" s="99" t="s">
        <v>424</v>
      </c>
      <c r="C325" s="93">
        <v>82.857142857142904</v>
      </c>
      <c r="D325" s="93">
        <v>86.725663716814196</v>
      </c>
    </row>
    <row r="326" spans="1:4">
      <c r="A326" s="91">
        <v>80801</v>
      </c>
      <c r="B326" s="99" t="s">
        <v>426</v>
      </c>
      <c r="C326" s="93">
        <v>85.507246376811594</v>
      </c>
      <c r="D326" s="93">
        <v>97.803091944670498</v>
      </c>
    </row>
    <row r="327" spans="1:4">
      <c r="A327" s="91">
        <v>80802</v>
      </c>
      <c r="B327" s="99" t="s">
        <v>427</v>
      </c>
      <c r="C327" s="93">
        <v>88.432267884322698</v>
      </c>
      <c r="D327" s="93">
        <v>92.996108949416296</v>
      </c>
    </row>
    <row r="328" spans="1:4">
      <c r="A328" s="91">
        <v>80803</v>
      </c>
      <c r="B328" s="99" t="s">
        <v>428</v>
      </c>
      <c r="C328" s="93">
        <v>91.816367265469097</v>
      </c>
      <c r="D328" s="93">
        <v>94.087403598971704</v>
      </c>
    </row>
    <row r="329" spans="1:4">
      <c r="A329" s="91">
        <v>80901</v>
      </c>
      <c r="B329" s="99" t="s">
        <v>470</v>
      </c>
      <c r="C329" s="93">
        <v>78.776290630975097</v>
      </c>
      <c r="D329" s="93">
        <v>87.366548042704594</v>
      </c>
    </row>
    <row r="330" spans="1:4">
      <c r="A330" s="91">
        <v>90101</v>
      </c>
      <c r="B330" s="99" t="s">
        <v>433</v>
      </c>
      <c r="C330" s="93">
        <v>93.346106950008704</v>
      </c>
      <c r="D330" s="93">
        <v>97.753369945082397</v>
      </c>
    </row>
    <row r="331" spans="1:4">
      <c r="A331" s="91">
        <v>90102</v>
      </c>
      <c r="B331" s="99" t="s">
        <v>434</v>
      </c>
      <c r="C331" s="93">
        <v>89.126016260162601</v>
      </c>
      <c r="D331" s="93">
        <v>97.977528089887599</v>
      </c>
    </row>
    <row r="332" spans="1:4">
      <c r="A332" s="91">
        <v>90103</v>
      </c>
      <c r="B332" s="99" t="s">
        <v>435</v>
      </c>
      <c r="C332" s="93">
        <v>84.615384615384599</v>
      </c>
      <c r="D332" s="93">
        <v>94.545454545454504</v>
      </c>
    </row>
    <row r="333" spans="1:4">
      <c r="A333" s="91">
        <v>90104</v>
      </c>
      <c r="B333" s="99" t="s">
        <v>436</v>
      </c>
      <c r="C333" s="93">
        <v>84.116331096196902</v>
      </c>
      <c r="D333" s="93">
        <v>92.142857142857096</v>
      </c>
    </row>
    <row r="334" spans="1:4">
      <c r="A334" s="91">
        <v>90201</v>
      </c>
      <c r="B334" s="99" t="s">
        <v>438</v>
      </c>
      <c r="C334" s="93">
        <v>82.514285714285705</v>
      </c>
      <c r="D334" s="93">
        <v>96.822995461422096</v>
      </c>
    </row>
    <row r="335" spans="1:4">
      <c r="A335" s="91">
        <v>90202</v>
      </c>
      <c r="B335" s="99" t="s">
        <v>285</v>
      </c>
      <c r="C335" s="93">
        <v>76.589595375722496</v>
      </c>
      <c r="D335" s="93">
        <v>96.730245231607597</v>
      </c>
    </row>
    <row r="336" spans="1:4">
      <c r="A336" s="91">
        <v>90203</v>
      </c>
      <c r="B336" s="99" t="s">
        <v>439</v>
      </c>
      <c r="C336" s="93">
        <v>86.046511627906995</v>
      </c>
      <c r="D336" s="93">
        <v>95.244755244755197</v>
      </c>
    </row>
    <row r="337" spans="1:4">
      <c r="A337" s="91">
        <v>90301</v>
      </c>
      <c r="B337" s="99" t="s">
        <v>441</v>
      </c>
      <c r="C337" s="93">
        <v>86.967632027257196</v>
      </c>
      <c r="D337" s="93">
        <v>97.889720898570502</v>
      </c>
    </row>
    <row r="338" spans="1:4">
      <c r="A338" s="91">
        <v>90302</v>
      </c>
      <c r="B338" s="99" t="s">
        <v>334</v>
      </c>
      <c r="C338" s="93">
        <v>84.481255448997402</v>
      </c>
      <c r="D338" s="93">
        <v>94.047619047619094</v>
      </c>
    </row>
    <row r="339" spans="1:4">
      <c r="A339" s="91">
        <v>90303</v>
      </c>
      <c r="B339" s="99" t="s">
        <v>442</v>
      </c>
      <c r="C339" s="93">
        <v>88.5991058122206</v>
      </c>
      <c r="D339" s="93">
        <v>96.107266435986205</v>
      </c>
    </row>
    <row r="340" spans="1:4">
      <c r="A340" s="91">
        <v>90401</v>
      </c>
      <c r="B340" s="99" t="s">
        <v>361</v>
      </c>
      <c r="C340" s="93">
        <v>82.779456193353496</v>
      </c>
      <c r="D340" s="93">
        <v>93.511450381679396</v>
      </c>
    </row>
    <row r="341" spans="1:4">
      <c r="A341" s="91">
        <v>90402</v>
      </c>
      <c r="B341" s="99" t="s">
        <v>104</v>
      </c>
      <c r="C341" s="93">
        <v>73.037542662115996</v>
      </c>
      <c r="D341" s="93">
        <v>95.719844357976697</v>
      </c>
    </row>
    <row r="342" spans="1:4">
      <c r="A342" s="91">
        <v>90501</v>
      </c>
      <c r="B342" s="99" t="s">
        <v>445</v>
      </c>
      <c r="C342" s="93">
        <v>84.313725490196106</v>
      </c>
      <c r="D342" s="93">
        <v>97.435897435897402</v>
      </c>
    </row>
    <row r="343" spans="1:4">
      <c r="A343" s="91">
        <v>90502</v>
      </c>
      <c r="B343" s="99" t="s">
        <v>446</v>
      </c>
      <c r="C343" s="93">
        <v>83.783783783783804</v>
      </c>
      <c r="D343" s="93">
        <v>96.694214876033101</v>
      </c>
    </row>
    <row r="344" spans="1:4">
      <c r="A344" s="91">
        <v>90503</v>
      </c>
      <c r="B344" s="99" t="s">
        <v>447</v>
      </c>
      <c r="C344" s="93">
        <v>80.463576158940398</v>
      </c>
      <c r="D344" s="93">
        <v>95.145631067961205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Z344"/>
  <sheetViews>
    <sheetView workbookViewId="0">
      <selection activeCell="E1" sqref="E1"/>
    </sheetView>
  </sheetViews>
  <sheetFormatPr baseColWidth="10" defaultColWidth="14.42578125" defaultRowHeight="15" customHeight="1"/>
  <sheetData>
    <row r="1" spans="1:26">
      <c r="A1" s="97" t="s">
        <v>452</v>
      </c>
      <c r="B1" s="97" t="s">
        <v>453</v>
      </c>
      <c r="C1" s="97" t="s">
        <v>473</v>
      </c>
      <c r="D1" s="97" t="s">
        <v>474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>
      <c r="A2" s="91">
        <v>10101</v>
      </c>
      <c r="B2" s="91" t="s">
        <v>25</v>
      </c>
      <c r="C2" s="92">
        <v>1307</v>
      </c>
      <c r="D2" s="94">
        <v>234</v>
      </c>
    </row>
    <row r="3" spans="1:26">
      <c r="A3" s="91">
        <v>10102</v>
      </c>
      <c r="B3" s="91" t="s">
        <v>26</v>
      </c>
      <c r="C3" s="92">
        <v>34</v>
      </c>
      <c r="D3" s="94">
        <v>9</v>
      </c>
    </row>
    <row r="4" spans="1:26">
      <c r="A4" s="91">
        <v>10103</v>
      </c>
      <c r="B4" s="91" t="s">
        <v>27</v>
      </c>
      <c r="C4" s="92">
        <v>307</v>
      </c>
      <c r="D4" s="94">
        <v>17</v>
      </c>
    </row>
    <row r="5" spans="1:26">
      <c r="A5" s="91">
        <v>10201</v>
      </c>
      <c r="B5" s="91" t="s">
        <v>28</v>
      </c>
      <c r="C5" s="92">
        <v>146</v>
      </c>
      <c r="D5" s="94">
        <v>16</v>
      </c>
    </row>
    <row r="6" spans="1:26">
      <c r="A6" s="91">
        <v>10202</v>
      </c>
      <c r="B6" s="91" t="s">
        <v>29</v>
      </c>
      <c r="C6" s="92">
        <v>204</v>
      </c>
      <c r="D6" s="94">
        <v>47</v>
      </c>
    </row>
    <row r="7" spans="1:26">
      <c r="A7" s="91">
        <v>10301</v>
      </c>
      <c r="B7" s="91" t="s">
        <v>30</v>
      </c>
      <c r="C7" s="92">
        <v>97</v>
      </c>
      <c r="D7" s="94">
        <v>17</v>
      </c>
    </row>
    <row r="8" spans="1:26">
      <c r="A8" s="91">
        <v>10302</v>
      </c>
      <c r="B8" s="91" t="s">
        <v>31</v>
      </c>
      <c r="C8" s="92">
        <v>227</v>
      </c>
      <c r="D8" s="94">
        <v>38</v>
      </c>
    </row>
    <row r="9" spans="1:26">
      <c r="A9" s="91">
        <v>10303</v>
      </c>
      <c r="B9" s="91" t="s">
        <v>32</v>
      </c>
      <c r="C9" s="92">
        <v>76</v>
      </c>
      <c r="D9" s="94">
        <v>30</v>
      </c>
    </row>
    <row r="10" spans="1:26">
      <c r="A10" s="91">
        <v>10304</v>
      </c>
      <c r="B10" s="91" t="s">
        <v>33</v>
      </c>
      <c r="C10" s="92">
        <v>98</v>
      </c>
      <c r="D10" s="94">
        <v>9</v>
      </c>
    </row>
    <row r="11" spans="1:26">
      <c r="A11" s="91">
        <v>10401</v>
      </c>
      <c r="B11" s="91" t="s">
        <v>35</v>
      </c>
      <c r="C11" s="92">
        <v>105</v>
      </c>
      <c r="D11" s="94">
        <v>16</v>
      </c>
    </row>
    <row r="12" spans="1:26">
      <c r="A12" s="91">
        <v>10402</v>
      </c>
      <c r="B12" s="91" t="s">
        <v>34</v>
      </c>
      <c r="C12" s="92">
        <v>90</v>
      </c>
      <c r="D12" s="94">
        <v>13</v>
      </c>
    </row>
    <row r="13" spans="1:26">
      <c r="A13" s="91">
        <v>10403</v>
      </c>
      <c r="B13" s="91" t="s">
        <v>36</v>
      </c>
      <c r="C13" s="92">
        <v>88</v>
      </c>
      <c r="D13" s="94">
        <v>15</v>
      </c>
    </row>
    <row r="14" spans="1:26">
      <c r="A14" s="91">
        <v>10404</v>
      </c>
      <c r="B14" s="91" t="s">
        <v>37</v>
      </c>
      <c r="C14" s="92">
        <v>63</v>
      </c>
      <c r="D14" s="94">
        <v>5</v>
      </c>
    </row>
    <row r="15" spans="1:26">
      <c r="A15" s="91">
        <v>10405</v>
      </c>
      <c r="B15" s="91" t="s">
        <v>38</v>
      </c>
      <c r="C15" s="92">
        <v>18</v>
      </c>
      <c r="D15" s="94">
        <v>14</v>
      </c>
    </row>
    <row r="16" spans="1:26">
      <c r="A16" s="91">
        <v>10501</v>
      </c>
      <c r="B16" s="91" t="s">
        <v>40</v>
      </c>
      <c r="C16" s="92">
        <v>219</v>
      </c>
      <c r="D16" s="94">
        <v>29</v>
      </c>
    </row>
    <row r="17" spans="1:4">
      <c r="A17" s="91">
        <v>10502</v>
      </c>
      <c r="B17" s="91" t="s">
        <v>41</v>
      </c>
      <c r="C17" s="92">
        <v>88</v>
      </c>
      <c r="D17" s="94">
        <v>28</v>
      </c>
    </row>
    <row r="18" spans="1:4">
      <c r="A18" s="91">
        <v>10601</v>
      </c>
      <c r="B18" s="91" t="s">
        <v>43</v>
      </c>
      <c r="C18" s="92">
        <v>144</v>
      </c>
      <c r="D18" s="94">
        <v>14</v>
      </c>
    </row>
    <row r="19" spans="1:4">
      <c r="A19" s="91">
        <v>10602</v>
      </c>
      <c r="B19" s="91" t="s">
        <v>42</v>
      </c>
      <c r="C19" s="92">
        <v>48</v>
      </c>
      <c r="D19" s="94">
        <v>6</v>
      </c>
    </row>
    <row r="20" spans="1:4">
      <c r="A20" s="91">
        <v>10701</v>
      </c>
      <c r="B20" s="91" t="s">
        <v>45</v>
      </c>
      <c r="C20" s="92">
        <v>132</v>
      </c>
      <c r="D20" s="94">
        <v>28</v>
      </c>
    </row>
    <row r="21" spans="1:4">
      <c r="A21" s="91">
        <v>10702</v>
      </c>
      <c r="B21" s="91" t="s">
        <v>46</v>
      </c>
      <c r="C21" s="92">
        <v>526</v>
      </c>
      <c r="D21" s="94">
        <v>94</v>
      </c>
    </row>
    <row r="22" spans="1:4">
      <c r="A22" s="91">
        <v>10703</v>
      </c>
      <c r="B22" s="91" t="s">
        <v>47</v>
      </c>
      <c r="C22" s="92">
        <v>356</v>
      </c>
      <c r="D22" s="94">
        <v>49</v>
      </c>
    </row>
    <row r="23" spans="1:4">
      <c r="A23" s="91">
        <v>10704</v>
      </c>
      <c r="B23" s="91" t="s">
        <v>48</v>
      </c>
      <c r="C23" s="92">
        <v>286</v>
      </c>
      <c r="D23" s="94">
        <v>89</v>
      </c>
    </row>
    <row r="24" spans="1:4">
      <c r="A24" s="91">
        <v>10801</v>
      </c>
      <c r="B24" s="91" t="s">
        <v>50</v>
      </c>
      <c r="C24" s="92">
        <v>89</v>
      </c>
      <c r="D24" s="94">
        <v>10</v>
      </c>
    </row>
    <row r="25" spans="1:4">
      <c r="A25" s="91">
        <v>10901</v>
      </c>
      <c r="B25" s="91" t="s">
        <v>52</v>
      </c>
      <c r="C25" s="92">
        <v>22</v>
      </c>
      <c r="D25" s="94">
        <v>20</v>
      </c>
    </row>
    <row r="26" spans="1:4">
      <c r="A26" s="91">
        <v>10902</v>
      </c>
      <c r="B26" s="91" t="s">
        <v>53</v>
      </c>
      <c r="C26" s="92">
        <v>315</v>
      </c>
      <c r="D26" s="94">
        <v>59</v>
      </c>
    </row>
    <row r="27" spans="1:4">
      <c r="A27" s="91">
        <v>10903</v>
      </c>
      <c r="B27" s="91" t="s">
        <v>54</v>
      </c>
      <c r="C27" s="92">
        <v>31</v>
      </c>
      <c r="D27" s="94">
        <v>4</v>
      </c>
    </row>
    <row r="28" spans="1:4">
      <c r="A28" s="91">
        <v>11001</v>
      </c>
      <c r="B28" s="91" t="s">
        <v>56</v>
      </c>
      <c r="C28" s="92">
        <v>126</v>
      </c>
      <c r="D28" s="94">
        <v>23</v>
      </c>
    </row>
    <row r="29" spans="1:4">
      <c r="A29" s="91">
        <v>11002</v>
      </c>
      <c r="B29" s="91" t="s">
        <v>57</v>
      </c>
      <c r="C29" s="92">
        <v>34</v>
      </c>
      <c r="D29" s="94">
        <v>8</v>
      </c>
    </row>
    <row r="30" spans="1:4">
      <c r="A30" s="91">
        <v>11003</v>
      </c>
      <c r="B30" s="91" t="s">
        <v>58</v>
      </c>
      <c r="C30" s="92">
        <v>63</v>
      </c>
      <c r="D30" s="94">
        <v>55</v>
      </c>
    </row>
    <row r="31" spans="1:4">
      <c r="A31" s="91">
        <v>20101</v>
      </c>
      <c r="B31" s="91" t="s">
        <v>61</v>
      </c>
      <c r="C31" s="92">
        <v>2649</v>
      </c>
      <c r="D31" s="94">
        <v>571</v>
      </c>
    </row>
    <row r="32" spans="1:4">
      <c r="A32" s="91">
        <v>20102</v>
      </c>
      <c r="B32" s="99" t="s">
        <v>62</v>
      </c>
      <c r="C32" s="92">
        <v>224</v>
      </c>
      <c r="D32" s="94">
        <v>60</v>
      </c>
    </row>
    <row r="33" spans="1:4">
      <c r="A33" s="91">
        <v>20103</v>
      </c>
      <c r="B33" s="99" t="s">
        <v>63</v>
      </c>
      <c r="C33" s="92">
        <v>95</v>
      </c>
      <c r="D33" s="94">
        <v>20</v>
      </c>
    </row>
    <row r="34" spans="1:4">
      <c r="A34" s="91">
        <v>20104</v>
      </c>
      <c r="B34" s="99" t="s">
        <v>64</v>
      </c>
      <c r="C34" s="92">
        <v>142</v>
      </c>
      <c r="D34" s="94">
        <v>46</v>
      </c>
    </row>
    <row r="35" spans="1:4">
      <c r="A35" s="91">
        <v>20105</v>
      </c>
      <c r="B35" s="99" t="s">
        <v>65</v>
      </c>
      <c r="C35" s="92">
        <v>6252</v>
      </c>
      <c r="D35" s="94">
        <v>1257</v>
      </c>
    </row>
    <row r="36" spans="1:4">
      <c r="A36" s="91">
        <v>20201</v>
      </c>
      <c r="B36" s="99" t="s">
        <v>67</v>
      </c>
      <c r="C36" s="92">
        <v>311</v>
      </c>
      <c r="D36" s="94">
        <v>59</v>
      </c>
    </row>
    <row r="37" spans="1:4">
      <c r="A37" s="91">
        <v>20202</v>
      </c>
      <c r="B37" s="99" t="s">
        <v>68</v>
      </c>
      <c r="C37" s="92">
        <v>67</v>
      </c>
      <c r="D37" s="94">
        <v>15</v>
      </c>
    </row>
    <row r="38" spans="1:4">
      <c r="A38" s="91">
        <v>20203</v>
      </c>
      <c r="B38" s="99" t="s">
        <v>72</v>
      </c>
      <c r="C38" s="92">
        <v>15</v>
      </c>
      <c r="D38" s="94">
        <v>5</v>
      </c>
    </row>
    <row r="39" spans="1:4">
      <c r="A39" s="91">
        <v>20204</v>
      </c>
      <c r="B39" s="99" t="s">
        <v>69</v>
      </c>
      <c r="C39" s="92">
        <v>14</v>
      </c>
      <c r="D39" s="94">
        <v>9</v>
      </c>
    </row>
    <row r="40" spans="1:4">
      <c r="A40" s="91">
        <v>20205</v>
      </c>
      <c r="B40" s="99" t="s">
        <v>70</v>
      </c>
      <c r="C40" s="92">
        <v>23</v>
      </c>
      <c r="D40" s="94">
        <v>9</v>
      </c>
    </row>
    <row r="41" spans="1:4">
      <c r="A41" s="91">
        <v>20206</v>
      </c>
      <c r="B41" s="99" t="s">
        <v>71</v>
      </c>
      <c r="C41" s="92">
        <v>6</v>
      </c>
      <c r="D41" s="94">
        <v>16</v>
      </c>
    </row>
    <row r="42" spans="1:4">
      <c r="A42" s="91">
        <v>20301</v>
      </c>
      <c r="B42" s="99" t="s">
        <v>74</v>
      </c>
      <c r="C42" s="92">
        <v>38</v>
      </c>
      <c r="D42" s="94">
        <v>11</v>
      </c>
    </row>
    <row r="43" spans="1:4">
      <c r="A43" s="91">
        <v>20302</v>
      </c>
      <c r="B43" s="99" t="s">
        <v>75</v>
      </c>
      <c r="C43" s="92">
        <v>55</v>
      </c>
      <c r="D43" s="94">
        <v>22</v>
      </c>
    </row>
    <row r="44" spans="1:4">
      <c r="A44" s="91">
        <v>20303</v>
      </c>
      <c r="B44" s="99" t="s">
        <v>76</v>
      </c>
      <c r="C44" s="92">
        <v>31</v>
      </c>
      <c r="D44" s="94">
        <v>19</v>
      </c>
    </row>
    <row r="45" spans="1:4">
      <c r="A45" s="91">
        <v>20304</v>
      </c>
      <c r="B45" s="99" t="s">
        <v>77</v>
      </c>
      <c r="C45" s="92">
        <v>20</v>
      </c>
      <c r="D45" s="94">
        <v>5</v>
      </c>
    </row>
    <row r="46" spans="1:4">
      <c r="A46" s="91">
        <v>20305</v>
      </c>
      <c r="B46" s="99" t="s">
        <v>78</v>
      </c>
      <c r="C46" s="92">
        <v>8</v>
      </c>
      <c r="D46" s="94">
        <v>16</v>
      </c>
    </row>
    <row r="47" spans="1:4">
      <c r="A47" s="91">
        <v>20306</v>
      </c>
      <c r="B47" s="99" t="s">
        <v>79</v>
      </c>
      <c r="C47" s="92">
        <v>32</v>
      </c>
      <c r="D47" s="94">
        <v>7</v>
      </c>
    </row>
    <row r="48" spans="1:4">
      <c r="A48" s="91">
        <v>20307</v>
      </c>
      <c r="B48" s="99" t="s">
        <v>80</v>
      </c>
      <c r="C48" s="92">
        <v>2</v>
      </c>
      <c r="D48" s="94">
        <v>3</v>
      </c>
    </row>
    <row r="49" spans="1:4">
      <c r="A49" s="91">
        <v>20308</v>
      </c>
      <c r="B49" s="99" t="s">
        <v>81</v>
      </c>
      <c r="C49" s="92">
        <v>26</v>
      </c>
      <c r="D49" s="94">
        <v>8</v>
      </c>
    </row>
    <row r="50" spans="1:4">
      <c r="A50" s="91">
        <v>20401</v>
      </c>
      <c r="B50" s="99" t="s">
        <v>83</v>
      </c>
      <c r="C50" s="92">
        <v>60</v>
      </c>
      <c r="D50" s="94">
        <v>13</v>
      </c>
    </row>
    <row r="51" spans="1:4">
      <c r="A51" s="91">
        <v>20402</v>
      </c>
      <c r="B51" s="99" t="s">
        <v>84</v>
      </c>
      <c r="C51" s="92">
        <v>85</v>
      </c>
      <c r="D51" s="94">
        <v>24</v>
      </c>
    </row>
    <row r="52" spans="1:4">
      <c r="A52" s="91">
        <v>20403</v>
      </c>
      <c r="B52" s="99" t="s">
        <v>85</v>
      </c>
      <c r="C52" s="92">
        <v>79</v>
      </c>
      <c r="D52" s="94">
        <v>20</v>
      </c>
    </row>
    <row r="53" spans="1:4">
      <c r="A53" s="91">
        <v>20404</v>
      </c>
      <c r="B53" s="99" t="s">
        <v>86</v>
      </c>
      <c r="C53" s="92">
        <v>49</v>
      </c>
      <c r="D53" s="94">
        <v>4</v>
      </c>
    </row>
    <row r="54" spans="1:4">
      <c r="A54" s="91">
        <v>20405</v>
      </c>
      <c r="B54" s="99" t="s">
        <v>87</v>
      </c>
      <c r="C54" s="92">
        <v>44</v>
      </c>
      <c r="D54" s="94">
        <v>16</v>
      </c>
    </row>
    <row r="55" spans="1:4">
      <c r="A55" s="91">
        <v>20501</v>
      </c>
      <c r="B55" s="99" t="s">
        <v>89</v>
      </c>
      <c r="C55" s="92">
        <v>103</v>
      </c>
      <c r="D55" s="94">
        <v>69</v>
      </c>
    </row>
    <row r="56" spans="1:4">
      <c r="A56" s="91">
        <v>20502</v>
      </c>
      <c r="B56" s="99" t="s">
        <v>90</v>
      </c>
      <c r="C56" s="92">
        <v>128</v>
      </c>
      <c r="D56" s="94">
        <v>36</v>
      </c>
    </row>
    <row r="57" spans="1:4">
      <c r="A57" s="91">
        <v>20503</v>
      </c>
      <c r="B57" s="99" t="s">
        <v>91</v>
      </c>
      <c r="C57" s="92">
        <v>51</v>
      </c>
      <c r="D57" s="94">
        <v>14</v>
      </c>
    </row>
    <row r="58" spans="1:4">
      <c r="A58" s="91">
        <v>20601</v>
      </c>
      <c r="B58" s="99" t="s">
        <v>93</v>
      </c>
      <c r="C58" s="92">
        <v>233</v>
      </c>
      <c r="D58" s="94">
        <v>79</v>
      </c>
    </row>
    <row r="59" spans="1:4">
      <c r="A59" s="91">
        <v>20602</v>
      </c>
      <c r="B59" s="99" t="s">
        <v>94</v>
      </c>
      <c r="C59" s="92">
        <v>266</v>
      </c>
      <c r="D59" s="94">
        <v>62</v>
      </c>
    </row>
    <row r="60" spans="1:4">
      <c r="A60" s="91">
        <v>20603</v>
      </c>
      <c r="B60" s="99" t="s">
        <v>95</v>
      </c>
      <c r="C60" s="92">
        <v>134</v>
      </c>
      <c r="D60" s="94">
        <v>36</v>
      </c>
    </row>
    <row r="61" spans="1:4">
      <c r="A61" s="91">
        <v>20604</v>
      </c>
      <c r="B61" s="99" t="s">
        <v>96</v>
      </c>
      <c r="C61" s="92">
        <v>26</v>
      </c>
      <c r="D61" s="94">
        <v>13</v>
      </c>
    </row>
    <row r="62" spans="1:4">
      <c r="A62" s="91">
        <v>20605</v>
      </c>
      <c r="B62" s="99" t="s">
        <v>97</v>
      </c>
      <c r="C62" s="92">
        <v>13</v>
      </c>
      <c r="D62" s="94">
        <v>4</v>
      </c>
    </row>
    <row r="63" spans="1:4">
      <c r="A63" s="91">
        <v>20606</v>
      </c>
      <c r="B63" s="99" t="s">
        <v>98</v>
      </c>
      <c r="C63" s="92">
        <v>158</v>
      </c>
      <c r="D63" s="94">
        <v>58</v>
      </c>
    </row>
    <row r="64" spans="1:4">
      <c r="A64" s="91">
        <v>20607</v>
      </c>
      <c r="B64" s="99" t="s">
        <v>99</v>
      </c>
      <c r="C64" s="92">
        <v>370</v>
      </c>
      <c r="D64" s="94">
        <v>172</v>
      </c>
    </row>
    <row r="65" spans="1:4">
      <c r="A65" s="91">
        <v>20608</v>
      </c>
      <c r="B65" s="99" t="s">
        <v>100</v>
      </c>
      <c r="C65" s="92">
        <v>115</v>
      </c>
      <c r="D65" s="94">
        <v>76</v>
      </c>
    </row>
    <row r="66" spans="1:4">
      <c r="A66" s="91">
        <v>20701</v>
      </c>
      <c r="B66" s="99" t="s">
        <v>102</v>
      </c>
      <c r="C66" s="92">
        <v>335</v>
      </c>
      <c r="D66" s="94">
        <v>148</v>
      </c>
    </row>
    <row r="67" spans="1:4">
      <c r="A67" s="91">
        <v>20702</v>
      </c>
      <c r="B67" s="99" t="s">
        <v>103</v>
      </c>
      <c r="C67" s="92">
        <v>76</v>
      </c>
      <c r="D67" s="94">
        <v>27</v>
      </c>
    </row>
    <row r="68" spans="1:4">
      <c r="A68" s="91">
        <v>20801</v>
      </c>
      <c r="B68" s="99" t="s">
        <v>105</v>
      </c>
      <c r="C68" s="92">
        <v>412</v>
      </c>
      <c r="D68" s="94">
        <v>130</v>
      </c>
    </row>
    <row r="69" spans="1:4">
      <c r="A69" s="91">
        <v>20802</v>
      </c>
      <c r="B69" s="99" t="s">
        <v>106</v>
      </c>
      <c r="C69" s="92">
        <v>29</v>
      </c>
      <c r="D69" s="94">
        <v>12</v>
      </c>
    </row>
    <row r="70" spans="1:4">
      <c r="A70" s="91">
        <v>20803</v>
      </c>
      <c r="B70" s="99" t="s">
        <v>107</v>
      </c>
      <c r="C70" s="92">
        <v>49</v>
      </c>
      <c r="D70" s="94">
        <v>21</v>
      </c>
    </row>
    <row r="71" spans="1:4">
      <c r="A71" s="91">
        <v>20804</v>
      </c>
      <c r="B71" s="99" t="s">
        <v>108</v>
      </c>
      <c r="C71" s="92">
        <v>59</v>
      </c>
      <c r="D71" s="94">
        <v>19</v>
      </c>
    </row>
    <row r="72" spans="1:4">
      <c r="A72" s="91">
        <v>20805</v>
      </c>
      <c r="B72" s="99" t="s">
        <v>109</v>
      </c>
      <c r="C72" s="92">
        <v>48</v>
      </c>
      <c r="D72" s="94">
        <v>11</v>
      </c>
    </row>
    <row r="73" spans="1:4">
      <c r="A73" s="91">
        <v>20806</v>
      </c>
      <c r="B73" s="99" t="s">
        <v>110</v>
      </c>
      <c r="C73" s="92">
        <v>58</v>
      </c>
      <c r="D73" s="94">
        <v>20</v>
      </c>
    </row>
    <row r="74" spans="1:4">
      <c r="A74" s="91">
        <v>20807</v>
      </c>
      <c r="B74" s="99" t="s">
        <v>111</v>
      </c>
      <c r="C74" s="92">
        <v>25</v>
      </c>
      <c r="D74" s="94">
        <v>5</v>
      </c>
    </row>
    <row r="75" spans="1:4">
      <c r="A75" s="91">
        <v>20901</v>
      </c>
      <c r="B75" s="99" t="s">
        <v>113</v>
      </c>
      <c r="C75" s="92">
        <v>64</v>
      </c>
      <c r="D75" s="94">
        <v>18</v>
      </c>
    </row>
    <row r="76" spans="1:4">
      <c r="A76" s="91">
        <v>20902</v>
      </c>
      <c r="B76" s="99" t="s">
        <v>114</v>
      </c>
      <c r="C76" s="92">
        <v>92</v>
      </c>
      <c r="D76" s="94">
        <v>35</v>
      </c>
    </row>
    <row r="77" spans="1:4">
      <c r="A77" s="91">
        <v>20903</v>
      </c>
      <c r="B77" s="99" t="s">
        <v>115</v>
      </c>
      <c r="C77" s="92">
        <v>62</v>
      </c>
      <c r="D77" s="94">
        <v>36</v>
      </c>
    </row>
    <row r="78" spans="1:4">
      <c r="A78" s="91">
        <v>20904</v>
      </c>
      <c r="B78" s="99" t="s">
        <v>116</v>
      </c>
      <c r="C78" s="92">
        <v>87</v>
      </c>
      <c r="D78" s="94">
        <v>45</v>
      </c>
    </row>
    <row r="79" spans="1:4">
      <c r="A79" s="91">
        <v>20905</v>
      </c>
      <c r="B79" s="99" t="s">
        <v>117</v>
      </c>
      <c r="C79" s="92">
        <v>173</v>
      </c>
      <c r="D79" s="94">
        <v>54</v>
      </c>
    </row>
    <row r="80" spans="1:4">
      <c r="A80" s="91">
        <v>21001</v>
      </c>
      <c r="B80" s="99" t="s">
        <v>118</v>
      </c>
      <c r="C80" s="92">
        <v>317</v>
      </c>
      <c r="D80" s="94">
        <v>68</v>
      </c>
    </row>
    <row r="81" spans="1:4">
      <c r="A81" s="91">
        <v>21002</v>
      </c>
      <c r="B81" s="99" t="s">
        <v>119</v>
      </c>
      <c r="C81" s="92">
        <v>80</v>
      </c>
      <c r="D81" s="94">
        <v>38</v>
      </c>
    </row>
    <row r="82" spans="1:4">
      <c r="A82" s="91">
        <v>21003</v>
      </c>
      <c r="B82" s="99" t="s">
        <v>120</v>
      </c>
      <c r="C82" s="92">
        <v>177</v>
      </c>
      <c r="D82" s="94">
        <v>69</v>
      </c>
    </row>
    <row r="83" spans="1:4">
      <c r="A83" s="91">
        <v>21004</v>
      </c>
      <c r="B83" s="99" t="s">
        <v>121</v>
      </c>
      <c r="C83" s="92">
        <v>223</v>
      </c>
      <c r="D83" s="94">
        <v>22</v>
      </c>
    </row>
    <row r="84" spans="1:4">
      <c r="A84" s="91">
        <v>21005</v>
      </c>
      <c r="B84" s="99" t="s">
        <v>122</v>
      </c>
      <c r="C84" s="92">
        <v>133</v>
      </c>
      <c r="D84" s="94">
        <v>20</v>
      </c>
    </row>
    <row r="85" spans="1:4">
      <c r="A85" s="91">
        <v>21006</v>
      </c>
      <c r="B85" s="99" t="s">
        <v>123</v>
      </c>
      <c r="C85" s="92">
        <v>29</v>
      </c>
      <c r="D85" s="94">
        <v>48</v>
      </c>
    </row>
    <row r="86" spans="1:4">
      <c r="A86" s="91">
        <v>21101</v>
      </c>
      <c r="B86" s="99" t="s">
        <v>125</v>
      </c>
      <c r="C86" s="92">
        <v>144</v>
      </c>
      <c r="D86" s="94">
        <v>31</v>
      </c>
    </row>
    <row r="87" spans="1:4">
      <c r="A87" s="91">
        <v>21102</v>
      </c>
      <c r="B87" s="99" t="s">
        <v>126</v>
      </c>
      <c r="C87" s="92">
        <v>179</v>
      </c>
      <c r="D87" s="94">
        <v>47</v>
      </c>
    </row>
    <row r="88" spans="1:4">
      <c r="A88" s="91">
        <v>21103</v>
      </c>
      <c r="B88" s="99" t="s">
        <v>127</v>
      </c>
      <c r="C88" s="92">
        <v>44</v>
      </c>
      <c r="D88" s="94">
        <v>16</v>
      </c>
    </row>
    <row r="89" spans="1:4">
      <c r="A89" s="91">
        <v>21104</v>
      </c>
      <c r="B89" s="99" t="s">
        <v>128</v>
      </c>
      <c r="C89" s="92">
        <v>321</v>
      </c>
      <c r="D89" s="94">
        <v>131</v>
      </c>
    </row>
    <row r="90" spans="1:4">
      <c r="A90" s="91">
        <v>21105</v>
      </c>
      <c r="B90" s="99" t="s">
        <v>129</v>
      </c>
      <c r="C90" s="92">
        <v>938</v>
      </c>
      <c r="D90" s="94">
        <v>218</v>
      </c>
    </row>
    <row r="91" spans="1:4">
      <c r="A91" s="91">
        <v>21201</v>
      </c>
      <c r="B91" s="99" t="s">
        <v>131</v>
      </c>
      <c r="C91" s="92">
        <v>148</v>
      </c>
      <c r="D91" s="94">
        <v>65</v>
      </c>
    </row>
    <row r="92" spans="1:4">
      <c r="A92" s="91">
        <v>21202</v>
      </c>
      <c r="B92" s="99" t="s">
        <v>132</v>
      </c>
      <c r="C92" s="92">
        <v>93</v>
      </c>
      <c r="D92" s="94">
        <v>103</v>
      </c>
    </row>
    <row r="93" spans="1:4">
      <c r="A93" s="91">
        <v>21203</v>
      </c>
      <c r="B93" s="99" t="s">
        <v>133</v>
      </c>
      <c r="C93" s="92">
        <v>80</v>
      </c>
      <c r="D93" s="94">
        <v>32</v>
      </c>
    </row>
    <row r="94" spans="1:4">
      <c r="A94" s="91">
        <v>21204</v>
      </c>
      <c r="B94" s="99" t="s">
        <v>134</v>
      </c>
      <c r="C94" s="92">
        <v>32</v>
      </c>
      <c r="D94" s="94">
        <v>12</v>
      </c>
    </row>
    <row r="95" spans="1:4">
      <c r="A95" s="91">
        <v>21301</v>
      </c>
      <c r="B95" s="99" t="s">
        <v>136</v>
      </c>
      <c r="C95" s="92">
        <v>304</v>
      </c>
      <c r="D95" s="94">
        <v>87</v>
      </c>
    </row>
    <row r="96" spans="1:4">
      <c r="A96" s="91">
        <v>21302</v>
      </c>
      <c r="B96" s="99" t="s">
        <v>137</v>
      </c>
      <c r="C96" s="92">
        <v>72</v>
      </c>
      <c r="D96" s="94">
        <v>17</v>
      </c>
    </row>
    <row r="97" spans="1:4">
      <c r="A97" s="91">
        <v>21303</v>
      </c>
      <c r="B97" s="99" t="s">
        <v>138</v>
      </c>
      <c r="C97" s="92">
        <v>40</v>
      </c>
      <c r="D97" s="94">
        <v>15</v>
      </c>
    </row>
    <row r="98" spans="1:4">
      <c r="A98" s="91">
        <v>21304</v>
      </c>
      <c r="B98" s="99" t="s">
        <v>139</v>
      </c>
      <c r="C98" s="92">
        <v>59</v>
      </c>
      <c r="D98" s="94">
        <v>24</v>
      </c>
    </row>
    <row r="99" spans="1:4">
      <c r="A99" s="91">
        <v>21305</v>
      </c>
      <c r="B99" s="99" t="s">
        <v>140</v>
      </c>
      <c r="C99" s="92">
        <v>224</v>
      </c>
      <c r="D99" s="94">
        <v>52</v>
      </c>
    </row>
    <row r="100" spans="1:4">
      <c r="A100" s="91">
        <v>21306</v>
      </c>
      <c r="B100" s="99" t="s">
        <v>141</v>
      </c>
      <c r="C100" s="92">
        <v>41</v>
      </c>
      <c r="D100" s="94">
        <v>83</v>
      </c>
    </row>
    <row r="101" spans="1:4">
      <c r="A101" s="91">
        <v>21307</v>
      </c>
      <c r="B101" s="99" t="s">
        <v>142</v>
      </c>
      <c r="C101" s="92">
        <v>21</v>
      </c>
      <c r="D101" s="94">
        <v>16</v>
      </c>
    </row>
    <row r="102" spans="1:4">
      <c r="A102" s="91">
        <v>21401</v>
      </c>
      <c r="B102" s="99" t="s">
        <v>144</v>
      </c>
      <c r="C102" s="92">
        <v>147</v>
      </c>
      <c r="D102" s="94">
        <v>42</v>
      </c>
    </row>
    <row r="103" spans="1:4">
      <c r="A103" s="91">
        <v>21402</v>
      </c>
      <c r="B103" s="99" t="s">
        <v>145</v>
      </c>
      <c r="C103" s="92">
        <v>177</v>
      </c>
      <c r="D103" s="94">
        <v>54</v>
      </c>
    </row>
    <row r="104" spans="1:4">
      <c r="A104" s="91">
        <v>21501</v>
      </c>
      <c r="B104" s="99" t="s">
        <v>147</v>
      </c>
      <c r="C104" s="92">
        <v>232</v>
      </c>
      <c r="D104" s="94">
        <v>104</v>
      </c>
    </row>
    <row r="105" spans="1:4">
      <c r="A105" s="91">
        <v>21502</v>
      </c>
      <c r="B105" s="99" t="s">
        <v>148</v>
      </c>
      <c r="C105" s="92">
        <v>109</v>
      </c>
      <c r="D105" s="94">
        <v>61</v>
      </c>
    </row>
    <row r="106" spans="1:4">
      <c r="A106" s="91">
        <v>21601</v>
      </c>
      <c r="B106" s="99" t="s">
        <v>150</v>
      </c>
      <c r="C106" s="92">
        <v>143</v>
      </c>
      <c r="D106" s="94">
        <v>78</v>
      </c>
    </row>
    <row r="107" spans="1:4">
      <c r="A107" s="91">
        <v>21602</v>
      </c>
      <c r="B107" s="99" t="s">
        <v>151</v>
      </c>
      <c r="C107" s="92">
        <v>52</v>
      </c>
      <c r="D107" s="94">
        <v>96</v>
      </c>
    </row>
    <row r="108" spans="1:4">
      <c r="A108" s="91">
        <v>21701</v>
      </c>
      <c r="B108" s="99" t="s">
        <v>153</v>
      </c>
      <c r="C108" s="92">
        <v>135</v>
      </c>
      <c r="D108" s="94">
        <v>68</v>
      </c>
    </row>
    <row r="109" spans="1:4">
      <c r="A109" s="91">
        <v>21702</v>
      </c>
      <c r="B109" s="99" t="s">
        <v>154</v>
      </c>
      <c r="C109" s="92">
        <v>19</v>
      </c>
      <c r="D109" s="94">
        <v>9</v>
      </c>
    </row>
    <row r="110" spans="1:4">
      <c r="A110" s="91">
        <v>21703</v>
      </c>
      <c r="B110" s="99" t="s">
        <v>155</v>
      </c>
      <c r="C110" s="92">
        <v>39</v>
      </c>
      <c r="D110" s="94">
        <v>16</v>
      </c>
    </row>
    <row r="111" spans="1:4">
      <c r="A111" s="91">
        <v>21801</v>
      </c>
      <c r="B111" s="99" t="s">
        <v>157</v>
      </c>
      <c r="C111" s="92">
        <v>36</v>
      </c>
      <c r="D111" s="94">
        <v>17</v>
      </c>
    </row>
    <row r="112" spans="1:4">
      <c r="A112" s="91">
        <v>21802</v>
      </c>
      <c r="B112" s="99" t="s">
        <v>158</v>
      </c>
      <c r="C112" s="92">
        <v>32</v>
      </c>
      <c r="D112" s="94">
        <v>7</v>
      </c>
    </row>
    <row r="113" spans="1:4">
      <c r="A113" s="91">
        <v>21803</v>
      </c>
      <c r="B113" s="99" t="s">
        <v>159</v>
      </c>
      <c r="C113" s="92">
        <v>18</v>
      </c>
      <c r="D113" s="94">
        <v>0</v>
      </c>
    </row>
    <row r="114" spans="1:4">
      <c r="A114" s="91">
        <v>21901</v>
      </c>
      <c r="B114" s="99" t="s">
        <v>161</v>
      </c>
      <c r="C114" s="92">
        <v>15</v>
      </c>
      <c r="D114" s="94">
        <v>9</v>
      </c>
    </row>
    <row r="115" spans="1:4">
      <c r="A115" s="91">
        <v>21902</v>
      </c>
      <c r="B115" s="99" t="s">
        <v>162</v>
      </c>
      <c r="C115" s="92">
        <v>36</v>
      </c>
      <c r="D115" s="94">
        <v>41</v>
      </c>
    </row>
    <row r="116" spans="1:4">
      <c r="A116" s="91">
        <v>22001</v>
      </c>
      <c r="B116" s="99" t="s">
        <v>163</v>
      </c>
      <c r="C116" s="92">
        <v>667</v>
      </c>
      <c r="D116" s="94">
        <v>219</v>
      </c>
    </row>
    <row r="117" spans="1:4">
      <c r="A117" s="91">
        <v>22002</v>
      </c>
      <c r="B117" s="99" t="s">
        <v>164</v>
      </c>
      <c r="C117" s="92">
        <v>111</v>
      </c>
      <c r="D117" s="94">
        <v>26</v>
      </c>
    </row>
    <row r="118" spans="1:4">
      <c r="A118" s="91">
        <v>30101</v>
      </c>
      <c r="B118" s="99" t="s">
        <v>165</v>
      </c>
      <c r="C118" s="92">
        <v>5299</v>
      </c>
      <c r="D118" s="94">
        <v>957</v>
      </c>
    </row>
    <row r="119" spans="1:4">
      <c r="A119" s="91">
        <v>30201</v>
      </c>
      <c r="B119" s="99" t="s">
        <v>168</v>
      </c>
      <c r="C119" s="92">
        <v>355</v>
      </c>
      <c r="D119" s="94">
        <v>38</v>
      </c>
    </row>
    <row r="120" spans="1:4">
      <c r="A120" s="91">
        <v>30202</v>
      </c>
      <c r="B120" s="99" t="s">
        <v>169</v>
      </c>
      <c r="C120" s="92">
        <v>42</v>
      </c>
      <c r="D120" s="94">
        <v>6</v>
      </c>
    </row>
    <row r="121" spans="1:4">
      <c r="A121" s="91">
        <v>30203</v>
      </c>
      <c r="B121" s="99" t="s">
        <v>170</v>
      </c>
      <c r="C121" s="92">
        <v>112</v>
      </c>
      <c r="D121" s="94">
        <v>25</v>
      </c>
    </row>
    <row r="122" spans="1:4">
      <c r="A122" s="91">
        <v>30301</v>
      </c>
      <c r="B122" s="99" t="s">
        <v>171</v>
      </c>
      <c r="C122" s="92">
        <v>486</v>
      </c>
      <c r="D122" s="94">
        <v>63</v>
      </c>
    </row>
    <row r="123" spans="1:4">
      <c r="A123" s="91">
        <v>30302</v>
      </c>
      <c r="B123" s="99" t="s">
        <v>172</v>
      </c>
      <c r="C123" s="92">
        <v>305</v>
      </c>
      <c r="D123" s="94">
        <v>17</v>
      </c>
    </row>
    <row r="124" spans="1:4">
      <c r="A124" s="91">
        <v>30303</v>
      </c>
      <c r="B124" s="99" t="s">
        <v>173</v>
      </c>
      <c r="C124" s="92">
        <v>599</v>
      </c>
      <c r="D124" s="94">
        <v>51</v>
      </c>
    </row>
    <row r="125" spans="1:4">
      <c r="A125" s="91">
        <v>30401</v>
      </c>
      <c r="B125" s="99" t="s">
        <v>175</v>
      </c>
      <c r="C125" s="92">
        <v>54</v>
      </c>
      <c r="D125" s="94">
        <v>17</v>
      </c>
    </row>
    <row r="126" spans="1:4">
      <c r="A126" s="91">
        <v>30402</v>
      </c>
      <c r="B126" s="99" t="s">
        <v>176</v>
      </c>
      <c r="C126" s="92">
        <v>83</v>
      </c>
      <c r="D126" s="94">
        <v>7</v>
      </c>
    </row>
    <row r="127" spans="1:4">
      <c r="A127" s="91">
        <v>30403</v>
      </c>
      <c r="B127" s="99" t="s">
        <v>177</v>
      </c>
      <c r="C127" s="92">
        <v>156</v>
      </c>
      <c r="D127" s="94">
        <v>69</v>
      </c>
    </row>
    <row r="128" spans="1:4">
      <c r="A128" s="91">
        <v>30404</v>
      </c>
      <c r="B128" s="99" t="s">
        <v>178</v>
      </c>
      <c r="C128" s="92">
        <v>53</v>
      </c>
      <c r="D128" s="94">
        <v>9</v>
      </c>
    </row>
    <row r="129" spans="1:4">
      <c r="A129" s="91">
        <v>30501</v>
      </c>
      <c r="B129" s="99" t="s">
        <v>179</v>
      </c>
      <c r="C129" s="92">
        <v>40</v>
      </c>
      <c r="D129" s="94">
        <v>17</v>
      </c>
    </row>
    <row r="130" spans="1:4">
      <c r="A130" s="91">
        <v>30502</v>
      </c>
      <c r="B130" s="99" t="s">
        <v>180</v>
      </c>
      <c r="C130" s="92">
        <v>68</v>
      </c>
      <c r="D130" s="94">
        <v>15</v>
      </c>
    </row>
    <row r="131" spans="1:4">
      <c r="A131" s="91">
        <v>30601</v>
      </c>
      <c r="B131" s="99" t="s">
        <v>181</v>
      </c>
      <c r="C131" s="92">
        <v>198</v>
      </c>
      <c r="D131" s="94">
        <v>11</v>
      </c>
    </row>
    <row r="132" spans="1:4">
      <c r="A132" s="91">
        <v>30602</v>
      </c>
      <c r="B132" s="99" t="s">
        <v>182</v>
      </c>
      <c r="C132" s="92">
        <v>105</v>
      </c>
      <c r="D132" s="94">
        <v>10</v>
      </c>
    </row>
    <row r="133" spans="1:4">
      <c r="A133" s="91">
        <v>30701</v>
      </c>
      <c r="B133" s="99" t="s">
        <v>183</v>
      </c>
      <c r="C133" s="92">
        <v>135</v>
      </c>
      <c r="D133" s="94">
        <v>20</v>
      </c>
    </row>
    <row r="134" spans="1:4">
      <c r="A134" s="91">
        <v>30702</v>
      </c>
      <c r="B134" s="99" t="s">
        <v>184</v>
      </c>
      <c r="C134" s="92">
        <v>27</v>
      </c>
      <c r="D134" s="94">
        <v>10</v>
      </c>
    </row>
    <row r="135" spans="1:4">
      <c r="A135" s="91">
        <v>30703</v>
      </c>
      <c r="B135" s="99" t="s">
        <v>185</v>
      </c>
      <c r="C135" s="92">
        <v>32</v>
      </c>
      <c r="D135" s="94">
        <v>6</v>
      </c>
    </row>
    <row r="136" spans="1:4">
      <c r="A136" s="91">
        <v>30801</v>
      </c>
      <c r="B136" s="99" t="s">
        <v>187</v>
      </c>
      <c r="C136" s="92">
        <v>215</v>
      </c>
      <c r="D136" s="94">
        <v>49</v>
      </c>
    </row>
    <row r="137" spans="1:4">
      <c r="A137" s="91">
        <v>30802</v>
      </c>
      <c r="B137" s="99" t="s">
        <v>188</v>
      </c>
      <c r="C137" s="92">
        <v>45</v>
      </c>
      <c r="D137" s="94">
        <v>12</v>
      </c>
    </row>
    <row r="138" spans="1:4">
      <c r="A138" s="91">
        <v>30803</v>
      </c>
      <c r="B138" s="99" t="s">
        <v>189</v>
      </c>
      <c r="C138" s="92">
        <v>35</v>
      </c>
      <c r="D138" s="94">
        <v>15</v>
      </c>
    </row>
    <row r="139" spans="1:4">
      <c r="A139" s="91">
        <v>30901</v>
      </c>
      <c r="B139" s="99" t="s">
        <v>190</v>
      </c>
      <c r="C139" s="92">
        <v>1232</v>
      </c>
      <c r="D139" s="94">
        <v>250</v>
      </c>
    </row>
    <row r="140" spans="1:4">
      <c r="A140" s="91">
        <v>30902</v>
      </c>
      <c r="B140" s="99" t="s">
        <v>191</v>
      </c>
      <c r="C140" s="92">
        <v>529</v>
      </c>
      <c r="D140" s="94">
        <v>103</v>
      </c>
    </row>
    <row r="141" spans="1:4">
      <c r="A141" s="91">
        <v>30903</v>
      </c>
      <c r="B141" s="99" t="s">
        <v>192</v>
      </c>
      <c r="C141" s="92">
        <v>572</v>
      </c>
      <c r="D141" s="94">
        <v>97</v>
      </c>
    </row>
    <row r="142" spans="1:4">
      <c r="A142" s="91">
        <v>30904</v>
      </c>
      <c r="B142" s="99" t="s">
        <v>193</v>
      </c>
      <c r="C142" s="92">
        <v>621</v>
      </c>
      <c r="D142" s="94">
        <v>111</v>
      </c>
    </row>
    <row r="143" spans="1:4">
      <c r="A143" s="91">
        <v>30905</v>
      </c>
      <c r="B143" s="99" t="s">
        <v>194</v>
      </c>
      <c r="C143" s="92">
        <v>364</v>
      </c>
      <c r="D143" s="94">
        <v>68</v>
      </c>
    </row>
    <row r="144" spans="1:4">
      <c r="A144" s="91">
        <v>31001</v>
      </c>
      <c r="B144" s="99" t="s">
        <v>196</v>
      </c>
      <c r="C144" s="92">
        <v>1593</v>
      </c>
      <c r="D144" s="94">
        <v>315</v>
      </c>
    </row>
    <row r="145" spans="1:4">
      <c r="A145" s="91">
        <v>31002</v>
      </c>
      <c r="B145" s="99" t="s">
        <v>197</v>
      </c>
      <c r="C145" s="92">
        <v>247</v>
      </c>
      <c r="D145" s="94">
        <v>38</v>
      </c>
    </row>
    <row r="146" spans="1:4">
      <c r="A146" s="91">
        <v>31003</v>
      </c>
      <c r="B146" s="99" t="s">
        <v>198</v>
      </c>
      <c r="C146" s="92">
        <v>1243</v>
      </c>
      <c r="D146" s="94">
        <v>210</v>
      </c>
    </row>
    <row r="147" spans="1:4">
      <c r="A147" s="91">
        <v>31101</v>
      </c>
      <c r="B147" s="99" t="s">
        <v>199</v>
      </c>
      <c r="C147" s="92">
        <v>261</v>
      </c>
      <c r="D147" s="94">
        <v>35</v>
      </c>
    </row>
    <row r="148" spans="1:4">
      <c r="A148" s="91">
        <v>31201</v>
      </c>
      <c r="B148" s="99" t="s">
        <v>201</v>
      </c>
      <c r="C148" s="92">
        <v>199</v>
      </c>
      <c r="D148" s="94">
        <v>41</v>
      </c>
    </row>
    <row r="149" spans="1:4">
      <c r="A149" s="91">
        <v>31202</v>
      </c>
      <c r="B149" s="99" t="s">
        <v>202</v>
      </c>
      <c r="C149" s="92">
        <v>130</v>
      </c>
      <c r="D149" s="94">
        <v>39</v>
      </c>
    </row>
    <row r="150" spans="1:4">
      <c r="A150" s="91">
        <v>31203</v>
      </c>
      <c r="B150" s="99" t="s">
        <v>203</v>
      </c>
      <c r="C150" s="92">
        <v>103</v>
      </c>
      <c r="D150" s="94">
        <v>23</v>
      </c>
    </row>
    <row r="151" spans="1:4">
      <c r="A151" s="91">
        <v>31204</v>
      </c>
      <c r="B151" s="99" t="s">
        <v>204</v>
      </c>
      <c r="C151" s="92">
        <v>465</v>
      </c>
      <c r="D151" s="94">
        <v>80</v>
      </c>
    </row>
    <row r="152" spans="1:4">
      <c r="A152" s="91">
        <v>31205</v>
      </c>
      <c r="B152" s="99" t="s">
        <v>205</v>
      </c>
      <c r="C152" s="92">
        <v>710</v>
      </c>
      <c r="D152" s="94">
        <v>175</v>
      </c>
    </row>
    <row r="153" spans="1:4">
      <c r="A153" s="91">
        <v>31206</v>
      </c>
      <c r="B153" s="99" t="s">
        <v>206</v>
      </c>
      <c r="C153" s="92">
        <v>416</v>
      </c>
      <c r="D153" s="94">
        <v>165</v>
      </c>
    </row>
    <row r="154" spans="1:4">
      <c r="A154" s="91">
        <v>31301</v>
      </c>
      <c r="B154" s="99" t="s">
        <v>207</v>
      </c>
      <c r="C154" s="92">
        <v>425</v>
      </c>
      <c r="D154" s="94">
        <v>43</v>
      </c>
    </row>
    <row r="155" spans="1:4">
      <c r="A155" s="91">
        <v>31302</v>
      </c>
      <c r="B155" s="99" t="s">
        <v>208</v>
      </c>
      <c r="C155" s="92">
        <v>199</v>
      </c>
      <c r="D155" s="94">
        <v>202</v>
      </c>
    </row>
    <row r="156" spans="1:4">
      <c r="A156" s="91">
        <v>31303</v>
      </c>
      <c r="B156" s="99" t="s">
        <v>209</v>
      </c>
      <c r="C156" s="92">
        <v>79</v>
      </c>
      <c r="D156" s="94">
        <v>12</v>
      </c>
    </row>
    <row r="157" spans="1:4">
      <c r="A157" s="91">
        <v>31304</v>
      </c>
      <c r="B157" s="99" t="s">
        <v>468</v>
      </c>
      <c r="C157" s="92">
        <v>125</v>
      </c>
      <c r="D157" s="94">
        <v>37</v>
      </c>
    </row>
    <row r="158" spans="1:4">
      <c r="A158" s="91">
        <v>31401</v>
      </c>
      <c r="B158" s="99" t="s">
        <v>211</v>
      </c>
      <c r="C158" s="92">
        <v>226</v>
      </c>
      <c r="D158" s="94">
        <v>66</v>
      </c>
    </row>
    <row r="159" spans="1:4">
      <c r="A159" s="91">
        <v>31402</v>
      </c>
      <c r="B159" s="99" t="s">
        <v>212</v>
      </c>
      <c r="C159" s="92">
        <v>73</v>
      </c>
      <c r="D159" s="94">
        <v>26</v>
      </c>
    </row>
    <row r="160" spans="1:4">
      <c r="A160" s="91">
        <v>31403</v>
      </c>
      <c r="B160" s="99" t="s">
        <v>213</v>
      </c>
      <c r="C160" s="92">
        <v>78</v>
      </c>
      <c r="D160" s="94">
        <v>20</v>
      </c>
    </row>
    <row r="161" spans="1:4">
      <c r="A161" s="91">
        <v>31404</v>
      </c>
      <c r="B161" s="99" t="s">
        <v>214</v>
      </c>
      <c r="C161" s="92">
        <v>8</v>
      </c>
      <c r="D161" s="94">
        <v>0</v>
      </c>
    </row>
    <row r="162" spans="1:4">
      <c r="A162" s="91">
        <v>31405</v>
      </c>
      <c r="B162" s="99" t="s">
        <v>215</v>
      </c>
      <c r="C162" s="92">
        <v>27</v>
      </c>
      <c r="D162" s="94">
        <v>7</v>
      </c>
    </row>
    <row r="163" spans="1:4">
      <c r="A163" s="91">
        <v>31501</v>
      </c>
      <c r="B163" s="99" t="s">
        <v>216</v>
      </c>
      <c r="C163" s="92">
        <v>73</v>
      </c>
      <c r="D163" s="94">
        <v>13</v>
      </c>
    </row>
    <row r="164" spans="1:4">
      <c r="A164" s="91">
        <v>31601</v>
      </c>
      <c r="B164" s="99" t="s">
        <v>217</v>
      </c>
      <c r="C164" s="92">
        <v>198</v>
      </c>
      <c r="D164" s="94">
        <v>31</v>
      </c>
    </row>
    <row r="165" spans="1:4">
      <c r="A165" s="91">
        <v>31602</v>
      </c>
      <c r="B165" s="99" t="s">
        <v>218</v>
      </c>
      <c r="C165" s="92">
        <v>356</v>
      </c>
      <c r="D165" s="94">
        <v>69</v>
      </c>
    </row>
    <row r="166" spans="1:4">
      <c r="A166" s="91">
        <v>40101</v>
      </c>
      <c r="B166" s="99" t="s">
        <v>219</v>
      </c>
      <c r="C166" s="92">
        <v>2239</v>
      </c>
      <c r="D166" s="94">
        <v>317</v>
      </c>
    </row>
    <row r="167" spans="1:4">
      <c r="A167" s="91">
        <v>40102</v>
      </c>
      <c r="B167" s="99" t="s">
        <v>220</v>
      </c>
      <c r="C167" s="92">
        <v>267</v>
      </c>
      <c r="D167" s="94">
        <v>25</v>
      </c>
    </row>
    <row r="168" spans="1:4">
      <c r="A168" s="91">
        <v>40103</v>
      </c>
      <c r="B168" s="99" t="s">
        <v>221</v>
      </c>
      <c r="C168" s="92">
        <v>83</v>
      </c>
      <c r="D168" s="94">
        <v>66</v>
      </c>
    </row>
    <row r="169" spans="1:4">
      <c r="A169" s="91">
        <v>40104</v>
      </c>
      <c r="B169" s="99" t="s">
        <v>222</v>
      </c>
      <c r="C169" s="92">
        <v>133</v>
      </c>
      <c r="D169" s="94">
        <v>13</v>
      </c>
    </row>
    <row r="170" spans="1:4">
      <c r="A170" s="91">
        <v>40201</v>
      </c>
      <c r="B170" s="99" t="s">
        <v>224</v>
      </c>
      <c r="C170" s="92">
        <v>338</v>
      </c>
      <c r="D170" s="94">
        <v>111</v>
      </c>
    </row>
    <row r="171" spans="1:4">
      <c r="A171" s="91">
        <v>40202</v>
      </c>
      <c r="B171" s="99" t="s">
        <v>225</v>
      </c>
      <c r="C171" s="92">
        <v>46</v>
      </c>
      <c r="D171" s="94">
        <v>6</v>
      </c>
    </row>
    <row r="172" spans="1:4">
      <c r="A172" s="91">
        <v>40301</v>
      </c>
      <c r="B172" s="99" t="s">
        <v>227</v>
      </c>
      <c r="C172" s="92">
        <v>74</v>
      </c>
      <c r="D172" s="94">
        <v>38</v>
      </c>
    </row>
    <row r="173" spans="1:4">
      <c r="A173" s="91">
        <v>40302</v>
      </c>
      <c r="B173" s="99" t="s">
        <v>228</v>
      </c>
      <c r="C173" s="92">
        <v>11</v>
      </c>
      <c r="D173" s="94">
        <v>6</v>
      </c>
    </row>
    <row r="174" spans="1:4">
      <c r="A174" s="91">
        <v>40401</v>
      </c>
      <c r="B174" s="99" t="s">
        <v>230</v>
      </c>
      <c r="C174" s="92">
        <v>18</v>
      </c>
      <c r="D174" s="94">
        <v>24</v>
      </c>
    </row>
    <row r="175" spans="1:4">
      <c r="A175" s="91">
        <v>40402</v>
      </c>
      <c r="B175" s="99" t="s">
        <v>231</v>
      </c>
      <c r="C175" s="92">
        <v>29</v>
      </c>
      <c r="D175" s="94">
        <v>15</v>
      </c>
    </row>
    <row r="176" spans="1:4">
      <c r="A176" s="91">
        <v>40501</v>
      </c>
      <c r="B176" s="99" t="s">
        <v>233</v>
      </c>
      <c r="C176" s="92">
        <v>6</v>
      </c>
      <c r="D176" s="94">
        <v>19</v>
      </c>
    </row>
    <row r="177" spans="1:4">
      <c r="A177" s="91">
        <v>40502</v>
      </c>
      <c r="B177" s="99" t="s">
        <v>234</v>
      </c>
      <c r="C177" s="92">
        <v>66</v>
      </c>
      <c r="D177" s="94">
        <v>28</v>
      </c>
    </row>
    <row r="178" spans="1:4">
      <c r="A178" s="91">
        <v>40503</v>
      </c>
      <c r="B178" s="99" t="s">
        <v>235</v>
      </c>
      <c r="C178" s="92">
        <v>51</v>
      </c>
      <c r="D178" s="94">
        <v>15</v>
      </c>
    </row>
    <row r="179" spans="1:4">
      <c r="A179" s="91">
        <v>40504</v>
      </c>
      <c r="B179" s="99" t="s">
        <v>236</v>
      </c>
      <c r="C179" s="92">
        <v>7</v>
      </c>
      <c r="D179" s="94">
        <v>11</v>
      </c>
    </row>
    <row r="180" spans="1:4">
      <c r="A180" s="91">
        <v>40505</v>
      </c>
      <c r="B180" s="99" t="s">
        <v>237</v>
      </c>
      <c r="C180" s="92">
        <v>51</v>
      </c>
      <c r="D180" s="94">
        <v>48</v>
      </c>
    </row>
    <row r="181" spans="1:4">
      <c r="A181" s="91">
        <v>40601</v>
      </c>
      <c r="B181" s="99" t="s">
        <v>238</v>
      </c>
      <c r="C181" s="92">
        <v>25</v>
      </c>
      <c r="D181" s="94">
        <v>38</v>
      </c>
    </row>
    <row r="182" spans="1:4">
      <c r="A182" s="91">
        <v>40602</v>
      </c>
      <c r="B182" s="99" t="s">
        <v>239</v>
      </c>
      <c r="C182" s="92">
        <v>48</v>
      </c>
      <c r="D182" s="94">
        <v>26</v>
      </c>
    </row>
    <row r="183" spans="1:4">
      <c r="A183" s="91">
        <v>40603</v>
      </c>
      <c r="B183" s="99" t="s">
        <v>240</v>
      </c>
      <c r="C183" s="92">
        <v>30</v>
      </c>
      <c r="D183" s="94">
        <v>5</v>
      </c>
    </row>
    <row r="184" spans="1:4">
      <c r="A184" s="91">
        <v>40701</v>
      </c>
      <c r="B184" s="99" t="s">
        <v>242</v>
      </c>
      <c r="C184" s="92">
        <v>119</v>
      </c>
      <c r="D184" s="94">
        <v>15</v>
      </c>
    </row>
    <row r="185" spans="1:4">
      <c r="A185" s="91">
        <v>40702</v>
      </c>
      <c r="B185" s="99" t="s">
        <v>243</v>
      </c>
      <c r="C185" s="92">
        <v>45</v>
      </c>
      <c r="D185" s="94">
        <v>5</v>
      </c>
    </row>
    <row r="186" spans="1:4">
      <c r="A186" s="91">
        <v>40801</v>
      </c>
      <c r="B186" s="99" t="s">
        <v>245</v>
      </c>
      <c r="C186" s="92">
        <v>155</v>
      </c>
      <c r="D186" s="94">
        <v>31</v>
      </c>
    </row>
    <row r="187" spans="1:4">
      <c r="A187" s="91">
        <v>40802</v>
      </c>
      <c r="B187" s="99" t="s">
        <v>246</v>
      </c>
      <c r="C187" s="92">
        <v>46</v>
      </c>
      <c r="D187" s="94">
        <v>3</v>
      </c>
    </row>
    <row r="188" spans="1:4">
      <c r="A188" s="91">
        <v>40901</v>
      </c>
      <c r="B188" s="99" t="s">
        <v>247</v>
      </c>
      <c r="C188" s="92">
        <v>141</v>
      </c>
      <c r="D188" s="94">
        <v>137</v>
      </c>
    </row>
    <row r="189" spans="1:4">
      <c r="A189" s="91">
        <v>40902</v>
      </c>
      <c r="B189" s="99" t="s">
        <v>248</v>
      </c>
      <c r="C189" s="92">
        <v>15</v>
      </c>
      <c r="D189" s="94">
        <v>15</v>
      </c>
    </row>
    <row r="190" spans="1:4">
      <c r="A190" s="91">
        <v>40903</v>
      </c>
      <c r="B190" s="99" t="s">
        <v>249</v>
      </c>
      <c r="C190" s="92">
        <v>41</v>
      </c>
      <c r="D190" s="94">
        <v>42</v>
      </c>
    </row>
    <row r="191" spans="1:4">
      <c r="A191" s="91">
        <v>41001</v>
      </c>
      <c r="B191" s="99" t="s">
        <v>251</v>
      </c>
      <c r="C191" s="92">
        <v>115</v>
      </c>
      <c r="D191" s="94">
        <v>17</v>
      </c>
    </row>
    <row r="192" spans="1:4">
      <c r="A192" s="91">
        <v>41101</v>
      </c>
      <c r="B192" s="99" t="s">
        <v>253</v>
      </c>
      <c r="C192" s="92">
        <v>43</v>
      </c>
      <c r="D192" s="94">
        <v>8</v>
      </c>
    </row>
    <row r="193" spans="1:4">
      <c r="A193" s="91">
        <v>41201</v>
      </c>
      <c r="B193" s="99" t="s">
        <v>255</v>
      </c>
      <c r="C193" s="92">
        <v>35</v>
      </c>
      <c r="D193" s="94">
        <v>4</v>
      </c>
    </row>
    <row r="194" spans="1:4">
      <c r="A194" s="91">
        <v>41202</v>
      </c>
      <c r="B194" s="99" t="s">
        <v>256</v>
      </c>
      <c r="C194" s="92">
        <v>16</v>
      </c>
      <c r="D194" s="94">
        <v>2</v>
      </c>
    </row>
    <row r="195" spans="1:4">
      <c r="A195" s="91">
        <v>41301</v>
      </c>
      <c r="B195" s="99" t="s">
        <v>201</v>
      </c>
      <c r="C195" s="92">
        <v>45</v>
      </c>
      <c r="D195" s="94">
        <v>19</v>
      </c>
    </row>
    <row r="196" spans="1:4">
      <c r="A196" s="91">
        <v>41401</v>
      </c>
      <c r="B196" s="99" t="s">
        <v>259</v>
      </c>
      <c r="C196" s="92">
        <v>125</v>
      </c>
      <c r="D196" s="94">
        <v>46</v>
      </c>
    </row>
    <row r="197" spans="1:4">
      <c r="A197" s="91">
        <v>41501</v>
      </c>
      <c r="B197" s="99" t="s">
        <v>261</v>
      </c>
      <c r="C197" s="92">
        <v>12</v>
      </c>
      <c r="D197" s="94">
        <v>26</v>
      </c>
    </row>
    <row r="198" spans="1:4">
      <c r="A198" s="91">
        <v>41502</v>
      </c>
      <c r="B198" s="99" t="s">
        <v>262</v>
      </c>
      <c r="C198" s="92">
        <v>18</v>
      </c>
      <c r="D198" s="94">
        <v>6</v>
      </c>
    </row>
    <row r="199" spans="1:4">
      <c r="A199" s="91">
        <v>41503</v>
      </c>
      <c r="B199" s="99" t="s">
        <v>226</v>
      </c>
      <c r="C199" s="92">
        <v>23</v>
      </c>
      <c r="D199" s="94">
        <v>12</v>
      </c>
    </row>
    <row r="200" spans="1:4">
      <c r="A200" s="91">
        <v>41601</v>
      </c>
      <c r="B200" s="99" t="s">
        <v>264</v>
      </c>
      <c r="C200" s="92">
        <v>44</v>
      </c>
      <c r="D200" s="94">
        <v>6</v>
      </c>
    </row>
    <row r="201" spans="1:4">
      <c r="A201" s="91">
        <v>50101</v>
      </c>
      <c r="B201" s="99" t="s">
        <v>265</v>
      </c>
      <c r="C201" s="92">
        <v>1806</v>
      </c>
      <c r="D201" s="94">
        <v>288</v>
      </c>
    </row>
    <row r="202" spans="1:4">
      <c r="A202" s="91">
        <v>50102</v>
      </c>
      <c r="B202" s="99" t="s">
        <v>267</v>
      </c>
      <c r="C202" s="92">
        <v>448</v>
      </c>
      <c r="D202" s="94">
        <v>54</v>
      </c>
    </row>
    <row r="203" spans="1:4">
      <c r="A203" s="91">
        <v>50103</v>
      </c>
      <c r="B203" s="99" t="s">
        <v>268</v>
      </c>
      <c r="C203" s="92">
        <v>57</v>
      </c>
      <c r="D203" s="94">
        <v>20</v>
      </c>
    </row>
    <row r="204" spans="1:4">
      <c r="A204" s="91">
        <v>50104</v>
      </c>
      <c r="B204" s="99" t="s">
        <v>269</v>
      </c>
      <c r="C204" s="92">
        <v>45</v>
      </c>
      <c r="D204" s="94">
        <v>5</v>
      </c>
    </row>
    <row r="205" spans="1:4">
      <c r="A205" s="91">
        <v>50201</v>
      </c>
      <c r="B205" s="99" t="s">
        <v>271</v>
      </c>
      <c r="C205" s="92">
        <v>145</v>
      </c>
      <c r="D205" s="94">
        <v>40</v>
      </c>
    </row>
    <row r="206" spans="1:4">
      <c r="A206" s="91">
        <v>50202</v>
      </c>
      <c r="B206" s="99" t="s">
        <v>272</v>
      </c>
      <c r="C206" s="92">
        <v>119</v>
      </c>
      <c r="D206" s="94">
        <v>14</v>
      </c>
    </row>
    <row r="207" spans="1:4">
      <c r="A207" s="91">
        <v>50203</v>
      </c>
      <c r="B207" s="99" t="s">
        <v>273</v>
      </c>
      <c r="C207" s="92">
        <v>278</v>
      </c>
      <c r="D207" s="94">
        <v>37</v>
      </c>
    </row>
    <row r="208" spans="1:4">
      <c r="A208" s="91">
        <v>50204</v>
      </c>
      <c r="B208" s="99" t="s">
        <v>274</v>
      </c>
      <c r="C208" s="92">
        <v>119</v>
      </c>
      <c r="D208" s="94">
        <v>12</v>
      </c>
    </row>
    <row r="209" spans="1:4">
      <c r="A209" s="91">
        <v>50301</v>
      </c>
      <c r="B209" s="99" t="s">
        <v>276</v>
      </c>
      <c r="C209" s="92">
        <v>322</v>
      </c>
      <c r="D209" s="94">
        <v>78</v>
      </c>
    </row>
    <row r="210" spans="1:4">
      <c r="A210" s="91">
        <v>50302</v>
      </c>
      <c r="B210" s="99" t="s">
        <v>277</v>
      </c>
      <c r="C210" s="92">
        <v>51</v>
      </c>
      <c r="D210" s="94">
        <v>19</v>
      </c>
    </row>
    <row r="211" spans="1:4">
      <c r="A211" s="91">
        <v>50303</v>
      </c>
      <c r="B211" s="99" t="s">
        <v>278</v>
      </c>
      <c r="C211" s="92">
        <v>225</v>
      </c>
      <c r="D211" s="94">
        <v>33</v>
      </c>
    </row>
    <row r="212" spans="1:4">
      <c r="A212" s="91">
        <v>50401</v>
      </c>
      <c r="B212" s="99" t="s">
        <v>279</v>
      </c>
      <c r="C212" s="92">
        <v>341</v>
      </c>
      <c r="D212" s="94">
        <v>43</v>
      </c>
    </row>
    <row r="213" spans="1:4">
      <c r="A213" s="91">
        <v>50402</v>
      </c>
      <c r="B213" s="99" t="s">
        <v>280</v>
      </c>
      <c r="C213" s="92">
        <v>282</v>
      </c>
      <c r="D213" s="94">
        <v>14</v>
      </c>
    </row>
    <row r="214" spans="1:4">
      <c r="A214" s="91">
        <v>50403</v>
      </c>
      <c r="B214" s="99" t="s">
        <v>281</v>
      </c>
      <c r="C214" s="92">
        <v>351</v>
      </c>
      <c r="D214" s="94">
        <v>68</v>
      </c>
    </row>
    <row r="215" spans="1:4">
      <c r="A215" s="91">
        <v>50404</v>
      </c>
      <c r="B215" s="99" t="s">
        <v>282</v>
      </c>
      <c r="C215" s="92">
        <v>398</v>
      </c>
      <c r="D215" s="94">
        <v>29</v>
      </c>
    </row>
    <row r="216" spans="1:4">
      <c r="A216" s="91">
        <v>50405</v>
      </c>
      <c r="B216" s="99" t="s">
        <v>283</v>
      </c>
      <c r="C216" s="92">
        <v>255</v>
      </c>
      <c r="D216" s="94">
        <v>65</v>
      </c>
    </row>
    <row r="217" spans="1:4">
      <c r="A217" s="91">
        <v>50501</v>
      </c>
      <c r="B217" s="99" t="s">
        <v>285</v>
      </c>
      <c r="C217" s="92">
        <v>883</v>
      </c>
      <c r="D217" s="94">
        <v>75</v>
      </c>
    </row>
    <row r="218" spans="1:4">
      <c r="A218" s="91">
        <v>50502</v>
      </c>
      <c r="B218" s="99" t="s">
        <v>286</v>
      </c>
      <c r="C218" s="92">
        <v>310</v>
      </c>
      <c r="D218" s="94">
        <v>27</v>
      </c>
    </row>
    <row r="219" spans="1:4">
      <c r="A219" s="91">
        <v>50601</v>
      </c>
      <c r="B219" s="99" t="s">
        <v>288</v>
      </c>
      <c r="C219" s="92">
        <v>277</v>
      </c>
      <c r="D219" s="94">
        <v>117</v>
      </c>
    </row>
    <row r="220" spans="1:4">
      <c r="A220" s="91">
        <v>50602</v>
      </c>
      <c r="B220" s="99" t="s">
        <v>289</v>
      </c>
      <c r="C220" s="92">
        <v>88</v>
      </c>
      <c r="D220" s="94">
        <v>29</v>
      </c>
    </row>
    <row r="221" spans="1:4">
      <c r="A221" s="91">
        <v>50701</v>
      </c>
      <c r="B221" s="99" t="s">
        <v>291</v>
      </c>
      <c r="C221" s="92">
        <v>228</v>
      </c>
      <c r="D221" s="94">
        <v>22</v>
      </c>
    </row>
    <row r="222" spans="1:4">
      <c r="A222" s="91">
        <v>50702</v>
      </c>
      <c r="B222" s="99" t="s">
        <v>292</v>
      </c>
      <c r="C222" s="92">
        <v>54</v>
      </c>
      <c r="D222" s="94">
        <v>16</v>
      </c>
    </row>
    <row r="223" spans="1:4">
      <c r="A223" s="91">
        <v>50801</v>
      </c>
      <c r="B223" s="99" t="s">
        <v>294</v>
      </c>
      <c r="C223" s="92">
        <v>331</v>
      </c>
      <c r="D223" s="94">
        <v>86</v>
      </c>
    </row>
    <row r="224" spans="1:4">
      <c r="A224" s="91">
        <v>50802</v>
      </c>
      <c r="B224" s="99" t="s">
        <v>295</v>
      </c>
      <c r="C224" s="92">
        <v>34</v>
      </c>
      <c r="D224" s="94">
        <v>5</v>
      </c>
    </row>
    <row r="225" spans="1:4">
      <c r="A225" s="91">
        <v>50901</v>
      </c>
      <c r="B225" s="99" t="s">
        <v>297</v>
      </c>
      <c r="C225" s="92">
        <v>97</v>
      </c>
      <c r="D225" s="94">
        <v>24</v>
      </c>
    </row>
    <row r="226" spans="1:4">
      <c r="A226" s="91">
        <v>50902</v>
      </c>
      <c r="B226" s="99" t="s">
        <v>298</v>
      </c>
      <c r="C226" s="92">
        <v>13</v>
      </c>
      <c r="D226" s="94">
        <v>5</v>
      </c>
    </row>
    <row r="227" spans="1:4">
      <c r="A227" s="91">
        <v>51001</v>
      </c>
      <c r="B227" s="99" t="s">
        <v>300</v>
      </c>
      <c r="C227" s="92">
        <v>28</v>
      </c>
      <c r="D227" s="94">
        <v>5</v>
      </c>
    </row>
    <row r="228" spans="1:4">
      <c r="A228" s="91">
        <v>51002</v>
      </c>
      <c r="B228" s="99" t="s">
        <v>301</v>
      </c>
      <c r="C228" s="92">
        <v>24</v>
      </c>
      <c r="D228" s="94">
        <v>11</v>
      </c>
    </row>
    <row r="229" spans="1:4">
      <c r="A229" s="91">
        <v>51003</v>
      </c>
      <c r="B229" s="99" t="s">
        <v>302</v>
      </c>
      <c r="C229" s="92">
        <v>25</v>
      </c>
      <c r="D229" s="94">
        <v>14</v>
      </c>
    </row>
    <row r="230" spans="1:4">
      <c r="A230" s="91">
        <v>51101</v>
      </c>
      <c r="B230" s="99" t="s">
        <v>304</v>
      </c>
      <c r="C230" s="92">
        <v>203</v>
      </c>
      <c r="D230" s="94">
        <v>42</v>
      </c>
    </row>
    <row r="231" spans="1:4">
      <c r="A231" s="91">
        <v>51102</v>
      </c>
      <c r="B231" s="99" t="s">
        <v>305</v>
      </c>
      <c r="C231" s="92">
        <v>94</v>
      </c>
      <c r="D231" s="94">
        <v>44</v>
      </c>
    </row>
    <row r="232" spans="1:4">
      <c r="A232" s="91">
        <v>51103</v>
      </c>
      <c r="B232" s="99" t="s">
        <v>306</v>
      </c>
      <c r="C232" s="92">
        <v>296</v>
      </c>
      <c r="D232" s="94">
        <v>44</v>
      </c>
    </row>
    <row r="233" spans="1:4">
      <c r="A233" s="91">
        <v>51201</v>
      </c>
      <c r="B233" s="99" t="s">
        <v>308</v>
      </c>
      <c r="C233" s="92">
        <v>250</v>
      </c>
      <c r="D233" s="94">
        <v>51</v>
      </c>
    </row>
    <row r="234" spans="1:4">
      <c r="A234" s="91">
        <v>51202</v>
      </c>
      <c r="B234" s="99" t="s">
        <v>309</v>
      </c>
      <c r="C234" s="92">
        <v>66</v>
      </c>
      <c r="D234" s="94">
        <v>11</v>
      </c>
    </row>
    <row r="235" spans="1:4">
      <c r="A235" s="91">
        <v>51203</v>
      </c>
      <c r="B235" s="99" t="s">
        <v>310</v>
      </c>
      <c r="C235" s="92">
        <v>200</v>
      </c>
      <c r="D235" s="94">
        <v>14</v>
      </c>
    </row>
    <row r="236" spans="1:4">
      <c r="A236" s="91">
        <v>51204</v>
      </c>
      <c r="B236" s="99" t="s">
        <v>469</v>
      </c>
      <c r="C236" s="92">
        <v>66</v>
      </c>
      <c r="D236" s="94">
        <v>11</v>
      </c>
    </row>
    <row r="237" spans="1:4">
      <c r="A237" s="91">
        <v>51301</v>
      </c>
      <c r="B237" s="99" t="s">
        <v>313</v>
      </c>
      <c r="C237" s="92">
        <v>48</v>
      </c>
      <c r="D237" s="94">
        <v>8</v>
      </c>
    </row>
    <row r="238" spans="1:4">
      <c r="A238" s="91">
        <v>51302</v>
      </c>
      <c r="B238" s="99" t="s">
        <v>314</v>
      </c>
      <c r="C238" s="92">
        <v>68</v>
      </c>
      <c r="D238" s="94">
        <v>6</v>
      </c>
    </row>
    <row r="239" spans="1:4">
      <c r="A239" s="91">
        <v>51401</v>
      </c>
      <c r="B239" s="99" t="s">
        <v>316</v>
      </c>
      <c r="C239" s="92">
        <v>27</v>
      </c>
      <c r="D239" s="94">
        <v>17</v>
      </c>
    </row>
    <row r="240" spans="1:4">
      <c r="A240" s="91">
        <v>51402</v>
      </c>
      <c r="B240" s="99" t="s">
        <v>317</v>
      </c>
      <c r="C240" s="92">
        <v>12</v>
      </c>
      <c r="D240" s="94">
        <v>3</v>
      </c>
    </row>
    <row r="241" spans="1:4">
      <c r="A241" s="91">
        <v>51501</v>
      </c>
      <c r="B241" s="99" t="s">
        <v>319</v>
      </c>
      <c r="C241" s="92">
        <v>483</v>
      </c>
      <c r="D241" s="94">
        <v>333</v>
      </c>
    </row>
    <row r="242" spans="1:4">
      <c r="A242" s="91">
        <v>51601</v>
      </c>
      <c r="B242" s="99" t="s">
        <v>321</v>
      </c>
      <c r="C242" s="92">
        <v>15</v>
      </c>
      <c r="D242" s="94">
        <v>12</v>
      </c>
    </row>
    <row r="243" spans="1:4">
      <c r="A243" s="91">
        <v>60101</v>
      </c>
      <c r="B243" s="99" t="s">
        <v>322</v>
      </c>
      <c r="C243" s="92">
        <v>1098</v>
      </c>
      <c r="D243" s="94">
        <v>282</v>
      </c>
    </row>
    <row r="244" spans="1:4">
      <c r="A244" s="91">
        <v>60201</v>
      </c>
      <c r="B244" s="99" t="s">
        <v>324</v>
      </c>
      <c r="C244" s="92">
        <v>120</v>
      </c>
      <c r="D244" s="94">
        <v>36</v>
      </c>
    </row>
    <row r="245" spans="1:4">
      <c r="A245" s="91">
        <v>60202</v>
      </c>
      <c r="B245" s="99" t="s">
        <v>325</v>
      </c>
      <c r="C245" s="92">
        <v>196</v>
      </c>
      <c r="D245" s="94">
        <v>120</v>
      </c>
    </row>
    <row r="246" spans="1:4">
      <c r="A246" s="91">
        <v>60301</v>
      </c>
      <c r="B246" s="99" t="s">
        <v>327</v>
      </c>
      <c r="C246" s="92">
        <v>1117</v>
      </c>
      <c r="D246" s="94">
        <v>327</v>
      </c>
    </row>
    <row r="247" spans="1:4">
      <c r="A247" s="91">
        <v>60302</v>
      </c>
      <c r="B247" s="99" t="s">
        <v>328</v>
      </c>
      <c r="C247" s="92">
        <v>168</v>
      </c>
      <c r="D247" s="94">
        <v>35</v>
      </c>
    </row>
    <row r="248" spans="1:4">
      <c r="A248" s="91">
        <v>60303</v>
      </c>
      <c r="B248" s="99" t="s">
        <v>329</v>
      </c>
      <c r="C248" s="92">
        <v>395</v>
      </c>
      <c r="D248" s="94">
        <v>115</v>
      </c>
    </row>
    <row r="249" spans="1:4">
      <c r="A249" s="91">
        <v>60401</v>
      </c>
      <c r="B249" s="99" t="s">
        <v>331</v>
      </c>
      <c r="C249" s="92">
        <v>115</v>
      </c>
      <c r="D249" s="94">
        <v>26</v>
      </c>
    </row>
    <row r="250" spans="1:4">
      <c r="A250" s="91">
        <v>60402</v>
      </c>
      <c r="B250" s="99" t="s">
        <v>332</v>
      </c>
      <c r="C250" s="92">
        <v>54</v>
      </c>
      <c r="D250" s="94">
        <v>9</v>
      </c>
    </row>
    <row r="251" spans="1:4">
      <c r="A251" s="91">
        <v>60501</v>
      </c>
      <c r="B251" s="99" t="s">
        <v>334</v>
      </c>
      <c r="C251" s="92">
        <v>171</v>
      </c>
      <c r="D251" s="94">
        <v>49</v>
      </c>
    </row>
    <row r="252" spans="1:4">
      <c r="A252" s="91">
        <v>60502</v>
      </c>
      <c r="B252" s="99" t="s">
        <v>335</v>
      </c>
      <c r="C252" s="92">
        <v>62</v>
      </c>
      <c r="D252" s="94">
        <v>11</v>
      </c>
    </row>
    <row r="253" spans="1:4">
      <c r="A253" s="91">
        <v>60601</v>
      </c>
      <c r="B253" s="99" t="s">
        <v>206</v>
      </c>
      <c r="C253" s="92">
        <v>204</v>
      </c>
      <c r="D253" s="94">
        <v>34</v>
      </c>
    </row>
    <row r="254" spans="1:4">
      <c r="A254" s="91">
        <v>70101</v>
      </c>
      <c r="B254" s="99" t="s">
        <v>339</v>
      </c>
      <c r="C254" s="92">
        <v>23072</v>
      </c>
      <c r="D254" s="94">
        <v>4336</v>
      </c>
    </row>
    <row r="255" spans="1:4">
      <c r="A255" s="91">
        <v>70102</v>
      </c>
      <c r="B255" s="99" t="s">
        <v>340</v>
      </c>
      <c r="C255" s="92">
        <v>1464</v>
      </c>
      <c r="D255" s="94">
        <v>423</v>
      </c>
    </row>
    <row r="256" spans="1:4">
      <c r="A256" s="91">
        <v>70103</v>
      </c>
      <c r="B256" s="99" t="s">
        <v>341</v>
      </c>
      <c r="C256" s="92">
        <v>201</v>
      </c>
      <c r="D256" s="94">
        <v>48</v>
      </c>
    </row>
    <row r="257" spans="1:4">
      <c r="A257" s="91">
        <v>70104</v>
      </c>
      <c r="B257" s="99" t="s">
        <v>342</v>
      </c>
      <c r="C257" s="92">
        <v>1484</v>
      </c>
      <c r="D257" s="94">
        <v>362</v>
      </c>
    </row>
    <row r="258" spans="1:4">
      <c r="A258" s="91">
        <v>70105</v>
      </c>
      <c r="B258" s="99" t="s">
        <v>343</v>
      </c>
      <c r="C258" s="92">
        <v>678</v>
      </c>
      <c r="D258" s="94">
        <v>97</v>
      </c>
    </row>
    <row r="259" spans="1:4">
      <c r="A259" s="91">
        <v>70201</v>
      </c>
      <c r="B259" s="99" t="s">
        <v>344</v>
      </c>
      <c r="C259" s="92">
        <v>2105</v>
      </c>
      <c r="D259" s="94">
        <v>548</v>
      </c>
    </row>
    <row r="260" spans="1:4">
      <c r="A260" s="91">
        <v>70202</v>
      </c>
      <c r="B260" s="99" t="s">
        <v>345</v>
      </c>
      <c r="C260" s="92">
        <v>188</v>
      </c>
      <c r="D260" s="94">
        <v>56</v>
      </c>
    </row>
    <row r="261" spans="1:4">
      <c r="A261" s="91">
        <v>70301</v>
      </c>
      <c r="B261" s="99" t="s">
        <v>347</v>
      </c>
      <c r="C261" s="92">
        <v>1505</v>
      </c>
      <c r="D261" s="94">
        <v>791</v>
      </c>
    </row>
    <row r="262" spans="1:4">
      <c r="A262" s="91">
        <v>70302</v>
      </c>
      <c r="B262" s="99" t="s">
        <v>348</v>
      </c>
      <c r="C262" s="92">
        <v>152</v>
      </c>
      <c r="D262" s="94">
        <v>253</v>
      </c>
    </row>
    <row r="263" spans="1:4">
      <c r="A263" s="91">
        <v>70303</v>
      </c>
      <c r="B263" s="99" t="s">
        <v>349</v>
      </c>
      <c r="C263" s="92">
        <v>174</v>
      </c>
      <c r="D263" s="94">
        <v>119</v>
      </c>
    </row>
    <row r="264" spans="1:4">
      <c r="A264" s="91">
        <v>70401</v>
      </c>
      <c r="B264" s="99" t="s">
        <v>351</v>
      </c>
      <c r="C264" s="92">
        <v>259</v>
      </c>
      <c r="D264" s="94">
        <v>48</v>
      </c>
    </row>
    <row r="265" spans="1:4">
      <c r="A265" s="91">
        <v>70402</v>
      </c>
      <c r="B265" s="99" t="s">
        <v>352</v>
      </c>
      <c r="C265" s="92">
        <v>263</v>
      </c>
      <c r="D265" s="94">
        <v>65</v>
      </c>
    </row>
    <row r="266" spans="1:4">
      <c r="A266" s="91">
        <v>70403</v>
      </c>
      <c r="B266" s="99" t="s">
        <v>353</v>
      </c>
      <c r="C266" s="92">
        <v>951</v>
      </c>
      <c r="D266" s="94">
        <v>176</v>
      </c>
    </row>
    <row r="267" spans="1:4">
      <c r="A267" s="91">
        <v>70404</v>
      </c>
      <c r="B267" s="99" t="s">
        <v>354</v>
      </c>
      <c r="C267" s="92">
        <v>116</v>
      </c>
      <c r="D267" s="94">
        <v>30</v>
      </c>
    </row>
    <row r="268" spans="1:4">
      <c r="A268" s="91">
        <v>70501</v>
      </c>
      <c r="B268" s="99" t="s">
        <v>356</v>
      </c>
      <c r="C268" s="92">
        <v>589</v>
      </c>
      <c r="D268" s="94">
        <v>1173</v>
      </c>
    </row>
    <row r="269" spans="1:4">
      <c r="A269" s="91">
        <v>70502</v>
      </c>
      <c r="B269" s="99" t="s">
        <v>357</v>
      </c>
      <c r="C269" s="92">
        <v>1108</v>
      </c>
      <c r="D269" s="94">
        <v>1040</v>
      </c>
    </row>
    <row r="270" spans="1:4">
      <c r="A270" s="91">
        <v>70503</v>
      </c>
      <c r="B270" s="99" t="s">
        <v>358</v>
      </c>
      <c r="C270" s="92">
        <v>170</v>
      </c>
      <c r="D270" s="94">
        <v>165</v>
      </c>
    </row>
    <row r="271" spans="1:4">
      <c r="A271" s="91">
        <v>70601</v>
      </c>
      <c r="B271" s="99" t="s">
        <v>360</v>
      </c>
      <c r="C271" s="92">
        <v>295</v>
      </c>
      <c r="D271" s="94">
        <v>73</v>
      </c>
    </row>
    <row r="272" spans="1:4">
      <c r="A272" s="91">
        <v>70602</v>
      </c>
      <c r="B272" s="99" t="s">
        <v>361</v>
      </c>
      <c r="C272" s="92">
        <v>410</v>
      </c>
      <c r="D272" s="94">
        <v>51</v>
      </c>
    </row>
    <row r="273" spans="1:4">
      <c r="A273" s="91">
        <v>70603</v>
      </c>
      <c r="B273" s="99" t="s">
        <v>362</v>
      </c>
      <c r="C273" s="92">
        <v>72</v>
      </c>
      <c r="D273" s="94">
        <v>30</v>
      </c>
    </row>
    <row r="274" spans="1:4">
      <c r="A274" s="91">
        <v>70701</v>
      </c>
      <c r="B274" s="99" t="s">
        <v>364</v>
      </c>
      <c r="C274" s="92">
        <v>148</v>
      </c>
      <c r="D274" s="94">
        <v>17</v>
      </c>
    </row>
    <row r="275" spans="1:4">
      <c r="A275" s="91">
        <v>70702</v>
      </c>
      <c r="B275" s="99" t="s">
        <v>365</v>
      </c>
      <c r="C275" s="92">
        <v>1130</v>
      </c>
      <c r="D275" s="94">
        <v>509</v>
      </c>
    </row>
    <row r="276" spans="1:4">
      <c r="A276" s="91">
        <v>70703</v>
      </c>
      <c r="B276" s="99" t="s">
        <v>366</v>
      </c>
      <c r="C276" s="92">
        <v>698</v>
      </c>
      <c r="D276" s="94">
        <v>436</v>
      </c>
    </row>
    <row r="277" spans="1:4">
      <c r="A277" s="91">
        <v>70704</v>
      </c>
      <c r="B277" s="99" t="s">
        <v>367</v>
      </c>
      <c r="C277" s="92">
        <v>97</v>
      </c>
      <c r="D277" s="94">
        <v>7</v>
      </c>
    </row>
    <row r="278" spans="1:4">
      <c r="A278" s="91">
        <v>70705</v>
      </c>
      <c r="B278" s="99" t="s">
        <v>368</v>
      </c>
      <c r="C278" s="92">
        <v>309</v>
      </c>
      <c r="D278" s="94">
        <v>85</v>
      </c>
    </row>
    <row r="279" spans="1:4">
      <c r="A279" s="91">
        <v>70706</v>
      </c>
      <c r="B279" s="99" t="s">
        <v>369</v>
      </c>
      <c r="C279" s="92">
        <v>387</v>
      </c>
      <c r="D279" s="94">
        <v>39</v>
      </c>
    </row>
    <row r="280" spans="1:4">
      <c r="A280" s="91">
        <v>70707</v>
      </c>
      <c r="B280" s="99" t="s">
        <v>370</v>
      </c>
      <c r="C280" s="92">
        <v>114</v>
      </c>
      <c r="D280" s="94">
        <v>105</v>
      </c>
    </row>
    <row r="281" spans="1:4">
      <c r="A281" s="91">
        <v>70801</v>
      </c>
      <c r="B281" s="99" t="s">
        <v>372</v>
      </c>
      <c r="C281" s="92">
        <v>143</v>
      </c>
      <c r="D281" s="94">
        <v>10</v>
      </c>
    </row>
    <row r="282" spans="1:4">
      <c r="A282" s="91">
        <v>70802</v>
      </c>
      <c r="B282" s="99" t="s">
        <v>373</v>
      </c>
      <c r="C282" s="92">
        <v>38</v>
      </c>
      <c r="D282" s="94">
        <v>4</v>
      </c>
    </row>
    <row r="283" spans="1:4">
      <c r="A283" s="91">
        <v>70803</v>
      </c>
      <c r="B283" s="99" t="s">
        <v>374</v>
      </c>
      <c r="C283" s="92">
        <v>17</v>
      </c>
      <c r="D283" s="94">
        <v>1</v>
      </c>
    </row>
    <row r="284" spans="1:4">
      <c r="A284" s="91">
        <v>70804</v>
      </c>
      <c r="B284" s="99" t="s">
        <v>375</v>
      </c>
      <c r="C284" s="92">
        <v>43</v>
      </c>
      <c r="D284" s="94">
        <v>5</v>
      </c>
    </row>
    <row r="285" spans="1:4">
      <c r="A285" s="91">
        <v>70805</v>
      </c>
      <c r="B285" s="99" t="s">
        <v>376</v>
      </c>
      <c r="C285" s="92">
        <v>18</v>
      </c>
      <c r="D285" s="94">
        <v>1</v>
      </c>
    </row>
    <row r="286" spans="1:4">
      <c r="A286" s="91">
        <v>70901</v>
      </c>
      <c r="B286" s="99" t="s">
        <v>378</v>
      </c>
      <c r="C286" s="92">
        <v>106</v>
      </c>
      <c r="D286" s="94">
        <v>34</v>
      </c>
    </row>
    <row r="287" spans="1:4">
      <c r="A287" s="91">
        <v>70902</v>
      </c>
      <c r="B287" s="99" t="s">
        <v>379</v>
      </c>
      <c r="C287" s="92">
        <v>131</v>
      </c>
      <c r="D287" s="94">
        <v>33</v>
      </c>
    </row>
    <row r="288" spans="1:4">
      <c r="A288" s="91">
        <v>70903</v>
      </c>
      <c r="B288" s="99" t="s">
        <v>380</v>
      </c>
      <c r="C288" s="92">
        <v>127</v>
      </c>
      <c r="D288" s="94">
        <v>32</v>
      </c>
    </row>
    <row r="289" spans="1:4">
      <c r="A289" s="91">
        <v>70904</v>
      </c>
      <c r="B289" s="99" t="s">
        <v>381</v>
      </c>
      <c r="C289" s="92">
        <v>33</v>
      </c>
      <c r="D289" s="94">
        <v>12</v>
      </c>
    </row>
    <row r="290" spans="1:4">
      <c r="A290" s="91">
        <v>71001</v>
      </c>
      <c r="B290" s="99" t="s">
        <v>383</v>
      </c>
      <c r="C290" s="92">
        <v>1523</v>
      </c>
      <c r="D290" s="94">
        <v>253</v>
      </c>
    </row>
    <row r="291" spans="1:4">
      <c r="A291" s="91">
        <v>71002</v>
      </c>
      <c r="B291" s="99" t="s">
        <v>384</v>
      </c>
      <c r="C291" s="92">
        <v>290</v>
      </c>
      <c r="D291" s="94">
        <v>89</v>
      </c>
    </row>
    <row r="292" spans="1:4">
      <c r="A292" s="91">
        <v>71003</v>
      </c>
      <c r="B292" s="99" t="s">
        <v>385</v>
      </c>
      <c r="C292" s="92">
        <v>480</v>
      </c>
      <c r="D292" s="94">
        <v>96</v>
      </c>
    </row>
    <row r="293" spans="1:4">
      <c r="A293" s="91">
        <v>71004</v>
      </c>
      <c r="B293" s="99" t="s">
        <v>386</v>
      </c>
      <c r="C293" s="92">
        <v>265</v>
      </c>
      <c r="D293" s="94">
        <v>43</v>
      </c>
    </row>
    <row r="294" spans="1:4">
      <c r="A294" s="91">
        <v>71005</v>
      </c>
      <c r="B294" s="99" t="s">
        <v>285</v>
      </c>
      <c r="C294" s="92">
        <v>353</v>
      </c>
      <c r="D294" s="94">
        <v>52</v>
      </c>
    </row>
    <row r="295" spans="1:4">
      <c r="A295" s="91">
        <v>71101</v>
      </c>
      <c r="B295" s="99" t="s">
        <v>388</v>
      </c>
      <c r="C295" s="92">
        <v>569</v>
      </c>
      <c r="D295" s="94">
        <v>266</v>
      </c>
    </row>
    <row r="296" spans="1:4">
      <c r="A296" s="91">
        <v>71102</v>
      </c>
      <c r="B296" s="99" t="s">
        <v>389</v>
      </c>
      <c r="C296" s="92">
        <v>555</v>
      </c>
      <c r="D296" s="94">
        <v>139</v>
      </c>
    </row>
    <row r="297" spans="1:4">
      <c r="A297" s="91">
        <v>71103</v>
      </c>
      <c r="B297" s="99" t="s">
        <v>392</v>
      </c>
      <c r="C297" s="92">
        <v>243</v>
      </c>
      <c r="D297" s="94">
        <v>67</v>
      </c>
    </row>
    <row r="298" spans="1:4">
      <c r="A298" s="91">
        <v>71104</v>
      </c>
      <c r="B298" s="99" t="s">
        <v>390</v>
      </c>
      <c r="C298" s="92">
        <v>924</v>
      </c>
      <c r="D298" s="94">
        <v>174</v>
      </c>
    </row>
    <row r="299" spans="1:4">
      <c r="A299" s="91">
        <v>71105</v>
      </c>
      <c r="B299" s="99" t="s">
        <v>391</v>
      </c>
      <c r="C299" s="92">
        <v>120</v>
      </c>
      <c r="D299" s="94">
        <v>29</v>
      </c>
    </row>
    <row r="300" spans="1:4">
      <c r="A300" s="91">
        <v>71106</v>
      </c>
      <c r="B300" s="99" t="s">
        <v>393</v>
      </c>
      <c r="C300" s="92">
        <v>514</v>
      </c>
      <c r="D300" s="94">
        <v>358</v>
      </c>
    </row>
    <row r="301" spans="1:4">
      <c r="A301" s="91">
        <v>71201</v>
      </c>
      <c r="B301" s="99" t="s">
        <v>395</v>
      </c>
      <c r="C301" s="92">
        <v>541</v>
      </c>
      <c r="D301" s="94">
        <v>212</v>
      </c>
    </row>
    <row r="302" spans="1:4">
      <c r="A302" s="91">
        <v>71301</v>
      </c>
      <c r="B302" s="99" t="s">
        <v>397</v>
      </c>
      <c r="C302" s="92">
        <v>173</v>
      </c>
      <c r="D302" s="94">
        <v>36</v>
      </c>
    </row>
    <row r="303" spans="1:4">
      <c r="A303" s="91">
        <v>71302</v>
      </c>
      <c r="B303" s="99" t="s">
        <v>398</v>
      </c>
      <c r="C303" s="92">
        <v>57</v>
      </c>
      <c r="D303" s="94">
        <v>13</v>
      </c>
    </row>
    <row r="304" spans="1:4">
      <c r="A304" s="91">
        <v>71401</v>
      </c>
      <c r="B304" s="99" t="s">
        <v>400</v>
      </c>
      <c r="C304" s="92">
        <v>198</v>
      </c>
      <c r="D304" s="94">
        <v>85</v>
      </c>
    </row>
    <row r="305" spans="1:4">
      <c r="A305" s="91">
        <v>71402</v>
      </c>
      <c r="B305" s="99" t="s">
        <v>401</v>
      </c>
      <c r="C305" s="92">
        <v>202</v>
      </c>
      <c r="D305" s="94">
        <v>149</v>
      </c>
    </row>
    <row r="306" spans="1:4">
      <c r="A306" s="91">
        <v>71403</v>
      </c>
      <c r="B306" s="99" t="s">
        <v>402</v>
      </c>
      <c r="C306" s="92">
        <v>132</v>
      </c>
      <c r="D306" s="94">
        <v>175</v>
      </c>
    </row>
    <row r="307" spans="1:4">
      <c r="A307" s="91">
        <v>71501</v>
      </c>
      <c r="B307" s="99" t="s">
        <v>404</v>
      </c>
      <c r="C307" s="92">
        <v>712</v>
      </c>
      <c r="D307" s="94">
        <v>278</v>
      </c>
    </row>
    <row r="308" spans="1:4">
      <c r="A308" s="91">
        <v>71502</v>
      </c>
      <c r="B308" s="99" t="s">
        <v>405</v>
      </c>
      <c r="C308" s="92">
        <v>93</v>
      </c>
      <c r="D308" s="94">
        <v>24</v>
      </c>
    </row>
    <row r="309" spans="1:4">
      <c r="A309" s="91">
        <v>71503</v>
      </c>
      <c r="B309" s="99" t="s">
        <v>335</v>
      </c>
      <c r="C309" s="92">
        <v>416</v>
      </c>
      <c r="D309" s="94">
        <v>133</v>
      </c>
    </row>
    <row r="310" spans="1:4">
      <c r="A310" s="91">
        <v>80101</v>
      </c>
      <c r="B310" s="99" t="s">
        <v>407</v>
      </c>
      <c r="C310" s="92">
        <v>1350</v>
      </c>
      <c r="D310" s="94">
        <v>150</v>
      </c>
    </row>
    <row r="311" spans="1:4">
      <c r="A311" s="91">
        <v>80102</v>
      </c>
      <c r="B311" s="99" t="s">
        <v>389</v>
      </c>
      <c r="C311" s="92">
        <v>132</v>
      </c>
      <c r="D311" s="94">
        <v>159</v>
      </c>
    </row>
    <row r="312" spans="1:4">
      <c r="A312" s="91">
        <v>80201</v>
      </c>
      <c r="B312" s="99" t="s">
        <v>409</v>
      </c>
      <c r="C312" s="92">
        <v>964</v>
      </c>
      <c r="D312" s="94">
        <v>161</v>
      </c>
    </row>
    <row r="313" spans="1:4">
      <c r="A313" s="91">
        <v>80202</v>
      </c>
      <c r="B313" s="99" t="s">
        <v>410</v>
      </c>
      <c r="C313" s="92">
        <v>671</v>
      </c>
      <c r="D313" s="94">
        <v>190</v>
      </c>
    </row>
    <row r="314" spans="1:4">
      <c r="A314" s="91">
        <v>80301</v>
      </c>
      <c r="B314" s="99" t="s">
        <v>412</v>
      </c>
      <c r="C314" s="92">
        <v>238</v>
      </c>
      <c r="D314" s="94">
        <v>68</v>
      </c>
    </row>
    <row r="315" spans="1:4">
      <c r="A315" s="91">
        <v>80302</v>
      </c>
      <c r="B315" s="99" t="s">
        <v>413</v>
      </c>
      <c r="C315" s="92">
        <v>1828</v>
      </c>
      <c r="D315" s="94">
        <v>495</v>
      </c>
    </row>
    <row r="316" spans="1:4">
      <c r="A316" s="91">
        <v>80303</v>
      </c>
      <c r="B316" s="99" t="s">
        <v>361</v>
      </c>
      <c r="C316" s="92">
        <v>209</v>
      </c>
      <c r="D316" s="94">
        <v>78</v>
      </c>
    </row>
    <row r="317" spans="1:4">
      <c r="A317" s="91">
        <v>80304</v>
      </c>
      <c r="B317" s="99" t="s">
        <v>414</v>
      </c>
      <c r="C317" s="92">
        <v>319</v>
      </c>
      <c r="D317" s="94">
        <v>82</v>
      </c>
    </row>
    <row r="318" spans="1:4">
      <c r="A318" s="91">
        <v>80401</v>
      </c>
      <c r="B318" s="99" t="s">
        <v>416</v>
      </c>
      <c r="C318" s="92">
        <v>461</v>
      </c>
      <c r="D318" s="94">
        <v>210</v>
      </c>
    </row>
    <row r="319" spans="1:4">
      <c r="A319" s="91">
        <v>80402</v>
      </c>
      <c r="B319" s="99" t="s">
        <v>417</v>
      </c>
      <c r="C319" s="92">
        <v>287</v>
      </c>
      <c r="D319" s="94">
        <v>115</v>
      </c>
    </row>
    <row r="320" spans="1:4">
      <c r="A320" s="91">
        <v>80501</v>
      </c>
      <c r="B320" s="99" t="s">
        <v>347</v>
      </c>
      <c r="C320" s="92">
        <v>386</v>
      </c>
      <c r="D320" s="94">
        <v>159</v>
      </c>
    </row>
    <row r="321" spans="1:4">
      <c r="A321" s="91">
        <v>80601</v>
      </c>
      <c r="B321" s="99" t="s">
        <v>420</v>
      </c>
      <c r="C321" s="92">
        <v>114</v>
      </c>
      <c r="D321" s="94">
        <v>60</v>
      </c>
    </row>
    <row r="322" spans="1:4">
      <c r="A322" s="91">
        <v>80602</v>
      </c>
      <c r="B322" s="99" t="s">
        <v>421</v>
      </c>
      <c r="C322" s="92">
        <v>154</v>
      </c>
      <c r="D322" s="94">
        <v>56</v>
      </c>
    </row>
    <row r="323" spans="1:4">
      <c r="A323" s="91">
        <v>80701</v>
      </c>
      <c r="B323" s="99" t="s">
        <v>423</v>
      </c>
      <c r="C323" s="92">
        <v>143</v>
      </c>
      <c r="D323" s="94">
        <v>55</v>
      </c>
    </row>
    <row r="324" spans="1:4">
      <c r="A324" s="91">
        <v>80702</v>
      </c>
      <c r="B324" s="99" t="s">
        <v>392</v>
      </c>
      <c r="C324" s="92">
        <v>57</v>
      </c>
      <c r="D324" s="94">
        <v>18</v>
      </c>
    </row>
    <row r="325" spans="1:4">
      <c r="A325" s="91">
        <v>80703</v>
      </c>
      <c r="B325" s="99" t="s">
        <v>424</v>
      </c>
      <c r="C325" s="92">
        <v>24</v>
      </c>
      <c r="D325" s="94">
        <v>15</v>
      </c>
    </row>
    <row r="326" spans="1:4">
      <c r="A326" s="91">
        <v>80801</v>
      </c>
      <c r="B326" s="99" t="s">
        <v>426</v>
      </c>
      <c r="C326" s="92">
        <v>210</v>
      </c>
      <c r="D326" s="94">
        <v>27</v>
      </c>
    </row>
    <row r="327" spans="1:4">
      <c r="A327" s="91">
        <v>80802</v>
      </c>
      <c r="B327" s="99" t="s">
        <v>427</v>
      </c>
      <c r="C327" s="92">
        <v>76</v>
      </c>
      <c r="D327" s="94">
        <v>36</v>
      </c>
    </row>
    <row r="328" spans="1:4">
      <c r="A328" s="91">
        <v>80803</v>
      </c>
      <c r="B328" s="99" t="s">
        <v>428</v>
      </c>
      <c r="C328" s="92">
        <v>41</v>
      </c>
      <c r="D328" s="94">
        <v>23</v>
      </c>
    </row>
    <row r="329" spans="1:4">
      <c r="A329" s="91">
        <v>80901</v>
      </c>
      <c r="B329" s="99" t="s">
        <v>470</v>
      </c>
      <c r="C329" s="92">
        <v>111</v>
      </c>
      <c r="D329" s="94">
        <v>71</v>
      </c>
    </row>
    <row r="330" spans="1:4">
      <c r="A330" s="91">
        <v>90101</v>
      </c>
      <c r="B330" s="99" t="s">
        <v>433</v>
      </c>
      <c r="C330" s="92">
        <v>382</v>
      </c>
      <c r="D330" s="94">
        <v>90</v>
      </c>
    </row>
    <row r="331" spans="1:4">
      <c r="A331" s="91">
        <v>90102</v>
      </c>
      <c r="B331" s="99" t="s">
        <v>434</v>
      </c>
      <c r="C331" s="92">
        <v>107</v>
      </c>
      <c r="D331" s="94">
        <v>18</v>
      </c>
    </row>
    <row r="332" spans="1:4">
      <c r="A332" s="91">
        <v>90103</v>
      </c>
      <c r="B332" s="99" t="s">
        <v>435</v>
      </c>
      <c r="C332" s="92">
        <v>48</v>
      </c>
      <c r="D332" s="94">
        <v>9</v>
      </c>
    </row>
    <row r="333" spans="1:4">
      <c r="A333" s="91">
        <v>90104</v>
      </c>
      <c r="B333" s="99" t="s">
        <v>436</v>
      </c>
      <c r="C333" s="92">
        <v>71</v>
      </c>
      <c r="D333" s="94">
        <v>22</v>
      </c>
    </row>
    <row r="334" spans="1:4">
      <c r="A334" s="91">
        <v>90201</v>
      </c>
      <c r="B334" s="99" t="s">
        <v>438</v>
      </c>
      <c r="C334" s="92">
        <v>153</v>
      </c>
      <c r="D334" s="94">
        <v>21</v>
      </c>
    </row>
    <row r="335" spans="1:4">
      <c r="A335" s="91">
        <v>90202</v>
      </c>
      <c r="B335" s="99" t="s">
        <v>285</v>
      </c>
      <c r="C335" s="92">
        <v>81</v>
      </c>
      <c r="D335" s="94">
        <v>12</v>
      </c>
    </row>
    <row r="336" spans="1:4">
      <c r="A336" s="91">
        <v>90203</v>
      </c>
      <c r="B336" s="99" t="s">
        <v>439</v>
      </c>
      <c r="C336" s="92">
        <v>114</v>
      </c>
      <c r="D336" s="94">
        <v>34</v>
      </c>
    </row>
    <row r="337" spans="1:4">
      <c r="A337" s="91">
        <v>90301</v>
      </c>
      <c r="B337" s="99" t="s">
        <v>441</v>
      </c>
      <c r="C337" s="92">
        <v>153</v>
      </c>
      <c r="D337" s="94">
        <v>31</v>
      </c>
    </row>
    <row r="338" spans="1:4">
      <c r="A338" s="91">
        <v>90302</v>
      </c>
      <c r="B338" s="99" t="s">
        <v>334</v>
      </c>
      <c r="C338" s="92">
        <v>178</v>
      </c>
      <c r="D338" s="94">
        <v>75</v>
      </c>
    </row>
    <row r="339" spans="1:4">
      <c r="A339" s="91">
        <v>90303</v>
      </c>
      <c r="B339" s="99" t="s">
        <v>442</v>
      </c>
      <c r="C339" s="92">
        <v>153</v>
      </c>
      <c r="D339" s="94">
        <v>45</v>
      </c>
    </row>
    <row r="340" spans="1:4">
      <c r="A340" s="91">
        <v>90401</v>
      </c>
      <c r="B340" s="99" t="s">
        <v>361</v>
      </c>
      <c r="C340" s="92">
        <v>57</v>
      </c>
      <c r="D340" s="94">
        <v>17</v>
      </c>
    </row>
    <row r="341" spans="1:4">
      <c r="A341" s="91">
        <v>90402</v>
      </c>
      <c r="B341" s="99" t="s">
        <v>104</v>
      </c>
      <c r="C341" s="92">
        <v>79</v>
      </c>
      <c r="D341" s="94">
        <v>11</v>
      </c>
    </row>
    <row r="342" spans="1:4">
      <c r="A342" s="91">
        <v>90501</v>
      </c>
      <c r="B342" s="99" t="s">
        <v>445</v>
      </c>
      <c r="C342" s="92">
        <v>40</v>
      </c>
      <c r="D342" s="94">
        <v>4</v>
      </c>
    </row>
    <row r="343" spans="1:4">
      <c r="A343" s="91">
        <v>90502</v>
      </c>
      <c r="B343" s="99" t="s">
        <v>446</v>
      </c>
      <c r="C343" s="92">
        <v>72</v>
      </c>
      <c r="D343" s="94">
        <v>8</v>
      </c>
    </row>
    <row r="344" spans="1:4">
      <c r="A344" s="91">
        <v>90503</v>
      </c>
      <c r="B344" s="99" t="s">
        <v>447</v>
      </c>
      <c r="C344" s="92">
        <v>59</v>
      </c>
      <c r="D344" s="9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Z12"/>
  <sheetViews>
    <sheetView workbookViewId="0">
      <selection activeCell="D1" sqref="D1"/>
    </sheetView>
  </sheetViews>
  <sheetFormatPr baseColWidth="10" defaultColWidth="14.42578125" defaultRowHeight="15" customHeight="1"/>
  <sheetData>
    <row r="1" spans="1:26">
      <c r="A1" s="97" t="s">
        <v>475</v>
      </c>
      <c r="B1" s="97" t="s">
        <v>20</v>
      </c>
      <c r="C1" s="81" t="s">
        <v>471</v>
      </c>
      <c r="D1" s="81" t="s">
        <v>472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>
      <c r="A2" s="101">
        <v>1</v>
      </c>
      <c r="B2" s="101" t="s">
        <v>21</v>
      </c>
      <c r="C2" s="102">
        <v>91.559827370883852</v>
      </c>
      <c r="D2" s="102">
        <v>97.673495129756375</v>
      </c>
    </row>
    <row r="3" spans="1:26">
      <c r="A3" s="101">
        <v>2</v>
      </c>
      <c r="B3" s="101" t="s">
        <v>59</v>
      </c>
      <c r="C3" s="102">
        <v>92.645817020557928</v>
      </c>
      <c r="D3" s="102">
        <v>97.284544731394234</v>
      </c>
    </row>
    <row r="4" spans="1:26">
      <c r="A4" s="101">
        <v>3</v>
      </c>
      <c r="B4" s="101" t="s">
        <v>165</v>
      </c>
      <c r="C4" s="102">
        <v>89.898431268279708</v>
      </c>
      <c r="D4" s="102">
        <v>97.495973254287307</v>
      </c>
    </row>
    <row r="5" spans="1:26">
      <c r="A5" s="101">
        <v>4</v>
      </c>
      <c r="B5" s="101" t="s">
        <v>219</v>
      </c>
      <c r="C5" s="102">
        <v>91.61117038890319</v>
      </c>
      <c r="D5" s="102">
        <v>97.096245602197698</v>
      </c>
    </row>
    <row r="6" spans="1:26">
      <c r="A6" s="101">
        <v>5</v>
      </c>
      <c r="B6" s="101" t="s">
        <v>265</v>
      </c>
      <c r="C6" s="102">
        <v>90.035384809806658</v>
      </c>
      <c r="D6" s="102">
        <v>97.382524711172707</v>
      </c>
    </row>
    <row r="7" spans="1:26">
      <c r="A7" s="101">
        <v>6</v>
      </c>
      <c r="B7" s="101" t="s">
        <v>322</v>
      </c>
      <c r="C7" s="102">
        <v>92.497820312658405</v>
      </c>
      <c r="D7" s="102">
        <v>97.007910122664214</v>
      </c>
    </row>
    <row r="8" spans="1:26">
      <c r="A8" s="101">
        <v>7</v>
      </c>
      <c r="B8" s="101" t="s">
        <v>337</v>
      </c>
      <c r="C8" s="102">
        <v>84.080389727454104</v>
      </c>
      <c r="D8" s="102">
        <v>94.411867687837315</v>
      </c>
    </row>
    <row r="9" spans="1:26">
      <c r="A9" s="101">
        <v>8</v>
      </c>
      <c r="B9" s="101" t="s">
        <v>406</v>
      </c>
      <c r="C9" s="102">
        <v>85.487363273229562</v>
      </c>
      <c r="D9" s="102">
        <v>95.078853204929985</v>
      </c>
    </row>
    <row r="10" spans="1:26">
      <c r="A10" s="114">
        <v>9</v>
      </c>
      <c r="B10" s="114" t="s">
        <v>431</v>
      </c>
      <c r="C10" s="115">
        <v>88.203916272788646</v>
      </c>
      <c r="D10" s="115">
        <v>96.634138273238506</v>
      </c>
    </row>
    <row r="11" spans="1:26" ht="15" customHeight="1">
      <c r="A11" s="116">
        <v>10</v>
      </c>
      <c r="B11" s="116" t="s">
        <v>326</v>
      </c>
      <c r="C11" s="123">
        <v>89.457169752117977</v>
      </c>
      <c r="D11" s="123">
        <v>95.947667997621281</v>
      </c>
    </row>
    <row r="12" spans="1:26" ht="15" customHeight="1">
      <c r="A12" s="116">
        <v>11</v>
      </c>
      <c r="B12" s="116" t="s">
        <v>17</v>
      </c>
      <c r="C12" s="123">
        <v>89.033758951800962</v>
      </c>
      <c r="D12" s="123">
        <v>96.35755796083771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Z12"/>
  <sheetViews>
    <sheetView workbookViewId="0">
      <selection activeCell="G7" sqref="G7"/>
    </sheetView>
  </sheetViews>
  <sheetFormatPr baseColWidth="10" defaultColWidth="14.42578125" defaultRowHeight="15" customHeight="1"/>
  <sheetData>
    <row r="1" spans="1:26">
      <c r="A1" s="97" t="s">
        <v>475</v>
      </c>
      <c r="B1" s="97" t="s">
        <v>20</v>
      </c>
      <c r="C1" s="97" t="s">
        <v>473</v>
      </c>
      <c r="D1" s="97" t="s">
        <v>474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>
      <c r="A2" s="101">
        <v>1</v>
      </c>
      <c r="B2" s="101" t="s">
        <v>21</v>
      </c>
      <c r="C2" s="92">
        <v>5339</v>
      </c>
      <c r="D2" s="94">
        <v>996</v>
      </c>
    </row>
    <row r="3" spans="1:26">
      <c r="A3" s="101">
        <v>2</v>
      </c>
      <c r="B3" s="101" t="s">
        <v>59</v>
      </c>
      <c r="C3" s="92">
        <v>19160</v>
      </c>
      <c r="D3" s="94">
        <v>5496</v>
      </c>
    </row>
    <row r="4" spans="1:26">
      <c r="A4" s="101">
        <v>3</v>
      </c>
      <c r="B4" s="101" t="s">
        <v>165</v>
      </c>
      <c r="C4" s="92">
        <v>18996</v>
      </c>
      <c r="D4" s="94">
        <v>3700</v>
      </c>
    </row>
    <row r="5" spans="1:26">
      <c r="A5" s="101">
        <v>4</v>
      </c>
      <c r="B5" s="101" t="s">
        <v>219</v>
      </c>
      <c r="C5" s="92">
        <v>4560</v>
      </c>
      <c r="D5" s="94">
        <v>1205</v>
      </c>
    </row>
    <row r="6" spans="1:26">
      <c r="A6" s="101">
        <v>5</v>
      </c>
      <c r="B6" s="101" t="s">
        <v>265</v>
      </c>
      <c r="C6" s="92">
        <v>9462</v>
      </c>
      <c r="D6" s="94">
        <v>1851</v>
      </c>
    </row>
    <row r="7" spans="1:26">
      <c r="A7" s="101">
        <v>6</v>
      </c>
      <c r="B7" s="101" t="s">
        <v>322</v>
      </c>
      <c r="C7" s="92">
        <v>3700</v>
      </c>
      <c r="D7" s="94">
        <v>1044</v>
      </c>
      <c r="F7" s="125"/>
      <c r="G7" s="125"/>
    </row>
    <row r="8" spans="1:26">
      <c r="A8" s="101">
        <v>7</v>
      </c>
      <c r="B8" s="101" t="s">
        <v>337</v>
      </c>
      <c r="C8" s="92">
        <v>47155</v>
      </c>
      <c r="D8" s="94">
        <v>13885</v>
      </c>
    </row>
    <row r="9" spans="1:26">
      <c r="A9" s="101">
        <v>8</v>
      </c>
      <c r="B9" s="101" t="s">
        <v>406</v>
      </c>
      <c r="C9" s="92">
        <v>7775</v>
      </c>
      <c r="D9" s="94">
        <v>2228</v>
      </c>
    </row>
    <row r="10" spans="1:26">
      <c r="A10" s="101">
        <v>9</v>
      </c>
      <c r="B10" s="101" t="s">
        <v>431</v>
      </c>
      <c r="C10" s="92">
        <v>1747</v>
      </c>
      <c r="D10" s="94">
        <v>407</v>
      </c>
    </row>
    <row r="11" spans="1:26" ht="15" customHeight="1">
      <c r="A11" s="116">
        <v>10</v>
      </c>
      <c r="B11" s="116" t="s">
        <v>326</v>
      </c>
      <c r="C11" s="121">
        <v>1680</v>
      </c>
      <c r="D11" s="121">
        <v>477</v>
      </c>
    </row>
    <row r="12" spans="1:26" ht="15" customHeight="1">
      <c r="A12" s="116">
        <v>11</v>
      </c>
      <c r="B12" s="116" t="s">
        <v>17</v>
      </c>
      <c r="C12" s="121">
        <v>117894</v>
      </c>
      <c r="D12" s="124">
        <v>30812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J2"/>
  <sheetViews>
    <sheetView workbookViewId="0"/>
  </sheetViews>
  <sheetFormatPr baseColWidth="10" defaultColWidth="14.42578125" defaultRowHeight="15" customHeight="1"/>
  <sheetData>
    <row r="1" spans="1:10">
      <c r="A1" s="103" t="s">
        <v>476</v>
      </c>
      <c r="B1" s="103" t="s">
        <v>477</v>
      </c>
      <c r="C1" s="104" t="s">
        <v>478</v>
      </c>
      <c r="D1" s="104" t="s">
        <v>479</v>
      </c>
      <c r="E1" s="105" t="s">
        <v>480</v>
      </c>
      <c r="F1" s="105" t="s">
        <v>481</v>
      </c>
      <c r="G1" s="106" t="s">
        <v>482</v>
      </c>
      <c r="H1" s="106" t="s">
        <v>483</v>
      </c>
      <c r="I1" s="107" t="s">
        <v>484</v>
      </c>
      <c r="J1" s="107" t="s">
        <v>485</v>
      </c>
    </row>
    <row r="2" spans="1:10">
      <c r="A2" s="108">
        <v>16</v>
      </c>
      <c r="B2" s="109" t="s">
        <v>486</v>
      </c>
      <c r="C2" s="108">
        <v>100</v>
      </c>
      <c r="D2" s="108">
        <v>95</v>
      </c>
      <c r="E2" s="108">
        <v>95</v>
      </c>
      <c r="F2" s="108">
        <v>90</v>
      </c>
      <c r="G2" s="108">
        <v>90</v>
      </c>
      <c r="H2" s="108">
        <v>85</v>
      </c>
      <c r="I2" s="108">
        <v>85</v>
      </c>
      <c r="J2" s="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Valeria Aramayo</cp:lastModifiedBy>
  <dcterms:created xsi:type="dcterms:W3CDTF">2025-09-05T18:42:09Z</dcterms:created>
  <dcterms:modified xsi:type="dcterms:W3CDTF">2026-05-05T18:02:35Z</dcterms:modified>
</cp:coreProperties>
</file>